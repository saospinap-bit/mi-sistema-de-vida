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Geometria y Verificaciones" sheetId="2" state="visible" r:id="rId2"/>
    <sheet xmlns:r="http://schemas.openxmlformats.org/officeDocument/2006/relationships" name="Predimensionamiento" sheetId="3" state="visible" r:id="rId3"/>
    <sheet xmlns:r="http://schemas.openxmlformats.org/officeDocument/2006/relationships" name="Avaluo de Cargas" sheetId="4" state="visible" r:id="rId4"/>
    <sheet xmlns:r="http://schemas.openxmlformats.org/officeDocument/2006/relationships" name="Nervios Entrepiso" sheetId="5" state="visible" r:id="rId5"/>
    <sheet xmlns:r="http://schemas.openxmlformats.org/officeDocument/2006/relationships" name="Nervios Cubierta" sheetId="6" state="visible" r:id="rId6"/>
    <sheet xmlns:r="http://schemas.openxmlformats.org/officeDocument/2006/relationships" name="Loseta" sheetId="7" state="visible" r:id="rId7"/>
    <sheet xmlns:r="http://schemas.openxmlformats.org/officeDocument/2006/relationships" name="Deflexiones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5">
    <numFmt numFmtId="164" formatCode="0.###"/>
    <numFmt numFmtId="165" formatCode="0.000"/>
    <numFmt numFmtId="166" formatCode="0.0"/>
    <numFmt numFmtId="167" formatCode="0.00000"/>
    <numFmt numFmtId="168" formatCode="0.0000"/>
  </numFmts>
  <fonts count="8">
    <font>
      <name val="Calibri"/>
      <family val="2"/>
      <color theme="1"/>
      <sz val="11"/>
      <scheme val="minor"/>
    </font>
    <font>
      <b val="1"/>
      <color rgb="001F4E78"/>
      <sz val="15"/>
    </font>
    <font>
      <color rgb="00555555"/>
      <sz val="11"/>
    </font>
    <font>
      <b val="1"/>
      <color rgb="00FFFFFF"/>
    </font>
    <font>
      <b val="1"/>
    </font>
    <font>
      <sz val="10"/>
    </font>
    <font>
      <b val="1"/>
      <color rgb="001F4E78"/>
      <sz val="13"/>
    </font>
    <font>
      <i val="1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9DA9BB"/>
      </left>
      <right style="thin">
        <color rgb="009DA9BB"/>
      </right>
      <top style="thin">
        <color rgb="009DA9BB"/>
      </top>
      <bottom style="thin">
        <color rgb="009DA9BB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0" fillId="4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4" fillId="4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  <xf numFmtId="2" fontId="4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center" vertical="center" wrapText="1"/>
    </xf>
    <xf numFmtId="1" fontId="0" fillId="5" borderId="1" applyAlignment="1" pivotButton="0" quotePrefix="0" xfId="0">
      <alignment horizontal="center" vertical="center" wrapText="1"/>
    </xf>
    <xf numFmtId="1" fontId="4" fillId="4" borderId="1" applyAlignment="1" pivotButton="0" quotePrefix="0" xfId="0">
      <alignment horizontal="center" vertical="center" wrapText="1"/>
    </xf>
    <xf numFmtId="1" fontId="4" fillId="5" borderId="1" applyAlignment="1" pivotButton="0" quotePrefix="0" xfId="0">
      <alignment horizontal="center" vertical="center" wrapText="1"/>
    </xf>
    <xf numFmtId="168" fontId="4" fillId="4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1" t="inlineStr">
        <is>
          <t>DISENO DE LOSA NERVADA EN UNA DIRECCION</t>
        </is>
      </c>
    </row>
    <row r="2">
      <c r="A2" s="2" t="inlineStr">
        <is>
          <t>Edificio residencial - Santa Marta - Grupo 6</t>
        </is>
      </c>
    </row>
    <row r="3">
      <c r="A3" s="2" t="inlineStr">
        <is>
          <t>NSR-10 (C.8.13 losa nervada, C.9.5 deflexiones, C.8.3.3 coeficientes) / ACI 318</t>
        </is>
      </c>
    </row>
    <row r="4">
      <c r="A4" s="2" t="inlineStr">
        <is>
          <t>f'c = 28 MPa   |   fy = 420 MPa   |   losa aligerada en una direccion (viguetas + loseta + caseton)</t>
        </is>
      </c>
    </row>
    <row r="6">
      <c r="A6" s="3" t="inlineStr">
        <is>
          <t>Hoja</t>
        </is>
      </c>
      <c r="B6" s="3" t="inlineStr">
        <is>
          <t>Contenido</t>
        </is>
      </c>
    </row>
    <row r="7">
      <c r="A7" s="4" t="inlineStr">
        <is>
          <t>Geometria y Verificaciones</t>
        </is>
      </c>
      <c r="B7" s="5" t="inlineStr">
        <is>
          <t>Dimensiones de la losa nervada y verificaciones NSR-10 C.8.13 (ancho de nervio, altura, separacion, loseta).</t>
        </is>
      </c>
    </row>
    <row r="8">
      <c r="A8" s="4" t="inlineStr">
        <is>
          <t>Predimensionamiento</t>
        </is>
      </c>
      <c r="B8" s="5" t="inlineStr">
        <is>
          <t>Espesor minimo por control de deflexiones segun la luz y la condicion de apoyo (C.9.5).</t>
        </is>
      </c>
    </row>
    <row r="9">
      <c r="A9" s="4" t="inlineStr">
        <is>
          <t>Avaluo de Cargas</t>
        </is>
      </c>
      <c r="B9" s="5" t="inlineStr">
        <is>
          <t>Carga muerta (peso propio de la losa aligerada + acabados) y viva, para entrepiso y cubierta.</t>
        </is>
      </c>
    </row>
    <row r="10">
      <c r="A10" s="4" t="inlineStr">
        <is>
          <t>Nervios Entrepiso</t>
        </is>
      </c>
      <c r="B10" s="5" t="inlineStr">
        <is>
          <t>Diseno de la vigueta (viga T) por tipo de luz: flexion +/-, cortante y refuerzo.</t>
        </is>
      </c>
    </row>
    <row r="11">
      <c r="A11" s="4" t="inlineStr">
        <is>
          <t>Nervios Cubierta</t>
        </is>
      </c>
      <c r="B11" s="5" t="inlineStr">
        <is>
          <t>Idem para la cubierta (terraza social, L=5 kN/m2, gobierna).</t>
        </is>
      </c>
    </row>
    <row r="12">
      <c r="A12" s="4" t="inlineStr">
        <is>
          <t>Loseta</t>
        </is>
      </c>
      <c r="B12" s="5" t="inlineStr">
        <is>
          <t>Refuerzo de retraccion y temperatura de la loseta superior.</t>
        </is>
      </c>
    </row>
    <row r="13">
      <c r="A13" s="4" t="inlineStr">
        <is>
          <t>Deflexiones</t>
        </is>
      </c>
      <c r="B13" s="5" t="inlineStr">
        <is>
          <t>Verificacion del espesor adoptado frente al minimo por deflexiones.</t>
        </is>
      </c>
    </row>
    <row r="15">
      <c r="A15" s="6" t="inlineStr">
        <is>
          <t>Convencion</t>
        </is>
      </c>
    </row>
    <row r="16">
      <c r="A16" s="7" t="inlineStr">
        <is>
          <t xml:space="preserve">  </t>
        </is>
      </c>
      <c r="B16" s="8" t="inlineStr">
        <is>
          <t>Celdas AZULES = datos de entrada (editables). El resto se calcula automaticamente con formulas.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42" customWidth="1" min="6" max="6"/>
  </cols>
  <sheetData>
    <row r="1">
      <c r="A1" s="9" t="inlineStr">
        <is>
          <t>GEOMETRIA DE LA LOSA NERVADA Y VERIFICACIONES (NSR-10 C.8.13)</t>
        </is>
      </c>
    </row>
    <row r="2">
      <c r="A2" s="10" t="inlineStr">
        <is>
          <t>La losa se resuelve con nervios (viguetas) en una direccion, loseta superior y aligeramiento (caseton).</t>
        </is>
      </c>
    </row>
    <row r="3">
      <c r="A3" s="6" t="inlineStr">
        <is>
          <t>DATOS DE ENTRADA</t>
        </is>
      </c>
    </row>
    <row r="4">
      <c r="A4" s="6" t="inlineStr">
        <is>
          <t>f'c [MPa]</t>
        </is>
      </c>
      <c r="B4" s="11" t="n">
        <v>28</v>
      </c>
    </row>
    <row r="5">
      <c r="A5" s="6" t="inlineStr">
        <is>
          <t>fy [MPa]</t>
        </is>
      </c>
      <c r="B5" s="11" t="n">
        <v>420</v>
      </c>
    </row>
    <row r="6">
      <c r="A6" s="6" t="inlineStr">
        <is>
          <t>Peso especifico concreto [kN/m3]</t>
        </is>
      </c>
      <c r="B6" s="11" t="n">
        <v>24</v>
      </c>
    </row>
    <row r="7">
      <c r="A7" s="6" t="inlineStr">
        <is>
          <t>Ancho de nervio  bw [m]</t>
        </is>
      </c>
      <c r="B7" s="11" t="n">
        <v>0.15</v>
      </c>
    </row>
    <row r="8">
      <c r="A8" s="6" t="inlineStr">
        <is>
          <t>Altura total losa  h [m]</t>
        </is>
      </c>
      <c r="B8" s="11" t="n">
        <v>0.34</v>
      </c>
    </row>
    <row r="9">
      <c r="A9" s="6" t="inlineStr">
        <is>
          <t>Espesor de loseta  hf [m]</t>
        </is>
      </c>
      <c r="B9" s="11" t="n">
        <v>0.06</v>
      </c>
    </row>
    <row r="10">
      <c r="A10" s="6" t="inlineStr">
        <is>
          <t>Separacion entre ejes de nervios  sv [m]</t>
        </is>
      </c>
      <c r="B10" s="11" t="n">
        <v>0.8</v>
      </c>
    </row>
    <row r="11">
      <c r="A11" s="6" t="inlineStr">
        <is>
          <t>Recubrimiento nervio [m]</t>
        </is>
      </c>
      <c r="B11" s="11" t="n">
        <v>0.03</v>
      </c>
    </row>
    <row r="12">
      <c r="A12" s="6" t="inlineStr">
        <is>
          <t>Barra long. nervio  db [mm] (#4)</t>
        </is>
      </c>
      <c r="B12" s="11" t="n">
        <v>12.7</v>
      </c>
    </row>
    <row r="13">
      <c r="A13" s="6" t="inlineStr">
        <is>
          <t>Area barra #4 [mm2]</t>
        </is>
      </c>
      <c r="B13" s="11" t="n">
        <v>129</v>
      </c>
    </row>
    <row r="15">
      <c r="A15" s="6" t="inlineStr">
        <is>
          <t>PARAMETROS DERIVADOS</t>
        </is>
      </c>
    </row>
    <row r="16">
      <c r="A16" s="6" t="inlineStr">
        <is>
          <t>Separacion libre entre nervios  sl = sv - bw [m]</t>
        </is>
      </c>
      <c r="B16" s="12">
        <f>B10-B7</f>
        <v>0.65</v>
      </c>
    </row>
    <row r="17">
      <c r="A17" s="6" t="inlineStr">
        <is>
          <t>Altura del nervio bajo loseta  h - hf [m]</t>
        </is>
      </c>
      <c r="B17" s="12">
        <f>B8-B9</f>
        <v>0.28</v>
      </c>
    </row>
    <row r="18">
      <c r="A18" s="6" t="inlineStr">
        <is>
          <t>Altura efectiva  d = h - rec - db/2 [mm]</t>
        </is>
      </c>
      <c r="B18" s="13">
        <f>B8*1000-B11*1000-B12/2</f>
        <v>303.65</v>
      </c>
    </row>
    <row r="19">
      <c r="A19" s="6" t="inlineStr">
        <is>
          <t>Relacion altura/ancho de nervio  h/bw</t>
        </is>
      </c>
      <c r="B19" s="14">
        <f>B8/B7</f>
        <v>2.266666667</v>
      </c>
    </row>
    <row r="21">
      <c r="A21" s="6" t="inlineStr">
        <is>
          <t>VERIFICACIONES NSR-10 C.8.13</t>
        </is>
      </c>
    </row>
    <row r="22">
      <c r="A22" s="15" t="inlineStr">
        <is>
          <t>Requisito</t>
        </is>
      </c>
      <c r="B22" s="15" t="inlineStr">
        <is>
          <t>Valor</t>
        </is>
      </c>
      <c r="C22" s="15" t="inlineStr">
        <is>
          <t>Limite</t>
        </is>
      </c>
      <c r="D22" s="15" t="inlineStr">
        <is>
          <t>Estado</t>
        </is>
      </c>
    </row>
    <row r="23">
      <c r="A23" s="5" t="inlineStr">
        <is>
          <t>Ancho de nervio bw &gt;= 100 mm</t>
        </is>
      </c>
      <c r="B23" s="16">
        <f>B7*1000</f>
        <v>150</v>
      </c>
      <c r="C23" s="16" t="inlineStr">
        <is>
          <t>100</t>
        </is>
      </c>
      <c r="D23" s="17" t="str">
        <f>IF(B7*1000&gt;=100,"CUMPLE","REVISAR")</f>
        <v>CUMPLE</v>
      </c>
    </row>
    <row r="24">
      <c r="A24" s="5" t="inlineStr">
        <is>
          <t>Altura del nervio h &lt;= 3.5 bw</t>
        </is>
      </c>
      <c r="B24" s="16">
        <f>B19</f>
        <v>2.266666667</v>
      </c>
      <c r="C24" s="16" t="inlineStr">
        <is>
          <t>3.5</t>
        </is>
      </c>
      <c r="D24" s="17" t="str">
        <f>IF(B19&lt;=3.5,"CUMPLE","REVISAR")</f>
        <v>CUMPLE</v>
      </c>
    </row>
    <row r="25">
      <c r="A25" s="5" t="inlineStr">
        <is>
          <t>Separacion libre entre nervios sl &lt;= 750 mm</t>
        </is>
      </c>
      <c r="B25" s="16">
        <f>B16*1000</f>
        <v>650</v>
      </c>
      <c r="C25" s="16" t="inlineStr">
        <is>
          <t>750</t>
        </is>
      </c>
      <c r="D25" s="17" t="str">
        <f>IF(B16*1000&lt;=750,"CUMPLE","REVISAR")</f>
        <v>CUMPLE</v>
      </c>
    </row>
    <row r="26">
      <c r="A26" s="5" t="inlineStr">
        <is>
          <t>Loseta hf &gt;= sl/12</t>
        </is>
      </c>
      <c r="B26" s="16">
        <f>B9*1000</f>
        <v>60</v>
      </c>
      <c r="C26" s="16">
        <f>B16*1000/12</f>
        <v>54.16666667</v>
      </c>
      <c r="D26" s="17" t="str">
        <f>IF(B9*1000&gt;=B16*1000/12,"CUMPLE","REVISAR")</f>
        <v>CUMPLE</v>
      </c>
    </row>
    <row r="27">
      <c r="A27" s="5" t="inlineStr">
        <is>
          <t>Loseta hf &gt;= 45 mm</t>
        </is>
      </c>
      <c r="B27" s="16">
        <f>B9*1000</f>
        <v>60</v>
      </c>
      <c r="C27" s="16" t="inlineStr">
        <is>
          <t>45</t>
        </is>
      </c>
      <c r="D27" s="17" t="str">
        <f>IF(B9*1000&gt;=45,"CUMPLE","REVISAR")</f>
        <v>CUMPLE</v>
      </c>
    </row>
    <row r="29">
      <c r="A29" s="10" t="inlineStr">
        <is>
          <t>Caseton (aligerante): ancho = sl y altura = h - hf. La loseta se verifica ademas a retraccion y temperatura en la hoja 'Loseta'.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PREDIMENSIONAMIENTO DEL ESPESOR POR DEFLEXIONES (NSR-10 C.9.5)</t>
        </is>
      </c>
    </row>
    <row r="2">
      <c r="A2" s="10" t="inlineStr">
        <is>
          <t>h_min = L / factor segun la condicion de apoyo. Factores (elemento nervado): SA=16, 1EC=18.5, 2EC=21, Voladizo=8.</t>
        </is>
      </c>
    </row>
    <row r="4">
      <c r="A4" s="6" t="inlineStr">
        <is>
          <t>Altura adoptada h [m]</t>
        </is>
      </c>
      <c r="B4" s="14">
        <f>'Geometria y Verificaciones'!B8</f>
        <v>0.34</v>
      </c>
    </row>
    <row r="6">
      <c r="A6" s="15" t="inlineStr">
        <is>
          <t>Tramo</t>
        </is>
      </c>
      <c r="B6" s="15" t="inlineStr">
        <is>
          <t>Luz L entre ejes [m]</t>
        </is>
      </c>
      <c r="C6" s="15" t="inlineStr">
        <is>
          <t>Condicion</t>
        </is>
      </c>
      <c r="D6" s="15" t="inlineStr">
        <is>
          <t>Factor</t>
        </is>
      </c>
      <c r="E6" s="15" t="inlineStr">
        <is>
          <t>h_min = L/factor [m]</t>
        </is>
      </c>
      <c r="F6" s="15" t="inlineStr">
        <is>
          <t>h adoptada [m]</t>
        </is>
      </c>
      <c r="G6" s="15" t="inlineStr">
        <is>
          <t>Estado</t>
        </is>
      </c>
    </row>
    <row r="7">
      <c r="A7" s="18" t="inlineStr">
        <is>
          <t>T-1</t>
        </is>
      </c>
      <c r="B7" s="19" t="n">
        <v>2.2</v>
      </c>
      <c r="C7" s="20" t="inlineStr">
        <is>
          <t>1EC</t>
        </is>
      </c>
      <c r="D7" s="21" t="n">
        <v>18.5</v>
      </c>
      <c r="E7" s="22">
        <f>B7/D7</f>
        <v>0.1189189189</v>
      </c>
      <c r="F7" s="23">
        <f>$B$4</f>
        <v>0.34</v>
      </c>
      <c r="G7" s="17" t="str">
        <f>IF(F7&gt;=E7,"CUMPLE","AUMENTAR h")</f>
        <v>CUMPLE</v>
      </c>
    </row>
    <row r="8">
      <c r="A8" s="18" t="inlineStr">
        <is>
          <t>T-2</t>
        </is>
      </c>
      <c r="B8" s="19" t="n">
        <v>3.6</v>
      </c>
      <c r="C8" s="20" t="inlineStr">
        <is>
          <t>1EC</t>
        </is>
      </c>
      <c r="D8" s="21" t="n">
        <v>18.5</v>
      </c>
      <c r="E8" s="22">
        <f>B8/D8</f>
        <v>0.1945945946</v>
      </c>
      <c r="F8" s="23">
        <f>$B$4</f>
        <v>0.34</v>
      </c>
      <c r="G8" s="17" t="str">
        <f>IF(F8&gt;=E8,"CUMPLE","AUMENTAR h")</f>
        <v>CUMPLE</v>
      </c>
    </row>
    <row r="9">
      <c r="A9" s="18" t="inlineStr">
        <is>
          <t>T-3</t>
        </is>
      </c>
      <c r="B9" s="19" t="n">
        <v>4.8</v>
      </c>
      <c r="C9" s="20" t="inlineStr">
        <is>
          <t>1EC</t>
        </is>
      </c>
      <c r="D9" s="21" t="n">
        <v>18.5</v>
      </c>
      <c r="E9" s="22">
        <f>B9/D9</f>
        <v>0.2594594595</v>
      </c>
      <c r="F9" s="23">
        <f>$B$4</f>
        <v>0.34</v>
      </c>
      <c r="G9" s="17" t="str">
        <f>IF(F9&gt;=E9,"CUMPLE","AUMENTAR h")</f>
        <v>CUMPLE</v>
      </c>
    </row>
    <row r="10">
      <c r="A10" s="18" t="inlineStr">
        <is>
          <t>T-4</t>
        </is>
      </c>
      <c r="B10" s="19" t="n">
        <v>5.15</v>
      </c>
      <c r="C10" s="20" t="inlineStr">
        <is>
          <t>1EC</t>
        </is>
      </c>
      <c r="D10" s="21" t="n">
        <v>18.5</v>
      </c>
      <c r="E10" s="22">
        <f>B10/D10</f>
        <v>0.2783783784</v>
      </c>
      <c r="F10" s="23">
        <f>$B$4</f>
        <v>0.34</v>
      </c>
      <c r="G10" s="17" t="str">
        <f>IF(F10&gt;=E10,"CUMPLE","AUMENTAR h")</f>
        <v>CUMPLE</v>
      </c>
    </row>
    <row r="12">
      <c r="A12" s="10" t="inlineStr">
        <is>
          <t>Se adopta h = 0.34 m (limitada por arquitectura a 0.40 m). El mayor h_min corresponde al tramo de mayor luz; el espesor adoptado lo cubre, por lo que no es obligatorio calcular deflexiones (C.9.5.2.1).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9" t="inlineStr">
        <is>
          <t>AVALUO DE CARGAS DE LA LOSA ALIGERADA (kN/m2)</t>
        </is>
      </c>
    </row>
    <row r="2">
      <c r="A2" s="10" t="inlineStr">
        <is>
          <t>Peso propio calculado desde la geometria; acabados y viva editables (NSR-10 Titulo B).</t>
        </is>
      </c>
    </row>
    <row r="4">
      <c r="A4" s="6" t="inlineStr">
        <is>
          <t>PESO PROPIO DE LA LOSA (calculado)</t>
        </is>
      </c>
    </row>
    <row r="5">
      <c r="A5" s="6" t="inlineStr">
        <is>
          <t>Loseta:  gc * hf</t>
        </is>
      </c>
      <c r="B5" s="12">
        <f>'Geometria y Verificaciones'!B6*'Geometria y Verificaciones'!B9</f>
        <v>1.44</v>
      </c>
    </row>
    <row r="6">
      <c r="A6" s="6" t="inlineStr">
        <is>
          <t>Nervios:  gc * bw * (h-hf) / sv</t>
        </is>
      </c>
      <c r="B6" s="12">
        <f>'Geometria y Verificaciones'!B6*'Geometria y Verificaciones'!B7*('Geometria y Verificaciones'!B8-'Geometria y Verificaciones'!B9)/'Geometria y Verificaciones'!B10</f>
        <v>1.26</v>
      </c>
    </row>
    <row r="7">
      <c r="A7" s="6" t="inlineStr">
        <is>
          <t>Caseton / aligerante  [kN/m2]</t>
        </is>
      </c>
      <c r="B7" s="24" t="n">
        <v>0.35</v>
      </c>
    </row>
    <row r="8">
      <c r="A8" s="6" t="inlineStr">
        <is>
          <t>Peso propio total losa  [kN/m2]</t>
        </is>
      </c>
      <c r="B8" s="12">
        <f>SUM(B5:B7)</f>
        <v>3.05</v>
      </c>
    </row>
    <row r="10">
      <c r="A10" s="6" t="inlineStr">
        <is>
          <t>CARGA MUERTA ADICIONAL - ENTREPISO</t>
        </is>
      </c>
    </row>
    <row r="11">
      <c r="A11" s="6" t="inlineStr">
        <is>
          <t>Acabado de piso + mortero de nivelacion</t>
        </is>
      </c>
      <c r="B11" s="24" t="n">
        <v>1.5</v>
      </c>
    </row>
    <row r="12">
      <c r="A12" s="6" t="inlineStr">
        <is>
          <t>Cielo raso</t>
        </is>
      </c>
      <c r="B12" s="24" t="n">
        <v>0.49</v>
      </c>
    </row>
    <row r="13">
      <c r="A13" s="6" t="inlineStr">
        <is>
          <t>Muros divisorios (distribuidos)</t>
        </is>
      </c>
      <c r="B13" s="24" t="n">
        <v>2</v>
      </c>
    </row>
    <row r="14">
      <c r="A14" s="6" t="inlineStr">
        <is>
          <t>Carga muerta total entrepiso  D [kN/m2]</t>
        </is>
      </c>
      <c r="B14" s="12">
        <f>B8+SUM(B11:B13)</f>
        <v>7.04</v>
      </c>
    </row>
    <row r="15">
      <c r="A15" s="6" t="inlineStr">
        <is>
          <t>Carga viva entrepiso (residencial)  L [kN/m2]</t>
        </is>
      </c>
      <c r="B15" s="24" t="n">
        <v>1.8</v>
      </c>
    </row>
    <row r="16">
      <c r="A16" s="6" t="inlineStr">
        <is>
          <t>wu entrepiso = 1.2D + 1.6L  [kN/m2]</t>
        </is>
      </c>
      <c r="B16" s="12">
        <f>1.2*B14+1.6*B15</f>
        <v>11.328</v>
      </c>
    </row>
    <row r="18">
      <c r="A18" s="6" t="inlineStr">
        <is>
          <t>CARGA MUERTA ADICIONAL - CUBIERTA</t>
        </is>
      </c>
    </row>
    <row r="19">
      <c r="A19" s="6" t="inlineStr">
        <is>
          <t>Impermeabilizacion + afinado</t>
        </is>
      </c>
      <c r="B19" s="24" t="n">
        <v>1</v>
      </c>
    </row>
    <row r="20">
      <c r="A20" s="6" t="inlineStr">
        <is>
          <t>Cielo raso / instalaciones</t>
        </is>
      </c>
      <c r="B20" s="24" t="n">
        <v>0.326</v>
      </c>
    </row>
    <row r="21">
      <c r="A21" s="6" t="inlineStr">
        <is>
          <t>Carga muerta total cubierta  D [kN/m2]</t>
        </is>
      </c>
      <c r="B21" s="12">
        <f>B8+SUM(B19:B20)</f>
        <v>4.376</v>
      </c>
    </row>
    <row r="22">
      <c r="A22" s="6" t="inlineStr">
        <is>
          <t>Carga viva cubierta (terraza social)  L [kN/m2]</t>
        </is>
      </c>
      <c r="B22" s="24" t="n">
        <v>5</v>
      </c>
    </row>
    <row r="23">
      <c r="A23" s="6" t="inlineStr">
        <is>
          <t>wu cubierta = 1.2D + 1.6L  [kN/m2]</t>
        </is>
      </c>
      <c r="B23" s="12">
        <f>1.2*B21+1.6*B22</f>
        <v>13.2512</v>
      </c>
    </row>
    <row r="25">
      <c r="A25" s="10" t="inlineStr">
        <is>
          <t>Nota: D entrepiso ~ 7.04 y D cubierta ~ 4.38 kN/m2 segun la memoria; ajuste los renglones azules si cambian los acabados. wu es carga por m2; en el diseno del nervio se multiplica por sv (ancho aferente).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9" t="inlineStr">
        <is>
          <t>DISENO DE NERVIOS DE ENTREPISO (viga T)</t>
        </is>
      </c>
    </row>
    <row r="2">
      <c r="A2" s="10" t="inlineStr">
        <is>
          <t>Cada nervio se analiza como viga T (loseta a compresion en M+, nervio en M-). Momentos por coeficientes C.8.3.3: M-=wu Ln^2/10 (apoyo mas exigente), M+=wu Ln^2/14; Vu=1.15 wu Ln/2. Azul = entrada.</t>
        </is>
      </c>
    </row>
    <row r="4">
      <c r="A4" s="6" t="inlineStr">
        <is>
          <t>DATOS COMUNES</t>
        </is>
      </c>
    </row>
    <row r="5">
      <c r="A5" s="6" t="inlineStr">
        <is>
          <t>f'c [MPa]</t>
        </is>
      </c>
      <c r="B5" s="25">
        <f>'Geometria y Verificaciones'!B4</f>
        <v>28</v>
      </c>
    </row>
    <row r="6">
      <c r="A6" s="6" t="inlineStr">
        <is>
          <t>fy [MPa]</t>
        </is>
      </c>
      <c r="B6" s="25">
        <f>'Geometria y Verificaciones'!B5</f>
        <v>420</v>
      </c>
    </row>
    <row r="7">
      <c r="A7" s="6" t="inlineStr">
        <is>
          <t>bw [mm]</t>
        </is>
      </c>
      <c r="B7" s="25">
        <f>'Geometria y Verificaciones'!B7*1000</f>
        <v>150</v>
      </c>
    </row>
    <row r="8">
      <c r="A8" s="6" t="inlineStr">
        <is>
          <t>h [m]</t>
        </is>
      </c>
      <c r="B8" s="25">
        <f>'Geometria y Verificaciones'!B8</f>
        <v>0.34</v>
      </c>
    </row>
    <row r="9">
      <c r="A9" s="6" t="inlineStr">
        <is>
          <t>hf [mm]</t>
        </is>
      </c>
      <c r="B9" s="25">
        <f>'Geometria y Verificaciones'!B9*1000</f>
        <v>60</v>
      </c>
    </row>
    <row r="10">
      <c r="A10" s="6" t="inlineStr">
        <is>
          <t>sv [m]</t>
        </is>
      </c>
      <c r="B10" s="25">
        <f>'Geometria y Verificaciones'!B10</f>
        <v>0.8</v>
      </c>
    </row>
    <row r="11">
      <c r="A11" s="6" t="inlineStr">
        <is>
          <t>d [mm]</t>
        </is>
      </c>
      <c r="B11" s="25">
        <f>'Geometria y Verificaciones'!B8*1000-'Geometria y Verificaciones'!B11*1000-'Geometria y Verificaciones'!B12/2</f>
        <v>303.65</v>
      </c>
    </row>
    <row r="12">
      <c r="A12" s="6" t="inlineStr">
        <is>
          <t>Ab #4 [mm2]</t>
        </is>
      </c>
      <c r="B12" s="25">
        <f>'Geometria y Verificaciones'!B13</f>
        <v>129</v>
      </c>
    </row>
    <row r="13">
      <c r="A13" s="6" t="inlineStr">
        <is>
          <t>As min [mm2]</t>
        </is>
      </c>
      <c r="B13" s="25">
        <f>MAX(0.25*SQRT('Geometria y Verificaciones'!B4)/'Geometria y Verificaciones'!B5,1.4/'Geometria y Verificaciones'!B5)*'Geometria y Verificaciones'!B7*1000*('Geometria y Verificaciones'!B8*1000-'Geometria y Verificaciones'!B11*1000-'Geometria y Verificaciones'!B12/2)</f>
        <v>151.825</v>
      </c>
    </row>
    <row r="14">
      <c r="A14" s="6" t="inlineStr">
        <is>
          <t>wu por m2 [kN/m2]</t>
        </is>
      </c>
      <c r="B14" s="25">
        <f>'Avaluo de Cargas'!B16</f>
        <v>11.328</v>
      </c>
    </row>
    <row r="15">
      <c r="A15" s="6" t="inlineStr">
        <is>
          <t>ancho apoyo (viga) [m]</t>
        </is>
      </c>
      <c r="B15" s="11" t="n">
        <v>0.35</v>
      </c>
    </row>
    <row r="17">
      <c r="A17" s="26" t="inlineStr">
        <is>
          <t>IDENT</t>
        </is>
      </c>
      <c r="D17" s="26" t="inlineStr">
        <is>
          <t>GEOMETRIA (viga T)</t>
        </is>
      </c>
      <c r="E17" s="26" t="inlineStr">
        <is>
          <t>SOLICITACIONES</t>
        </is>
      </c>
      <c r="I17" s="26" t="inlineStr">
        <is>
          <t>FLEXION POSITIVA (loseta a compresion)</t>
        </is>
      </c>
      <c r="P17" s="26" t="inlineStr">
        <is>
          <t>FLEXION NEGATIVA (nervio bw)</t>
        </is>
      </c>
      <c r="U17" s="26" t="inlineStr">
        <is>
          <t>CORTANTE (viguetas: phi*1.1*Vc)</t>
        </is>
      </c>
      <c r="X17" s="26" t="inlineStr">
        <is>
          <t>DEFLEXION</t>
        </is>
      </c>
    </row>
    <row r="18">
      <c r="A18" s="15" t="inlineStr">
        <is>
          <t>Tipo</t>
        </is>
      </c>
      <c r="B18" s="15" t="inlineStr">
        <is>
          <t>L ejes [m]</t>
        </is>
      </c>
      <c r="C18" s="15" t="inlineStr">
        <is>
          <t>Ln [m]</t>
        </is>
      </c>
      <c r="D18" s="15" t="inlineStr">
        <is>
          <t>bf [mm]</t>
        </is>
      </c>
      <c r="E18" s="15" t="inlineStr">
        <is>
          <t>wu nervio [kN/m]</t>
        </is>
      </c>
      <c r="F18" s="15" t="inlineStr">
        <is>
          <t>M- [kN.m]</t>
        </is>
      </c>
      <c r="G18" s="15" t="inlineStr">
        <is>
          <t>M+ [kN.m]</t>
        </is>
      </c>
      <c r="H18" s="15" t="inlineStr">
        <is>
          <t>Vu [kN]</t>
        </is>
      </c>
      <c r="I18" s="15" t="inlineStr">
        <is>
          <t>Rn+ [MPa]</t>
        </is>
      </c>
      <c r="J18" s="15" t="inlineStr">
        <is>
          <t>rho+</t>
        </is>
      </c>
      <c r="K18" s="15" t="inlineStr">
        <is>
          <t>As+ req [mm2]</t>
        </is>
      </c>
      <c r="L18" s="15" t="inlineStr">
        <is>
          <t>a+ [mm]</t>
        </is>
      </c>
      <c r="M18" s="15" t="inlineStr">
        <is>
          <t>a&lt;=hf?</t>
        </is>
      </c>
      <c r="N18" s="15" t="inlineStr">
        <is>
          <t>As+ dise [mm2]</t>
        </is>
      </c>
      <c r="O18" s="15" t="inlineStr">
        <is>
          <t>N #4 inf</t>
        </is>
      </c>
      <c r="P18" s="15" t="inlineStr">
        <is>
          <t>Rn- [MPa]</t>
        </is>
      </c>
      <c r="Q18" s="15" t="inlineStr">
        <is>
          <t>rho-</t>
        </is>
      </c>
      <c r="R18" s="15" t="inlineStr">
        <is>
          <t>As- req [mm2]</t>
        </is>
      </c>
      <c r="S18" s="15" t="inlineStr">
        <is>
          <t>As- dise [mm2]</t>
        </is>
      </c>
      <c r="T18" s="15" t="inlineStr">
        <is>
          <t>N #4 sup</t>
        </is>
      </c>
      <c r="U18" s="15" t="inlineStr">
        <is>
          <t>Vc [kN]</t>
        </is>
      </c>
      <c r="V18" s="15" t="inlineStr">
        <is>
          <t>phi 1.1 Vc [kN]</t>
        </is>
      </c>
      <c r="W18" s="15" t="inlineStr">
        <is>
          <t>Estribos?</t>
        </is>
      </c>
      <c r="X18" s="15" t="inlineStr">
        <is>
          <t>h&gt;=Ln/18.5?</t>
        </is>
      </c>
    </row>
    <row r="19">
      <c r="A19" s="18" t="inlineStr">
        <is>
          <t>N-1</t>
        </is>
      </c>
      <c r="B19" s="19" t="n">
        <v>2.2</v>
      </c>
      <c r="C19" s="23">
        <f>B19-$B$15</f>
        <v>1.85</v>
      </c>
      <c r="D19" s="27">
        <f>MIN(C19*1000/4,$B$7+16*$B$9,$B$10*1000)</f>
        <v>462.5</v>
      </c>
      <c r="E19" s="23">
        <f>$B$14*$B$10</f>
        <v>9.0624</v>
      </c>
      <c r="F19" s="16">
        <f>E19*C19^2/10</f>
        <v>3.1016064</v>
      </c>
      <c r="G19" s="16">
        <f>E19*C19^2/14</f>
        <v>2.215433143</v>
      </c>
      <c r="H19" s="16">
        <f>1.15*E19*C19/2</f>
        <v>9.640128</v>
      </c>
      <c r="I19" s="22">
        <f>G19*1000000/(0.9*D19*$B$11^2)</f>
        <v>0.05772418781</v>
      </c>
      <c r="J19" s="28">
        <f>(0.85*$B$5/$B$6)*(1-SQRT(1-2*I19/(0.85*$B$5)))</f>
        <v>0.0001376056186</v>
      </c>
      <c r="K19" s="27">
        <f>J19*D19*$B$11</f>
        <v>19.32507507</v>
      </c>
      <c r="L19" s="16">
        <f>N19*$B$6/(0.85*$B$5*D19)</f>
        <v>5.793004769</v>
      </c>
      <c r="M19" s="17" t="str">
        <f>IF(L19&lt;=$B$9,"Si (T)","revisar")</f>
        <v>Si (T)</v>
      </c>
      <c r="N19" s="27">
        <f>MAX(K19,$B$13)</f>
        <v>151.825</v>
      </c>
      <c r="O19" s="29">
        <f>ROUNDUP(N19/$B$12,0)</f>
        <v>2</v>
      </c>
      <c r="P19" s="22">
        <f>F19*1000000/(0.9*$B$7*$B$11^2)</f>
        <v>0.2491760774</v>
      </c>
      <c r="Q19" s="28">
        <f>(0.85*$B$5/$B$6)*(1-SQRT(1-2*P19/(0.85*$B$5)))</f>
        <v>0.0005964149999</v>
      </c>
      <c r="R19" s="27">
        <f>Q19*$B$7*$B$11</f>
        <v>27.16521221</v>
      </c>
      <c r="S19" s="27">
        <f>MAX(R19,$B$13)</f>
        <v>151.825</v>
      </c>
      <c r="T19" s="29">
        <f>ROUNDUP(S19/$B$12,0)</f>
        <v>2</v>
      </c>
      <c r="U19" s="16">
        <f>0.17*SQRT($B$5)*$B$7*$B$11/1000</f>
        <v>40.97250167</v>
      </c>
      <c r="V19" s="16">
        <f>0.75*1.1*U19</f>
        <v>33.80231387</v>
      </c>
      <c r="W19" s="17" t="str">
        <f>IF(H19&lt;=V19,"No requiere","Requiere")</f>
        <v>No requiere</v>
      </c>
      <c r="X19" s="17" t="str">
        <f>IF($B$8&gt;=C19/18.5,"CUMPLE","REVISAR")</f>
        <v>CUMPLE</v>
      </c>
    </row>
    <row r="20">
      <c r="A20" s="18" t="inlineStr">
        <is>
          <t>N-2</t>
        </is>
      </c>
      <c r="B20" s="19" t="n">
        <v>3.6</v>
      </c>
      <c r="C20" s="23">
        <f>B20-$B$15</f>
        <v>3.25</v>
      </c>
      <c r="D20" s="27">
        <f>MIN(C20*1000/4,$B$7+16*$B$9,$B$10*1000)</f>
        <v>800</v>
      </c>
      <c r="E20" s="23">
        <f>$B$14*$B$10</f>
        <v>9.0624</v>
      </c>
      <c r="F20" s="16">
        <f>E20*C20^2/10</f>
        <v>9.57216</v>
      </c>
      <c r="G20" s="16">
        <f>E20*C20^2/14</f>
        <v>6.837257143</v>
      </c>
      <c r="H20" s="16">
        <f>1.15*E20*C20/2</f>
        <v>16.93536</v>
      </c>
      <c r="I20" s="22">
        <f>G20*1000000/(0.9*D20*$B$11^2)</f>
        <v>0.1029918469</v>
      </c>
      <c r="J20" s="28">
        <f>(0.85*$B$5/$B$6)*(1-SQRT(1-2*I20/(0.85*$B$5)))</f>
        <v>0.0002457515699</v>
      </c>
      <c r="K20" s="27">
        <f>J20*D20*$B$11</f>
        <v>59.69797136</v>
      </c>
      <c r="L20" s="16">
        <f>N20*$B$6/(0.85*$B$5*D20)</f>
        <v>3.349080882</v>
      </c>
      <c r="M20" s="17" t="str">
        <f>IF(L20&lt;=$B$9,"Si (T)","revisar")</f>
        <v>Si (T)</v>
      </c>
      <c r="N20" s="27">
        <f>MAX(K20,$B$13)</f>
        <v>151.825</v>
      </c>
      <c r="O20" s="29">
        <f>ROUNDUP(N20/$B$12,0)</f>
        <v>2</v>
      </c>
      <c r="P20" s="22">
        <f>F20*1000000/(0.9*$B$7*$B$11^2)</f>
        <v>0.7690057903</v>
      </c>
      <c r="Q20" s="28">
        <f>(0.85*$B$5/$B$6)*(1-SQRT(1-2*P20/(0.85*$B$5)))</f>
        <v>0.001861542708</v>
      </c>
      <c r="R20" s="27">
        <f>Q20*$B$7*$B$11</f>
        <v>84.78861649</v>
      </c>
      <c r="S20" s="27">
        <f>MAX(R20,$B$13)</f>
        <v>151.825</v>
      </c>
      <c r="T20" s="29">
        <f>ROUNDUP(S20/$B$12,0)</f>
        <v>2</v>
      </c>
      <c r="U20" s="16">
        <f>0.17*SQRT($B$5)*$B$7*$B$11/1000</f>
        <v>40.97250167</v>
      </c>
      <c r="V20" s="16">
        <f>0.75*1.1*U20</f>
        <v>33.80231387</v>
      </c>
      <c r="W20" s="17" t="str">
        <f>IF(H20&lt;=V20,"No requiere","Requiere")</f>
        <v>No requiere</v>
      </c>
      <c r="X20" s="17" t="str">
        <f>IF($B$8&gt;=C20/18.5,"CUMPLE","REVISAR")</f>
        <v>CUMPLE</v>
      </c>
    </row>
    <row r="21">
      <c r="A21" s="18" t="inlineStr">
        <is>
          <t>N-3</t>
        </is>
      </c>
      <c r="B21" s="19" t="n">
        <v>4.8</v>
      </c>
      <c r="C21" s="23">
        <f>B21-$B$15</f>
        <v>4.45</v>
      </c>
      <c r="D21" s="27">
        <f>MIN(C21*1000/4,$B$7+16*$B$9,$B$10*1000)</f>
        <v>800</v>
      </c>
      <c r="E21" s="23">
        <f>$B$14*$B$10</f>
        <v>9.0624</v>
      </c>
      <c r="F21" s="16">
        <f>E21*C21^2/10</f>
        <v>17.9458176</v>
      </c>
      <c r="G21" s="16">
        <f>E21*C21^2/14</f>
        <v>12.81844114</v>
      </c>
      <c r="H21" s="16">
        <f>1.15*E21*C21/2</f>
        <v>23.188416</v>
      </c>
      <c r="I21" s="22">
        <f>G21*1000000/(0.9*D21*$B$11^2)</f>
        <v>0.1930883833</v>
      </c>
      <c r="J21" s="28">
        <f>(0.85*$B$5/$B$6)*(1-SQRT(1-2*I21/(0.85*$B$5)))</f>
        <v>0.0004616144332</v>
      </c>
      <c r="K21" s="27">
        <f>J21*D21*$B$11</f>
        <v>112.1353781</v>
      </c>
      <c r="L21" s="16">
        <f>N21*$B$6/(0.85*$B$5*D21)</f>
        <v>3.349080882</v>
      </c>
      <c r="M21" s="17" t="str">
        <f>IF(L21&lt;=$B$9,"Si (T)","revisar")</f>
        <v>Si (T)</v>
      </c>
      <c r="N21" s="27">
        <f>MAX(K21,$B$13)</f>
        <v>151.825</v>
      </c>
      <c r="O21" s="29">
        <f>ROUNDUP(N21/$B$12,0)</f>
        <v>2</v>
      </c>
      <c r="P21" s="22">
        <f>F21*1000000/(0.9*$B$7*$B$11^2)</f>
        <v>1.441726595</v>
      </c>
      <c r="Q21" s="28">
        <f>(0.85*$B$5/$B$6)*(1-SQRT(1-2*P21/(0.85*$B$5)))</f>
        <v>0.003543472336</v>
      </c>
      <c r="R21" s="27">
        <f>Q21*$B$7*$B$11</f>
        <v>161.3963062</v>
      </c>
      <c r="S21" s="27">
        <f>MAX(R21,$B$13)</f>
        <v>161.3963062</v>
      </c>
      <c r="T21" s="29">
        <f>ROUNDUP(S21/$B$12,0)</f>
        <v>2</v>
      </c>
      <c r="U21" s="16">
        <f>0.17*SQRT($B$5)*$B$7*$B$11/1000</f>
        <v>40.97250167</v>
      </c>
      <c r="V21" s="16">
        <f>0.75*1.1*U21</f>
        <v>33.80231387</v>
      </c>
      <c r="W21" s="17" t="str">
        <f>IF(H21&lt;=V21,"No requiere","Requiere")</f>
        <v>No requiere</v>
      </c>
      <c r="X21" s="17" t="str">
        <f>IF($B$8&gt;=C21/18.5,"CUMPLE","REVISAR")</f>
        <v>CUMPLE</v>
      </c>
    </row>
    <row r="22">
      <c r="A22" s="18" t="inlineStr">
        <is>
          <t>N-4</t>
        </is>
      </c>
      <c r="B22" s="19" t="n">
        <v>5.15</v>
      </c>
      <c r="C22" s="23">
        <f>B22-$B$15</f>
        <v>4.8</v>
      </c>
      <c r="D22" s="27">
        <f>MIN(C22*1000/4,$B$7+16*$B$9,$B$10*1000)</f>
        <v>800</v>
      </c>
      <c r="E22" s="23">
        <f>$B$14*$B$10</f>
        <v>9.0624</v>
      </c>
      <c r="F22" s="16">
        <f>E22*C22^2/10</f>
        <v>20.8797696</v>
      </c>
      <c r="G22" s="16">
        <f>E22*C22^2/14</f>
        <v>14.91412114</v>
      </c>
      <c r="H22" s="16">
        <f>1.15*E22*C22/2</f>
        <v>25.012224</v>
      </c>
      <c r="I22" s="22">
        <f>G22*1000000/(0.9*D22*$B$11^2)</f>
        <v>0.2246562985</v>
      </c>
      <c r="J22" s="28">
        <f>(0.85*$B$5/$B$6)*(1-SQRT(1-2*I22/(0.85*$B$5)))</f>
        <v>0.0005374445961</v>
      </c>
      <c r="K22" s="27">
        <f>J22*D22*$B$11</f>
        <v>130.5560413</v>
      </c>
      <c r="L22" s="16">
        <f>N22*$B$6/(0.85*$B$5*D22)</f>
        <v>3.349080882</v>
      </c>
      <c r="M22" s="17" t="str">
        <f>IF(L22&lt;=$B$9,"Si (T)","revisar")</f>
        <v>Si (T)</v>
      </c>
      <c r="N22" s="27">
        <f>MAX(K22,$B$13)</f>
        <v>151.825</v>
      </c>
      <c r="O22" s="29">
        <f>ROUNDUP(N22/$B$12,0)</f>
        <v>2</v>
      </c>
      <c r="P22" s="22">
        <f>F22*1000000/(0.9*$B$7*$B$11^2)</f>
        <v>1.677433696</v>
      </c>
      <c r="Q22" s="28">
        <f>(0.85*$B$5/$B$6)*(1-SQRT(1-2*P22/(0.85*$B$5)))</f>
        <v>0.00414552547</v>
      </c>
      <c r="R22" s="27">
        <f>Q22*$B$7*$B$11</f>
        <v>188.8183213</v>
      </c>
      <c r="S22" s="27">
        <f>MAX(R22,$B$13)</f>
        <v>188.8183213</v>
      </c>
      <c r="T22" s="29">
        <f>ROUNDUP(S22/$B$12,0)</f>
        <v>2</v>
      </c>
      <c r="U22" s="16">
        <f>0.17*SQRT($B$5)*$B$7*$B$11/1000</f>
        <v>40.97250167</v>
      </c>
      <c r="V22" s="16">
        <f>0.75*1.1*U22</f>
        <v>33.80231387</v>
      </c>
      <c r="W22" s="17" t="str">
        <f>IF(H22&lt;=V22,"No requiere","Requiere")</f>
        <v>No requiere</v>
      </c>
      <c r="X22" s="17" t="str">
        <f>IF($B$8&gt;=C22/18.5,"CUMPLE","REVISAR")</f>
        <v>CUMPLE</v>
      </c>
    </row>
    <row r="24">
      <c r="A24" s="10" t="inlineStr">
        <is>
          <t>El acero requerido a flexion resulta casi siempre inferior al minimo (2 #4), por lo que la cuantia minima gobierna. Como Vu &lt;= phi 1.1 Vc, no se requieren estribos (solo de montaje). La loseta lleva malla de retraccion y temperatura (ver hoja 'Loseta').</t>
        </is>
      </c>
    </row>
  </sheetData>
  <mergeCells count="7">
    <mergeCell ref="X17"/>
    <mergeCell ref="E17:H17"/>
    <mergeCell ref="P17:T17"/>
    <mergeCell ref="D17"/>
    <mergeCell ref="I17:O17"/>
    <mergeCell ref="A17:C17"/>
    <mergeCell ref="U17:W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9" t="inlineStr">
        <is>
          <t>DISENO DE NERVIOS DE CUBIERTA - terraza social (viga T)</t>
        </is>
      </c>
    </row>
    <row r="2">
      <c r="A2" s="10" t="inlineStr">
        <is>
          <t>Cada nervio se analiza como viga T (loseta a compresion en M+, nervio en M-). Momentos por coeficientes C.8.3.3: M-=wu Ln^2/10 (apoyo mas exigente), M+=wu Ln^2/14; Vu=1.15 wu Ln/2. Azul = entrada.</t>
        </is>
      </c>
    </row>
    <row r="4">
      <c r="A4" s="6" t="inlineStr">
        <is>
          <t>DATOS COMUNES</t>
        </is>
      </c>
    </row>
    <row r="5">
      <c r="A5" s="6" t="inlineStr">
        <is>
          <t>f'c [MPa]</t>
        </is>
      </c>
      <c r="B5" s="25">
        <f>'Geometria y Verificaciones'!B4</f>
        <v>28</v>
      </c>
    </row>
    <row r="6">
      <c r="A6" s="6" t="inlineStr">
        <is>
          <t>fy [MPa]</t>
        </is>
      </c>
      <c r="B6" s="25">
        <f>'Geometria y Verificaciones'!B5</f>
        <v>420</v>
      </c>
    </row>
    <row r="7">
      <c r="A7" s="6" t="inlineStr">
        <is>
          <t>bw [mm]</t>
        </is>
      </c>
      <c r="B7" s="25">
        <f>'Geometria y Verificaciones'!B7*1000</f>
        <v>150</v>
      </c>
    </row>
    <row r="8">
      <c r="A8" s="6" t="inlineStr">
        <is>
          <t>h [m]</t>
        </is>
      </c>
      <c r="B8" s="25">
        <f>'Geometria y Verificaciones'!B8</f>
        <v>0.34</v>
      </c>
    </row>
    <row r="9">
      <c r="A9" s="6" t="inlineStr">
        <is>
          <t>hf [mm]</t>
        </is>
      </c>
      <c r="B9" s="25">
        <f>'Geometria y Verificaciones'!B9*1000</f>
        <v>60</v>
      </c>
    </row>
    <row r="10">
      <c r="A10" s="6" t="inlineStr">
        <is>
          <t>sv [m]</t>
        </is>
      </c>
      <c r="B10" s="25">
        <f>'Geometria y Verificaciones'!B10</f>
        <v>0.8</v>
      </c>
    </row>
    <row r="11">
      <c r="A11" s="6" t="inlineStr">
        <is>
          <t>d [mm]</t>
        </is>
      </c>
      <c r="B11" s="25">
        <f>'Geometria y Verificaciones'!B8*1000-'Geometria y Verificaciones'!B11*1000-'Geometria y Verificaciones'!B12/2</f>
        <v>303.65</v>
      </c>
    </row>
    <row r="12">
      <c r="A12" s="6" t="inlineStr">
        <is>
          <t>Ab #4 [mm2]</t>
        </is>
      </c>
      <c r="B12" s="25">
        <f>'Geometria y Verificaciones'!B13</f>
        <v>129</v>
      </c>
    </row>
    <row r="13">
      <c r="A13" s="6" t="inlineStr">
        <is>
          <t>As min [mm2]</t>
        </is>
      </c>
      <c r="B13" s="25">
        <f>MAX(0.25*SQRT('Geometria y Verificaciones'!B4)/'Geometria y Verificaciones'!B5,1.4/'Geometria y Verificaciones'!B5)*'Geometria y Verificaciones'!B7*1000*('Geometria y Verificaciones'!B8*1000-'Geometria y Verificaciones'!B11*1000-'Geometria y Verificaciones'!B12/2)</f>
        <v>151.825</v>
      </c>
    </row>
    <row r="14">
      <c r="A14" s="6" t="inlineStr">
        <is>
          <t>wu por m2 [kN/m2]</t>
        </is>
      </c>
      <c r="B14" s="25">
        <f>'Avaluo de Cargas'!B23</f>
        <v>13.2512</v>
      </c>
    </row>
    <row r="15">
      <c r="A15" s="6" t="inlineStr">
        <is>
          <t>ancho apoyo (viga) [m]</t>
        </is>
      </c>
      <c r="B15" s="11" t="n">
        <v>0.35</v>
      </c>
    </row>
    <row r="17">
      <c r="A17" s="26" t="inlineStr">
        <is>
          <t>IDENT</t>
        </is>
      </c>
      <c r="D17" s="26" t="inlineStr">
        <is>
          <t>GEOMETRIA (viga T)</t>
        </is>
      </c>
      <c r="E17" s="26" t="inlineStr">
        <is>
          <t>SOLICITACIONES</t>
        </is>
      </c>
      <c r="I17" s="26" t="inlineStr">
        <is>
          <t>FLEXION POSITIVA (loseta a compresion)</t>
        </is>
      </c>
      <c r="P17" s="26" t="inlineStr">
        <is>
          <t>FLEXION NEGATIVA (nervio bw)</t>
        </is>
      </c>
      <c r="U17" s="26" t="inlineStr">
        <is>
          <t>CORTANTE (viguetas: phi*1.1*Vc)</t>
        </is>
      </c>
      <c r="X17" s="26" t="inlineStr">
        <is>
          <t>DEFLEXION</t>
        </is>
      </c>
    </row>
    <row r="18">
      <c r="A18" s="15" t="inlineStr">
        <is>
          <t>Tipo</t>
        </is>
      </c>
      <c r="B18" s="15" t="inlineStr">
        <is>
          <t>L ejes [m]</t>
        </is>
      </c>
      <c r="C18" s="15" t="inlineStr">
        <is>
          <t>Ln [m]</t>
        </is>
      </c>
      <c r="D18" s="15" t="inlineStr">
        <is>
          <t>bf [mm]</t>
        </is>
      </c>
      <c r="E18" s="15" t="inlineStr">
        <is>
          <t>wu nervio [kN/m]</t>
        </is>
      </c>
      <c r="F18" s="15" t="inlineStr">
        <is>
          <t>M- [kN.m]</t>
        </is>
      </c>
      <c r="G18" s="15" t="inlineStr">
        <is>
          <t>M+ [kN.m]</t>
        </is>
      </c>
      <c r="H18" s="15" t="inlineStr">
        <is>
          <t>Vu [kN]</t>
        </is>
      </c>
      <c r="I18" s="15" t="inlineStr">
        <is>
          <t>Rn+ [MPa]</t>
        </is>
      </c>
      <c r="J18" s="15" t="inlineStr">
        <is>
          <t>rho+</t>
        </is>
      </c>
      <c r="K18" s="15" t="inlineStr">
        <is>
          <t>As+ req [mm2]</t>
        </is>
      </c>
      <c r="L18" s="15" t="inlineStr">
        <is>
          <t>a+ [mm]</t>
        </is>
      </c>
      <c r="M18" s="15" t="inlineStr">
        <is>
          <t>a&lt;=hf?</t>
        </is>
      </c>
      <c r="N18" s="15" t="inlineStr">
        <is>
          <t>As+ dise [mm2]</t>
        </is>
      </c>
      <c r="O18" s="15" t="inlineStr">
        <is>
          <t>N #4 inf</t>
        </is>
      </c>
      <c r="P18" s="15" t="inlineStr">
        <is>
          <t>Rn- [MPa]</t>
        </is>
      </c>
      <c r="Q18" s="15" t="inlineStr">
        <is>
          <t>rho-</t>
        </is>
      </c>
      <c r="R18" s="15" t="inlineStr">
        <is>
          <t>As- req [mm2]</t>
        </is>
      </c>
      <c r="S18" s="15" t="inlineStr">
        <is>
          <t>As- dise [mm2]</t>
        </is>
      </c>
      <c r="T18" s="15" t="inlineStr">
        <is>
          <t>N #4 sup</t>
        </is>
      </c>
      <c r="U18" s="15" t="inlineStr">
        <is>
          <t>Vc [kN]</t>
        </is>
      </c>
      <c r="V18" s="15" t="inlineStr">
        <is>
          <t>phi 1.1 Vc [kN]</t>
        </is>
      </c>
      <c r="W18" s="15" t="inlineStr">
        <is>
          <t>Estribos?</t>
        </is>
      </c>
      <c r="X18" s="15" t="inlineStr">
        <is>
          <t>h&gt;=Ln/18.5?</t>
        </is>
      </c>
    </row>
    <row r="19">
      <c r="A19" s="18" t="inlineStr">
        <is>
          <t>N-1</t>
        </is>
      </c>
      <c r="B19" s="19" t="n">
        <v>2.2</v>
      </c>
      <c r="C19" s="23">
        <f>B19-$B$15</f>
        <v>1.85</v>
      </c>
      <c r="D19" s="27">
        <f>MIN(C19*1000/4,$B$7+16*$B$9,$B$10*1000)</f>
        <v>462.5</v>
      </c>
      <c r="E19" s="23">
        <f>$B$14*$B$10</f>
        <v>10.60096</v>
      </c>
      <c r="F19" s="16">
        <f>E19*C19^2/10</f>
        <v>3.62817856</v>
      </c>
      <c r="G19" s="16">
        <f>E19*C19^2/14</f>
        <v>2.591556114</v>
      </c>
      <c r="H19" s="16">
        <f>1.15*E19*C19/2</f>
        <v>11.2767712</v>
      </c>
      <c r="I19" s="22">
        <f>G19*1000000/(0.9*D19*$B$11^2)</f>
        <v>0.06752425472</v>
      </c>
      <c r="J19" s="28">
        <f>(0.85*$B$5/$B$6)*(1-SQRT(1-2*I19/(0.85*$B$5)))</f>
        <v>0.0001610007519</v>
      </c>
      <c r="K19" s="27">
        <f>J19*D19*$B$11</f>
        <v>22.61064372</v>
      </c>
      <c r="L19" s="16">
        <f>N19*$B$6/(0.85*$B$5*D19)</f>
        <v>5.793004769</v>
      </c>
      <c r="M19" s="17" t="str">
        <f>IF(L19&lt;=$B$9,"Si (T)","revisar")</f>
        <v>Si (T)</v>
      </c>
      <c r="N19" s="27">
        <f>MAX(K19,$B$13)</f>
        <v>151.825</v>
      </c>
      <c r="O19" s="29">
        <f>ROUNDUP(N19/$B$12,0)</f>
        <v>2</v>
      </c>
      <c r="P19" s="22">
        <f>F19*1000000/(0.9*$B$7*$B$11^2)</f>
        <v>0.2914796996</v>
      </c>
      <c r="Q19" s="28">
        <f>(0.85*$B$5/$B$6)*(1-SQRT(1-2*P19/(0.85*$B$5)))</f>
        <v>0.0006983018625</v>
      </c>
      <c r="R19" s="27">
        <f>Q19*$B$7*$B$11</f>
        <v>31.80590408</v>
      </c>
      <c r="S19" s="27">
        <f>MAX(R19,$B$13)</f>
        <v>151.825</v>
      </c>
      <c r="T19" s="29">
        <f>ROUNDUP(S19/$B$12,0)</f>
        <v>2</v>
      </c>
      <c r="U19" s="16">
        <f>0.17*SQRT($B$5)*$B$7*$B$11/1000</f>
        <v>40.97250167</v>
      </c>
      <c r="V19" s="16">
        <f>0.75*1.1*U19</f>
        <v>33.80231387</v>
      </c>
      <c r="W19" s="17" t="str">
        <f>IF(H19&lt;=V19,"No requiere","Requiere")</f>
        <v>No requiere</v>
      </c>
      <c r="X19" s="17" t="str">
        <f>IF($B$8&gt;=C19/18.5,"CUMPLE","REVISAR")</f>
        <v>CUMPLE</v>
      </c>
    </row>
    <row r="20">
      <c r="A20" s="18" t="inlineStr">
        <is>
          <t>N-2</t>
        </is>
      </c>
      <c r="B20" s="19" t="n">
        <v>3.6</v>
      </c>
      <c r="C20" s="23">
        <f>B20-$B$15</f>
        <v>3.25</v>
      </c>
      <c r="D20" s="27">
        <f>MIN(C20*1000/4,$B$7+16*$B$9,$B$10*1000)</f>
        <v>800</v>
      </c>
      <c r="E20" s="23">
        <f>$B$14*$B$10</f>
        <v>10.60096</v>
      </c>
      <c r="F20" s="16">
        <f>E20*C20^2/10</f>
        <v>11.197264</v>
      </c>
      <c r="G20" s="16">
        <f>E20*C20^2/14</f>
        <v>7.998045714</v>
      </c>
      <c r="H20" s="16">
        <f>1.15*E20*C20/2</f>
        <v>19.810544</v>
      </c>
      <c r="I20" s="22">
        <f>G20*1000000/(0.9*D20*$B$11^2)</f>
        <v>0.1204771859</v>
      </c>
      <c r="J20" s="28">
        <f>(0.85*$B$5/$B$6)*(1-SQRT(1-2*I20/(0.85*$B$5)))</f>
        <v>0.0002875801693</v>
      </c>
      <c r="K20" s="27">
        <f>J20*D20*$B$11</f>
        <v>69.85897472</v>
      </c>
      <c r="L20" s="16">
        <f>N20*$B$6/(0.85*$B$5*D20)</f>
        <v>3.349080882</v>
      </c>
      <c r="M20" s="17" t="str">
        <f>IF(L20&lt;=$B$9,"Si (T)","revisar")</f>
        <v>Si (T)</v>
      </c>
      <c r="N20" s="27">
        <f>MAX(K20,$B$13)</f>
        <v>151.825</v>
      </c>
      <c r="O20" s="29">
        <f>ROUNDUP(N20/$B$12,0)</f>
        <v>2</v>
      </c>
      <c r="P20" s="22">
        <f>F20*1000000/(0.9*$B$7*$B$11^2)</f>
        <v>0.8995629881</v>
      </c>
      <c r="Q20" s="28">
        <f>(0.85*$B$5/$B$6)*(1-SQRT(1-2*P20/(0.85*$B$5)))</f>
        <v>0.002183899739</v>
      </c>
      <c r="R20" s="27">
        <f>Q20*$B$7*$B$11</f>
        <v>99.47117335</v>
      </c>
      <c r="S20" s="27">
        <f>MAX(R20,$B$13)</f>
        <v>151.825</v>
      </c>
      <c r="T20" s="29">
        <f>ROUNDUP(S20/$B$12,0)</f>
        <v>2</v>
      </c>
      <c r="U20" s="16">
        <f>0.17*SQRT($B$5)*$B$7*$B$11/1000</f>
        <v>40.97250167</v>
      </c>
      <c r="V20" s="16">
        <f>0.75*1.1*U20</f>
        <v>33.80231387</v>
      </c>
      <c r="W20" s="17" t="str">
        <f>IF(H20&lt;=V20,"No requiere","Requiere")</f>
        <v>No requiere</v>
      </c>
      <c r="X20" s="17" t="str">
        <f>IF($B$8&gt;=C20/18.5,"CUMPLE","REVISAR")</f>
        <v>CUMPLE</v>
      </c>
    </row>
    <row r="21">
      <c r="A21" s="18" t="inlineStr">
        <is>
          <t>N-3</t>
        </is>
      </c>
      <c r="B21" s="19" t="n">
        <v>4.8</v>
      </c>
      <c r="C21" s="23">
        <f>B21-$B$15</f>
        <v>4.45</v>
      </c>
      <c r="D21" s="27">
        <f>MIN(C21*1000/4,$B$7+16*$B$9,$B$10*1000)</f>
        <v>800</v>
      </c>
      <c r="E21" s="23">
        <f>$B$14*$B$10</f>
        <v>10.60096</v>
      </c>
      <c r="F21" s="16">
        <f>E21*C21^2/10</f>
        <v>20.99255104</v>
      </c>
      <c r="G21" s="16">
        <f>E21*C21^2/14</f>
        <v>14.99467931</v>
      </c>
      <c r="H21" s="16">
        <f>1.15*E21*C21/2</f>
        <v>27.1252064</v>
      </c>
      <c r="I21" s="22">
        <f>G21*1000000/(0.9*D21*$B$11^2)</f>
        <v>0.2258697727</v>
      </c>
      <c r="J21" s="28">
        <f>(0.85*$B$5/$B$6)*(1-SQRT(1-2*I21/(0.85*$B$5)))</f>
        <v>0.0005403615608</v>
      </c>
      <c r="K21" s="27">
        <f>J21*D21*$B$11</f>
        <v>131.2646304</v>
      </c>
      <c r="L21" s="16">
        <f>N21*$B$6/(0.85*$B$5*D21)</f>
        <v>3.349080882</v>
      </c>
      <c r="M21" s="17" t="str">
        <f>IF(L21&lt;=$B$9,"Si (T)","revisar")</f>
        <v>Si (T)</v>
      </c>
      <c r="N21" s="27">
        <f>MAX(K21,$B$13)</f>
        <v>151.825</v>
      </c>
      <c r="O21" s="29">
        <f>ROUNDUP(N21/$B$12,0)</f>
        <v>2</v>
      </c>
      <c r="P21" s="22">
        <f>F21*1000000/(0.9*$B$7*$B$11^2)</f>
        <v>1.686494303</v>
      </c>
      <c r="Q21" s="28">
        <f>(0.85*$B$5/$B$6)*(1-SQRT(1-2*P21/(0.85*$B$5)))</f>
        <v>0.004168806263</v>
      </c>
      <c r="R21" s="27">
        <f>Q21*$B$7*$B$11</f>
        <v>189.8787033</v>
      </c>
      <c r="S21" s="27">
        <f>MAX(R21,$B$13)</f>
        <v>189.8787033</v>
      </c>
      <c r="T21" s="29">
        <f>ROUNDUP(S21/$B$12,0)</f>
        <v>2</v>
      </c>
      <c r="U21" s="16">
        <f>0.17*SQRT($B$5)*$B$7*$B$11/1000</f>
        <v>40.97250167</v>
      </c>
      <c r="V21" s="16">
        <f>0.75*1.1*U21</f>
        <v>33.80231387</v>
      </c>
      <c r="W21" s="17" t="str">
        <f>IF(H21&lt;=V21,"No requiere","Requiere")</f>
        <v>No requiere</v>
      </c>
      <c r="X21" s="17" t="str">
        <f>IF($B$8&gt;=C21/18.5,"CUMPLE","REVISAR")</f>
        <v>CUMPLE</v>
      </c>
    </row>
    <row r="22">
      <c r="A22" s="18" t="inlineStr">
        <is>
          <t>N-4</t>
        </is>
      </c>
      <c r="B22" s="19" t="n">
        <v>5.15</v>
      </c>
      <c r="C22" s="23">
        <f>B22-$B$15</f>
        <v>4.8</v>
      </c>
      <c r="D22" s="27">
        <f>MIN(C22*1000/4,$B$7+16*$B$9,$B$10*1000)</f>
        <v>800</v>
      </c>
      <c r="E22" s="23">
        <f>$B$14*$B$10</f>
        <v>10.60096</v>
      </c>
      <c r="F22" s="16">
        <f>E22*C22^2/10</f>
        <v>24.42461184</v>
      </c>
      <c r="G22" s="16">
        <f>E22*C22^2/14</f>
        <v>17.44615131</v>
      </c>
      <c r="H22" s="16">
        <f>1.15*E22*C22/2</f>
        <v>29.2586496</v>
      </c>
      <c r="I22" s="22">
        <f>G22*1000000/(0.9*D22*$B$11^2)</f>
        <v>0.2627970995</v>
      </c>
      <c r="J22" s="28">
        <f>(0.85*$B$5/$B$6)*(1-SQRT(1-2*I22/(0.85*$B$5)))</f>
        <v>0.0006292005562</v>
      </c>
      <c r="K22" s="27">
        <f>J22*D22*$B$11</f>
        <v>152.8453991</v>
      </c>
      <c r="L22" s="16">
        <f>N22*$B$6/(0.85*$B$5*D22)</f>
        <v>3.371589686</v>
      </c>
      <c r="M22" s="17" t="str">
        <f>IF(L22&lt;=$B$9,"Si (T)","revisar")</f>
        <v>Si (T)</v>
      </c>
      <c r="N22" s="27">
        <f>MAX(K22,$B$13)</f>
        <v>152.8453991</v>
      </c>
      <c r="O22" s="29">
        <f>ROUNDUP(N22/$B$12,0)</f>
        <v>2</v>
      </c>
      <c r="P22" s="22">
        <f>F22*1000000/(0.9*$B$7*$B$11^2)</f>
        <v>1.962218343</v>
      </c>
      <c r="Q22" s="28">
        <f>(0.85*$B$5/$B$6)*(1-SQRT(1-2*P22/(0.85*$B$5)))</f>
        <v>0.004882271123</v>
      </c>
      <c r="R22" s="27">
        <f>Q22*$B$7*$B$11</f>
        <v>222.375244</v>
      </c>
      <c r="S22" s="27">
        <f>MAX(R22,$B$13)</f>
        <v>222.375244</v>
      </c>
      <c r="T22" s="29">
        <f>ROUNDUP(S22/$B$12,0)</f>
        <v>2</v>
      </c>
      <c r="U22" s="16">
        <f>0.17*SQRT($B$5)*$B$7*$B$11/1000</f>
        <v>40.97250167</v>
      </c>
      <c r="V22" s="16">
        <f>0.75*1.1*U22</f>
        <v>33.80231387</v>
      </c>
      <c r="W22" s="17" t="str">
        <f>IF(H22&lt;=V22,"No requiere","Requiere")</f>
        <v>No requiere</v>
      </c>
      <c r="X22" s="17" t="str">
        <f>IF($B$8&gt;=C22/18.5,"CUMPLE","REVISAR")</f>
        <v>CUMPLE</v>
      </c>
    </row>
    <row r="24">
      <c r="A24" s="10" t="inlineStr">
        <is>
          <t>El acero requerido a flexion resulta casi siempre inferior al minimo (2 #4), por lo que la cuantia minima gobierna. Como Vu &lt;= phi 1.1 Vc, no se requieren estribos (solo de montaje). La loseta lleva malla de retraccion y temperatura (ver hoja 'Loseta').</t>
        </is>
      </c>
    </row>
  </sheetData>
  <mergeCells count="7">
    <mergeCell ref="X17"/>
    <mergeCell ref="E17:H17"/>
    <mergeCell ref="P17:T17"/>
    <mergeCell ref="D17"/>
    <mergeCell ref="I17:O17"/>
    <mergeCell ref="A17:C17"/>
    <mergeCell ref="U17:W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>
      <c r="A1" s="9" t="inlineStr">
        <is>
          <t>REFUERZO DE LA LOSETA - RETRACCION Y TEMPERATURA (NSR-10 C.7.12)</t>
        </is>
      </c>
    </row>
    <row r="2">
      <c r="A2" s="10" t="inlineStr">
        <is>
          <t>La loseta superior se refuerza con malla en ambas direcciones. Cuantia minima 0.0018 (fy=420).</t>
        </is>
      </c>
    </row>
    <row r="4">
      <c r="A4" s="6" t="inlineStr">
        <is>
          <t>Ancho de analisis  b [mm]</t>
        </is>
      </c>
      <c r="B4" s="30" t="n">
        <v>1000</v>
      </c>
    </row>
    <row r="5">
      <c r="A5" s="6" t="inlineStr">
        <is>
          <t>Espesor de loseta  hf [mm]</t>
        </is>
      </c>
      <c r="B5" s="31">
        <f>'Geometria y Verificaciones'!B9*1000</f>
        <v>60</v>
      </c>
    </row>
    <row r="6">
      <c r="A6" s="6" t="inlineStr">
        <is>
          <t>Cuantia minima retraccion/temp.</t>
        </is>
      </c>
      <c r="B6" s="32" t="n">
        <v>0.0018</v>
      </c>
    </row>
    <row r="7">
      <c r="A7" s="6" t="inlineStr">
        <is>
          <t>As requerido = rho * b * hf [mm2/m]</t>
        </is>
      </c>
      <c r="B7" s="31">
        <f>B4*B6*B5</f>
        <v>108</v>
      </c>
    </row>
    <row r="8">
      <c r="A8" s="6" t="inlineStr">
        <is>
          <t>Separacion maxima = min(5 hf ; 450) [mm]</t>
        </is>
      </c>
      <c r="B8" s="31">
        <f>MIN(5*B5,450)</f>
        <v>300</v>
      </c>
    </row>
    <row r="9">
      <c r="A9" s="6" t="inlineStr">
        <is>
          <t>Diametro de malla adoptado  db [mm] (Ø6)</t>
        </is>
      </c>
      <c r="B9" s="33" t="n">
        <v>6</v>
      </c>
    </row>
    <row r="10">
      <c r="A10" s="6" t="inlineStr">
        <is>
          <t>Area de una barra  Ab [mm2]</t>
        </is>
      </c>
      <c r="B10" s="13">
        <f>3.1416*B9^2/4</f>
        <v>28.2744</v>
      </c>
    </row>
    <row r="11">
      <c r="A11" s="6" t="inlineStr">
        <is>
          <t>Separacion requerida = Ab*1000/As [mm]</t>
        </is>
      </c>
      <c r="B11" s="31">
        <f>B10*1000/B7</f>
        <v>261.8</v>
      </c>
    </row>
    <row r="12">
      <c r="A12" s="6" t="inlineStr">
        <is>
          <t>Separacion adoptada [mm]</t>
        </is>
      </c>
      <c r="B12" s="30" t="n">
        <v>250</v>
      </c>
    </row>
    <row r="13">
      <c r="A13" s="6" t="inlineStr">
        <is>
          <t>Estado</t>
        </is>
      </c>
      <c r="B13" s="34" t="str">
        <f>IF(AND(B12&lt;=B8,B12&lt;=B11),"CUMPLE","REVISAR")</f>
        <v>CUMPLE</v>
      </c>
    </row>
    <row r="15">
      <c r="A15" s="10" t="inlineStr">
        <is>
          <t>Se adopta malla electrosoldada (o barras Ø6) @ 250 mm en ambas direcciones sobre la loseta. El refuerzo cumple la cuantia minima y la separacion maxima de la NSR-10.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9" t="inlineStr">
        <is>
          <t>VERIFICACION DE DEFLEXIONES (NSR-10 C.9.5.2)</t>
        </is>
      </c>
    </row>
    <row r="2">
      <c r="A2" s="10" t="inlineStr">
        <is>
          <t>Si h_adoptada &gt;= h_min por condicion de apoyo, no es obligatorio calcular deflexiones.</t>
        </is>
      </c>
    </row>
    <row r="4">
      <c r="A4" s="15" t="inlineStr">
        <is>
          <t>Tramo</t>
        </is>
      </c>
      <c r="B4" s="15" t="inlineStr">
        <is>
          <t>Ln [m]</t>
        </is>
      </c>
      <c r="C4" s="15" t="inlineStr">
        <is>
          <t>Factor</t>
        </is>
      </c>
      <c r="D4" s="15" t="inlineStr">
        <is>
          <t>h_min [m]</t>
        </is>
      </c>
      <c r="E4" s="15" t="inlineStr">
        <is>
          <t>h adoptada [m]</t>
        </is>
      </c>
      <c r="F4" s="15" t="inlineStr">
        <is>
          <t>Estado</t>
        </is>
      </c>
    </row>
    <row r="5">
      <c r="A5" s="35" t="str">
        <f>Predimensionamiento!A7</f>
        <v>T-1</v>
      </c>
      <c r="B5" s="23">
        <f>Predimensionamiento!B7-'Nervios Entrepiso'!$B$15</f>
        <v>1.85</v>
      </c>
      <c r="C5" s="16">
        <f>Predimensionamiento!D7</f>
        <v>18.5</v>
      </c>
      <c r="D5" s="22">
        <f>B5/C5</f>
        <v>0.1</v>
      </c>
      <c r="E5" s="23">
        <f>'Geometria y Verificaciones'!$B$8</f>
        <v>0.34</v>
      </c>
      <c r="F5" s="17" t="str">
        <f>IF(E5&gt;=D5,"CUMPLE","REVISAR")</f>
        <v>CUMPLE</v>
      </c>
    </row>
    <row r="6">
      <c r="A6" s="35" t="str">
        <f>Predimensionamiento!A8</f>
        <v>T-2</v>
      </c>
      <c r="B6" s="23">
        <f>Predimensionamiento!B8-'Nervios Entrepiso'!$B$15</f>
        <v>3.25</v>
      </c>
      <c r="C6" s="16">
        <f>Predimensionamiento!D8</f>
        <v>18.5</v>
      </c>
      <c r="D6" s="22">
        <f>B6/C6</f>
        <v>0.1756756757</v>
      </c>
      <c r="E6" s="23">
        <f>'Geometria y Verificaciones'!$B$8</f>
        <v>0.34</v>
      </c>
      <c r="F6" s="17" t="str">
        <f>IF(E6&gt;=D6,"CUMPLE","REVISAR")</f>
        <v>CUMPLE</v>
      </c>
    </row>
    <row r="7">
      <c r="A7" s="35" t="str">
        <f>Predimensionamiento!A9</f>
        <v>T-3</v>
      </c>
      <c r="B7" s="23">
        <f>Predimensionamiento!B9-'Nervios Entrepiso'!$B$15</f>
        <v>4.45</v>
      </c>
      <c r="C7" s="16">
        <f>Predimensionamiento!D9</f>
        <v>18.5</v>
      </c>
      <c r="D7" s="22">
        <f>B7/C7</f>
        <v>0.2405405405</v>
      </c>
      <c r="E7" s="23">
        <f>'Geometria y Verificaciones'!$B$8</f>
        <v>0.34</v>
      </c>
      <c r="F7" s="17" t="str">
        <f>IF(E7&gt;=D7,"CUMPLE","REVISAR")</f>
        <v>CUMPLE</v>
      </c>
    </row>
    <row r="8">
      <c r="A8" s="35" t="str">
        <f>Predimensionamiento!A10</f>
        <v>T-4</v>
      </c>
      <c r="B8" s="23">
        <f>Predimensionamiento!B10-'Nervios Entrepiso'!$B$15</f>
        <v>4.8</v>
      </c>
      <c r="C8" s="16">
        <f>Predimensionamiento!D10</f>
        <v>18.5</v>
      </c>
      <c r="D8" s="22">
        <f>B8/C8</f>
        <v>0.2594594595</v>
      </c>
      <c r="E8" s="23">
        <f>'Geometria y Verificaciones'!$B$8</f>
        <v>0.34</v>
      </c>
      <c r="F8" s="17" t="str">
        <f>IF(E8&gt;=D8,"CUMPLE","REVISAR")</f>
        <v>CUMPLE</v>
      </c>
    </row>
    <row r="10">
      <c r="A10" s="10" t="inlineStr">
        <is>
          <t>Se usa la luz libre Ln = L ejes - ancho de apoyo. El espesor adoptado (0.34 m) supera el minimo en todos los tramos, por lo que el control de deflexiones queda satisfecho por espesor.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2026-07-15T23:01:56Z</dcterms:created>
  <dcterms:modified xmlns:dcterms="http://purl.org/dc/terms/" xmlns:xsi="http://www.w3.org/2001/XMLSchema-instance" xsi:type="dcterms:W3CDTF">2026-07-15T23:01:56Z</dcterms:modified>
</cp:coreProperties>
</file>