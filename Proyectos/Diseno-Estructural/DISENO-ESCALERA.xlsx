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"/>
    <numFmt numFmtId="165" formatCode="0.000"/>
    <numFmt numFmtId="166" formatCode="0.0"/>
    <numFmt numFmtId="167" formatCode="0.00000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DISENO DE ESCALERA - losa maciza inclinada en una direccion (NSR-10 / ACI 318)</t>
        </is>
      </c>
    </row>
    <row r="2">
      <c r="A2" s="2" t="inlineStr">
        <is>
          <t>Edificio residencial - Santa Marta (Grupo 6). f'c=28 MPa, fy=420 MPa. Azul = entrada.</t>
        </is>
      </c>
    </row>
    <row r="4">
      <c r="A4" s="3" t="inlineStr">
        <is>
          <t>GEOMETRIA Y MATERIALES</t>
        </is>
      </c>
    </row>
    <row r="5">
      <c r="A5" s="4" t="inlineStr">
        <is>
          <t>f'c [MPa]</t>
        </is>
      </c>
      <c r="B5" s="5" t="n">
        <v>28</v>
      </c>
    </row>
    <row r="6">
      <c r="A6" s="4" t="inlineStr">
        <is>
          <t>fy [MPa]</t>
        </is>
      </c>
      <c r="B6" s="5" t="n">
        <v>420</v>
      </c>
    </row>
    <row r="7">
      <c r="A7" s="4" t="inlineStr">
        <is>
          <t>Peso concreto gc [kN/m3]</t>
        </is>
      </c>
      <c r="B7" s="5" t="n">
        <v>24</v>
      </c>
    </row>
    <row r="8">
      <c r="A8" s="4" t="inlineStr">
        <is>
          <t>Garganta losa t [m]</t>
        </is>
      </c>
      <c r="B8" s="5" t="n">
        <v>0.13</v>
      </c>
    </row>
    <row r="9">
      <c r="A9" s="4" t="inlineStr">
        <is>
          <t>Contrahuella CH [m]</t>
        </is>
      </c>
      <c r="B9" s="5" t="n">
        <v>0.25</v>
      </c>
    </row>
    <row r="10">
      <c r="A10" s="4" t="inlineStr">
        <is>
          <t>Huella H [m]</t>
        </is>
      </c>
      <c r="B10" s="5" t="n">
        <v>0.25</v>
      </c>
    </row>
    <row r="11">
      <c r="A11" s="4" t="inlineStr">
        <is>
          <t>Pendiente alfa [grados]</t>
        </is>
      </c>
      <c r="B11" s="5" t="n">
        <v>45</v>
      </c>
    </row>
    <row r="12">
      <c r="A12" s="4" t="inlineStr">
        <is>
          <t>Recubrimiento [m]</t>
        </is>
      </c>
      <c r="B12" s="5" t="n">
        <v>0.025</v>
      </c>
    </row>
    <row r="13">
      <c r="A13" s="4" t="inlineStr">
        <is>
          <t>Barra principal db [mm] (#4)</t>
        </is>
      </c>
      <c r="B13" s="5" t="n">
        <v>12.7</v>
      </c>
    </row>
    <row r="14">
      <c r="A14" s="4" t="inlineStr">
        <is>
          <t>Ab #4 [mm2]</t>
        </is>
      </c>
      <c r="B14" s="5" t="n">
        <v>129</v>
      </c>
    </row>
    <row r="15">
      <c r="A15" s="4" t="inlineStr">
        <is>
          <t>Barra reparticion db [mm] (#3)</t>
        </is>
      </c>
      <c r="B15" s="5" t="n">
        <v>9.5</v>
      </c>
    </row>
    <row r="16">
      <c r="A16" s="4" t="inlineStr">
        <is>
          <t>Ab #3 [mm2]</t>
        </is>
      </c>
      <c r="B16" s="5" t="n">
        <v>71</v>
      </c>
    </row>
    <row r="17">
      <c r="A17" s="4" t="inlineStr">
        <is>
          <t>Luz horizontal L [m]</t>
        </is>
      </c>
      <c r="B17" s="5" t="n">
        <v>2.5</v>
      </c>
    </row>
    <row r="19">
      <c r="A19" s="3" t="inlineStr">
        <is>
          <t>CARGAS - TRAMO INCLINADO [kN/m2]</t>
        </is>
      </c>
    </row>
    <row r="20">
      <c r="A20" s="4" t="inlineStr">
        <is>
          <t>Peso propio losa = gc·t/cos(alfa)</t>
        </is>
      </c>
      <c r="B20" s="6">
        <f>B7*B8/COS(RADIANS(B11))</f>
        <v>4.412346315</v>
      </c>
    </row>
    <row r="21">
      <c r="A21" s="4" t="inlineStr">
        <is>
          <t>Peso escalones = gc·CH/2</t>
        </is>
      </c>
      <c r="B21" s="6">
        <f>B7*B9/2</f>
        <v>3</v>
      </c>
    </row>
    <row r="22">
      <c r="A22" s="4" t="inlineStr">
        <is>
          <t>Acabado</t>
        </is>
      </c>
      <c r="B22" s="7" t="n">
        <v>0.4</v>
      </c>
    </row>
    <row r="23">
      <c r="A23" s="4" t="inlineStr">
        <is>
          <t>Piso (madera)</t>
        </is>
      </c>
      <c r="B23" s="7" t="n">
        <v>1.6</v>
      </c>
    </row>
    <row r="24">
      <c r="A24" s="4" t="inlineStr">
        <is>
          <t>Carga muerta D inclinado</t>
        </is>
      </c>
      <c r="B24" s="8">
        <f>B20+B21+B22+B23</f>
        <v>9.412346315</v>
      </c>
    </row>
    <row r="25">
      <c r="A25" s="4" t="inlineStr">
        <is>
          <t>Carga viva L (escaleras)</t>
        </is>
      </c>
      <c r="B25" s="7" t="n">
        <v>3</v>
      </c>
    </row>
    <row r="26">
      <c r="A26" s="4" t="inlineStr">
        <is>
          <t>wu inclinado = 1.2D+1.6L</t>
        </is>
      </c>
      <c r="B26" s="8">
        <f>1.2*B24+1.6*B25</f>
        <v>16.09481558</v>
      </c>
    </row>
    <row r="28">
      <c r="A28" s="3" t="inlineStr">
        <is>
          <t>CARGAS - TRAMO DESCANSO [kN/m2]</t>
        </is>
      </c>
    </row>
    <row r="29">
      <c r="A29" s="4" t="inlineStr">
        <is>
          <t>Peso propio losa = gc·t</t>
        </is>
      </c>
      <c r="B29" s="6">
        <f>B7*B8</f>
        <v>3.12</v>
      </c>
    </row>
    <row r="30">
      <c r="A30" s="4" t="inlineStr">
        <is>
          <t>Acabado</t>
        </is>
      </c>
      <c r="B30" s="7" t="n">
        <v>0.4</v>
      </c>
    </row>
    <row r="31">
      <c r="A31" s="4" t="inlineStr">
        <is>
          <t>Piso</t>
        </is>
      </c>
      <c r="B31" s="7" t="n">
        <v>0.8</v>
      </c>
    </row>
    <row r="32">
      <c r="A32" s="4" t="inlineStr">
        <is>
          <t>Carga muerta D descanso</t>
        </is>
      </c>
      <c r="B32" s="8">
        <f>B29+B30+B31</f>
        <v>4.32</v>
      </c>
    </row>
    <row r="33">
      <c r="A33" s="4" t="inlineStr">
        <is>
          <t>wu descanso = 1.2D+1.6L</t>
        </is>
      </c>
      <c r="B33" s="8">
        <f>1.2*B32+1.6*B25</f>
        <v>9.984</v>
      </c>
    </row>
    <row r="35">
      <c r="A35" s="3" t="inlineStr">
        <is>
          <t>SOLICITACIONES (losa simplemente apoyada, carga inclinada gobierna)</t>
        </is>
      </c>
    </row>
    <row r="36">
      <c r="A36" s="4" t="inlineStr">
        <is>
          <t>Mu = wu·L²/8 [kN·m/m]</t>
        </is>
      </c>
      <c r="B36" s="9">
        <f>B26*B17^2/8</f>
        <v>12.57407467</v>
      </c>
    </row>
    <row r="37">
      <c r="A37" s="4" t="inlineStr">
        <is>
          <t>Vu = wu·L/2 [kN/m]</t>
        </is>
      </c>
      <c r="B37" s="9">
        <f>B26*B17/2</f>
        <v>20.11851947</v>
      </c>
    </row>
    <row r="39">
      <c r="A39" s="3" t="inlineStr">
        <is>
          <t>DISENO A FLEXION (por metro de ancho)</t>
        </is>
      </c>
    </row>
    <row r="40">
      <c r="A40" s="4" t="inlineStr">
        <is>
          <t>d = t − rec − db/2 [mm]</t>
        </is>
      </c>
      <c r="B40" s="10">
        <f>B8*1000-B12*1000-B13/2</f>
        <v>98.65</v>
      </c>
    </row>
    <row r="41">
      <c r="A41" s="4" t="inlineStr">
        <is>
          <t>Rn = Mu/(φ·b·d²) [MPa]</t>
        </is>
      </c>
      <c r="B41" s="6">
        <f>B36*1000000/(0.9*1000*B40^2)</f>
        <v>1.435619492</v>
      </c>
    </row>
    <row r="42">
      <c r="A42" s="4" t="inlineStr">
        <is>
          <t>rho</t>
        </is>
      </c>
      <c r="B42" s="11">
        <f>(0.85*B5/B6)*(1-SQRT(1-2*B41/(0.85*B5)))</f>
        <v>0.00352796397</v>
      </c>
    </row>
    <row r="43">
      <c r="A43" s="4" t="inlineStr">
        <is>
          <t>As requerido [mm2/m]</t>
        </is>
      </c>
      <c r="B43" s="12">
        <f>B42*1000*B40</f>
        <v>348.0336457</v>
      </c>
    </row>
    <row r="44">
      <c r="A44" s="4" t="inlineStr">
        <is>
          <t>As minimo [mm2/m] (retracc./flexion)</t>
        </is>
      </c>
      <c r="B44" s="12">
        <f>MAX(0.0018*1000*B8*1000,MAX(0.25*SQRT(B5)/B6,1.4/B6)*1000*B40)</f>
        <v>328.8333333</v>
      </c>
    </row>
    <row r="45">
      <c r="A45" s="4" t="inlineStr">
        <is>
          <t>As diseño [mm2/m]</t>
        </is>
      </c>
      <c r="B45" s="13">
        <f>MAX(B43,B44)</f>
        <v>348.0336457</v>
      </c>
    </row>
    <row r="46">
      <c r="A46" s="4" t="inlineStr">
        <is>
          <t>Separacion req #4 = Ab·1000/As [mm]</t>
        </is>
      </c>
      <c r="B46" s="12">
        <f>B14*1000/B45</f>
        <v>370.6538193</v>
      </c>
    </row>
    <row r="47">
      <c r="A47" s="4" t="inlineStr">
        <is>
          <t>Separacion max = min(3t;450) [mm]</t>
        </is>
      </c>
      <c r="B47" s="12">
        <f>MIN(3*B8*1000,450)</f>
        <v>390</v>
      </c>
    </row>
    <row r="48">
      <c r="A48" s="4" t="inlineStr">
        <is>
          <t>ACERO PRINCIPAL adoptado</t>
        </is>
      </c>
      <c r="B48" s="14" t="inlineStr">
        <is>
          <t>#4 @ 350 mm</t>
        </is>
      </c>
    </row>
    <row r="50">
      <c r="A50" s="3" t="inlineStr">
        <is>
          <t>ACERO DE REPARTICION (transversal)</t>
        </is>
      </c>
    </row>
    <row r="51">
      <c r="A51" s="4" t="inlineStr">
        <is>
          <t>As temp = 0.0018·b·t [mm2/m]</t>
        </is>
      </c>
      <c r="B51" s="12">
        <f>0.0018*1000*B8*1000</f>
        <v>234</v>
      </c>
    </row>
    <row r="52">
      <c r="A52" s="4" t="inlineStr">
        <is>
          <t>Separacion max = min(5t;450) [mm]</t>
        </is>
      </c>
      <c r="B52" s="12">
        <f>MIN(5*B8*1000,450)</f>
        <v>450</v>
      </c>
    </row>
    <row r="53">
      <c r="A53" s="4" t="inlineStr">
        <is>
          <t>ACERO REPARTICION adoptado</t>
        </is>
      </c>
      <c r="B53" s="14" t="inlineStr">
        <is>
          <t>#3 @ 300 mm</t>
        </is>
      </c>
    </row>
    <row r="55">
      <c r="A55" s="3" t="inlineStr">
        <is>
          <t>VERIFICACIONES</t>
        </is>
      </c>
    </row>
    <row r="56">
      <c r="A56" s="4" t="inlineStr">
        <is>
          <t>phi·Vc = 0.75·0.17·√f'c·b·d [kN/m]</t>
        </is>
      </c>
      <c r="B56" s="10">
        <f>0.75*0.17*SQRT(B5)*1000*B40/1000</f>
        <v>66.55585854</v>
      </c>
    </row>
    <row r="57">
      <c r="A57" s="4" t="inlineStr">
        <is>
          <t>Cortante: Vu ≤ φVc ?</t>
        </is>
      </c>
      <c r="B57" s="14" t="str">
        <f>IF(B37&lt;=B56,"CUMPLE","REVISAR")</f>
        <v>CUMPLE</v>
      </c>
    </row>
    <row r="58">
      <c r="A58" s="4" t="inlineStr">
        <is>
          <t>t minimo = L/20 [mm]</t>
        </is>
      </c>
      <c r="B58" s="12">
        <f>B17*1000/20</f>
        <v>125</v>
      </c>
    </row>
    <row r="59">
      <c r="A59" s="4" t="inlineStr">
        <is>
          <t>Deflexion: t ≥ L/20 ?</t>
        </is>
      </c>
      <c r="B59" s="14" t="str">
        <f>IF(B8*1000&gt;=B58,"CUMPLE","REVISAR")</f>
        <v>CUMPLE</v>
      </c>
    </row>
    <row r="61">
      <c r="A61" s="2" t="inlineStr">
        <is>
          <t>Nota: se diseña como losa inclinada de 1 direccion, simplemente apoyada, con la carga del tramo inclinado (la mas pesada) en toda la luz (conservador). El acero principal va en la direccion de la pendiente; el de reparticion, transversal. No requiere estribos (elemento tipo losa). Aplica a las 4 escaleras.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2026-07-17T01:02:39Z</dcterms:created>
  <dcterms:modified xmlns:dcterms="http://purl.org/dc/terms/" xmlns:xsi="http://www.w3.org/2001/XMLSchema-instance" xsi:type="dcterms:W3CDTF">2026-07-17T01:02:39Z</dcterms:modified>
</cp:coreProperties>
</file>