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06cacf8e4e55dc/Documentos/Diseño E/Proyecto SAP/VIgas/"/>
    </mc:Choice>
  </mc:AlternateContent>
  <xr:revisionPtr revIDLastSave="3" documentId="8_{C248727F-BCA7-4F53-969E-770F934A6D1E}" xr6:coauthVersionLast="47" xr6:coauthVersionMax="47" xr10:uidLastSave="{C8B6127C-231F-4E95-8F2D-A261BA674F05}"/>
  <bookViews>
    <workbookView xWindow="-108" yWindow="-108" windowWidth="23256" windowHeight="12456" activeTab="2" xr2:uid="{FED26C43-527D-4825-9994-C9A16FFF3C59}"/>
  </bookViews>
  <sheets>
    <sheet name="Vigas de Carga (7)" sheetId="2" r:id="rId1"/>
    <sheet name="Vigas de Rigidez (5)" sheetId="3" r:id="rId2"/>
    <sheet name="Todas las Vigas (592)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I595" i="4" l="1"/>
  <c r="AT595" i="4"/>
  <c r="AU595" i="4" s="1"/>
  <c r="AC595" i="4"/>
  <c r="AB595" i="4"/>
  <c r="Y595" i="4" s="1"/>
  <c r="V595" i="4"/>
  <c r="U595" i="4"/>
  <c r="R595" i="4" s="1"/>
  <c r="BI594" i="4"/>
  <c r="AT594" i="4"/>
  <c r="AU594" i="4" s="1"/>
  <c r="AC594" i="4"/>
  <c r="AB594" i="4"/>
  <c r="Y594" i="4" s="1"/>
  <c r="V594" i="4"/>
  <c r="U594" i="4"/>
  <c r="R594" i="4" s="1"/>
  <c r="BI593" i="4"/>
  <c r="AT593" i="4"/>
  <c r="AU593" i="4" s="1"/>
  <c r="AC593" i="4"/>
  <c r="AB593" i="4"/>
  <c r="Y593" i="4" s="1"/>
  <c r="V593" i="4"/>
  <c r="U593" i="4"/>
  <c r="R593" i="4" s="1"/>
  <c r="BI592" i="4"/>
  <c r="AT592" i="4"/>
  <c r="AU592" i="4" s="1"/>
  <c r="AC592" i="4"/>
  <c r="AB592" i="4"/>
  <c r="Y592" i="4" s="1"/>
  <c r="V592" i="4"/>
  <c r="U592" i="4"/>
  <c r="R592" i="4" s="1"/>
  <c r="BI591" i="4"/>
  <c r="AT591" i="4"/>
  <c r="AU591" i="4" s="1"/>
  <c r="AC591" i="4"/>
  <c r="AB591" i="4"/>
  <c r="Y591" i="4" s="1"/>
  <c r="V591" i="4"/>
  <c r="U591" i="4"/>
  <c r="R591" i="4" s="1"/>
  <c r="BI590" i="4"/>
  <c r="AT590" i="4"/>
  <c r="AU590" i="4" s="1"/>
  <c r="AC590" i="4"/>
  <c r="AB590" i="4"/>
  <c r="Y590" i="4" s="1"/>
  <c r="V590" i="4"/>
  <c r="U590" i="4"/>
  <c r="R590" i="4" s="1"/>
  <c r="BI589" i="4"/>
  <c r="AT589" i="4"/>
  <c r="AU589" i="4" s="1"/>
  <c r="AC589" i="4"/>
  <c r="AB589" i="4"/>
  <c r="Y589" i="4" s="1"/>
  <c r="V589" i="4"/>
  <c r="U589" i="4"/>
  <c r="BI588" i="4"/>
  <c r="AV588" i="4"/>
  <c r="BD588" i="4" s="1"/>
  <c r="AT588" i="4"/>
  <c r="AU588" i="4" s="1"/>
  <c r="AC588" i="4"/>
  <c r="AB588" i="4"/>
  <c r="Y588" i="4" s="1"/>
  <c r="V588" i="4"/>
  <c r="U588" i="4"/>
  <c r="R588" i="4" s="1"/>
  <c r="BI587" i="4"/>
  <c r="AT587" i="4"/>
  <c r="AU587" i="4" s="1"/>
  <c r="AC587" i="4"/>
  <c r="AB587" i="4"/>
  <c r="Y587" i="4" s="1"/>
  <c r="V587" i="4"/>
  <c r="U587" i="4"/>
  <c r="BI586" i="4"/>
  <c r="AT586" i="4"/>
  <c r="AU586" i="4" s="1"/>
  <c r="AC586" i="4"/>
  <c r="AB586" i="4"/>
  <c r="Y586" i="4" s="1"/>
  <c r="V586" i="4"/>
  <c r="U586" i="4"/>
  <c r="BI585" i="4"/>
  <c r="AT585" i="4"/>
  <c r="AU585" i="4" s="1"/>
  <c r="AC585" i="4"/>
  <c r="AB585" i="4"/>
  <c r="Y585" i="4" s="1"/>
  <c r="V585" i="4"/>
  <c r="U585" i="4"/>
  <c r="R585" i="4" s="1"/>
  <c r="BI584" i="4"/>
  <c r="AT584" i="4"/>
  <c r="AU584" i="4" s="1"/>
  <c r="AC584" i="4"/>
  <c r="AB584" i="4"/>
  <c r="Y584" i="4" s="1"/>
  <c r="V584" i="4"/>
  <c r="U584" i="4"/>
  <c r="BI583" i="4"/>
  <c r="AT583" i="4"/>
  <c r="AU583" i="4" s="1"/>
  <c r="AC583" i="4"/>
  <c r="AB583" i="4"/>
  <c r="Y583" i="4" s="1"/>
  <c r="V583" i="4"/>
  <c r="U583" i="4"/>
  <c r="R583" i="4" s="1"/>
  <c r="BI582" i="4"/>
  <c r="AT582" i="4"/>
  <c r="AU582" i="4" s="1"/>
  <c r="AC582" i="4"/>
  <c r="AB582" i="4"/>
  <c r="V582" i="4"/>
  <c r="U582" i="4"/>
  <c r="R582" i="4" s="1"/>
  <c r="BI581" i="4"/>
  <c r="AT581" i="4"/>
  <c r="AC581" i="4"/>
  <c r="AB581" i="4"/>
  <c r="Y581" i="4" s="1"/>
  <c r="V581" i="4"/>
  <c r="U581" i="4"/>
  <c r="R581" i="4" s="1"/>
  <c r="BI580" i="4"/>
  <c r="AT580" i="4"/>
  <c r="AU580" i="4" s="1"/>
  <c r="AC580" i="4"/>
  <c r="AB580" i="4"/>
  <c r="Y580" i="4" s="1"/>
  <c r="V580" i="4"/>
  <c r="U580" i="4"/>
  <c r="R580" i="4" s="1"/>
  <c r="BI579" i="4"/>
  <c r="AT579" i="4"/>
  <c r="AU579" i="4" s="1"/>
  <c r="AC579" i="4"/>
  <c r="AB579" i="4"/>
  <c r="Y579" i="4" s="1"/>
  <c r="V579" i="4"/>
  <c r="U579" i="4"/>
  <c r="BI578" i="4"/>
  <c r="AT578" i="4"/>
  <c r="AU578" i="4" s="1"/>
  <c r="AC578" i="4"/>
  <c r="AB578" i="4"/>
  <c r="Y578" i="4" s="1"/>
  <c r="V578" i="4"/>
  <c r="U578" i="4"/>
  <c r="R578" i="4" s="1"/>
  <c r="BI577" i="4"/>
  <c r="AT577" i="4"/>
  <c r="AU577" i="4" s="1"/>
  <c r="AC577" i="4"/>
  <c r="AB577" i="4"/>
  <c r="V577" i="4"/>
  <c r="U577" i="4"/>
  <c r="R577" i="4" s="1"/>
  <c r="BI576" i="4"/>
  <c r="AT576" i="4"/>
  <c r="AU576" i="4" s="1"/>
  <c r="AC576" i="4"/>
  <c r="AB576" i="4"/>
  <c r="Y576" i="4" s="1"/>
  <c r="V576" i="4"/>
  <c r="U576" i="4"/>
  <c r="R576" i="4" s="1"/>
  <c r="BI575" i="4"/>
  <c r="AT575" i="4"/>
  <c r="AU575" i="4" s="1"/>
  <c r="AC575" i="4"/>
  <c r="AB575" i="4"/>
  <c r="Y575" i="4" s="1"/>
  <c r="V575" i="4"/>
  <c r="U575" i="4"/>
  <c r="BI574" i="4"/>
  <c r="AT574" i="4"/>
  <c r="AC574" i="4"/>
  <c r="AB574" i="4"/>
  <c r="Y574" i="4" s="1"/>
  <c r="V574" i="4"/>
  <c r="U574" i="4"/>
  <c r="R574" i="4" s="1"/>
  <c r="BI573" i="4"/>
  <c r="AT573" i="4"/>
  <c r="AU573" i="4" s="1"/>
  <c r="AC573" i="4"/>
  <c r="AB573" i="4"/>
  <c r="AJ573" i="4" s="1"/>
  <c r="V573" i="4"/>
  <c r="U573" i="4"/>
  <c r="R573" i="4" s="1"/>
  <c r="BI572" i="4"/>
  <c r="AT572" i="4"/>
  <c r="AU572" i="4" s="1"/>
  <c r="AC572" i="4"/>
  <c r="AB572" i="4"/>
  <c r="Y572" i="4" s="1"/>
  <c r="V572" i="4"/>
  <c r="U572" i="4"/>
  <c r="BI571" i="4"/>
  <c r="AT571" i="4"/>
  <c r="AU571" i="4" s="1"/>
  <c r="AC571" i="4"/>
  <c r="AB571" i="4"/>
  <c r="Y571" i="4" s="1"/>
  <c r="V571" i="4"/>
  <c r="U571" i="4"/>
  <c r="BI570" i="4"/>
  <c r="AT570" i="4"/>
  <c r="AU570" i="4" s="1"/>
  <c r="AC570" i="4"/>
  <c r="AB570" i="4"/>
  <c r="Y570" i="4" s="1"/>
  <c r="V570" i="4"/>
  <c r="U570" i="4"/>
  <c r="BI569" i="4"/>
  <c r="AT569" i="4"/>
  <c r="AU569" i="4" s="1"/>
  <c r="AC569" i="4"/>
  <c r="AB569" i="4"/>
  <c r="Y569" i="4" s="1"/>
  <c r="V569" i="4"/>
  <c r="U569" i="4"/>
  <c r="R569" i="4" s="1"/>
  <c r="BI568" i="4"/>
  <c r="AT568" i="4"/>
  <c r="AU568" i="4" s="1"/>
  <c r="AC568" i="4"/>
  <c r="AB568" i="4"/>
  <c r="Y568" i="4" s="1"/>
  <c r="V568" i="4"/>
  <c r="U568" i="4"/>
  <c r="BI567" i="4"/>
  <c r="AT567" i="4"/>
  <c r="AU567" i="4" s="1"/>
  <c r="AC567" i="4"/>
  <c r="AB567" i="4"/>
  <c r="Y567" i="4" s="1"/>
  <c r="V567" i="4"/>
  <c r="U567" i="4"/>
  <c r="R567" i="4" s="1"/>
  <c r="BI566" i="4"/>
  <c r="AT566" i="4"/>
  <c r="AU566" i="4" s="1"/>
  <c r="AC566" i="4"/>
  <c r="AB566" i="4"/>
  <c r="Y566" i="4" s="1"/>
  <c r="V566" i="4"/>
  <c r="U566" i="4"/>
  <c r="R566" i="4" s="1"/>
  <c r="BI565" i="4"/>
  <c r="AV565" i="4"/>
  <c r="BD565" i="4" s="1"/>
  <c r="AT565" i="4"/>
  <c r="AU565" i="4" s="1"/>
  <c r="AC565" i="4"/>
  <c r="AB565" i="4"/>
  <c r="V565" i="4"/>
  <c r="U565" i="4"/>
  <c r="R565" i="4" s="1"/>
  <c r="BI564" i="4"/>
  <c r="AT564" i="4"/>
  <c r="AU564" i="4" s="1"/>
  <c r="AC564" i="4"/>
  <c r="AB564" i="4"/>
  <c r="Y564" i="4" s="1"/>
  <c r="V564" i="4"/>
  <c r="U564" i="4"/>
  <c r="BI563" i="4"/>
  <c r="AT563" i="4"/>
  <c r="AU563" i="4" s="1"/>
  <c r="AC563" i="4"/>
  <c r="AB563" i="4"/>
  <c r="Y563" i="4" s="1"/>
  <c r="V563" i="4"/>
  <c r="U563" i="4"/>
  <c r="R563" i="4" s="1"/>
  <c r="BI562" i="4"/>
  <c r="AT562" i="4"/>
  <c r="AU562" i="4" s="1"/>
  <c r="AC562" i="4"/>
  <c r="AB562" i="4"/>
  <c r="Y562" i="4" s="1"/>
  <c r="V562" i="4"/>
  <c r="U562" i="4"/>
  <c r="BI561" i="4"/>
  <c r="AT561" i="4"/>
  <c r="AU561" i="4" s="1"/>
  <c r="AC561" i="4"/>
  <c r="AB561" i="4"/>
  <c r="V561" i="4"/>
  <c r="U561" i="4"/>
  <c r="R561" i="4" s="1"/>
  <c r="BI560" i="4"/>
  <c r="AT560" i="4"/>
  <c r="AU560" i="4" s="1"/>
  <c r="AC560" i="4"/>
  <c r="AB560" i="4"/>
  <c r="Y560" i="4" s="1"/>
  <c r="V560" i="4"/>
  <c r="U560" i="4"/>
  <c r="BI559" i="4"/>
  <c r="AT559" i="4"/>
  <c r="AU559" i="4" s="1"/>
  <c r="AC559" i="4"/>
  <c r="AB559" i="4"/>
  <c r="Y559" i="4" s="1"/>
  <c r="V559" i="4"/>
  <c r="U559" i="4"/>
  <c r="BI558" i="4"/>
  <c r="AT558" i="4"/>
  <c r="AU558" i="4" s="1"/>
  <c r="AC558" i="4"/>
  <c r="AB558" i="4"/>
  <c r="Y558" i="4" s="1"/>
  <c r="V558" i="4"/>
  <c r="U558" i="4"/>
  <c r="BI557" i="4"/>
  <c r="AT557" i="4"/>
  <c r="AU557" i="4" s="1"/>
  <c r="AC557" i="4"/>
  <c r="AB557" i="4"/>
  <c r="Y557" i="4" s="1"/>
  <c r="V557" i="4"/>
  <c r="U557" i="4"/>
  <c r="R557" i="4" s="1"/>
  <c r="BI556" i="4"/>
  <c r="AT556" i="4"/>
  <c r="AU556" i="4" s="1"/>
  <c r="AC556" i="4"/>
  <c r="AB556" i="4"/>
  <c r="Y556" i="4" s="1"/>
  <c r="V556" i="4"/>
  <c r="U556" i="4"/>
  <c r="BI555" i="4"/>
  <c r="AT555" i="4"/>
  <c r="AU555" i="4" s="1"/>
  <c r="AC555" i="4"/>
  <c r="AB555" i="4"/>
  <c r="V555" i="4"/>
  <c r="U555" i="4"/>
  <c r="R555" i="4" s="1"/>
  <c r="BI554" i="4"/>
  <c r="AT554" i="4"/>
  <c r="AU554" i="4" s="1"/>
  <c r="AC554" i="4"/>
  <c r="AB554" i="4"/>
  <c r="Y554" i="4" s="1"/>
  <c r="V554" i="4"/>
  <c r="U554" i="4"/>
  <c r="BI553" i="4"/>
  <c r="AT553" i="4"/>
  <c r="AU553" i="4" s="1"/>
  <c r="AC553" i="4"/>
  <c r="AB553" i="4"/>
  <c r="Y553" i="4" s="1"/>
  <c r="V553" i="4"/>
  <c r="U553" i="4"/>
  <c r="BI552" i="4"/>
  <c r="AT552" i="4"/>
  <c r="AU552" i="4" s="1"/>
  <c r="AC552" i="4"/>
  <c r="AB552" i="4"/>
  <c r="Y552" i="4" s="1"/>
  <c r="V552" i="4"/>
  <c r="U552" i="4"/>
  <c r="BI551" i="4"/>
  <c r="AT551" i="4"/>
  <c r="AU551" i="4" s="1"/>
  <c r="AC551" i="4"/>
  <c r="AB551" i="4"/>
  <c r="Y551" i="4" s="1"/>
  <c r="V551" i="4"/>
  <c r="U551" i="4"/>
  <c r="BI550" i="4"/>
  <c r="AT550" i="4"/>
  <c r="AU550" i="4" s="1"/>
  <c r="AC550" i="4"/>
  <c r="AB550" i="4"/>
  <c r="Y550" i="4" s="1"/>
  <c r="V550" i="4"/>
  <c r="U550" i="4"/>
  <c r="R550" i="4" s="1"/>
  <c r="BI549" i="4"/>
  <c r="AT549" i="4"/>
  <c r="AU549" i="4" s="1"/>
  <c r="AC549" i="4"/>
  <c r="AB549" i="4"/>
  <c r="Y549" i="4" s="1"/>
  <c r="V549" i="4"/>
  <c r="U549" i="4"/>
  <c r="BI548" i="4"/>
  <c r="AT548" i="4"/>
  <c r="AV548" i="4" s="1"/>
  <c r="AC548" i="4"/>
  <c r="AB548" i="4"/>
  <c r="AG548" i="4" s="1"/>
  <c r="V548" i="4"/>
  <c r="U548" i="4"/>
  <c r="BI547" i="4"/>
  <c r="AT547" i="4"/>
  <c r="AC547" i="4"/>
  <c r="AB547" i="4"/>
  <c r="V547" i="4"/>
  <c r="U547" i="4"/>
  <c r="BI546" i="4"/>
  <c r="AT546" i="4"/>
  <c r="AV546" i="4" s="1"/>
  <c r="AC546" i="4"/>
  <c r="AB546" i="4"/>
  <c r="V546" i="4"/>
  <c r="U546" i="4"/>
  <c r="BI545" i="4"/>
  <c r="AT545" i="4"/>
  <c r="AV545" i="4" s="1"/>
  <c r="AC545" i="4"/>
  <c r="AB545" i="4"/>
  <c r="V545" i="4"/>
  <c r="U545" i="4"/>
  <c r="R545" i="4" s="1"/>
  <c r="BI544" i="4"/>
  <c r="AT544" i="4"/>
  <c r="AU544" i="4" s="1"/>
  <c r="AC544" i="4"/>
  <c r="AB544" i="4"/>
  <c r="V544" i="4"/>
  <c r="U544" i="4"/>
  <c r="BI543" i="4"/>
  <c r="AT543" i="4"/>
  <c r="AV543" i="4" s="1"/>
  <c r="AC543" i="4"/>
  <c r="AB543" i="4"/>
  <c r="V543" i="4"/>
  <c r="U543" i="4"/>
  <c r="R543" i="4" s="1"/>
  <c r="BI542" i="4"/>
  <c r="AT542" i="4"/>
  <c r="AV542" i="4" s="1"/>
  <c r="AC542" i="4"/>
  <c r="AB542" i="4"/>
  <c r="V542" i="4"/>
  <c r="U542" i="4"/>
  <c r="R542" i="4" s="1"/>
  <c r="BI541" i="4"/>
  <c r="AT541" i="4"/>
  <c r="AU541" i="4" s="1"/>
  <c r="AC541" i="4"/>
  <c r="AB541" i="4"/>
  <c r="Y541" i="4" s="1"/>
  <c r="V541" i="4"/>
  <c r="U541" i="4"/>
  <c r="BI540" i="4"/>
  <c r="AT540" i="4"/>
  <c r="AU540" i="4" s="1"/>
  <c r="AC540" i="4"/>
  <c r="AB540" i="4"/>
  <c r="V540" i="4"/>
  <c r="U540" i="4"/>
  <c r="BI539" i="4"/>
  <c r="AT539" i="4"/>
  <c r="AU539" i="4" s="1"/>
  <c r="AC539" i="4"/>
  <c r="AB539" i="4"/>
  <c r="V539" i="4"/>
  <c r="U539" i="4"/>
  <c r="R539" i="4" s="1"/>
  <c r="BI538" i="4"/>
  <c r="AT538" i="4"/>
  <c r="AU538" i="4" s="1"/>
  <c r="AC538" i="4"/>
  <c r="AB538" i="4"/>
  <c r="Y538" i="4" s="1"/>
  <c r="V538" i="4"/>
  <c r="U538" i="4"/>
  <c r="R538" i="4" s="1"/>
  <c r="BI537" i="4"/>
  <c r="AT537" i="4"/>
  <c r="AC537" i="4"/>
  <c r="AB537" i="4"/>
  <c r="Y537" i="4" s="1"/>
  <c r="V537" i="4"/>
  <c r="U537" i="4"/>
  <c r="BI536" i="4"/>
  <c r="AT536" i="4"/>
  <c r="AU536" i="4" s="1"/>
  <c r="AC536" i="4"/>
  <c r="AB536" i="4"/>
  <c r="V536" i="4"/>
  <c r="U536" i="4"/>
  <c r="BI535" i="4"/>
  <c r="AT535" i="4"/>
  <c r="AV535" i="4" s="1"/>
  <c r="AC535" i="4"/>
  <c r="AB535" i="4"/>
  <c r="V535" i="4"/>
  <c r="U535" i="4"/>
  <c r="BI534" i="4"/>
  <c r="AT534" i="4"/>
  <c r="AU534" i="4" s="1"/>
  <c r="AC534" i="4"/>
  <c r="AB534" i="4"/>
  <c r="Y534" i="4" s="1"/>
  <c r="V534" i="4"/>
  <c r="U534" i="4"/>
  <c r="R534" i="4" s="1"/>
  <c r="BI533" i="4"/>
  <c r="AT533" i="4"/>
  <c r="AU533" i="4" s="1"/>
  <c r="AC533" i="4"/>
  <c r="AB533" i="4"/>
  <c r="Y533" i="4" s="1"/>
  <c r="V533" i="4"/>
  <c r="U533" i="4"/>
  <c r="BI532" i="4"/>
  <c r="AT532" i="4"/>
  <c r="AU532" i="4" s="1"/>
  <c r="AC532" i="4"/>
  <c r="AB532" i="4"/>
  <c r="V532" i="4"/>
  <c r="U532" i="4"/>
  <c r="BI531" i="4"/>
  <c r="AT531" i="4"/>
  <c r="AU531" i="4" s="1"/>
  <c r="AC531" i="4"/>
  <c r="AB531" i="4"/>
  <c r="Y531" i="4" s="1"/>
  <c r="V531" i="4"/>
  <c r="U531" i="4"/>
  <c r="BI530" i="4"/>
  <c r="AT530" i="4"/>
  <c r="AU530" i="4" s="1"/>
  <c r="AC530" i="4"/>
  <c r="AB530" i="4"/>
  <c r="Y530" i="4" s="1"/>
  <c r="V530" i="4"/>
  <c r="U530" i="4"/>
  <c r="BI529" i="4"/>
  <c r="AT529" i="4"/>
  <c r="AU529" i="4" s="1"/>
  <c r="AC529" i="4"/>
  <c r="AB529" i="4"/>
  <c r="Y529" i="4" s="1"/>
  <c r="V529" i="4"/>
  <c r="U529" i="4"/>
  <c r="R529" i="4" s="1"/>
  <c r="BI528" i="4"/>
  <c r="AT528" i="4"/>
  <c r="AU528" i="4" s="1"/>
  <c r="AC528" i="4"/>
  <c r="AB528" i="4"/>
  <c r="Y528" i="4" s="1"/>
  <c r="V528" i="4"/>
  <c r="U528" i="4"/>
  <c r="R528" i="4" s="1"/>
  <c r="BI527" i="4"/>
  <c r="AT527" i="4"/>
  <c r="AU527" i="4" s="1"/>
  <c r="AC527" i="4"/>
  <c r="AB527" i="4"/>
  <c r="Y527" i="4" s="1"/>
  <c r="V527" i="4"/>
  <c r="U527" i="4"/>
  <c r="BI526" i="4"/>
  <c r="AT526" i="4"/>
  <c r="AU526" i="4" s="1"/>
  <c r="AC526" i="4"/>
  <c r="AB526" i="4"/>
  <c r="Y526" i="4" s="1"/>
  <c r="V526" i="4"/>
  <c r="U526" i="4"/>
  <c r="R526" i="4" s="1"/>
  <c r="BI525" i="4"/>
  <c r="AT525" i="4"/>
  <c r="AU525" i="4" s="1"/>
  <c r="AC525" i="4"/>
  <c r="AB525" i="4"/>
  <c r="V525" i="4"/>
  <c r="U525" i="4"/>
  <c r="BI524" i="4"/>
  <c r="AT524" i="4"/>
  <c r="AU524" i="4" s="1"/>
  <c r="AC524" i="4"/>
  <c r="AB524" i="4"/>
  <c r="V524" i="4"/>
  <c r="U524" i="4"/>
  <c r="BI523" i="4"/>
  <c r="AT523" i="4"/>
  <c r="AU523" i="4" s="1"/>
  <c r="AC523" i="4"/>
  <c r="AB523" i="4"/>
  <c r="V523" i="4"/>
  <c r="U523" i="4"/>
  <c r="R523" i="4" s="1"/>
  <c r="BI522" i="4"/>
  <c r="AT522" i="4"/>
  <c r="AU522" i="4" s="1"/>
  <c r="AC522" i="4"/>
  <c r="AB522" i="4"/>
  <c r="V522" i="4"/>
  <c r="U522" i="4"/>
  <c r="BI521" i="4"/>
  <c r="AT521" i="4"/>
  <c r="AU521" i="4" s="1"/>
  <c r="AC521" i="4"/>
  <c r="AB521" i="4"/>
  <c r="V521" i="4"/>
  <c r="U521" i="4"/>
  <c r="R521" i="4" s="1"/>
  <c r="BI520" i="4"/>
  <c r="AT520" i="4"/>
  <c r="AU520" i="4" s="1"/>
  <c r="AC520" i="4"/>
  <c r="AB520" i="4"/>
  <c r="V520" i="4"/>
  <c r="W520" i="4" s="1"/>
  <c r="X520" i="4" s="1"/>
  <c r="U520" i="4"/>
  <c r="R520" i="4"/>
  <c r="BI519" i="4"/>
  <c r="AT519" i="4"/>
  <c r="AU519" i="4" s="1"/>
  <c r="AC519" i="4"/>
  <c r="AB519" i="4"/>
  <c r="V519" i="4"/>
  <c r="U519" i="4"/>
  <c r="BI518" i="4"/>
  <c r="AT518" i="4"/>
  <c r="AU518" i="4" s="1"/>
  <c r="AC518" i="4"/>
  <c r="AB518" i="4"/>
  <c r="V518" i="4"/>
  <c r="AF518" i="4" s="1"/>
  <c r="U518" i="4"/>
  <c r="R518" i="4" s="1"/>
  <c r="BI517" i="4"/>
  <c r="AT517" i="4"/>
  <c r="AU517" i="4" s="1"/>
  <c r="AC517" i="4"/>
  <c r="AB517" i="4"/>
  <c r="V517" i="4"/>
  <c r="U517" i="4"/>
  <c r="R517" i="4" s="1"/>
  <c r="BI516" i="4"/>
  <c r="AT516" i="4"/>
  <c r="AC516" i="4"/>
  <c r="AB516" i="4"/>
  <c r="Y516" i="4" s="1"/>
  <c r="V516" i="4"/>
  <c r="U516" i="4"/>
  <c r="BI515" i="4"/>
  <c r="AT515" i="4"/>
  <c r="AU515" i="4" s="1"/>
  <c r="AC515" i="4"/>
  <c r="AB515" i="4"/>
  <c r="Y515" i="4" s="1"/>
  <c r="V515" i="4"/>
  <c r="U515" i="4"/>
  <c r="BI514" i="4"/>
  <c r="AT514" i="4"/>
  <c r="AC514" i="4"/>
  <c r="AB514" i="4"/>
  <c r="V514" i="4"/>
  <c r="W514" i="4" s="1"/>
  <c r="X514" i="4" s="1"/>
  <c r="U514" i="4"/>
  <c r="R514" i="4" s="1"/>
  <c r="BI513" i="4"/>
  <c r="AT513" i="4"/>
  <c r="AV513" i="4" s="1"/>
  <c r="AY513" i="4" s="1"/>
  <c r="AC513" i="4"/>
  <c r="AB513" i="4"/>
  <c r="Y513" i="4" s="1"/>
  <c r="V513" i="4"/>
  <c r="U513" i="4"/>
  <c r="BI512" i="4"/>
  <c r="AT512" i="4"/>
  <c r="AV512" i="4" s="1"/>
  <c r="AC512" i="4"/>
  <c r="AB512" i="4"/>
  <c r="Y512" i="4" s="1"/>
  <c r="V512" i="4"/>
  <c r="AF512" i="4" s="1"/>
  <c r="U512" i="4"/>
  <c r="R512" i="4" s="1"/>
  <c r="BI511" i="4"/>
  <c r="AT511" i="4"/>
  <c r="AC511" i="4"/>
  <c r="AB511" i="4"/>
  <c r="Y511" i="4" s="1"/>
  <c r="V511" i="4"/>
  <c r="U511" i="4"/>
  <c r="BI510" i="4"/>
  <c r="AT510" i="4"/>
  <c r="AV510" i="4" s="1"/>
  <c r="AC510" i="4"/>
  <c r="AB510" i="4"/>
  <c r="Y510" i="4" s="1"/>
  <c r="V510" i="4"/>
  <c r="U510" i="4"/>
  <c r="R510" i="4" s="1"/>
  <c r="BI509" i="4"/>
  <c r="AT509" i="4"/>
  <c r="AV509" i="4" s="1"/>
  <c r="AC509" i="4"/>
  <c r="AB509" i="4"/>
  <c r="Y509" i="4" s="1"/>
  <c r="V509" i="4"/>
  <c r="U509" i="4"/>
  <c r="R509" i="4" s="1"/>
  <c r="BI508" i="4"/>
  <c r="AT508" i="4"/>
  <c r="AV508" i="4" s="1"/>
  <c r="AY508" i="4" s="1"/>
  <c r="AC508" i="4"/>
  <c r="AB508" i="4"/>
  <c r="V508" i="4"/>
  <c r="U508" i="4"/>
  <c r="R508" i="4" s="1"/>
  <c r="BI507" i="4"/>
  <c r="AT507" i="4"/>
  <c r="AV507" i="4" s="1"/>
  <c r="AC507" i="4"/>
  <c r="AB507" i="4"/>
  <c r="V507" i="4"/>
  <c r="U507" i="4"/>
  <c r="R507" i="4" s="1"/>
  <c r="BI506" i="4"/>
  <c r="AT506" i="4"/>
  <c r="AU506" i="4" s="1"/>
  <c r="AC506" i="4"/>
  <c r="AB506" i="4"/>
  <c r="Y506" i="4" s="1"/>
  <c r="V506" i="4"/>
  <c r="U506" i="4"/>
  <c r="R506" i="4" s="1"/>
  <c r="BI505" i="4"/>
  <c r="AT505" i="4"/>
  <c r="AV505" i="4" s="1"/>
  <c r="AC505" i="4"/>
  <c r="AB505" i="4"/>
  <c r="V505" i="4"/>
  <c r="U505" i="4"/>
  <c r="R505" i="4" s="1"/>
  <c r="BI504" i="4"/>
  <c r="AT504" i="4"/>
  <c r="AV504" i="4" s="1"/>
  <c r="AW504" i="4" s="1"/>
  <c r="AC504" i="4"/>
  <c r="AB504" i="4"/>
  <c r="V504" i="4"/>
  <c r="U504" i="4"/>
  <c r="BI503" i="4"/>
  <c r="AT503" i="4"/>
  <c r="AV503" i="4" s="1"/>
  <c r="AW503" i="4" s="1"/>
  <c r="AC503" i="4"/>
  <c r="AB503" i="4"/>
  <c r="V503" i="4"/>
  <c r="U503" i="4"/>
  <c r="R503" i="4" s="1"/>
  <c r="BI502" i="4"/>
  <c r="AT502" i="4"/>
  <c r="AV502" i="4" s="1"/>
  <c r="BD502" i="4" s="1"/>
  <c r="AC502" i="4"/>
  <c r="AB502" i="4"/>
  <c r="Y502" i="4" s="1"/>
  <c r="V502" i="4"/>
  <c r="U502" i="4"/>
  <c r="R502" i="4" s="1"/>
  <c r="BI501" i="4"/>
  <c r="AT501" i="4"/>
  <c r="AU501" i="4" s="1"/>
  <c r="AC501" i="4"/>
  <c r="AB501" i="4"/>
  <c r="Y501" i="4" s="1"/>
  <c r="V501" i="4"/>
  <c r="U501" i="4"/>
  <c r="BI500" i="4"/>
  <c r="AT500" i="4"/>
  <c r="AV500" i="4" s="1"/>
  <c r="AC500" i="4"/>
  <c r="AB500" i="4"/>
  <c r="Y500" i="4" s="1"/>
  <c r="V500" i="4"/>
  <c r="U500" i="4"/>
  <c r="R500" i="4" s="1"/>
  <c r="BI499" i="4"/>
  <c r="AT499" i="4"/>
  <c r="AV499" i="4" s="1"/>
  <c r="BD499" i="4" s="1"/>
  <c r="AC499" i="4"/>
  <c r="AB499" i="4"/>
  <c r="Y499" i="4" s="1"/>
  <c r="V499" i="4"/>
  <c r="U499" i="4"/>
  <c r="R499" i="4" s="1"/>
  <c r="BI498" i="4"/>
  <c r="AT498" i="4"/>
  <c r="AV498" i="4" s="1"/>
  <c r="AC498" i="4"/>
  <c r="AB498" i="4"/>
  <c r="Y498" i="4" s="1"/>
  <c r="V498" i="4"/>
  <c r="U498" i="4"/>
  <c r="BI497" i="4"/>
  <c r="AT497" i="4"/>
  <c r="AV497" i="4" s="1"/>
  <c r="AC497" i="4"/>
  <c r="AB497" i="4"/>
  <c r="V497" i="4"/>
  <c r="U497" i="4"/>
  <c r="R497" i="4" s="1"/>
  <c r="BI496" i="4"/>
  <c r="AT496" i="4"/>
  <c r="AV496" i="4" s="1"/>
  <c r="BD496" i="4" s="1"/>
  <c r="AC496" i="4"/>
  <c r="AB496" i="4"/>
  <c r="Y496" i="4" s="1"/>
  <c r="V496" i="4"/>
  <c r="U496" i="4"/>
  <c r="R496" i="4" s="1"/>
  <c r="BI495" i="4"/>
  <c r="AT495" i="4"/>
  <c r="AU495" i="4" s="1"/>
  <c r="AC495" i="4"/>
  <c r="AB495" i="4"/>
  <c r="Y495" i="4" s="1"/>
  <c r="V495" i="4"/>
  <c r="U495" i="4"/>
  <c r="BI494" i="4"/>
  <c r="AT494" i="4"/>
  <c r="AV494" i="4" s="1"/>
  <c r="AC494" i="4"/>
  <c r="AB494" i="4"/>
  <c r="V494" i="4"/>
  <c r="U494" i="4"/>
  <c r="BI493" i="4"/>
  <c r="AT493" i="4"/>
  <c r="AV493" i="4" s="1"/>
  <c r="BD493" i="4" s="1"/>
  <c r="AC493" i="4"/>
  <c r="AB493" i="4"/>
  <c r="V493" i="4"/>
  <c r="U493" i="4"/>
  <c r="BI492" i="4"/>
  <c r="AT492" i="4"/>
  <c r="AV492" i="4" s="1"/>
  <c r="BD492" i="4" s="1"/>
  <c r="AC492" i="4"/>
  <c r="AB492" i="4"/>
  <c r="V492" i="4"/>
  <c r="U492" i="4"/>
  <c r="R492" i="4" s="1"/>
  <c r="BI491" i="4"/>
  <c r="AW491" i="4"/>
  <c r="AT491" i="4"/>
  <c r="AV491" i="4" s="1"/>
  <c r="AC491" i="4"/>
  <c r="AB491" i="4"/>
  <c r="Y491" i="4" s="1"/>
  <c r="V491" i="4"/>
  <c r="U491" i="4"/>
  <c r="BI490" i="4"/>
  <c r="AT490" i="4"/>
  <c r="AC490" i="4"/>
  <c r="AB490" i="4"/>
  <c r="Y490" i="4" s="1"/>
  <c r="V490" i="4"/>
  <c r="U490" i="4"/>
  <c r="BI489" i="4"/>
  <c r="AT489" i="4"/>
  <c r="AC489" i="4"/>
  <c r="AB489" i="4"/>
  <c r="Y489" i="4" s="1"/>
  <c r="V489" i="4"/>
  <c r="U489" i="4"/>
  <c r="BI488" i="4"/>
  <c r="AT488" i="4"/>
  <c r="AC488" i="4"/>
  <c r="AB488" i="4"/>
  <c r="Y488" i="4" s="1"/>
  <c r="V488" i="4"/>
  <c r="U488" i="4"/>
  <c r="BI487" i="4"/>
  <c r="AT487" i="4"/>
  <c r="AC487" i="4"/>
  <c r="AB487" i="4"/>
  <c r="Y487" i="4" s="1"/>
  <c r="V487" i="4"/>
  <c r="U487" i="4"/>
  <c r="AL487" i="4" s="1"/>
  <c r="BI486" i="4"/>
  <c r="AT486" i="4"/>
  <c r="AC486" i="4"/>
  <c r="AB486" i="4"/>
  <c r="Y486" i="4" s="1"/>
  <c r="V486" i="4"/>
  <c r="U486" i="4"/>
  <c r="BI485" i="4"/>
  <c r="AT485" i="4"/>
  <c r="AC485" i="4"/>
  <c r="AB485" i="4"/>
  <c r="Y485" i="4" s="1"/>
  <c r="V485" i="4"/>
  <c r="U485" i="4"/>
  <c r="BI484" i="4"/>
  <c r="AT484" i="4"/>
  <c r="AC484" i="4"/>
  <c r="AB484" i="4"/>
  <c r="Y484" i="4" s="1"/>
  <c r="V484" i="4"/>
  <c r="U484" i="4"/>
  <c r="BI483" i="4"/>
  <c r="AT483" i="4"/>
  <c r="AC483" i="4"/>
  <c r="AB483" i="4"/>
  <c r="V483" i="4"/>
  <c r="U483" i="4"/>
  <c r="BI482" i="4"/>
  <c r="AT482" i="4"/>
  <c r="AC482" i="4"/>
  <c r="AB482" i="4"/>
  <c r="Y482" i="4" s="1"/>
  <c r="V482" i="4"/>
  <c r="U482" i="4"/>
  <c r="BI481" i="4"/>
  <c r="AT481" i="4"/>
  <c r="AC481" i="4"/>
  <c r="AB481" i="4"/>
  <c r="Y481" i="4" s="1"/>
  <c r="V481" i="4"/>
  <c r="U481" i="4"/>
  <c r="BI480" i="4"/>
  <c r="AT480" i="4"/>
  <c r="AC480" i="4"/>
  <c r="AB480" i="4"/>
  <c r="Y480" i="4" s="1"/>
  <c r="V480" i="4"/>
  <c r="U480" i="4"/>
  <c r="BI479" i="4"/>
  <c r="AT479" i="4"/>
  <c r="AC479" i="4"/>
  <c r="AB479" i="4"/>
  <c r="Y479" i="4" s="1"/>
  <c r="V479" i="4"/>
  <c r="U479" i="4"/>
  <c r="BI478" i="4"/>
  <c r="AT478" i="4"/>
  <c r="AC478" i="4"/>
  <c r="AB478" i="4"/>
  <c r="Y478" i="4" s="1"/>
  <c r="V478" i="4"/>
  <c r="U478" i="4"/>
  <c r="BI477" i="4"/>
  <c r="AT477" i="4"/>
  <c r="AC477" i="4"/>
  <c r="AB477" i="4"/>
  <c r="V477" i="4"/>
  <c r="U477" i="4"/>
  <c r="BI476" i="4"/>
  <c r="AT476" i="4"/>
  <c r="AC476" i="4"/>
  <c r="AB476" i="4"/>
  <c r="Y476" i="4" s="1"/>
  <c r="V476" i="4"/>
  <c r="U476" i="4"/>
  <c r="R476" i="4" s="1"/>
  <c r="BI475" i="4"/>
  <c r="AT475" i="4"/>
  <c r="AC475" i="4"/>
  <c r="AB475" i="4"/>
  <c r="AD475" i="4" s="1"/>
  <c r="AE475" i="4" s="1"/>
  <c r="V475" i="4"/>
  <c r="U475" i="4"/>
  <c r="BI474" i="4"/>
  <c r="AT474" i="4"/>
  <c r="AV474" i="4" s="1"/>
  <c r="BD474" i="4" s="1"/>
  <c r="AC474" i="4"/>
  <c r="AB474" i="4"/>
  <c r="Y474" i="4" s="1"/>
  <c r="V474" i="4"/>
  <c r="U474" i="4"/>
  <c r="R474" i="4" s="1"/>
  <c r="BI473" i="4"/>
  <c r="AT473" i="4"/>
  <c r="AV473" i="4" s="1"/>
  <c r="AY473" i="4" s="1"/>
  <c r="AC473" i="4"/>
  <c r="AB473" i="4"/>
  <c r="Y473" i="4" s="1"/>
  <c r="V473" i="4"/>
  <c r="U473" i="4"/>
  <c r="R473" i="4" s="1"/>
  <c r="BI472" i="4"/>
  <c r="AT472" i="4"/>
  <c r="AV472" i="4" s="1"/>
  <c r="BD472" i="4" s="1"/>
  <c r="AC472" i="4"/>
  <c r="AB472" i="4"/>
  <c r="Y472" i="4" s="1"/>
  <c r="V472" i="4"/>
  <c r="U472" i="4"/>
  <c r="BI471" i="4"/>
  <c r="AT471" i="4"/>
  <c r="AV471" i="4" s="1"/>
  <c r="BD471" i="4" s="1"/>
  <c r="AC471" i="4"/>
  <c r="AB471" i="4"/>
  <c r="Y471" i="4" s="1"/>
  <c r="V471" i="4"/>
  <c r="U471" i="4"/>
  <c r="BI470" i="4"/>
  <c r="AT470" i="4"/>
  <c r="AC470" i="4"/>
  <c r="AB470" i="4"/>
  <c r="Y470" i="4" s="1"/>
  <c r="V470" i="4"/>
  <c r="U470" i="4"/>
  <c r="R470" i="4" s="1"/>
  <c r="BI469" i="4"/>
  <c r="AT469" i="4"/>
  <c r="AV469" i="4" s="1"/>
  <c r="BD469" i="4" s="1"/>
  <c r="AC469" i="4"/>
  <c r="AB469" i="4"/>
  <c r="Y469" i="4" s="1"/>
  <c r="V469" i="4"/>
  <c r="U469" i="4"/>
  <c r="R469" i="4" s="1"/>
  <c r="BI468" i="4"/>
  <c r="AT468" i="4"/>
  <c r="AV468" i="4" s="1"/>
  <c r="BD468" i="4" s="1"/>
  <c r="AC468" i="4"/>
  <c r="AB468" i="4"/>
  <c r="Y468" i="4" s="1"/>
  <c r="V468" i="4"/>
  <c r="U468" i="4"/>
  <c r="R468" i="4" s="1"/>
  <c r="BI467" i="4"/>
  <c r="AT467" i="4"/>
  <c r="AV467" i="4" s="1"/>
  <c r="AC467" i="4"/>
  <c r="AG467" i="4" s="1"/>
  <c r="AB467" i="4"/>
  <c r="Y467" i="4" s="1"/>
  <c r="V467" i="4"/>
  <c r="W467" i="4" s="1"/>
  <c r="X467" i="4" s="1"/>
  <c r="U467" i="4"/>
  <c r="R467" i="4" s="1"/>
  <c r="BI466" i="4"/>
  <c r="AT466" i="4"/>
  <c r="AV466" i="4" s="1"/>
  <c r="AY466" i="4" s="1"/>
  <c r="AC466" i="4"/>
  <c r="AB466" i="4"/>
  <c r="V466" i="4"/>
  <c r="U466" i="4"/>
  <c r="BI465" i="4"/>
  <c r="AT465" i="4"/>
  <c r="AU465" i="4" s="1"/>
  <c r="AC465" i="4"/>
  <c r="AB465" i="4"/>
  <c r="V465" i="4"/>
  <c r="U465" i="4"/>
  <c r="R465" i="4" s="1"/>
  <c r="BI464" i="4"/>
  <c r="AT464" i="4"/>
  <c r="AU464" i="4" s="1"/>
  <c r="AC464" i="4"/>
  <c r="AB464" i="4"/>
  <c r="V464" i="4"/>
  <c r="U464" i="4"/>
  <c r="BI463" i="4"/>
  <c r="AT463" i="4"/>
  <c r="AU463" i="4" s="1"/>
  <c r="AC463" i="4"/>
  <c r="AB463" i="4"/>
  <c r="V463" i="4"/>
  <c r="U463" i="4"/>
  <c r="BI462" i="4"/>
  <c r="AT462" i="4"/>
  <c r="AU462" i="4" s="1"/>
  <c r="AC462" i="4"/>
  <c r="AB462" i="4"/>
  <c r="V462" i="4"/>
  <c r="U462" i="4"/>
  <c r="BI461" i="4"/>
  <c r="AT461" i="4"/>
  <c r="AU461" i="4" s="1"/>
  <c r="AC461" i="4"/>
  <c r="AB461" i="4"/>
  <c r="V461" i="4"/>
  <c r="U461" i="4"/>
  <c r="BI460" i="4"/>
  <c r="AT460" i="4"/>
  <c r="AU460" i="4" s="1"/>
  <c r="AC460" i="4"/>
  <c r="AB460" i="4"/>
  <c r="V460" i="4"/>
  <c r="U460" i="4"/>
  <c r="BI459" i="4"/>
  <c r="AT459" i="4"/>
  <c r="AU459" i="4" s="1"/>
  <c r="AC459" i="4"/>
  <c r="AB459" i="4"/>
  <c r="V459" i="4"/>
  <c r="U459" i="4"/>
  <c r="R459" i="4" s="1"/>
  <c r="BI458" i="4"/>
  <c r="AT458" i="4"/>
  <c r="AC458" i="4"/>
  <c r="AG458" i="4" s="1"/>
  <c r="AB458" i="4"/>
  <c r="V458" i="4"/>
  <c r="U458" i="4"/>
  <c r="R458" i="4" s="1"/>
  <c r="BI457" i="4"/>
  <c r="AT457" i="4"/>
  <c r="AU457" i="4" s="1"/>
  <c r="AC457" i="4"/>
  <c r="AB457" i="4"/>
  <c r="V457" i="4"/>
  <c r="U457" i="4"/>
  <c r="BI456" i="4"/>
  <c r="AT456" i="4"/>
  <c r="AU456" i="4" s="1"/>
  <c r="AC456" i="4"/>
  <c r="AB456" i="4"/>
  <c r="V456" i="4"/>
  <c r="U456" i="4"/>
  <c r="BI455" i="4"/>
  <c r="AT455" i="4"/>
  <c r="AC455" i="4"/>
  <c r="AB455" i="4"/>
  <c r="V455" i="4"/>
  <c r="U455" i="4"/>
  <c r="R455" i="4" s="1"/>
  <c r="BI454" i="4"/>
  <c r="AT454" i="4"/>
  <c r="AC454" i="4"/>
  <c r="AB454" i="4"/>
  <c r="V454" i="4"/>
  <c r="U454" i="4"/>
  <c r="R454" i="4" s="1"/>
  <c r="BI453" i="4"/>
  <c r="AT453" i="4"/>
  <c r="AU453" i="4" s="1"/>
  <c r="AC453" i="4"/>
  <c r="AB453" i="4"/>
  <c r="V453" i="4"/>
  <c r="U453" i="4"/>
  <c r="BI452" i="4"/>
  <c r="AT452" i="4"/>
  <c r="AU452" i="4" s="1"/>
  <c r="AC452" i="4"/>
  <c r="AB452" i="4"/>
  <c r="V452" i="4"/>
  <c r="U452" i="4"/>
  <c r="BI451" i="4"/>
  <c r="AT451" i="4"/>
  <c r="AU451" i="4" s="1"/>
  <c r="AC451" i="4"/>
  <c r="AB451" i="4"/>
  <c r="V451" i="4"/>
  <c r="U451" i="4"/>
  <c r="BI450" i="4"/>
  <c r="AT450" i="4"/>
  <c r="AU450" i="4" s="1"/>
  <c r="AC450" i="4"/>
  <c r="AB450" i="4"/>
  <c r="V450" i="4"/>
  <c r="U450" i="4"/>
  <c r="BI449" i="4"/>
  <c r="AT449" i="4"/>
  <c r="AU449" i="4" s="1"/>
  <c r="AC449" i="4"/>
  <c r="AB449" i="4"/>
  <c r="V449" i="4"/>
  <c r="U449" i="4"/>
  <c r="BI448" i="4"/>
  <c r="AT448" i="4"/>
  <c r="AU448" i="4" s="1"/>
  <c r="AC448" i="4"/>
  <c r="AB448" i="4"/>
  <c r="V448" i="4"/>
  <c r="U448" i="4"/>
  <c r="BI447" i="4"/>
  <c r="AT447" i="4"/>
  <c r="AC447" i="4"/>
  <c r="AB447" i="4"/>
  <c r="V447" i="4"/>
  <c r="U447" i="4"/>
  <c r="R447" i="4" s="1"/>
  <c r="BI446" i="4"/>
  <c r="AT446" i="4"/>
  <c r="AU446" i="4" s="1"/>
  <c r="AC446" i="4"/>
  <c r="AB446" i="4"/>
  <c r="V446" i="4"/>
  <c r="U446" i="4"/>
  <c r="R446" i="4" s="1"/>
  <c r="BI445" i="4"/>
  <c r="AT445" i="4"/>
  <c r="AU445" i="4" s="1"/>
  <c r="AC445" i="4"/>
  <c r="AB445" i="4"/>
  <c r="AG445" i="4" s="1"/>
  <c r="V445" i="4"/>
  <c r="U445" i="4"/>
  <c r="BI444" i="4"/>
  <c r="AT444" i="4"/>
  <c r="AC444" i="4"/>
  <c r="AB444" i="4"/>
  <c r="V444" i="4"/>
  <c r="U444" i="4"/>
  <c r="BI443" i="4"/>
  <c r="AT443" i="4"/>
  <c r="AU443" i="4" s="1"/>
  <c r="AC443" i="4"/>
  <c r="AB443" i="4"/>
  <c r="AD443" i="4" s="1"/>
  <c r="AE443" i="4" s="1"/>
  <c r="V443" i="4"/>
  <c r="U443" i="4"/>
  <c r="R443" i="4" s="1"/>
  <c r="BI442" i="4"/>
  <c r="AT442" i="4"/>
  <c r="AU442" i="4" s="1"/>
  <c r="AC442" i="4"/>
  <c r="AB442" i="4"/>
  <c r="V442" i="4"/>
  <c r="U442" i="4"/>
  <c r="BI441" i="4"/>
  <c r="AT441" i="4"/>
  <c r="AU441" i="4" s="1"/>
  <c r="AC441" i="4"/>
  <c r="AB441" i="4"/>
  <c r="AD441" i="4" s="1"/>
  <c r="AE441" i="4" s="1"/>
  <c r="V441" i="4"/>
  <c r="U441" i="4"/>
  <c r="BI440" i="4"/>
  <c r="AT440" i="4"/>
  <c r="AU440" i="4" s="1"/>
  <c r="AC440" i="4"/>
  <c r="AB440" i="4"/>
  <c r="V440" i="4"/>
  <c r="U440" i="4"/>
  <c r="BI439" i="4"/>
  <c r="AT439" i="4"/>
  <c r="AU439" i="4" s="1"/>
  <c r="AC439" i="4"/>
  <c r="AB439" i="4"/>
  <c r="Y439" i="4" s="1"/>
  <c r="V439" i="4"/>
  <c r="U439" i="4"/>
  <c r="R439" i="4" s="1"/>
  <c r="BI438" i="4"/>
  <c r="AT438" i="4"/>
  <c r="AU438" i="4" s="1"/>
  <c r="AC438" i="4"/>
  <c r="AB438" i="4"/>
  <c r="Y438" i="4" s="1"/>
  <c r="V438" i="4"/>
  <c r="U438" i="4"/>
  <c r="BI437" i="4"/>
  <c r="AV437" i="4"/>
  <c r="BD437" i="4" s="1"/>
  <c r="AT437" i="4"/>
  <c r="AU437" i="4" s="1"/>
  <c r="AC437" i="4"/>
  <c r="AB437" i="4"/>
  <c r="Y437" i="4" s="1"/>
  <c r="V437" i="4"/>
  <c r="U437" i="4"/>
  <c r="BI436" i="4"/>
  <c r="AT436" i="4"/>
  <c r="AC436" i="4"/>
  <c r="AB436" i="4"/>
  <c r="Y436" i="4" s="1"/>
  <c r="V436" i="4"/>
  <c r="U436" i="4"/>
  <c r="R436" i="4" s="1"/>
  <c r="BI435" i="4"/>
  <c r="AT435" i="4"/>
  <c r="AU435" i="4" s="1"/>
  <c r="AC435" i="4"/>
  <c r="AB435" i="4"/>
  <c r="Y435" i="4" s="1"/>
  <c r="V435" i="4"/>
  <c r="U435" i="4"/>
  <c r="R435" i="4" s="1"/>
  <c r="BI434" i="4"/>
  <c r="AT434" i="4"/>
  <c r="AU434" i="4" s="1"/>
  <c r="AC434" i="4"/>
  <c r="AB434" i="4"/>
  <c r="V434" i="4"/>
  <c r="U434" i="4"/>
  <c r="R434" i="4" s="1"/>
  <c r="BI433" i="4"/>
  <c r="AT433" i="4"/>
  <c r="AU433" i="4" s="1"/>
  <c r="AC433" i="4"/>
  <c r="AB433" i="4"/>
  <c r="Y433" i="4" s="1"/>
  <c r="V433" i="4"/>
  <c r="U433" i="4"/>
  <c r="BI432" i="4"/>
  <c r="AT432" i="4"/>
  <c r="AU432" i="4" s="1"/>
  <c r="AC432" i="4"/>
  <c r="AB432" i="4"/>
  <c r="Y432" i="4" s="1"/>
  <c r="V432" i="4"/>
  <c r="U432" i="4"/>
  <c r="AL432" i="4" s="1"/>
  <c r="BI431" i="4"/>
  <c r="AT431" i="4"/>
  <c r="AU431" i="4" s="1"/>
  <c r="AC431" i="4"/>
  <c r="AB431" i="4"/>
  <c r="Y431" i="4" s="1"/>
  <c r="V431" i="4"/>
  <c r="U431" i="4"/>
  <c r="BI430" i="4"/>
  <c r="AT430" i="4"/>
  <c r="AU430" i="4" s="1"/>
  <c r="AC430" i="4"/>
  <c r="AB430" i="4"/>
  <c r="Y430" i="4" s="1"/>
  <c r="V430" i="4"/>
  <c r="U430" i="4"/>
  <c r="AL430" i="4" s="1"/>
  <c r="BI429" i="4"/>
  <c r="AT429" i="4"/>
  <c r="AU429" i="4" s="1"/>
  <c r="AC429" i="4"/>
  <c r="AB429" i="4"/>
  <c r="V429" i="4"/>
  <c r="U429" i="4"/>
  <c r="R429" i="4" s="1"/>
  <c r="BI428" i="4"/>
  <c r="AT428" i="4"/>
  <c r="AC428" i="4"/>
  <c r="AB428" i="4"/>
  <c r="V428" i="4"/>
  <c r="U428" i="4"/>
  <c r="R428" i="4" s="1"/>
  <c r="BI427" i="4"/>
  <c r="AT427" i="4"/>
  <c r="AU427" i="4" s="1"/>
  <c r="AC427" i="4"/>
  <c r="AB427" i="4"/>
  <c r="Y427" i="4" s="1"/>
  <c r="V427" i="4"/>
  <c r="U427" i="4"/>
  <c r="BI426" i="4"/>
  <c r="AT426" i="4"/>
  <c r="AV426" i="4" s="1"/>
  <c r="AC426" i="4"/>
  <c r="AB426" i="4"/>
  <c r="Y426" i="4" s="1"/>
  <c r="V426" i="4"/>
  <c r="U426" i="4"/>
  <c r="BI425" i="4"/>
  <c r="AT425" i="4"/>
  <c r="AC425" i="4"/>
  <c r="AB425" i="4"/>
  <c r="V425" i="4"/>
  <c r="U425" i="4"/>
  <c r="BI424" i="4"/>
  <c r="AT424" i="4"/>
  <c r="AU424" i="4" s="1"/>
  <c r="AC424" i="4"/>
  <c r="AB424" i="4"/>
  <c r="V424" i="4"/>
  <c r="U424" i="4"/>
  <c r="BI423" i="4"/>
  <c r="AT423" i="4"/>
  <c r="AV423" i="4" s="1"/>
  <c r="AC423" i="4"/>
  <c r="AB423" i="4"/>
  <c r="Y423" i="4" s="1"/>
  <c r="V423" i="4"/>
  <c r="U423" i="4"/>
  <c r="R423" i="4" s="1"/>
  <c r="BI422" i="4"/>
  <c r="AT422" i="4"/>
  <c r="AU422" i="4" s="1"/>
  <c r="AC422" i="4"/>
  <c r="AB422" i="4"/>
  <c r="Y422" i="4" s="1"/>
  <c r="V422" i="4"/>
  <c r="U422" i="4"/>
  <c r="R422" i="4" s="1"/>
  <c r="BI421" i="4"/>
  <c r="AT421" i="4"/>
  <c r="AC421" i="4"/>
  <c r="AB421" i="4"/>
  <c r="V421" i="4"/>
  <c r="U421" i="4"/>
  <c r="R421" i="4" s="1"/>
  <c r="BI420" i="4"/>
  <c r="AT420" i="4"/>
  <c r="AV420" i="4" s="1"/>
  <c r="AC420" i="4"/>
  <c r="AB420" i="4"/>
  <c r="V420" i="4"/>
  <c r="U420" i="4"/>
  <c r="R420" i="4" s="1"/>
  <c r="BI419" i="4"/>
  <c r="AT419" i="4"/>
  <c r="AU419" i="4" s="1"/>
  <c r="AC419" i="4"/>
  <c r="AB419" i="4"/>
  <c r="V419" i="4"/>
  <c r="U419" i="4"/>
  <c r="R419" i="4" s="1"/>
  <c r="BI418" i="4"/>
  <c r="AT418" i="4"/>
  <c r="AC418" i="4"/>
  <c r="AB418" i="4"/>
  <c r="V418" i="4"/>
  <c r="U418" i="4"/>
  <c r="R418" i="4" s="1"/>
  <c r="BI417" i="4"/>
  <c r="AT417" i="4"/>
  <c r="AV417" i="4" s="1"/>
  <c r="AC417" i="4"/>
  <c r="AB417" i="4"/>
  <c r="V417" i="4"/>
  <c r="U417" i="4"/>
  <c r="R417" i="4" s="1"/>
  <c r="BI416" i="4"/>
  <c r="AT416" i="4"/>
  <c r="AU416" i="4" s="1"/>
  <c r="AC416" i="4"/>
  <c r="AB416" i="4"/>
  <c r="V416" i="4"/>
  <c r="U416" i="4"/>
  <c r="BI415" i="4"/>
  <c r="AT415" i="4"/>
  <c r="AC415" i="4"/>
  <c r="AB415" i="4"/>
  <c r="V415" i="4"/>
  <c r="U415" i="4"/>
  <c r="R415" i="4" s="1"/>
  <c r="BI414" i="4"/>
  <c r="AT414" i="4"/>
  <c r="AV414" i="4" s="1"/>
  <c r="AC414" i="4"/>
  <c r="AB414" i="4"/>
  <c r="V414" i="4"/>
  <c r="U414" i="4"/>
  <c r="R414" i="4" s="1"/>
  <c r="BI413" i="4"/>
  <c r="AT413" i="4"/>
  <c r="AV413" i="4" s="1"/>
  <c r="BD413" i="4" s="1"/>
  <c r="AC413" i="4"/>
  <c r="AB413" i="4"/>
  <c r="V413" i="4"/>
  <c r="U413" i="4"/>
  <c r="R413" i="4" s="1"/>
  <c r="BI412" i="4"/>
  <c r="AT412" i="4"/>
  <c r="AC412" i="4"/>
  <c r="AB412" i="4"/>
  <c r="V412" i="4"/>
  <c r="U412" i="4"/>
  <c r="R412" i="4" s="1"/>
  <c r="BI411" i="4"/>
  <c r="AT411" i="4"/>
  <c r="AV411" i="4" s="1"/>
  <c r="AC411" i="4"/>
  <c r="AB411" i="4"/>
  <c r="Y411" i="4" s="1"/>
  <c r="V411" i="4"/>
  <c r="U411" i="4"/>
  <c r="BI410" i="4"/>
  <c r="AT410" i="4"/>
  <c r="AU410" i="4" s="1"/>
  <c r="AC410" i="4"/>
  <c r="AB410" i="4"/>
  <c r="Y410" i="4" s="1"/>
  <c r="V410" i="4"/>
  <c r="U410" i="4"/>
  <c r="BI409" i="4"/>
  <c r="AT409" i="4"/>
  <c r="AC409" i="4"/>
  <c r="AB409" i="4"/>
  <c r="Y409" i="4" s="1"/>
  <c r="V409" i="4"/>
  <c r="AF409" i="4" s="1"/>
  <c r="U409" i="4"/>
  <c r="BI408" i="4"/>
  <c r="AT408" i="4"/>
  <c r="AV408" i="4" s="1"/>
  <c r="AC408" i="4"/>
  <c r="AB408" i="4"/>
  <c r="V408" i="4"/>
  <c r="U408" i="4"/>
  <c r="R408" i="4" s="1"/>
  <c r="BI407" i="4"/>
  <c r="AT407" i="4"/>
  <c r="AU407" i="4" s="1"/>
  <c r="AC407" i="4"/>
  <c r="AB407" i="4"/>
  <c r="Y407" i="4" s="1"/>
  <c r="V407" i="4"/>
  <c r="U407" i="4"/>
  <c r="R407" i="4" s="1"/>
  <c r="BI406" i="4"/>
  <c r="AT406" i="4"/>
  <c r="AU406" i="4" s="1"/>
  <c r="AC406" i="4"/>
  <c r="AB406" i="4"/>
  <c r="Y406" i="4" s="1"/>
  <c r="V406" i="4"/>
  <c r="U406" i="4"/>
  <c r="BI405" i="4"/>
  <c r="AT405" i="4"/>
  <c r="AV405" i="4" s="1"/>
  <c r="AC405" i="4"/>
  <c r="AB405" i="4"/>
  <c r="V405" i="4"/>
  <c r="U405" i="4"/>
  <c r="BI404" i="4"/>
  <c r="AT404" i="4"/>
  <c r="AU404" i="4" s="1"/>
  <c r="AC404" i="4"/>
  <c r="AB404" i="4"/>
  <c r="V404" i="4"/>
  <c r="U404" i="4"/>
  <c r="BI403" i="4"/>
  <c r="AT403" i="4"/>
  <c r="AV403" i="4" s="1"/>
  <c r="AC403" i="4"/>
  <c r="AB403" i="4"/>
  <c r="Y403" i="4" s="1"/>
  <c r="V403" i="4"/>
  <c r="U403" i="4"/>
  <c r="R403" i="4" s="1"/>
  <c r="BI402" i="4"/>
  <c r="AT402" i="4"/>
  <c r="AC402" i="4"/>
  <c r="AB402" i="4"/>
  <c r="V402" i="4"/>
  <c r="U402" i="4"/>
  <c r="R402" i="4" s="1"/>
  <c r="BI401" i="4"/>
  <c r="AT401" i="4"/>
  <c r="AC401" i="4"/>
  <c r="AB401" i="4"/>
  <c r="V401" i="4"/>
  <c r="U401" i="4"/>
  <c r="R401" i="4" s="1"/>
  <c r="BI400" i="4"/>
  <c r="AT400" i="4"/>
  <c r="AV400" i="4" s="1"/>
  <c r="AC400" i="4"/>
  <c r="AB400" i="4"/>
  <c r="V400" i="4"/>
  <c r="AF400" i="4" s="1"/>
  <c r="U400" i="4"/>
  <c r="R400" i="4" s="1"/>
  <c r="BI399" i="4"/>
  <c r="AT399" i="4"/>
  <c r="AV399" i="4" s="1"/>
  <c r="AC399" i="4"/>
  <c r="AB399" i="4"/>
  <c r="V399" i="4"/>
  <c r="U399" i="4"/>
  <c r="R399" i="4" s="1"/>
  <c r="BI398" i="4"/>
  <c r="AT398" i="4"/>
  <c r="AC398" i="4"/>
  <c r="AB398" i="4"/>
  <c r="V398" i="4"/>
  <c r="U398" i="4"/>
  <c r="R398" i="4" s="1"/>
  <c r="BI397" i="4"/>
  <c r="AT397" i="4"/>
  <c r="AC397" i="4"/>
  <c r="AB397" i="4"/>
  <c r="V397" i="4"/>
  <c r="U397" i="4"/>
  <c r="R397" i="4" s="1"/>
  <c r="BI396" i="4"/>
  <c r="AT396" i="4"/>
  <c r="AV396" i="4" s="1"/>
  <c r="AC396" i="4"/>
  <c r="AB396" i="4"/>
  <c r="V396" i="4"/>
  <c r="U396" i="4"/>
  <c r="R396" i="4" s="1"/>
  <c r="BI395" i="4"/>
  <c r="AT395" i="4"/>
  <c r="AV395" i="4" s="1"/>
  <c r="AC395" i="4"/>
  <c r="AB395" i="4"/>
  <c r="V395" i="4"/>
  <c r="U395" i="4"/>
  <c r="R395" i="4" s="1"/>
  <c r="BI394" i="4"/>
  <c r="AT394" i="4"/>
  <c r="AC394" i="4"/>
  <c r="AB394" i="4"/>
  <c r="V394" i="4"/>
  <c r="U394" i="4"/>
  <c r="R394" i="4" s="1"/>
  <c r="BI393" i="4"/>
  <c r="AT393" i="4"/>
  <c r="AC393" i="4"/>
  <c r="AB393" i="4"/>
  <c r="V393" i="4"/>
  <c r="U393" i="4"/>
  <c r="R393" i="4" s="1"/>
  <c r="BI392" i="4"/>
  <c r="AT392" i="4"/>
  <c r="AV392" i="4" s="1"/>
  <c r="AC392" i="4"/>
  <c r="AB392" i="4"/>
  <c r="V392" i="4"/>
  <c r="U392" i="4"/>
  <c r="BI391" i="4"/>
  <c r="AT391" i="4"/>
  <c r="AV391" i="4" s="1"/>
  <c r="AC391" i="4"/>
  <c r="AB391" i="4"/>
  <c r="V391" i="4"/>
  <c r="U391" i="4"/>
  <c r="BI390" i="4"/>
  <c r="AT390" i="4"/>
  <c r="AV390" i="4" s="1"/>
  <c r="AY390" i="4" s="1"/>
  <c r="AC390" i="4"/>
  <c r="AB390" i="4"/>
  <c r="V390" i="4"/>
  <c r="U390" i="4"/>
  <c r="R390" i="4" s="1"/>
  <c r="BI389" i="4"/>
  <c r="AT389" i="4"/>
  <c r="AC389" i="4"/>
  <c r="AB389" i="4"/>
  <c r="V389" i="4"/>
  <c r="U389" i="4"/>
  <c r="R389" i="4" s="1"/>
  <c r="BI388" i="4"/>
  <c r="AT388" i="4"/>
  <c r="AV388" i="4" s="1"/>
  <c r="AC388" i="4"/>
  <c r="AB388" i="4"/>
  <c r="V388" i="4"/>
  <c r="U388" i="4"/>
  <c r="R388" i="4" s="1"/>
  <c r="BI387" i="4"/>
  <c r="AT387" i="4"/>
  <c r="AC387" i="4"/>
  <c r="AB387" i="4"/>
  <c r="V387" i="4"/>
  <c r="U387" i="4"/>
  <c r="R387" i="4" s="1"/>
  <c r="BI386" i="4"/>
  <c r="AT386" i="4"/>
  <c r="AU386" i="4" s="1"/>
  <c r="AC386" i="4"/>
  <c r="AB386" i="4"/>
  <c r="V386" i="4"/>
  <c r="U386" i="4"/>
  <c r="R386" i="4" s="1"/>
  <c r="BI385" i="4"/>
  <c r="AT385" i="4"/>
  <c r="AV385" i="4" s="1"/>
  <c r="AC385" i="4"/>
  <c r="AB385" i="4"/>
  <c r="V385" i="4"/>
  <c r="U385" i="4"/>
  <c r="BI384" i="4"/>
  <c r="AT384" i="4"/>
  <c r="AC384" i="4"/>
  <c r="AB384" i="4"/>
  <c r="V384" i="4"/>
  <c r="U384" i="4"/>
  <c r="R384" i="4" s="1"/>
  <c r="BI383" i="4"/>
  <c r="AT383" i="4"/>
  <c r="AC383" i="4"/>
  <c r="AB383" i="4"/>
  <c r="V383" i="4"/>
  <c r="U383" i="4"/>
  <c r="R383" i="4" s="1"/>
  <c r="BI382" i="4"/>
  <c r="AT382" i="4"/>
  <c r="AV382" i="4" s="1"/>
  <c r="AC382" i="4"/>
  <c r="AB382" i="4"/>
  <c r="V382" i="4"/>
  <c r="U382" i="4"/>
  <c r="R382" i="4" s="1"/>
  <c r="BI381" i="4"/>
  <c r="AT381" i="4"/>
  <c r="AV381" i="4" s="1"/>
  <c r="AC381" i="4"/>
  <c r="AB381" i="4"/>
  <c r="V381" i="4"/>
  <c r="U381" i="4"/>
  <c r="BI380" i="4"/>
  <c r="AV380" i="4"/>
  <c r="AT380" i="4"/>
  <c r="AU380" i="4" s="1"/>
  <c r="AC380" i="4"/>
  <c r="AB380" i="4"/>
  <c r="V380" i="4"/>
  <c r="U380" i="4"/>
  <c r="R380" i="4" s="1"/>
  <c r="BI379" i="4"/>
  <c r="AT379" i="4"/>
  <c r="AV379" i="4" s="1"/>
  <c r="AC379" i="4"/>
  <c r="AB379" i="4"/>
  <c r="V379" i="4"/>
  <c r="U379" i="4"/>
  <c r="R379" i="4" s="1"/>
  <c r="BI378" i="4"/>
  <c r="AT378" i="4"/>
  <c r="AC378" i="4"/>
  <c r="AB378" i="4"/>
  <c r="V378" i="4"/>
  <c r="U378" i="4"/>
  <c r="R378" i="4" s="1"/>
  <c r="BI377" i="4"/>
  <c r="AT377" i="4"/>
  <c r="AU377" i="4" s="1"/>
  <c r="AC377" i="4"/>
  <c r="AB377" i="4"/>
  <c r="V377" i="4"/>
  <c r="U377" i="4"/>
  <c r="R377" i="4" s="1"/>
  <c r="BI376" i="4"/>
  <c r="AT376" i="4"/>
  <c r="AC376" i="4"/>
  <c r="AB376" i="4"/>
  <c r="V376" i="4"/>
  <c r="U376" i="4"/>
  <c r="R376" i="4" s="1"/>
  <c r="BI375" i="4"/>
  <c r="AT375" i="4"/>
  <c r="AC375" i="4"/>
  <c r="AB375" i="4"/>
  <c r="V375" i="4"/>
  <c r="U375" i="4"/>
  <c r="R375" i="4" s="1"/>
  <c r="BI374" i="4"/>
  <c r="AT374" i="4"/>
  <c r="AU374" i="4" s="1"/>
  <c r="AC374" i="4"/>
  <c r="AB374" i="4"/>
  <c r="Y374" i="4" s="1"/>
  <c r="V374" i="4"/>
  <c r="U374" i="4"/>
  <c r="BI373" i="4"/>
  <c r="AT373" i="4"/>
  <c r="AC373" i="4"/>
  <c r="AB373" i="4"/>
  <c r="Y373" i="4" s="1"/>
  <c r="V373" i="4"/>
  <c r="U373" i="4"/>
  <c r="R373" i="4" s="1"/>
  <c r="BI372" i="4"/>
  <c r="AT372" i="4"/>
  <c r="AC372" i="4"/>
  <c r="AB372" i="4"/>
  <c r="Y372" i="4" s="1"/>
  <c r="V372" i="4"/>
  <c r="U372" i="4"/>
  <c r="R372" i="4" s="1"/>
  <c r="BI371" i="4"/>
  <c r="AT371" i="4"/>
  <c r="AV371" i="4" s="1"/>
  <c r="AC371" i="4"/>
  <c r="AB371" i="4"/>
  <c r="Y371" i="4" s="1"/>
  <c r="V371" i="4"/>
  <c r="U371" i="4"/>
  <c r="R371" i="4" s="1"/>
  <c r="BI370" i="4"/>
  <c r="AT370" i="4"/>
  <c r="AC370" i="4"/>
  <c r="AB370" i="4"/>
  <c r="Y370" i="4" s="1"/>
  <c r="V370" i="4"/>
  <c r="U370" i="4"/>
  <c r="BI369" i="4"/>
  <c r="AT369" i="4"/>
  <c r="AU369" i="4" s="1"/>
  <c r="AC369" i="4"/>
  <c r="AB369" i="4"/>
  <c r="V369" i="4"/>
  <c r="U369" i="4"/>
  <c r="R369" i="4" s="1"/>
  <c r="BI368" i="4"/>
  <c r="AT368" i="4"/>
  <c r="AC368" i="4"/>
  <c r="AB368" i="4"/>
  <c r="Y368" i="4" s="1"/>
  <c r="V368" i="4"/>
  <c r="U368" i="4"/>
  <c r="BI367" i="4"/>
  <c r="AT367" i="4"/>
  <c r="AC367" i="4"/>
  <c r="AB367" i="4"/>
  <c r="Y367" i="4" s="1"/>
  <c r="V367" i="4"/>
  <c r="U367" i="4"/>
  <c r="R367" i="4" s="1"/>
  <c r="BI366" i="4"/>
  <c r="AT366" i="4"/>
  <c r="AV366" i="4" s="1"/>
  <c r="AC366" i="4"/>
  <c r="AB366" i="4"/>
  <c r="Y366" i="4" s="1"/>
  <c r="V366" i="4"/>
  <c r="U366" i="4"/>
  <c r="BI365" i="4"/>
  <c r="AT365" i="4"/>
  <c r="AV365" i="4" s="1"/>
  <c r="AC365" i="4"/>
  <c r="AB365" i="4"/>
  <c r="Y365" i="4" s="1"/>
  <c r="V365" i="4"/>
  <c r="U365" i="4"/>
  <c r="AF365" i="4" s="1"/>
  <c r="BI364" i="4"/>
  <c r="AT364" i="4"/>
  <c r="AC364" i="4"/>
  <c r="AB364" i="4"/>
  <c r="Y364" i="4" s="1"/>
  <c r="V364" i="4"/>
  <c r="U364" i="4"/>
  <c r="R364" i="4" s="1"/>
  <c r="BI363" i="4"/>
  <c r="AT363" i="4"/>
  <c r="AC363" i="4"/>
  <c r="AB363" i="4"/>
  <c r="Y363" i="4" s="1"/>
  <c r="V363" i="4"/>
  <c r="U363" i="4"/>
  <c r="R363" i="4" s="1"/>
  <c r="BI362" i="4"/>
  <c r="AT362" i="4"/>
  <c r="AV362" i="4" s="1"/>
  <c r="AC362" i="4"/>
  <c r="AB362" i="4"/>
  <c r="Y362" i="4" s="1"/>
  <c r="V362" i="4"/>
  <c r="U362" i="4"/>
  <c r="R362" i="4" s="1"/>
  <c r="BI361" i="4"/>
  <c r="AT361" i="4"/>
  <c r="AV361" i="4" s="1"/>
  <c r="AC361" i="4"/>
  <c r="AB361" i="4"/>
  <c r="Y361" i="4" s="1"/>
  <c r="V361" i="4"/>
  <c r="U361" i="4"/>
  <c r="BI360" i="4"/>
  <c r="AT360" i="4"/>
  <c r="AC360" i="4"/>
  <c r="AB360" i="4"/>
  <c r="V360" i="4"/>
  <c r="U360" i="4"/>
  <c r="BI359" i="4"/>
  <c r="AT359" i="4"/>
  <c r="AV359" i="4" s="1"/>
  <c r="AC359" i="4"/>
  <c r="AB359" i="4"/>
  <c r="Y359" i="4" s="1"/>
  <c r="V359" i="4"/>
  <c r="U359" i="4"/>
  <c r="R359" i="4" s="1"/>
  <c r="BI358" i="4"/>
  <c r="AT358" i="4"/>
  <c r="AV358" i="4" s="1"/>
  <c r="AC358" i="4"/>
  <c r="AB358" i="4"/>
  <c r="Y358" i="4" s="1"/>
  <c r="V358" i="4"/>
  <c r="U358" i="4"/>
  <c r="R358" i="4" s="1"/>
  <c r="BI357" i="4"/>
  <c r="AT357" i="4"/>
  <c r="AV357" i="4" s="1"/>
  <c r="AY357" i="4" s="1"/>
  <c r="AC357" i="4"/>
  <c r="AB357" i="4"/>
  <c r="Y357" i="4" s="1"/>
  <c r="V357" i="4"/>
  <c r="U357" i="4"/>
  <c r="R357" i="4" s="1"/>
  <c r="BI356" i="4"/>
  <c r="AT356" i="4"/>
  <c r="AU356" i="4" s="1"/>
  <c r="AC356" i="4"/>
  <c r="AB356" i="4"/>
  <c r="V356" i="4"/>
  <c r="U356" i="4"/>
  <c r="BI355" i="4"/>
  <c r="AT355" i="4"/>
  <c r="AC355" i="4"/>
  <c r="AB355" i="4"/>
  <c r="Y355" i="4" s="1"/>
  <c r="V355" i="4"/>
  <c r="U355" i="4"/>
  <c r="BI354" i="4"/>
  <c r="AT354" i="4"/>
  <c r="AU354" i="4" s="1"/>
  <c r="AC354" i="4"/>
  <c r="AB354" i="4"/>
  <c r="Y354" i="4" s="1"/>
  <c r="V354" i="4"/>
  <c r="U354" i="4"/>
  <c r="R354" i="4" s="1"/>
  <c r="BI353" i="4"/>
  <c r="AT353" i="4"/>
  <c r="AV353" i="4" s="1"/>
  <c r="AC353" i="4"/>
  <c r="AB353" i="4"/>
  <c r="Y353" i="4" s="1"/>
  <c r="V353" i="4"/>
  <c r="U353" i="4"/>
  <c r="R353" i="4" s="1"/>
  <c r="BI352" i="4"/>
  <c r="AT352" i="4"/>
  <c r="AV352" i="4" s="1"/>
  <c r="BD352" i="4" s="1"/>
  <c r="AC352" i="4"/>
  <c r="AB352" i="4"/>
  <c r="V352" i="4"/>
  <c r="U352" i="4"/>
  <c r="R352" i="4" s="1"/>
  <c r="BI351" i="4"/>
  <c r="AT351" i="4"/>
  <c r="AU351" i="4" s="1"/>
  <c r="AC351" i="4"/>
  <c r="AB351" i="4"/>
  <c r="V351" i="4"/>
  <c r="U351" i="4"/>
  <c r="R351" i="4" s="1"/>
  <c r="BI350" i="4"/>
  <c r="AT350" i="4"/>
  <c r="AV350" i="4" s="1"/>
  <c r="AC350" i="4"/>
  <c r="AB350" i="4"/>
  <c r="V350" i="4"/>
  <c r="U350" i="4"/>
  <c r="BI349" i="4"/>
  <c r="AT349" i="4"/>
  <c r="AC349" i="4"/>
  <c r="AB349" i="4"/>
  <c r="Y349" i="4" s="1"/>
  <c r="V349" i="4"/>
  <c r="U349" i="4"/>
  <c r="R349" i="4" s="1"/>
  <c r="BI348" i="4"/>
  <c r="AT348" i="4"/>
  <c r="AC348" i="4"/>
  <c r="AB348" i="4"/>
  <c r="Y348" i="4" s="1"/>
  <c r="V348" i="4"/>
  <c r="U348" i="4"/>
  <c r="R348" i="4" s="1"/>
  <c r="BI347" i="4"/>
  <c r="AT347" i="4"/>
  <c r="AV347" i="4" s="1"/>
  <c r="AC347" i="4"/>
  <c r="AB347" i="4"/>
  <c r="V347" i="4"/>
  <c r="U347" i="4"/>
  <c r="R347" i="4" s="1"/>
  <c r="BI346" i="4"/>
  <c r="AT346" i="4"/>
  <c r="AV346" i="4" s="1"/>
  <c r="AC346" i="4"/>
  <c r="AB346" i="4"/>
  <c r="Y346" i="4" s="1"/>
  <c r="V346" i="4"/>
  <c r="U346" i="4"/>
  <c r="BI345" i="4"/>
  <c r="AT345" i="4"/>
  <c r="AC345" i="4"/>
  <c r="AB345" i="4"/>
  <c r="Y345" i="4" s="1"/>
  <c r="V345" i="4"/>
  <c r="U345" i="4"/>
  <c r="R345" i="4" s="1"/>
  <c r="BI344" i="4"/>
  <c r="AT344" i="4"/>
  <c r="AC344" i="4"/>
  <c r="AB344" i="4"/>
  <c r="Y344" i="4" s="1"/>
  <c r="V344" i="4"/>
  <c r="U344" i="4"/>
  <c r="R344" i="4" s="1"/>
  <c r="BI343" i="4"/>
  <c r="AT343" i="4"/>
  <c r="AC343" i="4"/>
  <c r="AB343" i="4"/>
  <c r="Y343" i="4" s="1"/>
  <c r="V343" i="4"/>
  <c r="U343" i="4"/>
  <c r="R343" i="4" s="1"/>
  <c r="BI342" i="4"/>
  <c r="AT342" i="4"/>
  <c r="AU342" i="4" s="1"/>
  <c r="AC342" i="4"/>
  <c r="AB342" i="4"/>
  <c r="Y342" i="4"/>
  <c r="V342" i="4"/>
  <c r="U342" i="4"/>
  <c r="BI341" i="4"/>
  <c r="AT341" i="4"/>
  <c r="AV341" i="4" s="1"/>
  <c r="AY341" i="4" s="1"/>
  <c r="AC341" i="4"/>
  <c r="AB341" i="4"/>
  <c r="V341" i="4"/>
  <c r="U341" i="4"/>
  <c r="R341" i="4" s="1"/>
  <c r="BI340" i="4"/>
  <c r="AW340" i="4"/>
  <c r="AT340" i="4"/>
  <c r="AV340" i="4" s="1"/>
  <c r="AY340" i="4" s="1"/>
  <c r="AC340" i="4"/>
  <c r="AB340" i="4"/>
  <c r="V340" i="4"/>
  <c r="U340" i="4"/>
  <c r="R340" i="4" s="1"/>
  <c r="BI339" i="4"/>
  <c r="AT339" i="4"/>
  <c r="AU339" i="4" s="1"/>
  <c r="AC339" i="4"/>
  <c r="AB339" i="4"/>
  <c r="V339" i="4"/>
  <c r="U339" i="4"/>
  <c r="R339" i="4" s="1"/>
  <c r="BI338" i="4"/>
  <c r="AT338" i="4"/>
  <c r="AV338" i="4" s="1"/>
  <c r="AC338" i="4"/>
  <c r="AB338" i="4"/>
  <c r="V338" i="4"/>
  <c r="U338" i="4"/>
  <c r="BI337" i="4"/>
  <c r="AT337" i="4"/>
  <c r="AC337" i="4"/>
  <c r="AB337" i="4"/>
  <c r="Y337" i="4" s="1"/>
  <c r="V337" i="4"/>
  <c r="U337" i="4"/>
  <c r="R337" i="4" s="1"/>
  <c r="BI336" i="4"/>
  <c r="AT336" i="4"/>
  <c r="AU336" i="4" s="1"/>
  <c r="AC336" i="4"/>
  <c r="AB336" i="4"/>
  <c r="V336" i="4"/>
  <c r="U336" i="4"/>
  <c r="BI335" i="4"/>
  <c r="AT335" i="4"/>
  <c r="AC335" i="4"/>
  <c r="AB335" i="4"/>
  <c r="V335" i="4"/>
  <c r="U335" i="4"/>
  <c r="R335" i="4" s="1"/>
  <c r="BI334" i="4"/>
  <c r="AT334" i="4"/>
  <c r="AU334" i="4" s="1"/>
  <c r="AC334" i="4"/>
  <c r="AB334" i="4"/>
  <c r="V334" i="4"/>
  <c r="U334" i="4"/>
  <c r="R334" i="4" s="1"/>
  <c r="BI333" i="4"/>
  <c r="AT333" i="4"/>
  <c r="AU333" i="4" s="1"/>
  <c r="AC333" i="4"/>
  <c r="AB333" i="4"/>
  <c r="V333" i="4"/>
  <c r="U333" i="4"/>
  <c r="BI332" i="4"/>
  <c r="AT332" i="4"/>
  <c r="AC332" i="4"/>
  <c r="AB332" i="4"/>
  <c r="V332" i="4"/>
  <c r="U332" i="4"/>
  <c r="R332" i="4" s="1"/>
  <c r="BI331" i="4"/>
  <c r="AT331" i="4"/>
  <c r="AU331" i="4" s="1"/>
  <c r="AC331" i="4"/>
  <c r="AB331" i="4"/>
  <c r="V331" i="4"/>
  <c r="U331" i="4"/>
  <c r="R331" i="4" s="1"/>
  <c r="BI330" i="4"/>
  <c r="AT330" i="4"/>
  <c r="AU330" i="4" s="1"/>
  <c r="AC330" i="4"/>
  <c r="AB330" i="4"/>
  <c r="V330" i="4"/>
  <c r="U330" i="4"/>
  <c r="BI329" i="4"/>
  <c r="AT329" i="4"/>
  <c r="AU329" i="4" s="1"/>
  <c r="AC329" i="4"/>
  <c r="AB329" i="4"/>
  <c r="V329" i="4"/>
  <c r="U329" i="4"/>
  <c r="BI328" i="4"/>
  <c r="AT328" i="4"/>
  <c r="AU328" i="4" s="1"/>
  <c r="AC328" i="4"/>
  <c r="AB328" i="4"/>
  <c r="V328" i="4"/>
  <c r="U328" i="4"/>
  <c r="R328" i="4" s="1"/>
  <c r="BI327" i="4"/>
  <c r="AT327" i="4"/>
  <c r="AC327" i="4"/>
  <c r="AB327" i="4"/>
  <c r="V327" i="4"/>
  <c r="U327" i="4"/>
  <c r="R327" i="4" s="1"/>
  <c r="BI326" i="4"/>
  <c r="AT326" i="4"/>
  <c r="AU326" i="4" s="1"/>
  <c r="AC326" i="4"/>
  <c r="AB326" i="4"/>
  <c r="Y326" i="4" s="1"/>
  <c r="V326" i="4"/>
  <c r="U326" i="4"/>
  <c r="R326" i="4" s="1"/>
  <c r="BI325" i="4"/>
  <c r="AT325" i="4"/>
  <c r="AC325" i="4"/>
  <c r="AB325" i="4"/>
  <c r="V325" i="4"/>
  <c r="U325" i="4"/>
  <c r="R325" i="4" s="1"/>
  <c r="BI324" i="4"/>
  <c r="AT324" i="4"/>
  <c r="AU324" i="4" s="1"/>
  <c r="AC324" i="4"/>
  <c r="AB324" i="4"/>
  <c r="V324" i="4"/>
  <c r="U324" i="4"/>
  <c r="R324" i="4" s="1"/>
  <c r="BI323" i="4"/>
  <c r="AT323" i="4"/>
  <c r="AV323" i="4" s="1"/>
  <c r="AC323" i="4"/>
  <c r="AB323" i="4"/>
  <c r="V323" i="4"/>
  <c r="U323" i="4"/>
  <c r="BI322" i="4"/>
  <c r="AT322" i="4"/>
  <c r="AV322" i="4" s="1"/>
  <c r="BD322" i="4" s="1"/>
  <c r="AC322" i="4"/>
  <c r="AB322" i="4"/>
  <c r="V322" i="4"/>
  <c r="U322" i="4"/>
  <c r="BI321" i="4"/>
  <c r="AT321" i="4"/>
  <c r="AC321" i="4"/>
  <c r="AB321" i="4"/>
  <c r="V321" i="4"/>
  <c r="U321" i="4"/>
  <c r="BI320" i="4"/>
  <c r="AT320" i="4"/>
  <c r="AU320" i="4" s="1"/>
  <c r="AC320" i="4"/>
  <c r="AB320" i="4"/>
  <c r="V320" i="4"/>
  <c r="U320" i="4"/>
  <c r="BI319" i="4"/>
  <c r="AT319" i="4"/>
  <c r="AU319" i="4" s="1"/>
  <c r="AC319" i="4"/>
  <c r="AB319" i="4"/>
  <c r="V319" i="4"/>
  <c r="U319" i="4"/>
  <c r="BI318" i="4"/>
  <c r="AT318" i="4"/>
  <c r="AC318" i="4"/>
  <c r="AB318" i="4"/>
  <c r="Y318" i="4" s="1"/>
  <c r="V318" i="4"/>
  <c r="U318" i="4"/>
  <c r="BI317" i="4"/>
  <c r="AT317" i="4"/>
  <c r="AV317" i="4" s="1"/>
  <c r="AC317" i="4"/>
  <c r="AB317" i="4"/>
  <c r="V317" i="4"/>
  <c r="U317" i="4"/>
  <c r="BI316" i="4"/>
  <c r="AT316" i="4"/>
  <c r="AC316" i="4"/>
  <c r="AB316" i="4"/>
  <c r="Y316" i="4" s="1"/>
  <c r="V316" i="4"/>
  <c r="U316" i="4"/>
  <c r="R316" i="4" s="1"/>
  <c r="BI315" i="4"/>
  <c r="AT315" i="4"/>
  <c r="AV315" i="4" s="1"/>
  <c r="AC315" i="4"/>
  <c r="AB315" i="4"/>
  <c r="V315" i="4"/>
  <c r="U315" i="4"/>
  <c r="BI314" i="4"/>
  <c r="AT314" i="4"/>
  <c r="AC314" i="4"/>
  <c r="AB314" i="4"/>
  <c r="V314" i="4"/>
  <c r="U314" i="4"/>
  <c r="BI313" i="4"/>
  <c r="AT313" i="4"/>
  <c r="AC313" i="4"/>
  <c r="AB313" i="4"/>
  <c r="Y313" i="4" s="1"/>
  <c r="V313" i="4"/>
  <c r="U313" i="4"/>
  <c r="BI312" i="4"/>
  <c r="AT312" i="4"/>
  <c r="AC312" i="4"/>
  <c r="AB312" i="4"/>
  <c r="V312" i="4"/>
  <c r="U312" i="4"/>
  <c r="BI311" i="4"/>
  <c r="AT311" i="4"/>
  <c r="AC311" i="4"/>
  <c r="AB311" i="4"/>
  <c r="V311" i="4"/>
  <c r="U311" i="4"/>
  <c r="BI310" i="4"/>
  <c r="AT310" i="4"/>
  <c r="AC310" i="4"/>
  <c r="AB310" i="4"/>
  <c r="V310" i="4"/>
  <c r="U310" i="4"/>
  <c r="BI309" i="4"/>
  <c r="AT309" i="4"/>
  <c r="AC309" i="4"/>
  <c r="AB309" i="4"/>
  <c r="V309" i="4"/>
  <c r="U309" i="4"/>
  <c r="BI308" i="4"/>
  <c r="AT308" i="4"/>
  <c r="AC308" i="4"/>
  <c r="AB308" i="4"/>
  <c r="V308" i="4"/>
  <c r="U308" i="4"/>
  <c r="BI307" i="4"/>
  <c r="AT307" i="4"/>
  <c r="AC307" i="4"/>
  <c r="AB307" i="4"/>
  <c r="Y307" i="4" s="1"/>
  <c r="V307" i="4"/>
  <c r="U307" i="4"/>
  <c r="BI306" i="4"/>
  <c r="AT306" i="4"/>
  <c r="AC306" i="4"/>
  <c r="AB306" i="4"/>
  <c r="V306" i="4"/>
  <c r="U306" i="4"/>
  <c r="BI305" i="4"/>
  <c r="AT305" i="4"/>
  <c r="AC305" i="4"/>
  <c r="AB305" i="4"/>
  <c r="V305" i="4"/>
  <c r="U305" i="4"/>
  <c r="BI304" i="4"/>
  <c r="AT304" i="4"/>
  <c r="AC304" i="4"/>
  <c r="AB304" i="4"/>
  <c r="V304" i="4"/>
  <c r="U304" i="4"/>
  <c r="BI303" i="4"/>
  <c r="AT303" i="4"/>
  <c r="AC303" i="4"/>
  <c r="AB303" i="4"/>
  <c r="Y303" i="4" s="1"/>
  <c r="V303" i="4"/>
  <c r="U303" i="4"/>
  <c r="BI302" i="4"/>
  <c r="AT302" i="4"/>
  <c r="AC302" i="4"/>
  <c r="AB302" i="4"/>
  <c r="V302" i="4"/>
  <c r="U302" i="4"/>
  <c r="BI301" i="4"/>
  <c r="AT301" i="4"/>
  <c r="AC301" i="4"/>
  <c r="AB301" i="4"/>
  <c r="V301" i="4"/>
  <c r="U301" i="4"/>
  <c r="BI300" i="4"/>
  <c r="AT300" i="4"/>
  <c r="AC300" i="4"/>
  <c r="AB300" i="4"/>
  <c r="V300" i="4"/>
  <c r="U300" i="4"/>
  <c r="BI299" i="4"/>
  <c r="AT299" i="4"/>
  <c r="AC299" i="4"/>
  <c r="AB299" i="4"/>
  <c r="V299" i="4"/>
  <c r="U299" i="4"/>
  <c r="BI298" i="4"/>
  <c r="AT298" i="4"/>
  <c r="AC298" i="4"/>
  <c r="AB298" i="4"/>
  <c r="Y298" i="4" s="1"/>
  <c r="V298" i="4"/>
  <c r="U298" i="4"/>
  <c r="BI297" i="4"/>
  <c r="AT297" i="4"/>
  <c r="AC297" i="4"/>
  <c r="AB297" i="4"/>
  <c r="V297" i="4"/>
  <c r="U297" i="4"/>
  <c r="BI296" i="4"/>
  <c r="AT296" i="4"/>
  <c r="AC296" i="4"/>
  <c r="AB296" i="4"/>
  <c r="V296" i="4"/>
  <c r="U296" i="4"/>
  <c r="BI295" i="4"/>
  <c r="AT295" i="4"/>
  <c r="AC295" i="4"/>
  <c r="AB295" i="4"/>
  <c r="V295" i="4"/>
  <c r="U295" i="4"/>
  <c r="BI294" i="4"/>
  <c r="AT294" i="4"/>
  <c r="AC294" i="4"/>
  <c r="AB294" i="4"/>
  <c r="V294" i="4"/>
  <c r="U294" i="4"/>
  <c r="BI293" i="4"/>
  <c r="AT293" i="4"/>
  <c r="AC293" i="4"/>
  <c r="AB293" i="4"/>
  <c r="V293" i="4"/>
  <c r="U293" i="4"/>
  <c r="BI292" i="4"/>
  <c r="AT292" i="4"/>
  <c r="AC292" i="4"/>
  <c r="AB292" i="4"/>
  <c r="V292" i="4"/>
  <c r="U292" i="4"/>
  <c r="BI291" i="4"/>
  <c r="AT291" i="4"/>
  <c r="AC291" i="4"/>
  <c r="AB291" i="4"/>
  <c r="V291" i="4"/>
  <c r="U291" i="4"/>
  <c r="BI290" i="4"/>
  <c r="AT290" i="4"/>
  <c r="AC290" i="4"/>
  <c r="AB290" i="4"/>
  <c r="Y290" i="4" s="1"/>
  <c r="V290" i="4"/>
  <c r="U290" i="4"/>
  <c r="BI289" i="4"/>
  <c r="AT289" i="4"/>
  <c r="AC289" i="4"/>
  <c r="AB289" i="4"/>
  <c r="V289" i="4"/>
  <c r="U289" i="4"/>
  <c r="BI288" i="4"/>
  <c r="AT288" i="4"/>
  <c r="AC288" i="4"/>
  <c r="AB288" i="4"/>
  <c r="V288" i="4"/>
  <c r="U288" i="4"/>
  <c r="BI287" i="4"/>
  <c r="AT287" i="4"/>
  <c r="AC287" i="4"/>
  <c r="AB287" i="4"/>
  <c r="V287" i="4"/>
  <c r="U287" i="4"/>
  <c r="R287" i="4" s="1"/>
  <c r="BI286" i="4"/>
  <c r="AT286" i="4"/>
  <c r="AC286" i="4"/>
  <c r="AB286" i="4"/>
  <c r="V286" i="4"/>
  <c r="U286" i="4"/>
  <c r="R286" i="4" s="1"/>
  <c r="BI285" i="4"/>
  <c r="AT285" i="4"/>
  <c r="AU285" i="4" s="1"/>
  <c r="AC285" i="4"/>
  <c r="AB285" i="4"/>
  <c r="V285" i="4"/>
  <c r="U285" i="4"/>
  <c r="BI284" i="4"/>
  <c r="AT284" i="4"/>
  <c r="AU284" i="4" s="1"/>
  <c r="AC284" i="4"/>
  <c r="AB284" i="4"/>
  <c r="Y284" i="4" s="1"/>
  <c r="V284" i="4"/>
  <c r="U284" i="4"/>
  <c r="BI283" i="4"/>
  <c r="AT283" i="4"/>
  <c r="AV283" i="4" s="1"/>
  <c r="AC283" i="4"/>
  <c r="AB283" i="4"/>
  <c r="Y283" i="4" s="1"/>
  <c r="V283" i="4"/>
  <c r="U283" i="4"/>
  <c r="BI282" i="4"/>
  <c r="AT282" i="4"/>
  <c r="AU282" i="4" s="1"/>
  <c r="AC282" i="4"/>
  <c r="AB282" i="4"/>
  <c r="Y282" i="4" s="1"/>
  <c r="V282" i="4"/>
  <c r="U282" i="4"/>
  <c r="BI281" i="4"/>
  <c r="AT281" i="4"/>
  <c r="AV281" i="4" s="1"/>
  <c r="AC281" i="4"/>
  <c r="AB281" i="4"/>
  <c r="Y281" i="4" s="1"/>
  <c r="V281" i="4"/>
  <c r="U281" i="4"/>
  <c r="BI280" i="4"/>
  <c r="AT280" i="4"/>
  <c r="AU280" i="4" s="1"/>
  <c r="AC280" i="4"/>
  <c r="AB280" i="4"/>
  <c r="Y280" i="4" s="1"/>
  <c r="V280" i="4"/>
  <c r="U280" i="4"/>
  <c r="BI279" i="4"/>
  <c r="AT279" i="4"/>
  <c r="AV279" i="4" s="1"/>
  <c r="AC279" i="4"/>
  <c r="AB279" i="4"/>
  <c r="Y279" i="4" s="1"/>
  <c r="V279" i="4"/>
  <c r="U279" i="4"/>
  <c r="R279" i="4" s="1"/>
  <c r="BI278" i="4"/>
  <c r="AT278" i="4"/>
  <c r="AU278" i="4" s="1"/>
  <c r="AC278" i="4"/>
  <c r="AB278" i="4"/>
  <c r="Y278" i="4" s="1"/>
  <c r="V278" i="4"/>
  <c r="U278" i="4"/>
  <c r="BI277" i="4"/>
  <c r="AV277" i="4"/>
  <c r="AT277" i="4"/>
  <c r="AU277" i="4" s="1"/>
  <c r="AC277" i="4"/>
  <c r="AB277" i="4"/>
  <c r="Y277" i="4" s="1"/>
  <c r="V277" i="4"/>
  <c r="U277" i="4"/>
  <c r="BI276" i="4"/>
  <c r="AT276" i="4"/>
  <c r="AU276" i="4" s="1"/>
  <c r="AC276" i="4"/>
  <c r="AB276" i="4"/>
  <c r="Y276" i="4" s="1"/>
  <c r="V276" i="4"/>
  <c r="U276" i="4"/>
  <c r="BI275" i="4"/>
  <c r="AT275" i="4"/>
  <c r="AV275" i="4" s="1"/>
  <c r="AC275" i="4"/>
  <c r="AB275" i="4"/>
  <c r="Y275" i="4" s="1"/>
  <c r="V275" i="4"/>
  <c r="U275" i="4"/>
  <c r="BI274" i="4"/>
  <c r="AT274" i="4"/>
  <c r="AU274" i="4" s="1"/>
  <c r="AC274" i="4"/>
  <c r="AG274" i="4" s="1"/>
  <c r="AB274" i="4"/>
  <c r="Y274" i="4" s="1"/>
  <c r="V274" i="4"/>
  <c r="U274" i="4"/>
  <c r="BI273" i="4"/>
  <c r="AT273" i="4"/>
  <c r="AV273" i="4" s="1"/>
  <c r="AC273" i="4"/>
  <c r="AB273" i="4"/>
  <c r="Y273" i="4" s="1"/>
  <c r="V273" i="4"/>
  <c r="U273" i="4"/>
  <c r="R273" i="4" s="1"/>
  <c r="BI272" i="4"/>
  <c r="AT272" i="4"/>
  <c r="AC272" i="4"/>
  <c r="AB272" i="4"/>
  <c r="Y272" i="4" s="1"/>
  <c r="V272" i="4"/>
  <c r="U272" i="4"/>
  <c r="R272" i="4" s="1"/>
  <c r="BI271" i="4"/>
  <c r="AT271" i="4"/>
  <c r="AC271" i="4"/>
  <c r="AB271" i="4"/>
  <c r="Y271" i="4" s="1"/>
  <c r="V271" i="4"/>
  <c r="U271" i="4"/>
  <c r="R271" i="4" s="1"/>
  <c r="BI270" i="4"/>
  <c r="AT270" i="4"/>
  <c r="AC270" i="4"/>
  <c r="AG270" i="4" s="1"/>
  <c r="AB270" i="4"/>
  <c r="Y270" i="4" s="1"/>
  <c r="V270" i="4"/>
  <c r="U270" i="4"/>
  <c r="BI269" i="4"/>
  <c r="AT269" i="4"/>
  <c r="AU269" i="4" s="1"/>
  <c r="AC269" i="4"/>
  <c r="AB269" i="4"/>
  <c r="Y269" i="4" s="1"/>
  <c r="V269" i="4"/>
  <c r="U269" i="4"/>
  <c r="BI268" i="4"/>
  <c r="AT268" i="4"/>
  <c r="AU268" i="4" s="1"/>
  <c r="AC268" i="4"/>
  <c r="AB268" i="4"/>
  <c r="Y268" i="4" s="1"/>
  <c r="V268" i="4"/>
  <c r="U268" i="4"/>
  <c r="R268" i="4" s="1"/>
  <c r="BI267" i="4"/>
  <c r="AT267" i="4"/>
  <c r="AV267" i="4" s="1"/>
  <c r="AW267" i="4" s="1"/>
  <c r="AC267" i="4"/>
  <c r="AB267" i="4"/>
  <c r="V267" i="4"/>
  <c r="U267" i="4"/>
  <c r="R267" i="4" s="1"/>
  <c r="BI266" i="4"/>
  <c r="AT266" i="4"/>
  <c r="AU266" i="4" s="1"/>
  <c r="AC266" i="4"/>
  <c r="AB266" i="4"/>
  <c r="Y266" i="4" s="1"/>
  <c r="V266" i="4"/>
  <c r="U266" i="4"/>
  <c r="BI265" i="4"/>
  <c r="AT265" i="4"/>
  <c r="AU265" i="4" s="1"/>
  <c r="AC265" i="4"/>
  <c r="AB265" i="4"/>
  <c r="Y265" i="4" s="1"/>
  <c r="V265" i="4"/>
  <c r="U265" i="4"/>
  <c r="R265" i="4" s="1"/>
  <c r="BI264" i="4"/>
  <c r="AT264" i="4"/>
  <c r="AU264" i="4" s="1"/>
  <c r="AC264" i="4"/>
  <c r="AB264" i="4"/>
  <c r="Y264" i="4" s="1"/>
  <c r="V264" i="4"/>
  <c r="U264" i="4"/>
  <c r="BI263" i="4"/>
  <c r="AT263" i="4"/>
  <c r="AU263" i="4" s="1"/>
  <c r="AC263" i="4"/>
  <c r="AB263" i="4"/>
  <c r="Y263" i="4" s="1"/>
  <c r="V263" i="4"/>
  <c r="U263" i="4"/>
  <c r="BI262" i="4"/>
  <c r="AT262" i="4"/>
  <c r="AU262" i="4" s="1"/>
  <c r="AC262" i="4"/>
  <c r="AB262" i="4"/>
  <c r="Y262" i="4" s="1"/>
  <c r="V262" i="4"/>
  <c r="U262" i="4"/>
  <c r="BI261" i="4"/>
  <c r="AT261" i="4"/>
  <c r="AU261" i="4" s="1"/>
  <c r="AC261" i="4"/>
  <c r="AB261" i="4"/>
  <c r="Y261" i="4" s="1"/>
  <c r="V261" i="4"/>
  <c r="U261" i="4"/>
  <c r="BI260" i="4"/>
  <c r="AT260" i="4"/>
  <c r="AC260" i="4"/>
  <c r="AB260" i="4"/>
  <c r="Y260" i="4" s="1"/>
  <c r="V260" i="4"/>
  <c r="U260" i="4"/>
  <c r="R260" i="4" s="1"/>
  <c r="BI259" i="4"/>
  <c r="AT259" i="4"/>
  <c r="AU259" i="4" s="1"/>
  <c r="AC259" i="4"/>
  <c r="AB259" i="4"/>
  <c r="Y259" i="4" s="1"/>
  <c r="V259" i="4"/>
  <c r="U259" i="4"/>
  <c r="AL259" i="4" s="1"/>
  <c r="BI258" i="4"/>
  <c r="AT258" i="4"/>
  <c r="AC258" i="4"/>
  <c r="AB258" i="4"/>
  <c r="V258" i="4"/>
  <c r="U258" i="4"/>
  <c r="BI257" i="4"/>
  <c r="AT257" i="4"/>
  <c r="AC257" i="4"/>
  <c r="AB257" i="4"/>
  <c r="Y257" i="4" s="1"/>
  <c r="V257" i="4"/>
  <c r="U257" i="4"/>
  <c r="R257" i="4" s="1"/>
  <c r="BI256" i="4"/>
  <c r="AT256" i="4"/>
  <c r="AC256" i="4"/>
  <c r="AB256" i="4"/>
  <c r="Y256" i="4" s="1"/>
  <c r="V256" i="4"/>
  <c r="U256" i="4"/>
  <c r="BI255" i="4"/>
  <c r="AT255" i="4"/>
  <c r="AU255" i="4" s="1"/>
  <c r="AC255" i="4"/>
  <c r="AB255" i="4"/>
  <c r="Y255" i="4" s="1"/>
  <c r="V255" i="4"/>
  <c r="U255" i="4"/>
  <c r="BI254" i="4"/>
  <c r="AT254" i="4"/>
  <c r="AU254" i="4" s="1"/>
  <c r="AC254" i="4"/>
  <c r="AB254" i="4"/>
  <c r="Y254" i="4" s="1"/>
  <c r="V254" i="4"/>
  <c r="U254" i="4"/>
  <c r="R254" i="4" s="1"/>
  <c r="BI253" i="4"/>
  <c r="AT253" i="4"/>
  <c r="AC253" i="4"/>
  <c r="AB253" i="4"/>
  <c r="Y253" i="4" s="1"/>
  <c r="V253" i="4"/>
  <c r="U253" i="4"/>
  <c r="R253" i="4" s="1"/>
  <c r="BI252" i="4"/>
  <c r="AT252" i="4"/>
  <c r="AU252" i="4" s="1"/>
  <c r="AC252" i="4"/>
  <c r="AB252" i="4"/>
  <c r="Y252" i="4" s="1"/>
  <c r="V252" i="4"/>
  <c r="U252" i="4"/>
  <c r="R252" i="4" s="1"/>
  <c r="BI251" i="4"/>
  <c r="AT251" i="4"/>
  <c r="AU251" i="4" s="1"/>
  <c r="AC251" i="4"/>
  <c r="AB251" i="4"/>
  <c r="Y251" i="4" s="1"/>
  <c r="V251" i="4"/>
  <c r="U251" i="4"/>
  <c r="BI250" i="4"/>
  <c r="AT250" i="4"/>
  <c r="AU250" i="4" s="1"/>
  <c r="AC250" i="4"/>
  <c r="AB250" i="4"/>
  <c r="Y250" i="4" s="1"/>
  <c r="V250" i="4"/>
  <c r="U250" i="4"/>
  <c r="BI249" i="4"/>
  <c r="AT249" i="4"/>
  <c r="AU249" i="4" s="1"/>
  <c r="AC249" i="4"/>
  <c r="AB249" i="4"/>
  <c r="Y249" i="4" s="1"/>
  <c r="V249" i="4"/>
  <c r="U249" i="4"/>
  <c r="R249" i="4" s="1"/>
  <c r="BI248" i="4"/>
  <c r="AT248" i="4"/>
  <c r="AU248" i="4" s="1"/>
  <c r="AC248" i="4"/>
  <c r="AB248" i="4"/>
  <c r="V248" i="4"/>
  <c r="U248" i="4"/>
  <c r="R248" i="4" s="1"/>
  <c r="BI247" i="4"/>
  <c r="AT247" i="4"/>
  <c r="AC247" i="4"/>
  <c r="AB247" i="4"/>
  <c r="Y247" i="4" s="1"/>
  <c r="V247" i="4"/>
  <c r="U247" i="4"/>
  <c r="R247" i="4" s="1"/>
  <c r="BI246" i="4"/>
  <c r="AT246" i="4"/>
  <c r="AC246" i="4"/>
  <c r="AB246" i="4"/>
  <c r="Y246" i="4" s="1"/>
  <c r="V246" i="4"/>
  <c r="U246" i="4"/>
  <c r="BI245" i="4"/>
  <c r="AT245" i="4"/>
  <c r="AU245" i="4" s="1"/>
  <c r="AC245" i="4"/>
  <c r="AB245" i="4"/>
  <c r="Y245" i="4" s="1"/>
  <c r="V245" i="4"/>
  <c r="U245" i="4"/>
  <c r="BI244" i="4"/>
  <c r="AT244" i="4"/>
  <c r="AC244" i="4"/>
  <c r="AB244" i="4"/>
  <c r="Y244" i="4" s="1"/>
  <c r="V244" i="4"/>
  <c r="U244" i="4"/>
  <c r="BI243" i="4"/>
  <c r="AT243" i="4"/>
  <c r="AU243" i="4" s="1"/>
  <c r="AC243" i="4"/>
  <c r="AD243" i="4" s="1"/>
  <c r="AE243" i="4" s="1"/>
  <c r="AB243" i="4"/>
  <c r="V243" i="4"/>
  <c r="U243" i="4"/>
  <c r="R243" i="4"/>
  <c r="BI242" i="4"/>
  <c r="AT242" i="4"/>
  <c r="AU242" i="4" s="1"/>
  <c r="AC242" i="4"/>
  <c r="AB242" i="4"/>
  <c r="Y242" i="4" s="1"/>
  <c r="V242" i="4"/>
  <c r="U242" i="4"/>
  <c r="BI241" i="4"/>
  <c r="AT241" i="4"/>
  <c r="AU241" i="4" s="1"/>
  <c r="AC241" i="4"/>
  <c r="AB241" i="4"/>
  <c r="V241" i="4"/>
  <c r="U241" i="4"/>
  <c r="R241" i="4" s="1"/>
  <c r="BI240" i="4"/>
  <c r="AT240" i="4"/>
  <c r="AU240" i="4" s="1"/>
  <c r="AC240" i="4"/>
  <c r="AB240" i="4"/>
  <c r="V240" i="4"/>
  <c r="U240" i="4"/>
  <c r="BI239" i="4"/>
  <c r="AT239" i="4"/>
  <c r="AU239" i="4" s="1"/>
  <c r="AC239" i="4"/>
  <c r="AB239" i="4"/>
  <c r="V239" i="4"/>
  <c r="U239" i="4"/>
  <c r="BI238" i="4"/>
  <c r="AT238" i="4"/>
  <c r="AU238" i="4" s="1"/>
  <c r="AC238" i="4"/>
  <c r="AB238" i="4"/>
  <c r="Y238" i="4" s="1"/>
  <c r="V238" i="4"/>
  <c r="U238" i="4"/>
  <c r="BI237" i="4"/>
  <c r="AT237" i="4"/>
  <c r="AU237" i="4" s="1"/>
  <c r="AC237" i="4"/>
  <c r="AB237" i="4"/>
  <c r="V237" i="4"/>
  <c r="U237" i="4"/>
  <c r="R237" i="4" s="1"/>
  <c r="BI236" i="4"/>
  <c r="AT236" i="4"/>
  <c r="AU236" i="4" s="1"/>
  <c r="AC236" i="4"/>
  <c r="AB236" i="4"/>
  <c r="Y236" i="4" s="1"/>
  <c r="V236" i="4"/>
  <c r="U236" i="4"/>
  <c r="BI235" i="4"/>
  <c r="AT235" i="4"/>
  <c r="AC235" i="4"/>
  <c r="AB235" i="4"/>
  <c r="Y235" i="4" s="1"/>
  <c r="V235" i="4"/>
  <c r="U235" i="4"/>
  <c r="R235" i="4" s="1"/>
  <c r="BI234" i="4"/>
  <c r="AT234" i="4"/>
  <c r="AV234" i="4" s="1"/>
  <c r="AW234" i="4" s="1"/>
  <c r="BJ234" i="4" s="1"/>
  <c r="AC234" i="4"/>
  <c r="AB234" i="4"/>
  <c r="Y234" i="4" s="1"/>
  <c r="V234" i="4"/>
  <c r="U234" i="4"/>
  <c r="R234" i="4" s="1"/>
  <c r="BI233" i="4"/>
  <c r="AT233" i="4"/>
  <c r="AC233" i="4"/>
  <c r="AB233" i="4"/>
  <c r="Y233" i="4" s="1"/>
  <c r="V233" i="4"/>
  <c r="U233" i="4"/>
  <c r="R233" i="4" s="1"/>
  <c r="BI232" i="4"/>
  <c r="AT232" i="4"/>
  <c r="AU232" i="4" s="1"/>
  <c r="AC232" i="4"/>
  <c r="AB232" i="4"/>
  <c r="Y232" i="4" s="1"/>
  <c r="V232" i="4"/>
  <c r="U232" i="4"/>
  <c r="R232" i="4" s="1"/>
  <c r="BI231" i="4"/>
  <c r="AT231" i="4"/>
  <c r="AU231" i="4" s="1"/>
  <c r="AC231" i="4"/>
  <c r="AB231" i="4"/>
  <c r="Y231" i="4" s="1"/>
  <c r="V231" i="4"/>
  <c r="U231" i="4"/>
  <c r="R231" i="4" s="1"/>
  <c r="BI230" i="4"/>
  <c r="AT230" i="4"/>
  <c r="AC230" i="4"/>
  <c r="AB230" i="4"/>
  <c r="Y230" i="4" s="1"/>
  <c r="V230" i="4"/>
  <c r="U230" i="4"/>
  <c r="R230" i="4" s="1"/>
  <c r="BI229" i="4"/>
  <c r="AT229" i="4"/>
  <c r="AC229" i="4"/>
  <c r="AB229" i="4"/>
  <c r="Y229" i="4" s="1"/>
  <c r="V229" i="4"/>
  <c r="U229" i="4"/>
  <c r="R229" i="4" s="1"/>
  <c r="BI228" i="4"/>
  <c r="AT228" i="4"/>
  <c r="AC228" i="4"/>
  <c r="AB228" i="4"/>
  <c r="Y228" i="4" s="1"/>
  <c r="V228" i="4"/>
  <c r="U228" i="4"/>
  <c r="R228" i="4" s="1"/>
  <c r="BI227" i="4"/>
  <c r="AV227" i="4"/>
  <c r="AT227" i="4"/>
  <c r="AU227" i="4" s="1"/>
  <c r="AC227" i="4"/>
  <c r="AD227" i="4" s="1"/>
  <c r="AE227" i="4" s="1"/>
  <c r="AB227" i="4"/>
  <c r="Y227" i="4" s="1"/>
  <c r="V227" i="4"/>
  <c r="U227" i="4"/>
  <c r="R227" i="4" s="1"/>
  <c r="BI226" i="4"/>
  <c r="AT226" i="4"/>
  <c r="AU226" i="4" s="1"/>
  <c r="AC226" i="4"/>
  <c r="AB226" i="4"/>
  <c r="V226" i="4"/>
  <c r="U226" i="4"/>
  <c r="R226" i="4" s="1"/>
  <c r="BI225" i="4"/>
  <c r="AT225" i="4"/>
  <c r="AV225" i="4" s="1"/>
  <c r="AY225" i="4" s="1"/>
  <c r="AC225" i="4"/>
  <c r="AB225" i="4"/>
  <c r="Y225" i="4" s="1"/>
  <c r="V225" i="4"/>
  <c r="U225" i="4"/>
  <c r="R225" i="4" s="1"/>
  <c r="BI224" i="4"/>
  <c r="AT224" i="4"/>
  <c r="AV224" i="4" s="1"/>
  <c r="AC224" i="4"/>
  <c r="AB224" i="4"/>
  <c r="Y224" i="4" s="1"/>
  <c r="V224" i="4"/>
  <c r="U224" i="4"/>
  <c r="BI223" i="4"/>
  <c r="AT223" i="4"/>
  <c r="AU223" i="4" s="1"/>
  <c r="AC223" i="4"/>
  <c r="AB223" i="4"/>
  <c r="V223" i="4"/>
  <c r="U223" i="4"/>
  <c r="R223" i="4" s="1"/>
  <c r="BI222" i="4"/>
  <c r="AT222" i="4"/>
  <c r="AV222" i="4" s="1"/>
  <c r="AW222" i="4" s="1"/>
  <c r="AC222" i="4"/>
  <c r="AB222" i="4"/>
  <c r="Y222" i="4" s="1"/>
  <c r="V222" i="4"/>
  <c r="U222" i="4"/>
  <c r="BI221" i="4"/>
  <c r="AT221" i="4"/>
  <c r="AV221" i="4" s="1"/>
  <c r="AC221" i="4"/>
  <c r="AB221" i="4"/>
  <c r="Y221" i="4" s="1"/>
  <c r="V221" i="4"/>
  <c r="U221" i="4"/>
  <c r="R221" i="4" s="1"/>
  <c r="BI220" i="4"/>
  <c r="AT220" i="4"/>
  <c r="AV220" i="4" s="1"/>
  <c r="AC220" i="4"/>
  <c r="AB220" i="4"/>
  <c r="Y220" i="4" s="1"/>
  <c r="V220" i="4"/>
  <c r="U220" i="4"/>
  <c r="R220" i="4" s="1"/>
  <c r="BI219" i="4"/>
  <c r="AT219" i="4"/>
  <c r="AC219" i="4"/>
  <c r="AB219" i="4"/>
  <c r="Y219" i="4"/>
  <c r="V219" i="4"/>
  <c r="U219" i="4"/>
  <c r="R219" i="4" s="1"/>
  <c r="BI218" i="4"/>
  <c r="AT218" i="4"/>
  <c r="AV218" i="4" s="1"/>
  <c r="AC218" i="4"/>
  <c r="AB218" i="4"/>
  <c r="Y218" i="4" s="1"/>
  <c r="V218" i="4"/>
  <c r="U218" i="4"/>
  <c r="R218" i="4" s="1"/>
  <c r="BI217" i="4"/>
  <c r="AT217" i="4"/>
  <c r="AV217" i="4" s="1"/>
  <c r="AC217" i="4"/>
  <c r="AB217" i="4"/>
  <c r="Y217" i="4" s="1"/>
  <c r="V217" i="4"/>
  <c r="U217" i="4"/>
  <c r="R217" i="4" s="1"/>
  <c r="BI216" i="4"/>
  <c r="AU216" i="4"/>
  <c r="AT216" i="4"/>
  <c r="AV216" i="4" s="1"/>
  <c r="AC216" i="4"/>
  <c r="AB216" i="4"/>
  <c r="V216" i="4"/>
  <c r="U216" i="4"/>
  <c r="R216" i="4" s="1"/>
  <c r="BI215" i="4"/>
  <c r="AT215" i="4"/>
  <c r="AV215" i="4" s="1"/>
  <c r="AW215" i="4" s="1"/>
  <c r="AC215" i="4"/>
  <c r="AB215" i="4"/>
  <c r="Y215" i="4" s="1"/>
  <c r="V215" i="4"/>
  <c r="U215" i="4"/>
  <c r="BI214" i="4"/>
  <c r="AT214" i="4"/>
  <c r="AV214" i="4" s="1"/>
  <c r="AY214" i="4" s="1"/>
  <c r="AC214" i="4"/>
  <c r="AB214" i="4"/>
  <c r="Y214" i="4" s="1"/>
  <c r="V214" i="4"/>
  <c r="U214" i="4"/>
  <c r="R214" i="4" s="1"/>
  <c r="BI213" i="4"/>
  <c r="AT213" i="4"/>
  <c r="AU213" i="4" s="1"/>
  <c r="AC213" i="4"/>
  <c r="AB213" i="4"/>
  <c r="Y213" i="4" s="1"/>
  <c r="V213" i="4"/>
  <c r="U213" i="4"/>
  <c r="R213" i="4" s="1"/>
  <c r="BI212" i="4"/>
  <c r="AT212" i="4"/>
  <c r="AV212" i="4" s="1"/>
  <c r="AC212" i="4"/>
  <c r="AB212" i="4"/>
  <c r="Y212" i="4" s="1"/>
  <c r="V212" i="4"/>
  <c r="U212" i="4"/>
  <c r="BI211" i="4"/>
  <c r="AT211" i="4"/>
  <c r="AC211" i="4"/>
  <c r="AB211" i="4"/>
  <c r="Y211" i="4" s="1"/>
  <c r="V211" i="4"/>
  <c r="U211" i="4"/>
  <c r="R211" i="4" s="1"/>
  <c r="BI210" i="4"/>
  <c r="AT210" i="4"/>
  <c r="AC210" i="4"/>
  <c r="AB210" i="4"/>
  <c r="Y210" i="4" s="1"/>
  <c r="V210" i="4"/>
  <c r="U210" i="4"/>
  <c r="R210" i="4" s="1"/>
  <c r="BI209" i="4"/>
  <c r="AT209" i="4"/>
  <c r="AU209" i="4" s="1"/>
  <c r="AC209" i="4"/>
  <c r="AB209" i="4"/>
  <c r="V209" i="4"/>
  <c r="U209" i="4"/>
  <c r="R209" i="4" s="1"/>
  <c r="BI208" i="4"/>
  <c r="AT208" i="4"/>
  <c r="AU208" i="4" s="1"/>
  <c r="AC208" i="4"/>
  <c r="AB208" i="4"/>
  <c r="Y208" i="4" s="1"/>
  <c r="V208" i="4"/>
  <c r="U208" i="4"/>
  <c r="R208" i="4" s="1"/>
  <c r="BI207" i="4"/>
  <c r="AT207" i="4"/>
  <c r="AU207" i="4" s="1"/>
  <c r="AC207" i="4"/>
  <c r="AB207" i="4"/>
  <c r="Y207" i="4"/>
  <c r="V207" i="4"/>
  <c r="U207" i="4"/>
  <c r="R207" i="4" s="1"/>
  <c r="BI206" i="4"/>
  <c r="AT206" i="4"/>
  <c r="AV206" i="4" s="1"/>
  <c r="AC206" i="4"/>
  <c r="AB206" i="4"/>
  <c r="Y206" i="4" s="1"/>
  <c r="V206" i="4"/>
  <c r="U206" i="4"/>
  <c r="R206" i="4" s="1"/>
  <c r="BI205" i="4"/>
  <c r="AT205" i="4"/>
  <c r="AV205" i="4" s="1"/>
  <c r="AC205" i="4"/>
  <c r="AB205" i="4"/>
  <c r="Y205" i="4" s="1"/>
  <c r="V205" i="4"/>
  <c r="U205" i="4"/>
  <c r="R205" i="4" s="1"/>
  <c r="BI204" i="4"/>
  <c r="AT204" i="4"/>
  <c r="AV204" i="4" s="1"/>
  <c r="AC204" i="4"/>
  <c r="AB204" i="4"/>
  <c r="Y204" i="4" s="1"/>
  <c r="V204" i="4"/>
  <c r="U204" i="4"/>
  <c r="R204" i="4" s="1"/>
  <c r="BI203" i="4"/>
  <c r="AT203" i="4"/>
  <c r="AV203" i="4" s="1"/>
  <c r="AC203" i="4"/>
  <c r="AB203" i="4"/>
  <c r="Y203" i="4" s="1"/>
  <c r="V203" i="4"/>
  <c r="U203" i="4"/>
  <c r="R203" i="4" s="1"/>
  <c r="BI202" i="4"/>
  <c r="AT202" i="4"/>
  <c r="AV202" i="4" s="1"/>
  <c r="AY202" i="4" s="1"/>
  <c r="AC202" i="4"/>
  <c r="AB202" i="4"/>
  <c r="Y202" i="4" s="1"/>
  <c r="V202" i="4"/>
  <c r="U202" i="4"/>
  <c r="R202" i="4" s="1"/>
  <c r="BI201" i="4"/>
  <c r="AT201" i="4"/>
  <c r="AU201" i="4" s="1"/>
  <c r="AC201" i="4"/>
  <c r="AB201" i="4"/>
  <c r="Y201" i="4" s="1"/>
  <c r="V201" i="4"/>
  <c r="U201" i="4"/>
  <c r="BI200" i="4"/>
  <c r="AT200" i="4"/>
  <c r="AC200" i="4"/>
  <c r="AB200" i="4"/>
  <c r="Y200" i="4" s="1"/>
  <c r="V200" i="4"/>
  <c r="U200" i="4"/>
  <c r="R200" i="4" s="1"/>
  <c r="BI199" i="4"/>
  <c r="AT199" i="4"/>
  <c r="AC199" i="4"/>
  <c r="AB199" i="4"/>
  <c r="Y199" i="4" s="1"/>
  <c r="V199" i="4"/>
  <c r="U199" i="4"/>
  <c r="BI198" i="4"/>
  <c r="AT198" i="4"/>
  <c r="AU198" i="4" s="1"/>
  <c r="AC198" i="4"/>
  <c r="AB198" i="4"/>
  <c r="V198" i="4"/>
  <c r="U198" i="4"/>
  <c r="R198" i="4" s="1"/>
  <c r="BI197" i="4"/>
  <c r="AT197" i="4"/>
  <c r="AC197" i="4"/>
  <c r="AB197" i="4"/>
  <c r="AG197" i="4" s="1"/>
  <c r="V197" i="4"/>
  <c r="U197" i="4"/>
  <c r="BI196" i="4"/>
  <c r="AT196" i="4"/>
  <c r="AV196" i="4" s="1"/>
  <c r="AC196" i="4"/>
  <c r="AB196" i="4"/>
  <c r="Y196" i="4" s="1"/>
  <c r="V196" i="4"/>
  <c r="U196" i="4"/>
  <c r="R196" i="4" s="1"/>
  <c r="BI195" i="4"/>
  <c r="AT195" i="4"/>
  <c r="AV195" i="4" s="1"/>
  <c r="AC195" i="4"/>
  <c r="AB195" i="4"/>
  <c r="Y195" i="4" s="1"/>
  <c r="V195" i="4"/>
  <c r="U195" i="4"/>
  <c r="BI194" i="4"/>
  <c r="AT194" i="4"/>
  <c r="AV194" i="4" s="1"/>
  <c r="AC194" i="4"/>
  <c r="AB194" i="4"/>
  <c r="V194" i="4"/>
  <c r="U194" i="4"/>
  <c r="R194" i="4" s="1"/>
  <c r="BI193" i="4"/>
  <c r="AT193" i="4"/>
  <c r="AC193" i="4"/>
  <c r="AB193" i="4"/>
  <c r="V193" i="4"/>
  <c r="U193" i="4"/>
  <c r="R193" i="4" s="1"/>
  <c r="BI192" i="4"/>
  <c r="AT192" i="4"/>
  <c r="AV192" i="4" s="1"/>
  <c r="AC192" i="4"/>
  <c r="AB192" i="4"/>
  <c r="Y192" i="4" s="1"/>
  <c r="V192" i="4"/>
  <c r="U192" i="4"/>
  <c r="BI191" i="4"/>
  <c r="AT191" i="4"/>
  <c r="AV191" i="4" s="1"/>
  <c r="AC191" i="4"/>
  <c r="AB191" i="4"/>
  <c r="V191" i="4"/>
  <c r="U191" i="4"/>
  <c r="R191" i="4" s="1"/>
  <c r="BI190" i="4"/>
  <c r="AT190" i="4"/>
  <c r="AV190" i="4" s="1"/>
  <c r="AC190" i="4"/>
  <c r="AB190" i="4"/>
  <c r="Y190" i="4" s="1"/>
  <c r="V190" i="4"/>
  <c r="U190" i="4"/>
  <c r="R190" i="4" s="1"/>
  <c r="BI189" i="4"/>
  <c r="AT189" i="4"/>
  <c r="AV189" i="4" s="1"/>
  <c r="AC189" i="4"/>
  <c r="AB189" i="4"/>
  <c r="Y189" i="4" s="1"/>
  <c r="V189" i="4"/>
  <c r="U189" i="4"/>
  <c r="BI188" i="4"/>
  <c r="AT188" i="4"/>
  <c r="AC188" i="4"/>
  <c r="AB188" i="4"/>
  <c r="V188" i="4"/>
  <c r="U188" i="4"/>
  <c r="R188" i="4" s="1"/>
  <c r="BI187" i="4"/>
  <c r="AT187" i="4"/>
  <c r="AV187" i="4" s="1"/>
  <c r="AC187" i="4"/>
  <c r="AB187" i="4"/>
  <c r="Y187" i="4" s="1"/>
  <c r="V187" i="4"/>
  <c r="U187" i="4"/>
  <c r="R187" i="4" s="1"/>
  <c r="BI186" i="4"/>
  <c r="AT186" i="4"/>
  <c r="AV186" i="4" s="1"/>
  <c r="AC186" i="4"/>
  <c r="AB186" i="4"/>
  <c r="Y186" i="4" s="1"/>
  <c r="V186" i="4"/>
  <c r="U186" i="4"/>
  <c r="BI185" i="4"/>
  <c r="AT185" i="4"/>
  <c r="AC185" i="4"/>
  <c r="AB185" i="4"/>
  <c r="V185" i="4"/>
  <c r="U185" i="4"/>
  <c r="R185" i="4" s="1"/>
  <c r="BI184" i="4"/>
  <c r="AT184" i="4"/>
  <c r="AV184" i="4" s="1"/>
  <c r="AC184" i="4"/>
  <c r="AB184" i="4"/>
  <c r="V184" i="4"/>
  <c r="U184" i="4"/>
  <c r="R184" i="4" s="1"/>
  <c r="BI183" i="4"/>
  <c r="AT183" i="4"/>
  <c r="AU183" i="4" s="1"/>
  <c r="AC183" i="4"/>
  <c r="AB183" i="4"/>
  <c r="Y183" i="4" s="1"/>
  <c r="V183" i="4"/>
  <c r="U183" i="4"/>
  <c r="R183" i="4" s="1"/>
  <c r="BI182" i="4"/>
  <c r="AT182" i="4"/>
  <c r="AV182" i="4" s="1"/>
  <c r="AC182" i="4"/>
  <c r="AB182" i="4"/>
  <c r="Y182" i="4" s="1"/>
  <c r="V182" i="4"/>
  <c r="U182" i="4"/>
  <c r="BI181" i="4"/>
  <c r="AT181" i="4"/>
  <c r="AC181" i="4"/>
  <c r="AB181" i="4"/>
  <c r="Y181" i="4" s="1"/>
  <c r="V181" i="4"/>
  <c r="U181" i="4"/>
  <c r="BI180" i="4"/>
  <c r="AT180" i="4"/>
  <c r="AU180" i="4" s="1"/>
  <c r="AC180" i="4"/>
  <c r="AB180" i="4"/>
  <c r="Y180" i="4" s="1"/>
  <c r="V180" i="4"/>
  <c r="U180" i="4"/>
  <c r="R180" i="4" s="1"/>
  <c r="BI179" i="4"/>
  <c r="AT179" i="4"/>
  <c r="AU179" i="4" s="1"/>
  <c r="AC179" i="4"/>
  <c r="AB179" i="4"/>
  <c r="Y179" i="4" s="1"/>
  <c r="V179" i="4"/>
  <c r="U179" i="4"/>
  <c r="BI178" i="4"/>
  <c r="AT178" i="4"/>
  <c r="AV178" i="4" s="1"/>
  <c r="AC178" i="4"/>
  <c r="AB178" i="4"/>
  <c r="Y178" i="4" s="1"/>
  <c r="V178" i="4"/>
  <c r="U178" i="4"/>
  <c r="BI177" i="4"/>
  <c r="AT177" i="4"/>
  <c r="AU177" i="4" s="1"/>
  <c r="AC177" i="4"/>
  <c r="AB177" i="4"/>
  <c r="Y177" i="4" s="1"/>
  <c r="V177" i="4"/>
  <c r="U177" i="4"/>
  <c r="R177" i="4" s="1"/>
  <c r="BI176" i="4"/>
  <c r="AT176" i="4"/>
  <c r="AU176" i="4" s="1"/>
  <c r="AC176" i="4"/>
  <c r="AB176" i="4"/>
  <c r="Y176" i="4" s="1"/>
  <c r="V176" i="4"/>
  <c r="U176" i="4"/>
  <c r="R176" i="4" s="1"/>
  <c r="BI175" i="4"/>
  <c r="AT175" i="4"/>
  <c r="AU175" i="4" s="1"/>
  <c r="AC175" i="4"/>
  <c r="AB175" i="4"/>
  <c r="Y175" i="4" s="1"/>
  <c r="V175" i="4"/>
  <c r="U175" i="4"/>
  <c r="R175" i="4" s="1"/>
  <c r="BI174" i="4"/>
  <c r="AT174" i="4"/>
  <c r="AU174" i="4" s="1"/>
  <c r="AC174" i="4"/>
  <c r="AB174" i="4"/>
  <c r="Y174" i="4" s="1"/>
  <c r="V174" i="4"/>
  <c r="U174" i="4"/>
  <c r="R174" i="4" s="1"/>
  <c r="BI173" i="4"/>
  <c r="AT173" i="4"/>
  <c r="AU173" i="4" s="1"/>
  <c r="AC173" i="4"/>
  <c r="AB173" i="4"/>
  <c r="Y173" i="4" s="1"/>
  <c r="V173" i="4"/>
  <c r="U173" i="4"/>
  <c r="R173" i="4" s="1"/>
  <c r="BI172" i="4"/>
  <c r="AT172" i="4"/>
  <c r="AC172" i="4"/>
  <c r="AB172" i="4"/>
  <c r="Y172" i="4" s="1"/>
  <c r="V172" i="4"/>
  <c r="U172" i="4"/>
  <c r="BI171" i="4"/>
  <c r="AT171" i="4"/>
  <c r="AC171" i="4"/>
  <c r="AB171" i="4"/>
  <c r="Y171" i="4" s="1"/>
  <c r="V171" i="4"/>
  <c r="U171" i="4"/>
  <c r="AL171" i="4" s="1"/>
  <c r="BI170" i="4"/>
  <c r="AT170" i="4"/>
  <c r="AC170" i="4"/>
  <c r="AB170" i="4"/>
  <c r="Y170" i="4" s="1"/>
  <c r="V170" i="4"/>
  <c r="U170" i="4"/>
  <c r="R170" i="4" s="1"/>
  <c r="BI169" i="4"/>
  <c r="AT169" i="4"/>
  <c r="AC169" i="4"/>
  <c r="AB169" i="4"/>
  <c r="Y169" i="4" s="1"/>
  <c r="V169" i="4"/>
  <c r="U169" i="4"/>
  <c r="BI168" i="4"/>
  <c r="AT168" i="4"/>
  <c r="AU168" i="4" s="1"/>
  <c r="AC168" i="4"/>
  <c r="AB168" i="4"/>
  <c r="Y168" i="4" s="1"/>
  <c r="V168" i="4"/>
  <c r="U168" i="4"/>
  <c r="R168" i="4" s="1"/>
  <c r="BI167" i="4"/>
  <c r="AT167" i="4"/>
  <c r="AU167" i="4" s="1"/>
  <c r="AC167" i="4"/>
  <c r="AB167" i="4"/>
  <c r="Y167" i="4" s="1"/>
  <c r="V167" i="4"/>
  <c r="U167" i="4"/>
  <c r="R167" i="4" s="1"/>
  <c r="BI166" i="4"/>
  <c r="AT166" i="4"/>
  <c r="AU166" i="4" s="1"/>
  <c r="AC166" i="4"/>
  <c r="AB166" i="4"/>
  <c r="Y166" i="4" s="1"/>
  <c r="V166" i="4"/>
  <c r="U166" i="4"/>
  <c r="R166" i="4" s="1"/>
  <c r="BI165" i="4"/>
  <c r="AT165" i="4"/>
  <c r="AU165" i="4" s="1"/>
  <c r="AC165" i="4"/>
  <c r="AB165" i="4"/>
  <c r="Y165" i="4" s="1"/>
  <c r="V165" i="4"/>
  <c r="U165" i="4"/>
  <c r="R165" i="4" s="1"/>
  <c r="BI164" i="4"/>
  <c r="AT164" i="4"/>
  <c r="AU164" i="4" s="1"/>
  <c r="AC164" i="4"/>
  <c r="AB164" i="4"/>
  <c r="Y164" i="4" s="1"/>
  <c r="V164" i="4"/>
  <c r="U164" i="4"/>
  <c r="R164" i="4" s="1"/>
  <c r="BI163" i="4"/>
  <c r="AT163" i="4"/>
  <c r="AC163" i="4"/>
  <c r="AB163" i="4"/>
  <c r="Y163" i="4" s="1"/>
  <c r="V163" i="4"/>
  <c r="U163" i="4"/>
  <c r="BI162" i="4"/>
  <c r="AT162" i="4"/>
  <c r="AU162" i="4" s="1"/>
  <c r="AC162" i="4"/>
  <c r="AB162" i="4"/>
  <c r="Y162" i="4" s="1"/>
  <c r="V162" i="4"/>
  <c r="U162" i="4"/>
  <c r="BI161" i="4"/>
  <c r="AT161" i="4"/>
  <c r="AC161" i="4"/>
  <c r="AB161" i="4"/>
  <c r="Y161" i="4" s="1"/>
  <c r="V161" i="4"/>
  <c r="U161" i="4"/>
  <c r="R161" i="4" s="1"/>
  <c r="BI160" i="4"/>
  <c r="AT160" i="4"/>
  <c r="AU160" i="4" s="1"/>
  <c r="AC160" i="4"/>
  <c r="AB160" i="4"/>
  <c r="Y160" i="4" s="1"/>
  <c r="V160" i="4"/>
  <c r="U160" i="4"/>
  <c r="R160" i="4" s="1"/>
  <c r="BI159" i="4"/>
  <c r="AT159" i="4"/>
  <c r="AU159" i="4" s="1"/>
  <c r="AC159" i="4"/>
  <c r="AB159" i="4"/>
  <c r="Y159" i="4" s="1"/>
  <c r="V159" i="4"/>
  <c r="U159" i="4"/>
  <c r="R159" i="4" s="1"/>
  <c r="BI158" i="4"/>
  <c r="AT158" i="4"/>
  <c r="AU158" i="4" s="1"/>
  <c r="AC158" i="4"/>
  <c r="AB158" i="4"/>
  <c r="V158" i="4"/>
  <c r="U158" i="4"/>
  <c r="BI157" i="4"/>
  <c r="AT157" i="4"/>
  <c r="AU157" i="4" s="1"/>
  <c r="AC157" i="4"/>
  <c r="AB157" i="4"/>
  <c r="Y157" i="4" s="1"/>
  <c r="V157" i="4"/>
  <c r="U157" i="4"/>
  <c r="BI156" i="4"/>
  <c r="AT156" i="4"/>
  <c r="AU156" i="4" s="1"/>
  <c r="AC156" i="4"/>
  <c r="AB156" i="4"/>
  <c r="Y156" i="4" s="1"/>
  <c r="V156" i="4"/>
  <c r="U156" i="4"/>
  <c r="R156" i="4" s="1"/>
  <c r="BI155" i="4"/>
  <c r="AT155" i="4"/>
  <c r="AU155" i="4" s="1"/>
  <c r="AC155" i="4"/>
  <c r="AB155" i="4"/>
  <c r="V155" i="4"/>
  <c r="U155" i="4"/>
  <c r="R155" i="4" s="1"/>
  <c r="BI154" i="4"/>
  <c r="AT154" i="4"/>
  <c r="AU154" i="4" s="1"/>
  <c r="AC154" i="4"/>
  <c r="AB154" i="4"/>
  <c r="Y154" i="4" s="1"/>
  <c r="V154" i="4"/>
  <c r="U154" i="4"/>
  <c r="BI153" i="4"/>
  <c r="AT153" i="4"/>
  <c r="AU153" i="4" s="1"/>
  <c r="AC153" i="4"/>
  <c r="AB153" i="4"/>
  <c r="Y153" i="4" s="1"/>
  <c r="V153" i="4"/>
  <c r="U153" i="4"/>
  <c r="BI152" i="4"/>
  <c r="AT152" i="4"/>
  <c r="AU152" i="4" s="1"/>
  <c r="AC152" i="4"/>
  <c r="AB152" i="4"/>
  <c r="V152" i="4"/>
  <c r="U152" i="4"/>
  <c r="R152" i="4" s="1"/>
  <c r="BI151" i="4"/>
  <c r="AT151" i="4"/>
  <c r="AC151" i="4"/>
  <c r="AB151" i="4"/>
  <c r="Y151" i="4" s="1"/>
  <c r="V151" i="4"/>
  <c r="U151" i="4"/>
  <c r="BI150" i="4"/>
  <c r="AT150" i="4"/>
  <c r="AU150" i="4" s="1"/>
  <c r="AC150" i="4"/>
  <c r="AB150" i="4"/>
  <c r="Y150" i="4" s="1"/>
  <c r="V150" i="4"/>
  <c r="U150" i="4"/>
  <c r="BI149" i="4"/>
  <c r="AT149" i="4"/>
  <c r="AC149" i="4"/>
  <c r="AB149" i="4"/>
  <c r="Y149" i="4" s="1"/>
  <c r="V149" i="4"/>
  <c r="U149" i="4"/>
  <c r="BI148" i="4"/>
  <c r="AT148" i="4"/>
  <c r="AU148" i="4" s="1"/>
  <c r="AC148" i="4"/>
  <c r="AB148" i="4"/>
  <c r="Y148" i="4" s="1"/>
  <c r="V148" i="4"/>
  <c r="U148" i="4"/>
  <c r="R148" i="4" s="1"/>
  <c r="BI147" i="4"/>
  <c r="AT147" i="4"/>
  <c r="AV147" i="4" s="1"/>
  <c r="AC147" i="4"/>
  <c r="AD147" i="4" s="1"/>
  <c r="AE147" i="4" s="1"/>
  <c r="AB147" i="4"/>
  <c r="Y147" i="4" s="1"/>
  <c r="V147" i="4"/>
  <c r="U147" i="4"/>
  <c r="R147" i="4" s="1"/>
  <c r="BI146" i="4"/>
  <c r="AT146" i="4"/>
  <c r="AC146" i="4"/>
  <c r="AD146" i="4" s="1"/>
  <c r="AE146" i="4" s="1"/>
  <c r="AB146" i="4"/>
  <c r="Y146" i="4" s="1"/>
  <c r="V146" i="4"/>
  <c r="U146" i="4"/>
  <c r="BI145" i="4"/>
  <c r="AT145" i="4"/>
  <c r="AU145" i="4" s="1"/>
  <c r="AC145" i="4"/>
  <c r="AB145" i="4"/>
  <c r="V145" i="4"/>
  <c r="U145" i="4"/>
  <c r="R145" i="4" s="1"/>
  <c r="BI144" i="4"/>
  <c r="AT144" i="4"/>
  <c r="AV144" i="4" s="1"/>
  <c r="AC144" i="4"/>
  <c r="AB144" i="4"/>
  <c r="Y144" i="4" s="1"/>
  <c r="V144" i="4"/>
  <c r="U144" i="4"/>
  <c r="R144" i="4" s="1"/>
  <c r="BI143" i="4"/>
  <c r="AT143" i="4"/>
  <c r="AC143" i="4"/>
  <c r="AB143" i="4"/>
  <c r="Y143" i="4" s="1"/>
  <c r="V143" i="4"/>
  <c r="U143" i="4"/>
  <c r="BI142" i="4"/>
  <c r="AT142" i="4"/>
  <c r="AU142" i="4" s="1"/>
  <c r="AC142" i="4"/>
  <c r="AB142" i="4"/>
  <c r="Y142" i="4" s="1"/>
  <c r="V142" i="4"/>
  <c r="U142" i="4"/>
  <c r="R142" i="4" s="1"/>
  <c r="BI141" i="4"/>
  <c r="AT141" i="4"/>
  <c r="AV141" i="4" s="1"/>
  <c r="AC141" i="4"/>
  <c r="AB141" i="4"/>
  <c r="Y141" i="4" s="1"/>
  <c r="V141" i="4"/>
  <c r="U141" i="4"/>
  <c r="R141" i="4" s="1"/>
  <c r="BI140" i="4"/>
  <c r="AT140" i="4"/>
  <c r="AU140" i="4" s="1"/>
  <c r="AC140" i="4"/>
  <c r="AB140" i="4"/>
  <c r="Y140" i="4" s="1"/>
  <c r="V140" i="4"/>
  <c r="U140" i="4"/>
  <c r="BI139" i="4"/>
  <c r="AT139" i="4"/>
  <c r="AU139" i="4" s="1"/>
  <c r="AC139" i="4"/>
  <c r="AG139" i="4" s="1"/>
  <c r="AB139" i="4"/>
  <c r="Y139" i="4" s="1"/>
  <c r="V139" i="4"/>
  <c r="U139" i="4"/>
  <c r="R139" i="4" s="1"/>
  <c r="BI138" i="4"/>
  <c r="AT138" i="4"/>
  <c r="AV138" i="4" s="1"/>
  <c r="AC138" i="4"/>
  <c r="AB138" i="4"/>
  <c r="Y138" i="4" s="1"/>
  <c r="V138" i="4"/>
  <c r="U138" i="4"/>
  <c r="R138" i="4" s="1"/>
  <c r="BI137" i="4"/>
  <c r="AU137" i="4"/>
  <c r="AT137" i="4"/>
  <c r="AV137" i="4" s="1"/>
  <c r="AW137" i="4" s="1"/>
  <c r="AC137" i="4"/>
  <c r="AB137" i="4"/>
  <c r="Y137" i="4" s="1"/>
  <c r="V137" i="4"/>
  <c r="U137" i="4"/>
  <c r="BI136" i="4"/>
  <c r="AT136" i="4"/>
  <c r="AU136" i="4" s="1"/>
  <c r="AC136" i="4"/>
  <c r="AB136" i="4"/>
  <c r="Y136" i="4" s="1"/>
  <c r="V136" i="4"/>
  <c r="U136" i="4"/>
  <c r="R136" i="4" s="1"/>
  <c r="BI135" i="4"/>
  <c r="AT135" i="4"/>
  <c r="AV135" i="4" s="1"/>
  <c r="AC135" i="4"/>
  <c r="AB135" i="4"/>
  <c r="Y135" i="4" s="1"/>
  <c r="V135" i="4"/>
  <c r="U135" i="4"/>
  <c r="R135" i="4" s="1"/>
  <c r="BI134" i="4"/>
  <c r="AT134" i="4"/>
  <c r="AU134" i="4" s="1"/>
  <c r="AC134" i="4"/>
  <c r="AB134" i="4"/>
  <c r="Y134" i="4" s="1"/>
  <c r="V134" i="4"/>
  <c r="U134" i="4"/>
  <c r="R134" i="4" s="1"/>
  <c r="BI133" i="4"/>
  <c r="AT133" i="4"/>
  <c r="AV133" i="4" s="1"/>
  <c r="AC133" i="4"/>
  <c r="AB133" i="4"/>
  <c r="Y133" i="4" s="1"/>
  <c r="V133" i="4"/>
  <c r="U133" i="4"/>
  <c r="BI132" i="4"/>
  <c r="AT132" i="4"/>
  <c r="AC132" i="4"/>
  <c r="AB132" i="4"/>
  <c r="Y132" i="4" s="1"/>
  <c r="V132" i="4"/>
  <c r="U132" i="4"/>
  <c r="R132" i="4" s="1"/>
  <c r="BI131" i="4"/>
  <c r="AU131" i="4"/>
  <c r="AT131" i="4"/>
  <c r="AV131" i="4" s="1"/>
  <c r="AC131" i="4"/>
  <c r="AB131" i="4"/>
  <c r="Y131" i="4" s="1"/>
  <c r="V131" i="4"/>
  <c r="U131" i="4"/>
  <c r="R131" i="4" s="1"/>
  <c r="BI130" i="4"/>
  <c r="AT130" i="4"/>
  <c r="AV130" i="4" s="1"/>
  <c r="AC130" i="4"/>
  <c r="AB130" i="4"/>
  <c r="Y130" i="4" s="1"/>
  <c r="V130" i="4"/>
  <c r="U130" i="4"/>
  <c r="BI129" i="4"/>
  <c r="AT129" i="4"/>
  <c r="AV129" i="4" s="1"/>
  <c r="AC129" i="4"/>
  <c r="AB129" i="4"/>
  <c r="Y129" i="4" s="1"/>
  <c r="V129" i="4"/>
  <c r="U129" i="4"/>
  <c r="R129" i="4" s="1"/>
  <c r="BI128" i="4"/>
  <c r="AT128" i="4"/>
  <c r="AV128" i="4" s="1"/>
  <c r="AC128" i="4"/>
  <c r="AB128" i="4"/>
  <c r="Y128" i="4" s="1"/>
  <c r="V128" i="4"/>
  <c r="U128" i="4"/>
  <c r="R128" i="4" s="1"/>
  <c r="BI127" i="4"/>
  <c r="AT127" i="4"/>
  <c r="AV127" i="4" s="1"/>
  <c r="AC127" i="4"/>
  <c r="AD127" i="4" s="1"/>
  <c r="AE127" i="4" s="1"/>
  <c r="AB127" i="4"/>
  <c r="Y127" i="4" s="1"/>
  <c r="V127" i="4"/>
  <c r="U127" i="4"/>
  <c r="BI126" i="4"/>
  <c r="AT126" i="4"/>
  <c r="AC126" i="4"/>
  <c r="AB126" i="4"/>
  <c r="Y126" i="4" s="1"/>
  <c r="V126" i="4"/>
  <c r="U126" i="4"/>
  <c r="R126" i="4" s="1"/>
  <c r="BI125" i="4"/>
  <c r="AT125" i="4"/>
  <c r="AV125" i="4" s="1"/>
  <c r="AC125" i="4"/>
  <c r="AD125" i="4" s="1"/>
  <c r="AE125" i="4" s="1"/>
  <c r="AB125" i="4"/>
  <c r="Y125" i="4" s="1"/>
  <c r="V125" i="4"/>
  <c r="U125" i="4"/>
  <c r="R125" i="4" s="1"/>
  <c r="BI124" i="4"/>
  <c r="AT124" i="4"/>
  <c r="AV124" i="4" s="1"/>
  <c r="AC124" i="4"/>
  <c r="AB124" i="4"/>
  <c r="Y124" i="4" s="1"/>
  <c r="V124" i="4"/>
  <c r="U124" i="4"/>
  <c r="BI123" i="4"/>
  <c r="AT123" i="4"/>
  <c r="AU123" i="4" s="1"/>
  <c r="AC123" i="4"/>
  <c r="AB123" i="4"/>
  <c r="Y123" i="4" s="1"/>
  <c r="V123" i="4"/>
  <c r="U123" i="4"/>
  <c r="R123" i="4" s="1"/>
  <c r="BI122" i="4"/>
  <c r="AT122" i="4"/>
  <c r="AU122" i="4" s="1"/>
  <c r="AC122" i="4"/>
  <c r="AB122" i="4"/>
  <c r="Y122" i="4" s="1"/>
  <c r="V122" i="4"/>
  <c r="U122" i="4"/>
  <c r="R122" i="4" s="1"/>
  <c r="BI121" i="4"/>
  <c r="AT121" i="4"/>
  <c r="AC121" i="4"/>
  <c r="AB121" i="4"/>
  <c r="Y121" i="4"/>
  <c r="V121" i="4"/>
  <c r="U121" i="4"/>
  <c r="BI120" i="4"/>
  <c r="AT120" i="4"/>
  <c r="AC120" i="4"/>
  <c r="AB120" i="4"/>
  <c r="Y120" i="4" s="1"/>
  <c r="V120" i="4"/>
  <c r="U120" i="4"/>
  <c r="R120" i="4" s="1"/>
  <c r="BI119" i="4"/>
  <c r="AT119" i="4"/>
  <c r="AU119" i="4" s="1"/>
  <c r="AC119" i="4"/>
  <c r="AB119" i="4"/>
  <c r="Y119" i="4" s="1"/>
  <c r="V119" i="4"/>
  <c r="U119" i="4"/>
  <c r="R119" i="4" s="1"/>
  <c r="BI118" i="4"/>
  <c r="AT118" i="4"/>
  <c r="AU118" i="4" s="1"/>
  <c r="AC118" i="4"/>
  <c r="AB118" i="4"/>
  <c r="Y118" i="4" s="1"/>
  <c r="V118" i="4"/>
  <c r="U118" i="4"/>
  <c r="R118" i="4" s="1"/>
  <c r="BI117" i="4"/>
  <c r="AT117" i="4"/>
  <c r="AU117" i="4" s="1"/>
  <c r="AC117" i="4"/>
  <c r="AB117" i="4"/>
  <c r="Y117" i="4" s="1"/>
  <c r="V117" i="4"/>
  <c r="U117" i="4"/>
  <c r="R117" i="4" s="1"/>
  <c r="BI116" i="4"/>
  <c r="AT116" i="4"/>
  <c r="AU116" i="4" s="1"/>
  <c r="AC116" i="4"/>
  <c r="AB116" i="4"/>
  <c r="Y116" i="4" s="1"/>
  <c r="V116" i="4"/>
  <c r="U116" i="4"/>
  <c r="R116" i="4" s="1"/>
  <c r="BI115" i="4"/>
  <c r="AT115" i="4"/>
  <c r="AU115" i="4" s="1"/>
  <c r="AC115" i="4"/>
  <c r="AB115" i="4"/>
  <c r="Y115" i="4" s="1"/>
  <c r="V115" i="4"/>
  <c r="U115" i="4"/>
  <c r="R115" i="4" s="1"/>
  <c r="BI114" i="4"/>
  <c r="AT114" i="4"/>
  <c r="AU114" i="4" s="1"/>
  <c r="AC114" i="4"/>
  <c r="AB114" i="4"/>
  <c r="Y114" i="4" s="1"/>
  <c r="V114" i="4"/>
  <c r="U114" i="4"/>
  <c r="R114" i="4" s="1"/>
  <c r="BI113" i="4"/>
  <c r="AT113" i="4"/>
  <c r="AU113" i="4" s="1"/>
  <c r="AC113" i="4"/>
  <c r="AB113" i="4"/>
  <c r="Y113" i="4"/>
  <c r="V113" i="4"/>
  <c r="U113" i="4"/>
  <c r="R113" i="4" s="1"/>
  <c r="BI112" i="4"/>
  <c r="AT112" i="4"/>
  <c r="AU112" i="4" s="1"/>
  <c r="AC112" i="4"/>
  <c r="AB112" i="4"/>
  <c r="Y112" i="4" s="1"/>
  <c r="V112" i="4"/>
  <c r="U112" i="4"/>
  <c r="BI111" i="4"/>
  <c r="AT111" i="4"/>
  <c r="AU111" i="4" s="1"/>
  <c r="AC111" i="4"/>
  <c r="AB111" i="4"/>
  <c r="Y111" i="4" s="1"/>
  <c r="V111" i="4"/>
  <c r="U111" i="4"/>
  <c r="R111" i="4" s="1"/>
  <c r="BI110" i="4"/>
  <c r="AT110" i="4"/>
  <c r="AU110" i="4" s="1"/>
  <c r="AC110" i="4"/>
  <c r="AB110" i="4"/>
  <c r="Y110" i="4" s="1"/>
  <c r="V110" i="4"/>
  <c r="U110" i="4"/>
  <c r="BI109" i="4"/>
  <c r="AT109" i="4"/>
  <c r="AV109" i="4" s="1"/>
  <c r="AC109" i="4"/>
  <c r="AB109" i="4"/>
  <c r="Y109" i="4" s="1"/>
  <c r="V109" i="4"/>
  <c r="U109" i="4"/>
  <c r="R109" i="4" s="1"/>
  <c r="BI108" i="4"/>
  <c r="AT108" i="4"/>
  <c r="AU108" i="4" s="1"/>
  <c r="AC108" i="4"/>
  <c r="AB108" i="4"/>
  <c r="Y108" i="4" s="1"/>
  <c r="V108" i="4"/>
  <c r="U108" i="4"/>
  <c r="R108" i="4" s="1"/>
  <c r="BI107" i="4"/>
  <c r="AT107" i="4"/>
  <c r="AU107" i="4" s="1"/>
  <c r="AC107" i="4"/>
  <c r="AB107" i="4"/>
  <c r="Y107" i="4" s="1"/>
  <c r="V107" i="4"/>
  <c r="U107" i="4"/>
  <c r="BI106" i="4"/>
  <c r="AT106" i="4"/>
  <c r="AC106" i="4"/>
  <c r="AB106" i="4"/>
  <c r="Y106" i="4" s="1"/>
  <c r="V106" i="4"/>
  <c r="U106" i="4"/>
  <c r="BI105" i="4"/>
  <c r="AT105" i="4"/>
  <c r="AC105" i="4"/>
  <c r="AB105" i="4"/>
  <c r="Y105" i="4" s="1"/>
  <c r="V105" i="4"/>
  <c r="U105" i="4"/>
  <c r="R105" i="4" s="1"/>
  <c r="BI104" i="4"/>
  <c r="AT104" i="4"/>
  <c r="AV104" i="4" s="1"/>
  <c r="AC104" i="4"/>
  <c r="AB104" i="4"/>
  <c r="Y104" i="4" s="1"/>
  <c r="V104" i="4"/>
  <c r="U104" i="4"/>
  <c r="BI103" i="4"/>
  <c r="AT103" i="4"/>
  <c r="AU103" i="4" s="1"/>
  <c r="AC103" i="4"/>
  <c r="AB103" i="4"/>
  <c r="V103" i="4"/>
  <c r="U103" i="4"/>
  <c r="R103" i="4" s="1"/>
  <c r="BI102" i="4"/>
  <c r="AT102" i="4"/>
  <c r="AV102" i="4" s="1"/>
  <c r="AW102" i="4" s="1"/>
  <c r="AC102" i="4"/>
  <c r="AB102" i="4"/>
  <c r="V102" i="4"/>
  <c r="U102" i="4"/>
  <c r="BI101" i="4"/>
  <c r="AT101" i="4"/>
  <c r="AV101" i="4" s="1"/>
  <c r="AC101" i="4"/>
  <c r="AB101" i="4"/>
  <c r="V101" i="4"/>
  <c r="U101" i="4"/>
  <c r="R101" i="4" s="1"/>
  <c r="BI100" i="4"/>
  <c r="AT100" i="4"/>
  <c r="AV100" i="4" s="1"/>
  <c r="AC100" i="4"/>
  <c r="AB100" i="4"/>
  <c r="V100" i="4"/>
  <c r="U100" i="4"/>
  <c r="R100" i="4" s="1"/>
  <c r="BI99" i="4"/>
  <c r="AT99" i="4"/>
  <c r="AV99" i="4" s="1"/>
  <c r="AC99" i="4"/>
  <c r="AB99" i="4"/>
  <c r="V99" i="4"/>
  <c r="U99" i="4"/>
  <c r="BI98" i="4"/>
  <c r="AT98" i="4"/>
  <c r="AU98" i="4" s="1"/>
  <c r="AC98" i="4"/>
  <c r="AB98" i="4"/>
  <c r="V98" i="4"/>
  <c r="U98" i="4"/>
  <c r="BI97" i="4"/>
  <c r="AT97" i="4"/>
  <c r="AV97" i="4" s="1"/>
  <c r="AC97" i="4"/>
  <c r="AB97" i="4"/>
  <c r="V97" i="4"/>
  <c r="U97" i="4"/>
  <c r="R97" i="4" s="1"/>
  <c r="BI96" i="4"/>
  <c r="AT96" i="4"/>
  <c r="AU96" i="4" s="1"/>
  <c r="AC96" i="4"/>
  <c r="AB96" i="4"/>
  <c r="V96" i="4"/>
  <c r="U96" i="4"/>
  <c r="R96" i="4" s="1"/>
  <c r="BI95" i="4"/>
  <c r="AT95" i="4"/>
  <c r="AU95" i="4" s="1"/>
  <c r="AC95" i="4"/>
  <c r="AB95" i="4"/>
  <c r="V95" i="4"/>
  <c r="U95" i="4"/>
  <c r="R95" i="4" s="1"/>
  <c r="BI94" i="4"/>
  <c r="AT94" i="4"/>
  <c r="AV94" i="4" s="1"/>
  <c r="BD94" i="4" s="1"/>
  <c r="AC94" i="4"/>
  <c r="AB94" i="4"/>
  <c r="V94" i="4"/>
  <c r="U94" i="4"/>
  <c r="R94" i="4" s="1"/>
  <c r="BI93" i="4"/>
  <c r="AT93" i="4"/>
  <c r="AV93" i="4" s="1"/>
  <c r="BD93" i="4" s="1"/>
  <c r="AC93" i="4"/>
  <c r="AB93" i="4"/>
  <c r="V93" i="4"/>
  <c r="U93" i="4"/>
  <c r="R93" i="4" s="1"/>
  <c r="BI92" i="4"/>
  <c r="AT92" i="4"/>
  <c r="AU92" i="4" s="1"/>
  <c r="AC92" i="4"/>
  <c r="AB92" i="4"/>
  <c r="V92" i="4"/>
  <c r="U92" i="4"/>
  <c r="R92" i="4" s="1"/>
  <c r="BI91" i="4"/>
  <c r="AT91" i="4"/>
  <c r="AV91" i="4" s="1"/>
  <c r="AC91" i="4"/>
  <c r="AB91" i="4"/>
  <c r="V91" i="4"/>
  <c r="U91" i="4"/>
  <c r="R91" i="4" s="1"/>
  <c r="BI90" i="4"/>
  <c r="AT90" i="4"/>
  <c r="AV90" i="4" s="1"/>
  <c r="AC90" i="4"/>
  <c r="AB90" i="4"/>
  <c r="V90" i="4"/>
  <c r="U90" i="4"/>
  <c r="BI89" i="4"/>
  <c r="AT89" i="4"/>
  <c r="AU89" i="4" s="1"/>
  <c r="AC89" i="4"/>
  <c r="AB89" i="4"/>
  <c r="V89" i="4"/>
  <c r="U89" i="4"/>
  <c r="R89" i="4" s="1"/>
  <c r="BI88" i="4"/>
  <c r="AT88" i="4"/>
  <c r="AV88" i="4" s="1"/>
  <c r="AC88" i="4"/>
  <c r="AB88" i="4"/>
  <c r="V88" i="4"/>
  <c r="U88" i="4"/>
  <c r="R88" i="4" s="1"/>
  <c r="BI87" i="4"/>
  <c r="AT87" i="4"/>
  <c r="AV87" i="4" s="1"/>
  <c r="AC87" i="4"/>
  <c r="AG87" i="4" s="1"/>
  <c r="AB87" i="4"/>
  <c r="V87" i="4"/>
  <c r="U87" i="4"/>
  <c r="R87" i="4" s="1"/>
  <c r="BI86" i="4"/>
  <c r="AT86" i="4"/>
  <c r="AV86" i="4" s="1"/>
  <c r="AC86" i="4"/>
  <c r="AB86" i="4"/>
  <c r="V86" i="4"/>
  <c r="U86" i="4"/>
  <c r="R86" i="4" s="1"/>
  <c r="BI85" i="4"/>
  <c r="AT85" i="4"/>
  <c r="AU85" i="4" s="1"/>
  <c r="AC85" i="4"/>
  <c r="AB85" i="4"/>
  <c r="V85" i="4"/>
  <c r="U85" i="4"/>
  <c r="R85" i="4" s="1"/>
  <c r="BI84" i="4"/>
  <c r="AT84" i="4"/>
  <c r="AV84" i="4" s="1"/>
  <c r="AC84" i="4"/>
  <c r="AB84" i="4"/>
  <c r="V84" i="4"/>
  <c r="U84" i="4"/>
  <c r="R84" i="4" s="1"/>
  <c r="BI83" i="4"/>
  <c r="AT83" i="4"/>
  <c r="AV83" i="4" s="1"/>
  <c r="AC83" i="4"/>
  <c r="AB83" i="4"/>
  <c r="V83" i="4"/>
  <c r="U83" i="4"/>
  <c r="R83" i="4" s="1"/>
  <c r="BI82" i="4"/>
  <c r="AU82" i="4"/>
  <c r="AT82" i="4"/>
  <c r="AV82" i="4" s="1"/>
  <c r="BD82" i="4" s="1"/>
  <c r="AC82" i="4"/>
  <c r="AB82" i="4"/>
  <c r="V82" i="4"/>
  <c r="U82" i="4"/>
  <c r="R82" i="4" s="1"/>
  <c r="BI81" i="4"/>
  <c r="AT81" i="4"/>
  <c r="AV81" i="4" s="1"/>
  <c r="AC81" i="4"/>
  <c r="AB81" i="4"/>
  <c r="V81" i="4"/>
  <c r="U81" i="4"/>
  <c r="R81" i="4" s="1"/>
  <c r="BI80" i="4"/>
  <c r="AT80" i="4"/>
  <c r="AV80" i="4" s="1"/>
  <c r="AC80" i="4"/>
  <c r="AB80" i="4"/>
  <c r="V80" i="4"/>
  <c r="U80" i="4"/>
  <c r="BI79" i="4"/>
  <c r="AT79" i="4"/>
  <c r="AV79" i="4" s="1"/>
  <c r="AC79" i="4"/>
  <c r="AB79" i="4"/>
  <c r="V79" i="4"/>
  <c r="U79" i="4"/>
  <c r="R79" i="4" s="1"/>
  <c r="BI78" i="4"/>
  <c r="AT78" i="4"/>
  <c r="AV78" i="4" s="1"/>
  <c r="BD78" i="4" s="1"/>
  <c r="AC78" i="4"/>
  <c r="AB78" i="4"/>
  <c r="V78" i="4"/>
  <c r="U78" i="4"/>
  <c r="R78" i="4" s="1"/>
  <c r="BI77" i="4"/>
  <c r="AT77" i="4"/>
  <c r="AV77" i="4" s="1"/>
  <c r="AC77" i="4"/>
  <c r="AB77" i="4"/>
  <c r="V77" i="4"/>
  <c r="U77" i="4"/>
  <c r="R77" i="4" s="1"/>
  <c r="BI76" i="4"/>
  <c r="AT76" i="4"/>
  <c r="AC76" i="4"/>
  <c r="AB76" i="4"/>
  <c r="V76" i="4"/>
  <c r="U76" i="4"/>
  <c r="R76" i="4" s="1"/>
  <c r="BI75" i="4"/>
  <c r="AT75" i="4"/>
  <c r="AV75" i="4" s="1"/>
  <c r="AC75" i="4"/>
  <c r="AB75" i="4"/>
  <c r="V75" i="4"/>
  <c r="U75" i="4"/>
  <c r="R75" i="4" s="1"/>
  <c r="BI74" i="4"/>
  <c r="AT74" i="4"/>
  <c r="AU74" i="4" s="1"/>
  <c r="AC74" i="4"/>
  <c r="AB74" i="4"/>
  <c r="V74" i="4"/>
  <c r="U74" i="4"/>
  <c r="R74" i="4" s="1"/>
  <c r="BI73" i="4"/>
  <c r="AT73" i="4"/>
  <c r="AU73" i="4" s="1"/>
  <c r="AC73" i="4"/>
  <c r="AB73" i="4"/>
  <c r="V73" i="4"/>
  <c r="U73" i="4"/>
  <c r="R73" i="4" s="1"/>
  <c r="BI72" i="4"/>
  <c r="AT72" i="4"/>
  <c r="AV72" i="4" s="1"/>
  <c r="BD72" i="4" s="1"/>
  <c r="AC72" i="4"/>
  <c r="AB72" i="4"/>
  <c r="V72" i="4"/>
  <c r="U72" i="4"/>
  <c r="R72" i="4" s="1"/>
  <c r="BI71" i="4"/>
  <c r="AT71" i="4"/>
  <c r="AU71" i="4" s="1"/>
  <c r="AC71" i="4"/>
  <c r="AB71" i="4"/>
  <c r="V71" i="4"/>
  <c r="U71" i="4"/>
  <c r="BI70" i="4"/>
  <c r="AT70" i="4"/>
  <c r="AC70" i="4"/>
  <c r="AB70" i="4"/>
  <c r="V70" i="4"/>
  <c r="U70" i="4"/>
  <c r="R70" i="4" s="1"/>
  <c r="BI69" i="4"/>
  <c r="AT69" i="4"/>
  <c r="AV69" i="4" s="1"/>
  <c r="AC69" i="4"/>
  <c r="AB69" i="4"/>
  <c r="V69" i="4"/>
  <c r="U69" i="4"/>
  <c r="R69" i="4" s="1"/>
  <c r="BI68" i="4"/>
  <c r="AT68" i="4"/>
  <c r="AV68" i="4" s="1"/>
  <c r="AC68" i="4"/>
  <c r="AB68" i="4"/>
  <c r="V68" i="4"/>
  <c r="U68" i="4"/>
  <c r="R68" i="4" s="1"/>
  <c r="BI67" i="4"/>
  <c r="AT67" i="4"/>
  <c r="AU67" i="4" s="1"/>
  <c r="AC67" i="4"/>
  <c r="AB67" i="4"/>
  <c r="V67" i="4"/>
  <c r="U67" i="4"/>
  <c r="R67" i="4" s="1"/>
  <c r="BI66" i="4"/>
  <c r="AT66" i="4"/>
  <c r="AV66" i="4" s="1"/>
  <c r="AC66" i="4"/>
  <c r="AB66" i="4"/>
  <c r="V66" i="4"/>
  <c r="U66" i="4"/>
  <c r="BI65" i="4"/>
  <c r="AT65" i="4"/>
  <c r="AV65" i="4" s="1"/>
  <c r="BD65" i="4" s="1"/>
  <c r="AC65" i="4"/>
  <c r="AB65" i="4"/>
  <c r="V65" i="4"/>
  <c r="U65" i="4"/>
  <c r="R65" i="4" s="1"/>
  <c r="BI64" i="4"/>
  <c r="AT64" i="4"/>
  <c r="AU64" i="4" s="1"/>
  <c r="AC64" i="4"/>
  <c r="AB64" i="4"/>
  <c r="AD64" i="4" s="1"/>
  <c r="AE64" i="4" s="1"/>
  <c r="V64" i="4"/>
  <c r="U64" i="4"/>
  <c r="R64" i="4" s="1"/>
  <c r="BI63" i="4"/>
  <c r="AT63" i="4"/>
  <c r="AU63" i="4" s="1"/>
  <c r="AC63" i="4"/>
  <c r="AB63" i="4"/>
  <c r="V63" i="4"/>
  <c r="U63" i="4"/>
  <c r="BI62" i="4"/>
  <c r="AT62" i="4"/>
  <c r="AV62" i="4" s="1"/>
  <c r="AC62" i="4"/>
  <c r="AB62" i="4"/>
  <c r="V62" i="4"/>
  <c r="U62" i="4"/>
  <c r="AL62" i="4" s="1"/>
  <c r="BI61" i="4"/>
  <c r="AT61" i="4"/>
  <c r="AU61" i="4" s="1"/>
  <c r="AC61" i="4"/>
  <c r="AB61" i="4"/>
  <c r="Y61" i="4" s="1"/>
  <c r="V61" i="4"/>
  <c r="U61" i="4"/>
  <c r="BI60" i="4"/>
  <c r="AT60" i="4"/>
  <c r="AU60" i="4" s="1"/>
  <c r="AC60" i="4"/>
  <c r="AB60" i="4"/>
  <c r="V60" i="4"/>
  <c r="U60" i="4"/>
  <c r="R60" i="4" s="1"/>
  <c r="BI59" i="4"/>
  <c r="AT59" i="4"/>
  <c r="AV59" i="4" s="1"/>
  <c r="AC59" i="4"/>
  <c r="AB59" i="4"/>
  <c r="Y59" i="4"/>
  <c r="V59" i="4"/>
  <c r="U59" i="4"/>
  <c r="BI58" i="4"/>
  <c r="AT58" i="4"/>
  <c r="AV58" i="4" s="1"/>
  <c r="AC58" i="4"/>
  <c r="AB58" i="4"/>
  <c r="Y58" i="4" s="1"/>
  <c r="V58" i="4"/>
  <c r="U58" i="4"/>
  <c r="BI57" i="4"/>
  <c r="AT57" i="4"/>
  <c r="AV57" i="4" s="1"/>
  <c r="AC57" i="4"/>
  <c r="AB57" i="4"/>
  <c r="Y57" i="4" s="1"/>
  <c r="V57" i="4"/>
  <c r="U57" i="4"/>
  <c r="BI56" i="4"/>
  <c r="AT56" i="4"/>
  <c r="AV56" i="4" s="1"/>
  <c r="BD56" i="4" s="1"/>
  <c r="AC56" i="4"/>
  <c r="AB56" i="4"/>
  <c r="Y56" i="4" s="1"/>
  <c r="V56" i="4"/>
  <c r="U56" i="4"/>
  <c r="BI55" i="4"/>
  <c r="AT55" i="4"/>
  <c r="AV55" i="4" s="1"/>
  <c r="AC55" i="4"/>
  <c r="AB55" i="4"/>
  <c r="Y55" i="4" s="1"/>
  <c r="V55" i="4"/>
  <c r="U55" i="4"/>
  <c r="BI54" i="4"/>
  <c r="AT54" i="4"/>
  <c r="AV54" i="4" s="1"/>
  <c r="AC54" i="4"/>
  <c r="AB54" i="4"/>
  <c r="V54" i="4"/>
  <c r="U54" i="4"/>
  <c r="BI53" i="4"/>
  <c r="AT53" i="4"/>
  <c r="AV53" i="4" s="1"/>
  <c r="BD53" i="4" s="1"/>
  <c r="AC53" i="4"/>
  <c r="AB53" i="4"/>
  <c r="Y53" i="4" s="1"/>
  <c r="V53" i="4"/>
  <c r="U53" i="4"/>
  <c r="BI52" i="4"/>
  <c r="AT52" i="4"/>
  <c r="AV52" i="4" s="1"/>
  <c r="BD52" i="4" s="1"/>
  <c r="AC52" i="4"/>
  <c r="AB52" i="4"/>
  <c r="AG52" i="4" s="1"/>
  <c r="V52" i="4"/>
  <c r="U52" i="4"/>
  <c r="BI51" i="4"/>
  <c r="AT51" i="4"/>
  <c r="AV51" i="4" s="1"/>
  <c r="AY51" i="4" s="1"/>
  <c r="AC51" i="4"/>
  <c r="AB51" i="4"/>
  <c r="Y51" i="4" s="1"/>
  <c r="V51" i="4"/>
  <c r="U51" i="4"/>
  <c r="BI50" i="4"/>
  <c r="AT50" i="4"/>
  <c r="AV50" i="4" s="1"/>
  <c r="AY50" i="4" s="1"/>
  <c r="AC50" i="4"/>
  <c r="AB50" i="4"/>
  <c r="Y50" i="4" s="1"/>
  <c r="V50" i="4"/>
  <c r="U50" i="4"/>
  <c r="BI49" i="4"/>
  <c r="AT49" i="4"/>
  <c r="AV49" i="4" s="1"/>
  <c r="AY49" i="4" s="1"/>
  <c r="AC49" i="4"/>
  <c r="AB49" i="4"/>
  <c r="Y49" i="4" s="1"/>
  <c r="V49" i="4"/>
  <c r="U49" i="4"/>
  <c r="BI48" i="4"/>
  <c r="AT48" i="4"/>
  <c r="AV48" i="4" s="1"/>
  <c r="AY48" i="4" s="1"/>
  <c r="AC48" i="4"/>
  <c r="AB48" i="4"/>
  <c r="V48" i="4"/>
  <c r="U48" i="4"/>
  <c r="BI47" i="4"/>
  <c r="AT47" i="4"/>
  <c r="AV47" i="4" s="1"/>
  <c r="AY47" i="4" s="1"/>
  <c r="AC47" i="4"/>
  <c r="AB47" i="4"/>
  <c r="V47" i="4"/>
  <c r="U47" i="4"/>
  <c r="BI46" i="4"/>
  <c r="AT46" i="4"/>
  <c r="AV46" i="4" s="1"/>
  <c r="AY46" i="4" s="1"/>
  <c r="AC46" i="4"/>
  <c r="AB46" i="4"/>
  <c r="V46" i="4"/>
  <c r="U46" i="4"/>
  <c r="BI45" i="4"/>
  <c r="AT45" i="4"/>
  <c r="AV45" i="4" s="1"/>
  <c r="AY45" i="4" s="1"/>
  <c r="AC45" i="4"/>
  <c r="AD45" i="4" s="1"/>
  <c r="AE45" i="4" s="1"/>
  <c r="AB45" i="4"/>
  <c r="Y45" i="4" s="1"/>
  <c r="V45" i="4"/>
  <c r="U45" i="4"/>
  <c r="BI44" i="4"/>
  <c r="AT44" i="4"/>
  <c r="AV44" i="4" s="1"/>
  <c r="AY44" i="4" s="1"/>
  <c r="AC44" i="4"/>
  <c r="AB44" i="4"/>
  <c r="V44" i="4"/>
  <c r="U44" i="4"/>
  <c r="BI43" i="4"/>
  <c r="AT43" i="4"/>
  <c r="AV43" i="4" s="1"/>
  <c r="AY43" i="4" s="1"/>
  <c r="AC43" i="4"/>
  <c r="AG43" i="4" s="1"/>
  <c r="AB43" i="4"/>
  <c r="V43" i="4"/>
  <c r="U43" i="4"/>
  <c r="BI42" i="4"/>
  <c r="AT42" i="4"/>
  <c r="AV42" i="4" s="1"/>
  <c r="AY42" i="4" s="1"/>
  <c r="AC42" i="4"/>
  <c r="AB42" i="4"/>
  <c r="V42" i="4"/>
  <c r="U42" i="4"/>
  <c r="BI41" i="4"/>
  <c r="AT41" i="4"/>
  <c r="AV41" i="4" s="1"/>
  <c r="AY41" i="4" s="1"/>
  <c r="AC41" i="4"/>
  <c r="AB41" i="4"/>
  <c r="V41" i="4"/>
  <c r="U41" i="4"/>
  <c r="BI40" i="4"/>
  <c r="AT40" i="4"/>
  <c r="AV40" i="4" s="1"/>
  <c r="AY40" i="4" s="1"/>
  <c r="AC40" i="4"/>
  <c r="AB40" i="4"/>
  <c r="V40" i="4"/>
  <c r="U40" i="4"/>
  <c r="BI39" i="4"/>
  <c r="AT39" i="4"/>
  <c r="AV39" i="4" s="1"/>
  <c r="AY39" i="4" s="1"/>
  <c r="AC39" i="4"/>
  <c r="AB39" i="4"/>
  <c r="Y39" i="4" s="1"/>
  <c r="V39" i="4"/>
  <c r="U39" i="4"/>
  <c r="BI38" i="4"/>
  <c r="AT38" i="4"/>
  <c r="AV38" i="4" s="1"/>
  <c r="AY38" i="4" s="1"/>
  <c r="AC38" i="4"/>
  <c r="AB38" i="4"/>
  <c r="V38" i="4"/>
  <c r="U38" i="4"/>
  <c r="BI37" i="4"/>
  <c r="AT37" i="4"/>
  <c r="AV37" i="4" s="1"/>
  <c r="AY37" i="4" s="1"/>
  <c r="AC37" i="4"/>
  <c r="AB37" i="4"/>
  <c r="Y37" i="4" s="1"/>
  <c r="V37" i="4"/>
  <c r="U37" i="4"/>
  <c r="BI36" i="4"/>
  <c r="AT36" i="4"/>
  <c r="AV36" i="4" s="1"/>
  <c r="AY36" i="4" s="1"/>
  <c r="AC36" i="4"/>
  <c r="AB36" i="4"/>
  <c r="V36" i="4"/>
  <c r="U36" i="4"/>
  <c r="BI35" i="4"/>
  <c r="AT35" i="4"/>
  <c r="AV35" i="4" s="1"/>
  <c r="AY35" i="4" s="1"/>
  <c r="AC35" i="4"/>
  <c r="AB35" i="4"/>
  <c r="V35" i="4"/>
  <c r="U35" i="4"/>
  <c r="BI34" i="4"/>
  <c r="AT34" i="4"/>
  <c r="AV34" i="4" s="1"/>
  <c r="AY34" i="4" s="1"/>
  <c r="AC34" i="4"/>
  <c r="AB34" i="4"/>
  <c r="V34" i="4"/>
  <c r="U34" i="4"/>
  <c r="BI33" i="4"/>
  <c r="AT33" i="4"/>
  <c r="AV33" i="4" s="1"/>
  <c r="AY33" i="4" s="1"/>
  <c r="AC33" i="4"/>
  <c r="AG33" i="4" s="1"/>
  <c r="AB33" i="4"/>
  <c r="V33" i="4"/>
  <c r="U33" i="4"/>
  <c r="BI32" i="4"/>
  <c r="AT32" i="4"/>
  <c r="AV32" i="4" s="1"/>
  <c r="AY32" i="4" s="1"/>
  <c r="AC32" i="4"/>
  <c r="AB32" i="4"/>
  <c r="Y32" i="4" s="1"/>
  <c r="V32" i="4"/>
  <c r="U32" i="4"/>
  <c r="BI31" i="4"/>
  <c r="AT31" i="4"/>
  <c r="AV31" i="4" s="1"/>
  <c r="AY31" i="4" s="1"/>
  <c r="AC31" i="4"/>
  <c r="AB31" i="4"/>
  <c r="Y31" i="4" s="1"/>
  <c r="V31" i="4"/>
  <c r="U31" i="4"/>
  <c r="BI30" i="4"/>
  <c r="AT30" i="4"/>
  <c r="AV30" i="4" s="1"/>
  <c r="AY30" i="4" s="1"/>
  <c r="AC30" i="4"/>
  <c r="AB30" i="4"/>
  <c r="Y30" i="4" s="1"/>
  <c r="V30" i="4"/>
  <c r="U30" i="4"/>
  <c r="BI29" i="4"/>
  <c r="AT29" i="4"/>
  <c r="AV29" i="4" s="1"/>
  <c r="BD29" i="4" s="1"/>
  <c r="AC29" i="4"/>
  <c r="AB29" i="4"/>
  <c r="Y29" i="4" s="1"/>
  <c r="V29" i="4"/>
  <c r="U29" i="4"/>
  <c r="R29" i="4" s="1"/>
  <c r="BI28" i="4"/>
  <c r="AT28" i="4"/>
  <c r="AV28" i="4" s="1"/>
  <c r="AW28" i="4" s="1"/>
  <c r="AC28" i="4"/>
  <c r="AB28" i="4"/>
  <c r="V28" i="4"/>
  <c r="U28" i="4"/>
  <c r="R28" i="4" s="1"/>
  <c r="BI27" i="4"/>
  <c r="AT27" i="4"/>
  <c r="AV27" i="4" s="1"/>
  <c r="BD27" i="4" s="1"/>
  <c r="AC27" i="4"/>
  <c r="AG27" i="4" s="1"/>
  <c r="AB27" i="4"/>
  <c r="V27" i="4"/>
  <c r="U27" i="4"/>
  <c r="R27" i="4" s="1"/>
  <c r="BI26" i="4"/>
  <c r="AT26" i="4"/>
  <c r="AV26" i="4" s="1"/>
  <c r="BD26" i="4" s="1"/>
  <c r="AC26" i="4"/>
  <c r="AB26" i="4"/>
  <c r="Y26" i="4" s="1"/>
  <c r="V26" i="4"/>
  <c r="U26" i="4"/>
  <c r="R26" i="4" s="1"/>
  <c r="BI25" i="4"/>
  <c r="AT25" i="4"/>
  <c r="AV25" i="4" s="1"/>
  <c r="BD25" i="4" s="1"/>
  <c r="AC25" i="4"/>
  <c r="AB25" i="4"/>
  <c r="V25" i="4"/>
  <c r="U25" i="4"/>
  <c r="R25" i="4" s="1"/>
  <c r="BI24" i="4"/>
  <c r="AT24" i="4"/>
  <c r="AV24" i="4" s="1"/>
  <c r="BD24" i="4" s="1"/>
  <c r="AC24" i="4"/>
  <c r="AB24" i="4"/>
  <c r="AJ24" i="4" s="1"/>
  <c r="V24" i="4"/>
  <c r="U24" i="4"/>
  <c r="R24" i="4" s="1"/>
  <c r="BI23" i="4"/>
  <c r="AT23" i="4"/>
  <c r="AV23" i="4" s="1"/>
  <c r="BD23" i="4" s="1"/>
  <c r="AC23" i="4"/>
  <c r="AB23" i="4"/>
  <c r="Y23" i="4" s="1"/>
  <c r="V23" i="4"/>
  <c r="U23" i="4"/>
  <c r="R23" i="4" s="1"/>
  <c r="BI22" i="4"/>
  <c r="AT22" i="4"/>
  <c r="AV22" i="4" s="1"/>
  <c r="BD22" i="4" s="1"/>
  <c r="AC22" i="4"/>
  <c r="AB22" i="4"/>
  <c r="Y22" i="4" s="1"/>
  <c r="V22" i="4"/>
  <c r="U22" i="4"/>
  <c r="R22" i="4" s="1"/>
  <c r="BI21" i="4"/>
  <c r="AT21" i="4"/>
  <c r="AV21" i="4" s="1"/>
  <c r="BD21" i="4" s="1"/>
  <c r="AC21" i="4"/>
  <c r="AB21" i="4"/>
  <c r="Y21" i="4" s="1"/>
  <c r="V21" i="4"/>
  <c r="U21" i="4"/>
  <c r="R21" i="4" s="1"/>
  <c r="BI20" i="4"/>
  <c r="AT20" i="4"/>
  <c r="AV20" i="4" s="1"/>
  <c r="BD20" i="4" s="1"/>
  <c r="AC20" i="4"/>
  <c r="AB20" i="4"/>
  <c r="Y20" i="4" s="1"/>
  <c r="V20" i="4"/>
  <c r="U20" i="4"/>
  <c r="R20" i="4" s="1"/>
  <c r="BI19" i="4"/>
  <c r="AT19" i="4"/>
  <c r="AV19" i="4" s="1"/>
  <c r="BD19" i="4" s="1"/>
  <c r="AC19" i="4"/>
  <c r="AB19" i="4"/>
  <c r="V19" i="4"/>
  <c r="U19" i="4"/>
  <c r="R19" i="4" s="1"/>
  <c r="BI18" i="4"/>
  <c r="AT18" i="4"/>
  <c r="AV18" i="4" s="1"/>
  <c r="BD18" i="4" s="1"/>
  <c r="AC18" i="4"/>
  <c r="AB18" i="4"/>
  <c r="Y18" i="4" s="1"/>
  <c r="V18" i="4"/>
  <c r="U18" i="4"/>
  <c r="R18" i="4" s="1"/>
  <c r="BI17" i="4"/>
  <c r="AT17" i="4"/>
  <c r="AV17" i="4" s="1"/>
  <c r="BD17" i="4" s="1"/>
  <c r="AC17" i="4"/>
  <c r="AB17" i="4"/>
  <c r="Y17" i="4" s="1"/>
  <c r="V17" i="4"/>
  <c r="U17" i="4"/>
  <c r="R17" i="4" s="1"/>
  <c r="BI16" i="4"/>
  <c r="AT16" i="4"/>
  <c r="AV16" i="4" s="1"/>
  <c r="AW16" i="4" s="1"/>
  <c r="AC16" i="4"/>
  <c r="AB16" i="4"/>
  <c r="Y16" i="4" s="1"/>
  <c r="V16" i="4"/>
  <c r="U16" i="4"/>
  <c r="R16" i="4" s="1"/>
  <c r="BI15" i="4"/>
  <c r="AT15" i="4"/>
  <c r="AV15" i="4" s="1"/>
  <c r="AY15" i="4" s="1"/>
  <c r="AC15" i="4"/>
  <c r="AB15" i="4"/>
  <c r="V15" i="4"/>
  <c r="U15" i="4"/>
  <c r="R15" i="4" s="1"/>
  <c r="BI14" i="4"/>
  <c r="AT14" i="4"/>
  <c r="AV14" i="4" s="1"/>
  <c r="AC14" i="4"/>
  <c r="AB14" i="4"/>
  <c r="Y14" i="4" s="1"/>
  <c r="V14" i="4"/>
  <c r="U14" i="4"/>
  <c r="BI13" i="4"/>
  <c r="AT13" i="4"/>
  <c r="AV13" i="4" s="1"/>
  <c r="AC13" i="4"/>
  <c r="AB13" i="4"/>
  <c r="Y13" i="4" s="1"/>
  <c r="V13" i="4"/>
  <c r="U13" i="4"/>
  <c r="R13" i="4" s="1"/>
  <c r="BI12" i="4"/>
  <c r="AT12" i="4"/>
  <c r="AV12" i="4" s="1"/>
  <c r="AC12" i="4"/>
  <c r="AB12" i="4"/>
  <c r="Y12" i="4" s="1"/>
  <c r="V12" i="4"/>
  <c r="U12" i="4"/>
  <c r="R12" i="4" s="1"/>
  <c r="BI11" i="4"/>
  <c r="AT11" i="4"/>
  <c r="AV11" i="4" s="1"/>
  <c r="AC11" i="4"/>
  <c r="AB11" i="4"/>
  <c r="Y11" i="4" s="1"/>
  <c r="V11" i="4"/>
  <c r="U11" i="4"/>
  <c r="BI10" i="4"/>
  <c r="AT10" i="4"/>
  <c r="AV10" i="4" s="1"/>
  <c r="AC10" i="4"/>
  <c r="AB10" i="4"/>
  <c r="Y10" i="4" s="1"/>
  <c r="V10" i="4"/>
  <c r="U10" i="4"/>
  <c r="R10" i="4" s="1"/>
  <c r="BI9" i="4"/>
  <c r="AT9" i="4"/>
  <c r="AV9" i="4" s="1"/>
  <c r="AC9" i="4"/>
  <c r="AB9" i="4"/>
  <c r="Y9" i="4" s="1"/>
  <c r="V9" i="4"/>
  <c r="U9" i="4"/>
  <c r="BI8" i="4"/>
  <c r="AT8" i="4"/>
  <c r="AV8" i="4" s="1"/>
  <c r="AC8" i="4"/>
  <c r="AB8" i="4"/>
  <c r="Y8" i="4" s="1"/>
  <c r="V8" i="4"/>
  <c r="U8" i="4"/>
  <c r="AL8" i="4" s="1"/>
  <c r="BI7" i="4"/>
  <c r="AT7" i="4"/>
  <c r="AV7" i="4" s="1"/>
  <c r="AC7" i="4"/>
  <c r="AB7" i="4"/>
  <c r="Y7" i="4" s="1"/>
  <c r="V7" i="4"/>
  <c r="U7" i="4"/>
  <c r="BI6" i="4"/>
  <c r="AT6" i="4"/>
  <c r="AU6" i="4" s="1"/>
  <c r="AC6" i="4"/>
  <c r="AB6" i="4"/>
  <c r="Y6" i="4" s="1"/>
  <c r="V6" i="4"/>
  <c r="U6" i="4"/>
  <c r="BI5" i="4"/>
  <c r="AT5" i="4"/>
  <c r="AU5" i="4" s="1"/>
  <c r="AC5" i="4"/>
  <c r="AB5" i="4"/>
  <c r="Y5" i="4" s="1"/>
  <c r="V5" i="4"/>
  <c r="U5" i="4"/>
  <c r="BI4" i="4"/>
  <c r="AT4" i="4"/>
  <c r="AV4" i="4" s="1"/>
  <c r="AC4" i="4"/>
  <c r="AB4" i="4"/>
  <c r="Y4" i="4" s="1"/>
  <c r="V4" i="4"/>
  <c r="U4" i="4"/>
  <c r="BI8" i="3"/>
  <c r="AT8" i="3"/>
  <c r="AU8" i="3" s="1"/>
  <c r="AC8" i="3"/>
  <c r="AB8" i="3"/>
  <c r="Y8" i="3" s="1"/>
  <c r="V8" i="3"/>
  <c r="U8" i="3"/>
  <c r="BI7" i="3"/>
  <c r="AT7" i="3"/>
  <c r="AU7" i="3" s="1"/>
  <c r="AC7" i="3"/>
  <c r="AB7" i="3"/>
  <c r="Y7" i="3" s="1"/>
  <c r="V7" i="3"/>
  <c r="U7" i="3"/>
  <c r="BI6" i="3"/>
  <c r="AT6" i="3"/>
  <c r="AU6" i="3" s="1"/>
  <c r="AC6" i="3"/>
  <c r="AB6" i="3"/>
  <c r="Y6" i="3" s="1"/>
  <c r="V6" i="3"/>
  <c r="U6" i="3"/>
  <c r="BI5" i="3"/>
  <c r="AT5" i="3"/>
  <c r="AU5" i="3" s="1"/>
  <c r="AC5" i="3"/>
  <c r="AB5" i="3"/>
  <c r="Y5" i="3" s="1"/>
  <c r="V5" i="3"/>
  <c r="U5" i="3"/>
  <c r="BI4" i="3"/>
  <c r="AT4" i="3"/>
  <c r="AU4" i="3" s="1"/>
  <c r="AC4" i="3"/>
  <c r="AB4" i="3"/>
  <c r="Y4" i="3" s="1"/>
  <c r="V4" i="3"/>
  <c r="U4" i="3"/>
  <c r="BI10" i="2"/>
  <c r="AT10" i="2"/>
  <c r="AU10" i="2" s="1"/>
  <c r="AC10" i="2"/>
  <c r="AB10" i="2"/>
  <c r="Y10" i="2" s="1"/>
  <c r="V10" i="2"/>
  <c r="U10" i="2"/>
  <c r="BI9" i="2"/>
  <c r="AT9" i="2"/>
  <c r="AU9" i="2" s="1"/>
  <c r="AC9" i="2"/>
  <c r="AB9" i="2"/>
  <c r="Y9" i="2" s="1"/>
  <c r="V9" i="2"/>
  <c r="U9" i="2"/>
  <c r="BI8" i="2"/>
  <c r="AT8" i="2"/>
  <c r="AU8" i="2" s="1"/>
  <c r="AC8" i="2"/>
  <c r="AB8" i="2"/>
  <c r="Y8" i="2" s="1"/>
  <c r="V8" i="2"/>
  <c r="U8" i="2"/>
  <c r="BI7" i="2"/>
  <c r="AT7" i="2"/>
  <c r="AU7" i="2" s="1"/>
  <c r="AC7" i="2"/>
  <c r="AB7" i="2"/>
  <c r="Y7" i="2" s="1"/>
  <c r="V7" i="2"/>
  <c r="U7" i="2"/>
  <c r="BI6" i="2"/>
  <c r="AT6" i="2"/>
  <c r="AU6" i="2" s="1"/>
  <c r="AC6" i="2"/>
  <c r="AB6" i="2"/>
  <c r="Y6" i="2" s="1"/>
  <c r="V6" i="2"/>
  <c r="U6" i="2"/>
  <c r="BI5" i="2"/>
  <c r="AT5" i="2"/>
  <c r="AU5" i="2" s="1"/>
  <c r="AC5" i="2"/>
  <c r="AB5" i="2"/>
  <c r="Y5" i="2" s="1"/>
  <c r="V5" i="2"/>
  <c r="U5" i="2"/>
  <c r="BI4" i="2"/>
  <c r="AT4" i="2"/>
  <c r="AU4" i="2" s="1"/>
  <c r="AC4" i="2"/>
  <c r="AB4" i="2"/>
  <c r="Y4" i="2" s="1"/>
  <c r="V4" i="2"/>
  <c r="U4" i="2"/>
  <c r="AG26" i="4" l="1"/>
  <c r="AJ465" i="4"/>
  <c r="AV518" i="4"/>
  <c r="AD100" i="4"/>
  <c r="AE100" i="4" s="1"/>
  <c r="AV166" i="4"/>
  <c r="BD166" i="4" s="1"/>
  <c r="AG566" i="4"/>
  <c r="AG574" i="4"/>
  <c r="AJ244" i="4"/>
  <c r="AG408" i="4"/>
  <c r="AL414" i="4"/>
  <c r="AL527" i="4"/>
  <c r="AJ535" i="4"/>
  <c r="BG535" i="4" s="1"/>
  <c r="AL490" i="4"/>
  <c r="AD513" i="4"/>
  <c r="AE513" i="4" s="1"/>
  <c r="W523" i="4"/>
  <c r="X523" i="4" s="1"/>
  <c r="W63" i="4"/>
  <c r="X63" i="4" s="1"/>
  <c r="AG460" i="4"/>
  <c r="AG462" i="4"/>
  <c r="AD124" i="4"/>
  <c r="AE124" i="4" s="1"/>
  <c r="AD126" i="4"/>
  <c r="AE126" i="4" s="1"/>
  <c r="AU23" i="4"/>
  <c r="AG173" i="4"/>
  <c r="AG101" i="4"/>
  <c r="AJ407" i="4"/>
  <c r="AJ546" i="4"/>
  <c r="AV573" i="4"/>
  <c r="AV140" i="4"/>
  <c r="AW140" i="4" s="1"/>
  <c r="AF245" i="4"/>
  <c r="AL283" i="4"/>
  <c r="AL275" i="4"/>
  <c r="AG352" i="4"/>
  <c r="BJ491" i="4"/>
  <c r="BD35" i="4"/>
  <c r="AG51" i="4"/>
  <c r="AF65" i="4"/>
  <c r="AF67" i="4"/>
  <c r="AG110" i="4"/>
  <c r="AU129" i="4"/>
  <c r="AD160" i="4"/>
  <c r="AE160" i="4" s="1"/>
  <c r="AF303" i="4"/>
  <c r="AF384" i="4"/>
  <c r="AF386" i="4"/>
  <c r="AG409" i="4"/>
  <c r="AF419" i="4"/>
  <c r="AF525" i="4"/>
  <c r="W18" i="4"/>
  <c r="X18" i="4" s="1"/>
  <c r="AF122" i="4"/>
  <c r="AH122" i="4" s="1"/>
  <c r="AI122" i="4" s="1"/>
  <c r="BF122" i="4" s="1"/>
  <c r="AJ178" i="4"/>
  <c r="W246" i="4"/>
  <c r="X246" i="4" s="1"/>
  <c r="AV259" i="4"/>
  <c r="AY259" i="4" s="1"/>
  <c r="AG275" i="4"/>
  <c r="AL421" i="4"/>
  <c r="AV576" i="4"/>
  <c r="BD576" i="4" s="1"/>
  <c r="AG67" i="4"/>
  <c r="AD89" i="4"/>
  <c r="AE89" i="4" s="1"/>
  <c r="AD91" i="4"/>
  <c r="AE91" i="4" s="1"/>
  <c r="AG207" i="4"/>
  <c r="AD244" i="4"/>
  <c r="AE244" i="4" s="1"/>
  <c r="W248" i="4"/>
  <c r="X248" i="4" s="1"/>
  <c r="AG317" i="4"/>
  <c r="AG341" i="4"/>
  <c r="W406" i="4"/>
  <c r="X406" i="4" s="1"/>
  <c r="AG419" i="4"/>
  <c r="AL461" i="4"/>
  <c r="AF502" i="4"/>
  <c r="AL56" i="4"/>
  <c r="AL239" i="4"/>
  <c r="AD258" i="4"/>
  <c r="AE258" i="4" s="1"/>
  <c r="AD447" i="4"/>
  <c r="AE447" i="4" s="1"/>
  <c r="AD449" i="4"/>
  <c r="AE449" i="4" s="1"/>
  <c r="AD451" i="4"/>
  <c r="AE451" i="4" s="1"/>
  <c r="AD178" i="4"/>
  <c r="AE178" i="4" s="1"/>
  <c r="AF192" i="4"/>
  <c r="AV213" i="4"/>
  <c r="AY213" i="4" s="1"/>
  <c r="AF390" i="4"/>
  <c r="W408" i="4"/>
  <c r="X408" i="4" s="1"/>
  <c r="AL522" i="4"/>
  <c r="AV539" i="4"/>
  <c r="BD539" i="4" s="1"/>
  <c r="AG567" i="4"/>
  <c r="AD345" i="4"/>
  <c r="AE345" i="4" s="1"/>
  <c r="AF367" i="4"/>
  <c r="AF369" i="4"/>
  <c r="AF414" i="4"/>
  <c r="AG463" i="4"/>
  <c r="AG508" i="4"/>
  <c r="AV103" i="4"/>
  <c r="AF294" i="4"/>
  <c r="W387" i="4"/>
  <c r="X387" i="4" s="1"/>
  <c r="AF526" i="4"/>
  <c r="AF389" i="4"/>
  <c r="AL420" i="4"/>
  <c r="AF29" i="4"/>
  <c r="AF31" i="4"/>
  <c r="AL41" i="4"/>
  <c r="AG80" i="4"/>
  <c r="AV198" i="4"/>
  <c r="AY198" i="4" s="1"/>
  <c r="AD332" i="4"/>
  <c r="AE332" i="4" s="1"/>
  <c r="AL462" i="4"/>
  <c r="AG532" i="4"/>
  <c r="AD9" i="4"/>
  <c r="AE9" i="4" s="1"/>
  <c r="AL57" i="4"/>
  <c r="AD102" i="4"/>
  <c r="AE102" i="4" s="1"/>
  <c r="AL197" i="4"/>
  <c r="AL242" i="4"/>
  <c r="W397" i="4"/>
  <c r="X397" i="4" s="1"/>
  <c r="AD428" i="4"/>
  <c r="AE428" i="4" s="1"/>
  <c r="AG430" i="4"/>
  <c r="AG432" i="4"/>
  <c r="AD454" i="4"/>
  <c r="AE454" i="4" s="1"/>
  <c r="AD505" i="4"/>
  <c r="AE505" i="4" s="1"/>
  <c r="AD507" i="4"/>
  <c r="AE507" i="4" s="1"/>
  <c r="AF511" i="4"/>
  <c r="AG560" i="4"/>
  <c r="AD16" i="4"/>
  <c r="AE16" i="4" s="1"/>
  <c r="AL9" i="4"/>
  <c r="AD28" i="4"/>
  <c r="AE28" i="4" s="1"/>
  <c r="AD34" i="4"/>
  <c r="AE34" i="4" s="1"/>
  <c r="AD53" i="4"/>
  <c r="AE53" i="4" s="1"/>
  <c r="AD55" i="4"/>
  <c r="AE55" i="4" s="1"/>
  <c r="AV74" i="4"/>
  <c r="BD74" i="4" s="1"/>
  <c r="AF88" i="4"/>
  <c r="AD134" i="4"/>
  <c r="AE134" i="4" s="1"/>
  <c r="AV226" i="4"/>
  <c r="AY226" i="4" s="1"/>
  <c r="AG230" i="4"/>
  <c r="AG232" i="4"/>
  <c r="AG234" i="4"/>
  <c r="AG347" i="4"/>
  <c r="AU381" i="4"/>
  <c r="W410" i="4"/>
  <c r="X410" i="4" s="1"/>
  <c r="AL419" i="4"/>
  <c r="AG442" i="4"/>
  <c r="AG444" i="4"/>
  <c r="AG471" i="4"/>
  <c r="AG479" i="4"/>
  <c r="AD481" i="4"/>
  <c r="AE481" i="4" s="1"/>
  <c r="AG487" i="4"/>
  <c r="AG489" i="4"/>
  <c r="AF499" i="4"/>
  <c r="AF501" i="4"/>
  <c r="AD545" i="4"/>
  <c r="AE545" i="4" s="1"/>
  <c r="W569" i="4"/>
  <c r="X569" i="4" s="1"/>
  <c r="AG582" i="4"/>
  <c r="AH582" i="4" s="1"/>
  <c r="AI582" i="4" s="1"/>
  <c r="AL40" i="4"/>
  <c r="AL46" i="4"/>
  <c r="AL98" i="4"/>
  <c r="AG406" i="4"/>
  <c r="AJ540" i="4"/>
  <c r="BG540" i="4" s="1"/>
  <c r="AJ544" i="4"/>
  <c r="BG544" i="4" s="1"/>
  <c r="AF15" i="4"/>
  <c r="AL44" i="4"/>
  <c r="AU84" i="4"/>
  <c r="AG90" i="4"/>
  <c r="AF107" i="4"/>
  <c r="AF144" i="4"/>
  <c r="AL169" i="4"/>
  <c r="AG187" i="4"/>
  <c r="AF195" i="4"/>
  <c r="AD202" i="4"/>
  <c r="AE202" i="4" s="1"/>
  <c r="BJ215" i="4"/>
  <c r="AJ246" i="4"/>
  <c r="BG246" i="4" s="1"/>
  <c r="AG288" i="4"/>
  <c r="AG314" i="4"/>
  <c r="AG338" i="4"/>
  <c r="AF357" i="4"/>
  <c r="AF361" i="4"/>
  <c r="R365" i="4"/>
  <c r="W412" i="4"/>
  <c r="X412" i="4" s="1"/>
  <c r="AL433" i="4"/>
  <c r="AF470" i="4"/>
  <c r="AD495" i="4"/>
  <c r="AE495" i="4" s="1"/>
  <c r="AG497" i="4"/>
  <c r="AD503" i="4"/>
  <c r="AE503" i="4" s="1"/>
  <c r="Y505" i="4"/>
  <c r="AL587" i="4"/>
  <c r="AG11" i="4"/>
  <c r="W56" i="4"/>
  <c r="X56" i="4" s="1"/>
  <c r="AD81" i="4"/>
  <c r="AE81" i="4" s="1"/>
  <c r="AG109" i="4"/>
  <c r="AD142" i="4"/>
  <c r="AE142" i="4" s="1"/>
  <c r="W158" i="4"/>
  <c r="X158" i="4" s="1"/>
  <c r="AU202" i="4"/>
  <c r="W401" i="4"/>
  <c r="X401" i="4" s="1"/>
  <c r="AG410" i="4"/>
  <c r="W414" i="4"/>
  <c r="X414" i="4" s="1"/>
  <c r="AV419" i="4"/>
  <c r="BD419" i="4" s="1"/>
  <c r="AL463" i="4"/>
  <c r="AG468" i="4"/>
  <c r="AD470" i="4"/>
  <c r="AE470" i="4" s="1"/>
  <c r="W480" i="4"/>
  <c r="X480" i="4" s="1"/>
  <c r="AF486" i="4"/>
  <c r="AH486" i="4" s="1"/>
  <c r="AI486" i="4" s="1"/>
  <c r="BF486" i="4" s="1"/>
  <c r="AF488" i="4"/>
  <c r="AH488" i="4" s="1"/>
  <c r="AI488" i="4" s="1"/>
  <c r="BF488" i="4" s="1"/>
  <c r="W519" i="4"/>
  <c r="X519" i="4" s="1"/>
  <c r="AF558" i="4"/>
  <c r="AV569" i="4"/>
  <c r="BD569" i="4" s="1"/>
  <c r="AJ498" i="4"/>
  <c r="BG498" i="4" s="1"/>
  <c r="AD54" i="4"/>
  <c r="AE54" i="4" s="1"/>
  <c r="AG60" i="4"/>
  <c r="AF64" i="4"/>
  <c r="AF66" i="4"/>
  <c r="AG102" i="4"/>
  <c r="AD120" i="4"/>
  <c r="AE120" i="4" s="1"/>
  <c r="AD135" i="4"/>
  <c r="AE135" i="4" s="1"/>
  <c r="AD169" i="4"/>
  <c r="AE169" i="4" s="1"/>
  <c r="AV176" i="4"/>
  <c r="AG178" i="4"/>
  <c r="AU195" i="4"/>
  <c r="AF199" i="4"/>
  <c r="AD214" i="4"/>
  <c r="AE214" i="4" s="1"/>
  <c r="AD235" i="4"/>
  <c r="AE235" i="4" s="1"/>
  <c r="W245" i="4"/>
  <c r="X245" i="4" s="1"/>
  <c r="AG246" i="4"/>
  <c r="W258" i="4"/>
  <c r="X258" i="4" s="1"/>
  <c r="AF279" i="4"/>
  <c r="W285" i="4"/>
  <c r="X285" i="4" s="1"/>
  <c r="AJ317" i="4"/>
  <c r="BG317" i="4" s="1"/>
  <c r="AF373" i="4"/>
  <c r="AF392" i="4"/>
  <c r="W407" i="4"/>
  <c r="X407" i="4" s="1"/>
  <c r="AG472" i="4"/>
  <c r="AG474" i="4"/>
  <c r="AG480" i="4"/>
  <c r="AF498" i="4"/>
  <c r="AF523" i="4"/>
  <c r="AV544" i="4"/>
  <c r="AL99" i="4"/>
  <c r="AF135" i="4"/>
  <c r="W175" i="4"/>
  <c r="X175" i="4" s="1"/>
  <c r="AD197" i="4"/>
  <c r="AE197" i="4" s="1"/>
  <c r="AG214" i="4"/>
  <c r="AJ264" i="4"/>
  <c r="AL541" i="4"/>
  <c r="AW23" i="4"/>
  <c r="BJ23" i="4" s="1"/>
  <c r="AG97" i="4"/>
  <c r="W108" i="4"/>
  <c r="X108" i="4" s="1"/>
  <c r="AG122" i="4"/>
  <c r="AF130" i="4"/>
  <c r="AD162" i="4"/>
  <c r="AE162" i="4" s="1"/>
  <c r="AD218" i="4"/>
  <c r="AE218" i="4" s="1"/>
  <c r="AD252" i="4"/>
  <c r="AE252" i="4" s="1"/>
  <c r="AD254" i="4"/>
  <c r="AE254" i="4" s="1"/>
  <c r="AU273" i="4"/>
  <c r="AG279" i="4"/>
  <c r="AG281" i="4"/>
  <c r="AG283" i="4"/>
  <c r="AG311" i="4"/>
  <c r="AG339" i="4"/>
  <c r="AG407" i="4"/>
  <c r="AL471" i="4"/>
  <c r="AD498" i="4"/>
  <c r="AE498" i="4" s="1"/>
  <c r="AD521" i="4"/>
  <c r="AE521" i="4" s="1"/>
  <c r="AD523" i="4"/>
  <c r="AE523" i="4" s="1"/>
  <c r="AD525" i="4"/>
  <c r="AE525" i="4" s="1"/>
  <c r="AG539" i="4"/>
  <c r="AV587" i="4"/>
  <c r="AL551" i="4"/>
  <c r="AU4" i="4"/>
  <c r="AG16" i="4"/>
  <c r="AW41" i="4"/>
  <c r="W53" i="4"/>
  <c r="X53" i="4" s="1"/>
  <c r="AU97" i="4"/>
  <c r="AU104" i="4"/>
  <c r="AV115" i="4"/>
  <c r="BD115" i="4" s="1"/>
  <c r="AF151" i="4"/>
  <c r="AF153" i="4"/>
  <c r="AD203" i="4"/>
  <c r="AE203" i="4" s="1"/>
  <c r="AG205" i="4"/>
  <c r="BJ222" i="4"/>
  <c r="AG224" i="4"/>
  <c r="AG264" i="4"/>
  <c r="AV285" i="4"/>
  <c r="AW285" i="4" s="1"/>
  <c r="AF370" i="4"/>
  <c r="AV377" i="4"/>
  <c r="AF415" i="4"/>
  <c r="AJ420" i="4"/>
  <c r="BG420" i="4" s="1"/>
  <c r="AL428" i="4"/>
  <c r="AD518" i="4"/>
  <c r="AE518" i="4" s="1"/>
  <c r="W549" i="4"/>
  <c r="X549" i="4" s="1"/>
  <c r="AL240" i="4"/>
  <c r="AL417" i="4"/>
  <c r="AH419" i="4"/>
  <c r="AI419" i="4" s="1"/>
  <c r="BF419" i="4" s="1"/>
  <c r="AL588" i="4"/>
  <c r="AF5" i="4"/>
  <c r="AW44" i="4"/>
  <c r="BJ44" i="4" s="1"/>
  <c r="AG48" i="4"/>
  <c r="AU65" i="4"/>
  <c r="AG84" i="4"/>
  <c r="AF105" i="4"/>
  <c r="AD129" i="4"/>
  <c r="AE129" i="4" s="1"/>
  <c r="AV134" i="4"/>
  <c r="BD134" i="4" s="1"/>
  <c r="W170" i="4"/>
  <c r="X170" i="4" s="1"/>
  <c r="AG200" i="4"/>
  <c r="Y258" i="4"/>
  <c r="AD292" i="4"/>
  <c r="AE292" i="4" s="1"/>
  <c r="Y314" i="4"/>
  <c r="AV354" i="4"/>
  <c r="AW354" i="4" s="1"/>
  <c r="BJ354" i="4" s="1"/>
  <c r="AF377" i="4"/>
  <c r="W402" i="4"/>
  <c r="X402" i="4" s="1"/>
  <c r="AL418" i="4"/>
  <c r="AL425" i="4"/>
  <c r="AD484" i="4"/>
  <c r="AE484" i="4" s="1"/>
  <c r="AG486" i="4"/>
  <c r="AD499" i="4"/>
  <c r="AE499" i="4" s="1"/>
  <c r="AD501" i="4"/>
  <c r="AE501" i="4" s="1"/>
  <c r="AV532" i="4"/>
  <c r="AW532" i="4" s="1"/>
  <c r="BJ532" i="4" s="1"/>
  <c r="AG538" i="4"/>
  <c r="W557" i="4"/>
  <c r="X557" i="4" s="1"/>
  <c r="AF565" i="4"/>
  <c r="AJ566" i="4"/>
  <c r="AF570" i="4"/>
  <c r="W572" i="4"/>
  <c r="X572" i="4" s="1"/>
  <c r="AG22" i="4"/>
  <c r="AW35" i="4"/>
  <c r="AL52" i="4"/>
  <c r="AL69" i="4"/>
  <c r="R169" i="4"/>
  <c r="AJ188" i="4"/>
  <c r="BG188" i="4" s="1"/>
  <c r="Y197" i="4"/>
  <c r="AG225" i="4"/>
  <c r="AF244" i="4"/>
  <c r="AU275" i="4"/>
  <c r="AU346" i="4"/>
  <c r="AD353" i="4"/>
  <c r="AE353" i="4" s="1"/>
  <c r="AG375" i="4"/>
  <c r="AF388" i="4"/>
  <c r="AD456" i="4"/>
  <c r="AE456" i="4" s="1"/>
  <c r="W529" i="4"/>
  <c r="X529" i="4" s="1"/>
  <c r="AL531" i="4"/>
  <c r="AV536" i="4"/>
  <c r="AW536" i="4" s="1"/>
  <c r="BJ536" i="4" s="1"/>
  <c r="AU545" i="4"/>
  <c r="AD547" i="4"/>
  <c r="AE547" i="4" s="1"/>
  <c r="W565" i="4"/>
  <c r="X565" i="4" s="1"/>
  <c r="AL194" i="4"/>
  <c r="AL202" i="4"/>
  <c r="AG211" i="4"/>
  <c r="AL441" i="4"/>
  <c r="AL449" i="4"/>
  <c r="AL451" i="4"/>
  <c r="AD458" i="4"/>
  <c r="AE458" i="4" s="1"/>
  <c r="AD464" i="4"/>
  <c r="AE464" i="4" s="1"/>
  <c r="AY469" i="4"/>
  <c r="Y475" i="4"/>
  <c r="BJ503" i="4"/>
  <c r="AF520" i="4"/>
  <c r="AG527" i="4"/>
  <c r="AV538" i="4"/>
  <c r="BD538" i="4" s="1"/>
  <c r="AG540" i="4"/>
  <c r="AG544" i="4"/>
  <c r="AJ275" i="4"/>
  <c r="Y28" i="4"/>
  <c r="W30" i="4"/>
  <c r="X30" i="4" s="1"/>
  <c r="AF34" i="4"/>
  <c r="AU39" i="4"/>
  <c r="Y52" i="4"/>
  <c r="AJ61" i="4"/>
  <c r="BG61" i="4" s="1"/>
  <c r="AU62" i="4"/>
  <c r="AD88" i="4"/>
  <c r="AE88" i="4" s="1"/>
  <c r="AJ95" i="4"/>
  <c r="AV98" i="4"/>
  <c r="BD98" i="4" s="1"/>
  <c r="AG131" i="4"/>
  <c r="AD156" i="4"/>
  <c r="AE156" i="4" s="1"/>
  <c r="W162" i="4"/>
  <c r="X162" i="4" s="1"/>
  <c r="W169" i="4"/>
  <c r="X169" i="4" s="1"/>
  <c r="AL201" i="4"/>
  <c r="AV207" i="4"/>
  <c r="AW207" i="4" s="1"/>
  <c r="BJ207" i="4" s="1"/>
  <c r="R246" i="4"/>
  <c r="W251" i="4"/>
  <c r="X251" i="4" s="1"/>
  <c r="AL276" i="4"/>
  <c r="AL291" i="4"/>
  <c r="AF297" i="4"/>
  <c r="AF309" i="4"/>
  <c r="AH309" i="4" s="1"/>
  <c r="AI309" i="4" s="1"/>
  <c r="AG318" i="4"/>
  <c r="AG336" i="4"/>
  <c r="AG350" i="4"/>
  <c r="AG362" i="4"/>
  <c r="AF368" i="4"/>
  <c r="AD379" i="4"/>
  <c r="AE379" i="4" s="1"/>
  <c r="AV386" i="4"/>
  <c r="BD386" i="4" s="1"/>
  <c r="R392" i="4"/>
  <c r="AL540" i="4"/>
  <c r="AF585" i="4"/>
  <c r="AL4" i="4"/>
  <c r="AL47" i="4"/>
  <c r="AJ79" i="4"/>
  <c r="AD107" i="4"/>
  <c r="AE107" i="4" s="1"/>
  <c r="AD128" i="4"/>
  <c r="AE128" i="4" s="1"/>
  <c r="AL241" i="4"/>
  <c r="AL278" i="4"/>
  <c r="AJ283" i="4"/>
  <c r="BG283" i="4" s="1"/>
  <c r="AV456" i="4"/>
  <c r="BD456" i="4" s="1"/>
  <c r="AD483" i="4"/>
  <c r="AE483" i="4" s="1"/>
  <c r="AL489" i="4"/>
  <c r="AJ502" i="4"/>
  <c r="AJ504" i="4"/>
  <c r="W515" i="4"/>
  <c r="X515" i="4" s="1"/>
  <c r="AF517" i="4"/>
  <c r="AL524" i="4"/>
  <c r="AF529" i="4"/>
  <c r="AG535" i="4"/>
  <c r="AG17" i="4"/>
  <c r="AW24" i="4"/>
  <c r="BJ24" i="4" s="1"/>
  <c r="AG28" i="4"/>
  <c r="BD41" i="4"/>
  <c r="W49" i="4"/>
  <c r="X49" i="4" s="1"/>
  <c r="AG66" i="4"/>
  <c r="AH66" i="4" s="1"/>
  <c r="AI66" i="4" s="1"/>
  <c r="AJ75" i="4"/>
  <c r="AG79" i="4"/>
  <c r="AD83" i="4"/>
  <c r="AE83" i="4" s="1"/>
  <c r="AD90" i="4"/>
  <c r="AE90" i="4" s="1"/>
  <c r="R99" i="4"/>
  <c r="AG107" i="4"/>
  <c r="AH107" i="4" s="1"/>
  <c r="AI107" i="4" s="1"/>
  <c r="BF107" i="4" s="1"/>
  <c r="W111" i="4"/>
  <c r="X111" i="4" s="1"/>
  <c r="AV145" i="4"/>
  <c r="BD145" i="4" s="1"/>
  <c r="AG147" i="4"/>
  <c r="AD215" i="4"/>
  <c r="AE215" i="4" s="1"/>
  <c r="AV269" i="4"/>
  <c r="AG289" i="4"/>
  <c r="AG291" i="4"/>
  <c r="AG299" i="4"/>
  <c r="AG301" i="4"/>
  <c r="Y311" i="4"/>
  <c r="W313" i="4"/>
  <c r="X313" i="4" s="1"/>
  <c r="R317" i="4"/>
  <c r="AG340" i="4"/>
  <c r="AF374" i="4"/>
  <c r="AJ408" i="4"/>
  <c r="BG408" i="4" s="1"/>
  <c r="AF410" i="4"/>
  <c r="AL415" i="4"/>
  <c r="AF417" i="4"/>
  <c r="AJ428" i="4"/>
  <c r="BG428" i="4" s="1"/>
  <c r="AV435" i="4"/>
  <c r="BD435" i="4" s="1"/>
  <c r="AL455" i="4"/>
  <c r="AF519" i="4"/>
  <c r="W560" i="4"/>
  <c r="X560" i="4" s="1"/>
  <c r="AL562" i="4"/>
  <c r="AL571" i="4"/>
  <c r="AF573" i="4"/>
  <c r="AF578" i="4"/>
  <c r="AG591" i="4"/>
  <c r="AG5" i="3"/>
  <c r="AG4" i="4"/>
  <c r="AF14" i="4"/>
  <c r="AG21" i="4"/>
  <c r="AD23" i="4"/>
  <c r="AE23" i="4" s="1"/>
  <c r="AD63" i="4"/>
  <c r="AE63" i="4" s="1"/>
  <c r="AU66" i="4"/>
  <c r="AJ68" i="4"/>
  <c r="AG92" i="4"/>
  <c r="AL101" i="4"/>
  <c r="AV107" i="4"/>
  <c r="AW107" i="4" s="1"/>
  <c r="BJ107" i="4" s="1"/>
  <c r="AG116" i="4"/>
  <c r="AG130" i="4"/>
  <c r="AG137" i="4"/>
  <c r="AL173" i="4"/>
  <c r="AG189" i="4"/>
  <c r="AU206" i="4"/>
  <c r="AG257" i="4"/>
  <c r="AG282" i="4"/>
  <c r="AL284" i="4"/>
  <c r="W317" i="4"/>
  <c r="X317" i="4" s="1"/>
  <c r="AG342" i="4"/>
  <c r="AW352" i="4"/>
  <c r="BJ352" i="4" s="1"/>
  <c r="AF380" i="4"/>
  <c r="W394" i="4"/>
  <c r="X394" i="4" s="1"/>
  <c r="AF396" i="4"/>
  <c r="AJ414" i="4"/>
  <c r="BG414" i="4" s="1"/>
  <c r="AD422" i="4"/>
  <c r="AE422" i="4" s="1"/>
  <c r="Y428" i="4"/>
  <c r="AV453" i="4"/>
  <c r="BD453" i="4" s="1"/>
  <c r="AF474" i="4"/>
  <c r="AJ478" i="4"/>
  <c r="AL495" i="4"/>
  <c r="AG502" i="4"/>
  <c r="AG504" i="4"/>
  <c r="AL530" i="4"/>
  <c r="Y573" i="4"/>
  <c r="BD45" i="4"/>
  <c r="AL53" i="4"/>
  <c r="AU54" i="4"/>
  <c r="AJ74" i="4"/>
  <c r="BG74" i="4" s="1"/>
  <c r="AD87" i="4"/>
  <c r="AE87" i="4" s="1"/>
  <c r="AD111" i="4"/>
  <c r="AE111" i="4" s="1"/>
  <c r="AG123" i="4"/>
  <c r="BJ137" i="4"/>
  <c r="AD144" i="4"/>
  <c r="AE144" i="4" s="1"/>
  <c r="AD166" i="4"/>
  <c r="AE166" i="4" s="1"/>
  <c r="AL180" i="4"/>
  <c r="AD189" i="4"/>
  <c r="AE189" i="4" s="1"/>
  <c r="AU217" i="4"/>
  <c r="AG219" i="4"/>
  <c r="AD221" i="4"/>
  <c r="AE221" i="4" s="1"/>
  <c r="AL238" i="4"/>
  <c r="AV255" i="4"/>
  <c r="AY255" i="4" s="1"/>
  <c r="AV264" i="4"/>
  <c r="AL317" i="4"/>
  <c r="AG319" i="4"/>
  <c r="AG325" i="4"/>
  <c r="BJ340" i="4"/>
  <c r="AF376" i="4"/>
  <c r="AG378" i="4"/>
  <c r="AL440" i="4"/>
  <c r="AL442" i="4"/>
  <c r="AL444" i="4"/>
  <c r="AL448" i="4"/>
  <c r="AL452" i="4"/>
  <c r="AG455" i="4"/>
  <c r="AD457" i="4"/>
  <c r="AE457" i="4" s="1"/>
  <c r="AD459" i="4"/>
  <c r="AE459" i="4" s="1"/>
  <c r="BJ504" i="4"/>
  <c r="AG543" i="4"/>
  <c r="AJ545" i="4"/>
  <c r="AU546" i="4"/>
  <c r="AG554" i="4"/>
  <c r="AL566" i="4"/>
  <c r="AV591" i="4"/>
  <c r="AW591" i="4" s="1"/>
  <c r="AG593" i="4"/>
  <c r="R62" i="4"/>
  <c r="AD65" i="4"/>
  <c r="AE65" i="4" s="1"/>
  <c r="R98" i="4"/>
  <c r="AD101" i="4"/>
  <c r="AE101" i="4" s="1"/>
  <c r="AD223" i="4"/>
  <c r="AE223" i="4" s="1"/>
  <c r="AL296" i="4"/>
  <c r="AF306" i="4"/>
  <c r="AG329" i="4"/>
  <c r="AD354" i="4"/>
  <c r="AE354" i="4" s="1"/>
  <c r="AL409" i="4"/>
  <c r="AD465" i="4"/>
  <c r="AE465" i="4" s="1"/>
  <c r="AL486" i="4"/>
  <c r="AJ499" i="4"/>
  <c r="AJ501" i="4"/>
  <c r="AD506" i="4"/>
  <c r="AE506" i="4" s="1"/>
  <c r="AL516" i="4"/>
  <c r="AD532" i="4"/>
  <c r="AE532" i="4" s="1"/>
  <c r="AG58" i="4"/>
  <c r="AD82" i="4"/>
  <c r="AE82" i="4" s="1"/>
  <c r="Y288" i="4"/>
  <c r="AF312" i="4"/>
  <c r="AG346" i="4"/>
  <c r="AG351" i="4"/>
  <c r="AH409" i="4"/>
  <c r="AI409" i="4" s="1"/>
  <c r="AD440" i="4"/>
  <c r="AE440" i="4" s="1"/>
  <c r="AD448" i="4"/>
  <c r="AE448" i="4" s="1"/>
  <c r="AD450" i="4"/>
  <c r="AE450" i="4" s="1"/>
  <c r="AD452" i="4"/>
  <c r="AE452" i="4" s="1"/>
  <c r="AD497" i="4"/>
  <c r="AE497" i="4" s="1"/>
  <c r="BD75" i="4"/>
  <c r="AW75" i="4"/>
  <c r="AV6" i="2"/>
  <c r="BD6" i="2" s="1"/>
  <c r="AU9" i="4"/>
  <c r="AY28" i="4"/>
  <c r="AG35" i="4"/>
  <c r="AG40" i="4"/>
  <c r="AD48" i="4"/>
  <c r="AE48" i="4" s="1"/>
  <c r="W59" i="4"/>
  <c r="X59" i="4" s="1"/>
  <c r="R61" i="4"/>
  <c r="Y64" i="4"/>
  <c r="AJ71" i="4"/>
  <c r="BG71" i="4" s="1"/>
  <c r="AL75" i="4"/>
  <c r="AW78" i="4"/>
  <c r="AD80" i="4"/>
  <c r="AE80" i="4" s="1"/>
  <c r="AG85" i="4"/>
  <c r="AG91" i="4"/>
  <c r="AU94" i="4"/>
  <c r="AU99" i="4"/>
  <c r="AU102" i="4"/>
  <c r="AF108" i="4"/>
  <c r="AD114" i="4"/>
  <c r="AE114" i="4" s="1"/>
  <c r="BD195" i="4"/>
  <c r="AW195" i="4"/>
  <c r="BJ195" i="4" s="1"/>
  <c r="AU436" i="4"/>
  <c r="AV436" i="4"/>
  <c r="BD436" i="4" s="1"/>
  <c r="R553" i="4"/>
  <c r="AL553" i="4"/>
  <c r="BD28" i="4"/>
  <c r="BJ41" i="4"/>
  <c r="AG74" i="4"/>
  <c r="AV143" i="4"/>
  <c r="AU143" i="4"/>
  <c r="AD209" i="4"/>
  <c r="AE209" i="4" s="1"/>
  <c r="Y209" i="4"/>
  <c r="AL460" i="4"/>
  <c r="R460" i="4"/>
  <c r="AL9" i="2"/>
  <c r="AL6" i="3"/>
  <c r="AL8" i="3"/>
  <c r="AG15" i="4"/>
  <c r="AL24" i="4"/>
  <c r="AU27" i="4"/>
  <c r="W32" i="4"/>
  <c r="X32" i="4" s="1"/>
  <c r="AL35" i="4"/>
  <c r="AL42" i="4"/>
  <c r="AD56" i="4"/>
  <c r="AE56" i="4" s="1"/>
  <c r="W61" i="4"/>
  <c r="X61" i="4" s="1"/>
  <c r="AU75" i="4"/>
  <c r="AV85" i="4"/>
  <c r="BD85" i="4" s="1"/>
  <c r="AU91" i="4"/>
  <c r="AG93" i="4"/>
  <c r="AG96" i="4"/>
  <c r="AW98" i="4"/>
  <c r="BJ98" i="4" s="1"/>
  <c r="AJ101" i="4"/>
  <c r="BG101" i="4" s="1"/>
  <c r="AV108" i="4"/>
  <c r="AW108" i="4" s="1"/>
  <c r="BJ108" i="4" s="1"/>
  <c r="AV111" i="4"/>
  <c r="AW111" i="4" s="1"/>
  <c r="BJ111" i="4" s="1"/>
  <c r="AV114" i="4"/>
  <c r="BD114" i="4" s="1"/>
  <c r="AG117" i="4"/>
  <c r="AG120" i="4"/>
  <c r="AY195" i="4"/>
  <c r="AV384" i="4"/>
  <c r="AU384" i="4"/>
  <c r="AV514" i="4"/>
  <c r="AY514" i="4" s="1"/>
  <c r="AU514" i="4"/>
  <c r="AL5" i="4"/>
  <c r="AV6" i="4"/>
  <c r="BD6" i="4" s="1"/>
  <c r="AG8" i="4"/>
  <c r="AL10" i="4"/>
  <c r="AF17" i="4"/>
  <c r="AH17" i="4" s="1"/>
  <c r="AI17" i="4" s="1"/>
  <c r="BF17" i="4" s="1"/>
  <c r="AW18" i="4"/>
  <c r="AW30" i="4"/>
  <c r="BJ30" i="4" s="1"/>
  <c r="AU45" i="4"/>
  <c r="AG47" i="4"/>
  <c r="AL49" i="4"/>
  <c r="AG50" i="4"/>
  <c r="W52" i="4"/>
  <c r="X52" i="4" s="1"/>
  <c r="AG53" i="4"/>
  <c r="AJ55" i="4"/>
  <c r="BG55" i="4" s="1"/>
  <c r="W58" i="4"/>
  <c r="X58" i="4" s="1"/>
  <c r="AD59" i="4"/>
  <c r="AE59" i="4" s="1"/>
  <c r="AG69" i="4"/>
  <c r="AJ73" i="4"/>
  <c r="AF79" i="4"/>
  <c r="AD84" i="4"/>
  <c r="AE84" i="4" s="1"/>
  <c r="AJ89" i="4"/>
  <c r="AL95" i="4"/>
  <c r="AJ96" i="4"/>
  <c r="AD113" i="4"/>
  <c r="AE113" i="4" s="1"/>
  <c r="AV123" i="4"/>
  <c r="AW123" i="4" s="1"/>
  <c r="BJ123" i="4" s="1"/>
  <c r="BJ140" i="4"/>
  <c r="AV211" i="4"/>
  <c r="AW211" i="4" s="1"/>
  <c r="BJ211" i="4" s="1"/>
  <c r="AU211" i="4"/>
  <c r="AU375" i="4"/>
  <c r="AV375" i="4"/>
  <c r="AU454" i="4"/>
  <c r="AV454" i="4"/>
  <c r="BD454" i="4" s="1"/>
  <c r="AV547" i="4"/>
  <c r="AU547" i="4"/>
  <c r="AL157" i="4"/>
  <c r="R157" i="4"/>
  <c r="AL513" i="4"/>
  <c r="R513" i="4"/>
  <c r="BD15" i="4"/>
  <c r="AJ26" i="4"/>
  <c r="BG26" i="4" s="1"/>
  <c r="AG32" i="4"/>
  <c r="AG37" i="4"/>
  <c r="AD39" i="4"/>
  <c r="AE39" i="4" s="1"/>
  <c r="AD42" i="4"/>
  <c r="AE42" i="4" s="1"/>
  <c r="AV71" i="4"/>
  <c r="AF73" i="4"/>
  <c r="AU77" i="4"/>
  <c r="AV96" i="4"/>
  <c r="BD96" i="4" s="1"/>
  <c r="AG100" i="4"/>
  <c r="AG103" i="4"/>
  <c r="W112" i="4"/>
  <c r="X112" i="4" s="1"/>
  <c r="AV113" i="4"/>
  <c r="BD113" i="4" s="1"/>
  <c r="AF383" i="4"/>
  <c r="AJ424" i="4"/>
  <c r="BG424" i="4" s="1"/>
  <c r="W424" i="4"/>
  <c r="X424" i="4" s="1"/>
  <c r="AF424" i="4"/>
  <c r="AF513" i="4"/>
  <c r="AG5" i="4"/>
  <c r="AD17" i="4"/>
  <c r="AE17" i="4" s="1"/>
  <c r="AD22" i="4"/>
  <c r="AE22" i="4" s="1"/>
  <c r="AY23" i="4"/>
  <c r="AG29" i="4"/>
  <c r="AH29" i="4" s="1"/>
  <c r="AI29" i="4" s="1"/>
  <c r="BF29" i="4" s="1"/>
  <c r="BJ35" i="4"/>
  <c r="AG41" i="4"/>
  <c r="AU47" i="4"/>
  <c r="AG49" i="4"/>
  <c r="AJ57" i="4"/>
  <c r="BG57" i="4" s="1"/>
  <c r="AG63" i="4"/>
  <c r="W68" i="4"/>
  <c r="X68" i="4" s="1"/>
  <c r="AU90" i="4"/>
  <c r="AD92" i="4"/>
  <c r="AE92" i="4" s="1"/>
  <c r="AG95" i="4"/>
  <c r="AD116" i="4"/>
  <c r="AE116" i="4" s="1"/>
  <c r="AG119" i="4"/>
  <c r="AV122" i="4"/>
  <c r="AH130" i="4"/>
  <c r="AI130" i="4" s="1"/>
  <c r="BF130" i="4" s="1"/>
  <c r="AG217" i="4"/>
  <c r="Y226" i="4"/>
  <c r="AG226" i="4"/>
  <c r="AU244" i="4"/>
  <c r="AV244" i="4"/>
  <c r="AU260" i="4"/>
  <c r="AV260" i="4"/>
  <c r="AG295" i="4"/>
  <c r="Y295" i="4"/>
  <c r="AU343" i="4"/>
  <c r="AV343" i="4"/>
  <c r="R361" i="4"/>
  <c r="AJ361" i="4"/>
  <c r="BG361" i="4" s="1"/>
  <c r="AJ19" i="4"/>
  <c r="BD47" i="4"/>
  <c r="AD49" i="4"/>
  <c r="AE49" i="4" s="1"/>
  <c r="AD52" i="4"/>
  <c r="AE52" i="4" s="1"/>
  <c r="AD58" i="4"/>
  <c r="AE58" i="4" s="1"/>
  <c r="AG89" i="4"/>
  <c r="AU169" i="4"/>
  <c r="AV169" i="4"/>
  <c r="AW169" i="4" s="1"/>
  <c r="BJ169" i="4" s="1"/>
  <c r="AY217" i="4"/>
  <c r="BD217" i="4"/>
  <c r="AU511" i="4"/>
  <c r="AV511" i="4"/>
  <c r="AY511" i="4" s="1"/>
  <c r="AF571" i="4"/>
  <c r="AL10" i="2"/>
  <c r="AV5" i="4"/>
  <c r="BD5" i="4" s="1"/>
  <c r="AG12" i="4"/>
  <c r="AG14" i="4"/>
  <c r="AH14" i="4" s="1"/>
  <c r="AI14" i="4" s="1"/>
  <c r="AW29" i="4"/>
  <c r="BJ29" i="4" s="1"/>
  <c r="AG31" i="4"/>
  <c r="AL58" i="4"/>
  <c r="AG68" i="4"/>
  <c r="W75" i="4"/>
  <c r="X75" i="4" s="1"/>
  <c r="AF78" i="4"/>
  <c r="AG81" i="4"/>
  <c r="W83" i="4"/>
  <c r="X83" i="4" s="1"/>
  <c r="AG86" i="4"/>
  <c r="AL89" i="4"/>
  <c r="AG94" i="4"/>
  <c r="AG98" i="4"/>
  <c r="AG99" i="4"/>
  <c r="AD109" i="4"/>
  <c r="AE109" i="4" s="1"/>
  <c r="AG112" i="4"/>
  <c r="AG127" i="4"/>
  <c r="AG132" i="4"/>
  <c r="AG141" i="4"/>
  <c r="AD141" i="4"/>
  <c r="AE141" i="4" s="1"/>
  <c r="AU537" i="4"/>
  <c r="AV537" i="4"/>
  <c r="AW537" i="4" s="1"/>
  <c r="BJ537" i="4" s="1"/>
  <c r="AJ11" i="4"/>
  <c r="BG11" i="4" s="1"/>
  <c r="W27" i="4"/>
  <c r="X27" i="4" s="1"/>
  <c r="AD31" i="4"/>
  <c r="AE31" i="4" s="1"/>
  <c r="W33" i="4"/>
  <c r="X33" i="4" s="1"/>
  <c r="AG46" i="4"/>
  <c r="AW49" i="4"/>
  <c r="AF62" i="4"/>
  <c r="AV92" i="4"/>
  <c r="BD92" i="4" s="1"/>
  <c r="AJ94" i="4"/>
  <c r="BG94" i="4" s="1"/>
  <c r="AV95" i="4"/>
  <c r="BD95" i="4" s="1"/>
  <c r="AJ98" i="4"/>
  <c r="AJ99" i="4"/>
  <c r="BG99" i="4" s="1"/>
  <c r="AG105" i="4"/>
  <c r="AD115" i="4"/>
  <c r="AE115" i="4" s="1"/>
  <c r="AG121" i="4"/>
  <c r="AU146" i="4"/>
  <c r="AV146" i="4"/>
  <c r="AW146" i="4" s="1"/>
  <c r="BJ146" i="4" s="1"/>
  <c r="AD168" i="4"/>
  <c r="AE168" i="4" s="1"/>
  <c r="AU210" i="4"/>
  <c r="AV210" i="4"/>
  <c r="AV219" i="4"/>
  <c r="BD219" i="4" s="1"/>
  <c r="AU219" i="4"/>
  <c r="AJ536" i="4"/>
  <c r="R536" i="4"/>
  <c r="AL6" i="4"/>
  <c r="AU7" i="4"/>
  <c r="AF11" i="4"/>
  <c r="AH11" i="4" s="1"/>
  <c r="AI11" i="4" s="1"/>
  <c r="AL25" i="4"/>
  <c r="AD27" i="4"/>
  <c r="AE27" i="4" s="1"/>
  <c r="AD36" i="4"/>
  <c r="AE36" i="4" s="1"/>
  <c r="AL38" i="4"/>
  <c r="AU41" i="4"/>
  <c r="AL43" i="4"/>
  <c r="AD51" i="4"/>
  <c r="AE51" i="4" s="1"/>
  <c r="AG54" i="4"/>
  <c r="AD57" i="4"/>
  <c r="AE57" i="4" s="1"/>
  <c r="AU68" i="4"/>
  <c r="W74" i="4"/>
  <c r="X74" i="4" s="1"/>
  <c r="AG75" i="4"/>
  <c r="AL80" i="4"/>
  <c r="AG83" i="4"/>
  <c r="AF85" i="4"/>
  <c r="AH85" i="4" s="1"/>
  <c r="AI85" i="4" s="1"/>
  <c r="BF85" i="4" s="1"/>
  <c r="AG88" i="4"/>
  <c r="AH88" i="4" s="1"/>
  <c r="AI88" i="4" s="1"/>
  <c r="BF88" i="4" s="1"/>
  <c r="AV89" i="4"/>
  <c r="BD89" i="4" s="1"/>
  <c r="AL94" i="4"/>
  <c r="AG118" i="4"/>
  <c r="AF123" i="4"/>
  <c r="AH123" i="4" s="1"/>
  <c r="AI123" i="4" s="1"/>
  <c r="AF138" i="4"/>
  <c r="AD195" i="4"/>
  <c r="AE195" i="4" s="1"/>
  <c r="AG195" i="4"/>
  <c r="AG216" i="4"/>
  <c r="AD216" i="4"/>
  <c r="AE216" i="4" s="1"/>
  <c r="Y216" i="4"/>
  <c r="AV387" i="4"/>
  <c r="AW387" i="4" s="1"/>
  <c r="BJ387" i="4" s="1"/>
  <c r="AU387" i="4"/>
  <c r="AJ416" i="4"/>
  <c r="BG416" i="4" s="1"/>
  <c r="R416" i="4"/>
  <c r="BJ102" i="4"/>
  <c r="AV230" i="4"/>
  <c r="AY230" i="4" s="1"/>
  <c r="AU230" i="4"/>
  <c r="AG236" i="4"/>
  <c r="AD236" i="4"/>
  <c r="AE236" i="4" s="1"/>
  <c r="AJ281" i="4"/>
  <c r="R281" i="4"/>
  <c r="AF281" i="4"/>
  <c r="AU378" i="4"/>
  <c r="AV378" i="4"/>
  <c r="BD378" i="4" s="1"/>
  <c r="AF128" i="4"/>
  <c r="AF189" i="4"/>
  <c r="AG203" i="4"/>
  <c r="AV209" i="4"/>
  <c r="AG215" i="4"/>
  <c r="Y223" i="4"/>
  <c r="AD224" i="4"/>
  <c r="AE224" i="4" s="1"/>
  <c r="AD225" i="4"/>
  <c r="AE225" i="4" s="1"/>
  <c r="AG235" i="4"/>
  <c r="AV236" i="4"/>
  <c r="AD238" i="4"/>
  <c r="AE238" i="4" s="1"/>
  <c r="AV265" i="4"/>
  <c r="AW265" i="4" s="1"/>
  <c r="BJ265" i="4" s="1"/>
  <c r="AF272" i="4"/>
  <c r="AG287" i="4"/>
  <c r="AG294" i="4"/>
  <c r="AF305" i="4"/>
  <c r="AV339" i="4"/>
  <c r="BD339" i="4" s="1"/>
  <c r="Y341" i="4"/>
  <c r="AV342" i="4"/>
  <c r="AY342" i="4" s="1"/>
  <c r="AV351" i="4"/>
  <c r="BD351" i="4" s="1"/>
  <c r="AV369" i="4"/>
  <c r="AY369" i="4" s="1"/>
  <c r="AV374" i="4"/>
  <c r="W376" i="4"/>
  <c r="X376" i="4" s="1"/>
  <c r="AF382" i="4"/>
  <c r="Y408" i="4"/>
  <c r="AV410" i="4"/>
  <c r="BD410" i="4" s="1"/>
  <c r="AF412" i="4"/>
  <c r="AJ415" i="4"/>
  <c r="BG415" i="4" s="1"/>
  <c r="AF418" i="4"/>
  <c r="W421" i="4"/>
  <c r="X421" i="4" s="1"/>
  <c r="AF428" i="4"/>
  <c r="R430" i="4"/>
  <c r="AV440" i="4"/>
  <c r="BD440" i="4" s="1"/>
  <c r="AD442" i="4"/>
  <c r="AE442" i="4" s="1"/>
  <c r="R448" i="4"/>
  <c r="AV451" i="4"/>
  <c r="BD451" i="4" s="1"/>
  <c r="AF473" i="4"/>
  <c r="AD490" i="4"/>
  <c r="AE490" i="4" s="1"/>
  <c r="AJ495" i="4"/>
  <c r="W512" i="4"/>
  <c r="X512" i="4" s="1"/>
  <c r="R530" i="4"/>
  <c r="AG545" i="4"/>
  <c r="R562" i="4"/>
  <c r="W568" i="4"/>
  <c r="X568" i="4" s="1"/>
  <c r="AG165" i="4"/>
  <c r="W207" i="4"/>
  <c r="X207" i="4" s="1"/>
  <c r="AV208" i="4"/>
  <c r="BD208" i="4" s="1"/>
  <c r="AU215" i="4"/>
  <c r="AF219" i="4"/>
  <c r="AD220" i="4"/>
  <c r="AE220" i="4" s="1"/>
  <c r="AF222" i="4"/>
  <c r="AG223" i="4"/>
  <c r="AG228" i="4"/>
  <c r="AF231" i="4"/>
  <c r="AV232" i="4"/>
  <c r="AW232" i="4" s="1"/>
  <c r="BJ232" i="4" s="1"/>
  <c r="Y240" i="4"/>
  <c r="AW259" i="4"/>
  <c r="AD264" i="4"/>
  <c r="AE264" i="4" s="1"/>
  <c r="AU267" i="4"/>
  <c r="R283" i="4"/>
  <c r="AJ287" i="4"/>
  <c r="AD329" i="4"/>
  <c r="AE329" i="4" s="1"/>
  <c r="AD331" i="4"/>
  <c r="AE331" i="4" s="1"/>
  <c r="AU338" i="4"/>
  <c r="AD344" i="4"/>
  <c r="AE344" i="4" s="1"/>
  <c r="AU347" i="4"/>
  <c r="AU350" i="4"/>
  <c r="R370" i="4"/>
  <c r="AG373" i="4"/>
  <c r="AD412" i="4"/>
  <c r="AE412" i="4" s="1"/>
  <c r="W415" i="4"/>
  <c r="X415" i="4" s="1"/>
  <c r="AD421" i="4"/>
  <c r="AE421" i="4" s="1"/>
  <c r="AF423" i="4"/>
  <c r="AF430" i="4"/>
  <c r="AG437" i="4"/>
  <c r="AG446" i="4"/>
  <c r="AD455" i="4"/>
  <c r="AE455" i="4" s="1"/>
  <c r="R463" i="4"/>
  <c r="AG473" i="4"/>
  <c r="AG482" i="4"/>
  <c r="W489" i="4"/>
  <c r="X489" i="4" s="1"/>
  <c r="AD494" i="4"/>
  <c r="AE494" i="4" s="1"/>
  <c r="AG503" i="4"/>
  <c r="AG520" i="4"/>
  <c r="AH520" i="4" s="1"/>
  <c r="AI520" i="4" s="1"/>
  <c r="BF520" i="4" s="1"/>
  <c r="AG523" i="4"/>
  <c r="AH523" i="4" s="1"/>
  <c r="AI523" i="4" s="1"/>
  <c r="BF523" i="4" s="1"/>
  <c r="AG525" i="4"/>
  <c r="AH525" i="4" s="1"/>
  <c r="AI525" i="4" s="1"/>
  <c r="BF525" i="4" s="1"/>
  <c r="AF527" i="4"/>
  <c r="AH527" i="4" s="1"/>
  <c r="AI527" i="4" s="1"/>
  <c r="AV528" i="4"/>
  <c r="AD533" i="4"/>
  <c r="AE533" i="4" s="1"/>
  <c r="AW539" i="4"/>
  <c r="BJ539" i="4" s="1"/>
  <c r="AU542" i="4"/>
  <c r="AF550" i="4"/>
  <c r="AG557" i="4"/>
  <c r="AF562" i="4"/>
  <c r="AV563" i="4"/>
  <c r="BD563" i="4" s="1"/>
  <c r="AV571" i="4"/>
  <c r="BD571" i="4" s="1"/>
  <c r="AF580" i="4"/>
  <c r="W582" i="4"/>
  <c r="X582" i="4" s="1"/>
  <c r="AV583" i="4"/>
  <c r="BD583" i="4" s="1"/>
  <c r="AG594" i="4"/>
  <c r="AG128" i="4"/>
  <c r="AD132" i="4"/>
  <c r="AE132" i="4" s="1"/>
  <c r="AG148" i="4"/>
  <c r="W173" i="4"/>
  <c r="X173" i="4" s="1"/>
  <c r="AV174" i="4"/>
  <c r="BD174" i="4" s="1"/>
  <c r="W176" i="4"/>
  <c r="X176" i="4" s="1"/>
  <c r="AG192" i="4"/>
  <c r="AU214" i="4"/>
  <c r="AU224" i="4"/>
  <c r="AU225" i="4"/>
  <c r="AD234" i="4"/>
  <c r="AE234" i="4" s="1"/>
  <c r="AL287" i="4"/>
  <c r="Y291" i="4"/>
  <c r="AG296" i="4"/>
  <c r="AV356" i="4"/>
  <c r="BD356" i="4" s="1"/>
  <c r="AU361" i="4"/>
  <c r="W363" i="4"/>
  <c r="X363" i="4" s="1"/>
  <c r="W399" i="4"/>
  <c r="X399" i="4" s="1"/>
  <c r="AG418" i="4"/>
  <c r="AJ421" i="4"/>
  <c r="BG421" i="4" s="1"/>
  <c r="AG475" i="4"/>
  <c r="AF477" i="4"/>
  <c r="AD482" i="4"/>
  <c r="AE482" i="4" s="1"/>
  <c r="AG505" i="4"/>
  <c r="W527" i="4"/>
  <c r="X527" i="4" s="1"/>
  <c r="W530" i="4"/>
  <c r="X530" i="4" s="1"/>
  <c r="AJ532" i="4"/>
  <c r="BG532" i="4" s="1"/>
  <c r="AL537" i="4"/>
  <c r="AD548" i="4"/>
  <c r="AE548" i="4" s="1"/>
  <c r="AF552" i="4"/>
  <c r="AL554" i="4"/>
  <c r="AF557" i="4"/>
  <c r="AV560" i="4"/>
  <c r="AW560" i="4" s="1"/>
  <c r="BJ560" i="4" s="1"/>
  <c r="AD148" i="4"/>
  <c r="AE148" i="4" s="1"/>
  <c r="AD179" i="4"/>
  <c r="AE179" i="4" s="1"/>
  <c r="AD192" i="4"/>
  <c r="AE192" i="4" s="1"/>
  <c r="AG201" i="4"/>
  <c r="AV223" i="4"/>
  <c r="R239" i="4"/>
  <c r="AD240" i="4"/>
  <c r="AE240" i="4" s="1"/>
  <c r="W243" i="4"/>
  <c r="X243" i="4" s="1"/>
  <c r="AG245" i="4"/>
  <c r="AH245" i="4" s="1"/>
  <c r="AI245" i="4" s="1"/>
  <c r="BF245" i="4" s="1"/>
  <c r="AL246" i="4"/>
  <c r="AF248" i="4"/>
  <c r="AF271" i="4"/>
  <c r="AU281" i="4"/>
  <c r="W286" i="4"/>
  <c r="X286" i="4" s="1"/>
  <c r="AF300" i="4"/>
  <c r="AF326" i="4"/>
  <c r="AD335" i="4"/>
  <c r="AE335" i="4" s="1"/>
  <c r="Y340" i="4"/>
  <c r="AW341" i="4"/>
  <c r="BJ341" i="4" s="1"/>
  <c r="W343" i="4"/>
  <c r="X343" i="4" s="1"/>
  <c r="Y352" i="4"/>
  <c r="W365" i="4"/>
  <c r="X365" i="4" s="1"/>
  <c r="W370" i="4"/>
  <c r="X370" i="4" s="1"/>
  <c r="W375" i="4"/>
  <c r="X375" i="4" s="1"/>
  <c r="AU382" i="4"/>
  <c r="AF394" i="4"/>
  <c r="AF402" i="4"/>
  <c r="AJ412" i="4"/>
  <c r="BG412" i="4" s="1"/>
  <c r="AJ417" i="4"/>
  <c r="BG417" i="4" s="1"/>
  <c r="AJ425" i="4"/>
  <c r="BG425" i="4" s="1"/>
  <c r="AV446" i="4"/>
  <c r="BD446" i="4" s="1"/>
  <c r="AG448" i="4"/>
  <c r="AG459" i="4"/>
  <c r="AU494" i="4"/>
  <c r="AJ511" i="4"/>
  <c r="BG511" i="4" s="1"/>
  <c r="AJ512" i="4"/>
  <c r="BG512" i="4" s="1"/>
  <c r="AV533" i="4"/>
  <c r="AW533" i="4" s="1"/>
  <c r="BJ533" i="4" s="1"/>
  <c r="R540" i="4"/>
  <c r="AD544" i="4"/>
  <c r="AE544" i="4" s="1"/>
  <c r="AL170" i="4"/>
  <c r="AU184" i="4"/>
  <c r="W260" i="4"/>
  <c r="X260" i="4" s="1"/>
  <c r="AV261" i="4"/>
  <c r="W295" i="4"/>
  <c r="X295" i="4" s="1"/>
  <c r="AU388" i="4"/>
  <c r="W420" i="4"/>
  <c r="X420" i="4" s="1"/>
  <c r="AJ423" i="4"/>
  <c r="BG423" i="4" s="1"/>
  <c r="AV439" i="4"/>
  <c r="BD439" i="4" s="1"/>
  <c r="AG461" i="4"/>
  <c r="AD463" i="4"/>
  <c r="AE463" i="4" s="1"/>
  <c r="AG470" i="4"/>
  <c r="AG484" i="4"/>
  <c r="AL488" i="4"/>
  <c r="AG507" i="4"/>
  <c r="AF522" i="4"/>
  <c r="AJ541" i="4"/>
  <c r="AG547" i="4"/>
  <c r="AJ550" i="4"/>
  <c r="BG550" i="4" s="1"/>
  <c r="AJ562" i="4"/>
  <c r="BG562" i="4" s="1"/>
  <c r="AV164" i="4"/>
  <c r="AL172" i="4"/>
  <c r="AV179" i="4"/>
  <c r="AV201" i="4"/>
  <c r="AG204" i="4"/>
  <c r="AD210" i="4"/>
  <c r="AE210" i="4" s="1"/>
  <c r="AD211" i="4"/>
  <c r="AE211" i="4" s="1"/>
  <c r="AU212" i="4"/>
  <c r="AD219" i="4"/>
  <c r="AE219" i="4" s="1"/>
  <c r="AG227" i="4"/>
  <c r="AD230" i="4"/>
  <c r="AE230" i="4" s="1"/>
  <c r="AV231" i="4"/>
  <c r="BD231" i="4" s="1"/>
  <c r="AU234" i="4"/>
  <c r="AF239" i="4"/>
  <c r="AV240" i="4"/>
  <c r="AJ245" i="4"/>
  <c r="BG245" i="4" s="1"/>
  <c r="AD302" i="4"/>
  <c r="AE302" i="4" s="1"/>
  <c r="AU315" i="4"/>
  <c r="AV320" i="4"/>
  <c r="AY320" i="4" s="1"/>
  <c r="AF328" i="4"/>
  <c r="AD337" i="4"/>
  <c r="AE337" i="4" s="1"/>
  <c r="AD343" i="4"/>
  <c r="AE343" i="4" s="1"/>
  <c r="AD349" i="4"/>
  <c r="AE349" i="4" s="1"/>
  <c r="AL374" i="4"/>
  <c r="AU391" i="4"/>
  <c r="AL438" i="4"/>
  <c r="AL456" i="4"/>
  <c r="AD486" i="4"/>
  <c r="AE486" i="4" s="1"/>
  <c r="AG491" i="4"/>
  <c r="R495" i="4"/>
  <c r="AF530" i="4"/>
  <c r="AL543" i="4"/>
  <c r="AF582" i="4"/>
  <c r="AD130" i="4"/>
  <c r="AE130" i="4" s="1"/>
  <c r="AG146" i="4"/>
  <c r="AV152" i="4"/>
  <c r="BD152" i="4" s="1"/>
  <c r="W172" i="4"/>
  <c r="X172" i="4" s="1"/>
  <c r="W183" i="4"/>
  <c r="X183" i="4" s="1"/>
  <c r="AU186" i="4"/>
  <c r="AG191" i="4"/>
  <c r="AD204" i="4"/>
  <c r="AE204" i="4" s="1"/>
  <c r="AG210" i="4"/>
  <c r="AJ239" i="4"/>
  <c r="BG239" i="4" s="1"/>
  <c r="AJ242" i="4"/>
  <c r="AG243" i="4"/>
  <c r="AL245" i="4"/>
  <c r="AG263" i="4"/>
  <c r="AG304" i="4"/>
  <c r="AG308" i="4"/>
  <c r="AG328" i="4"/>
  <c r="AG330" i="4"/>
  <c r="AF387" i="4"/>
  <c r="W398" i="4"/>
  <c r="X398" i="4" s="1"/>
  <c r="AV404" i="4"/>
  <c r="AW404" i="4" s="1"/>
  <c r="BJ404" i="4" s="1"/>
  <c r="AG411" i="4"/>
  <c r="W419" i="4"/>
  <c r="X419" i="4" s="1"/>
  <c r="AD420" i="4"/>
  <c r="AE420" i="4" s="1"/>
  <c r="W422" i="4"/>
  <c r="X422" i="4" s="1"/>
  <c r="AD425" i="4"/>
  <c r="AE425" i="4" s="1"/>
  <c r="AV441" i="4"/>
  <c r="BD441" i="4" s="1"/>
  <c r="AD504" i="4"/>
  <c r="AE504" i="4" s="1"/>
  <c r="AG509" i="4"/>
  <c r="AG511" i="4"/>
  <c r="AF514" i="4"/>
  <c r="AF521" i="4"/>
  <c r="AV522" i="4"/>
  <c r="AY522" i="4" s="1"/>
  <c r="AL526" i="4"/>
  <c r="AJ537" i="4"/>
  <c r="AD540" i="4"/>
  <c r="AE540" i="4" s="1"/>
  <c r="AV541" i="4"/>
  <c r="AW541" i="4" s="1"/>
  <c r="BJ541" i="4" s="1"/>
  <c r="AF549" i="4"/>
  <c r="AL558" i="4"/>
  <c r="AV559" i="4"/>
  <c r="BD559" i="4" s="1"/>
  <c r="AG564" i="4"/>
  <c r="AJ569" i="4"/>
  <c r="W577" i="4"/>
  <c r="X577" i="4" s="1"/>
  <c r="AG586" i="4"/>
  <c r="AD136" i="4"/>
  <c r="AE136" i="4" s="1"/>
  <c r="AJ180" i="4"/>
  <c r="BG180" i="4" s="1"/>
  <c r="AL188" i="4"/>
  <c r="AG206" i="4"/>
  <c r="AG209" i="4"/>
  <c r="AD226" i="4"/>
  <c r="AE226" i="4" s="1"/>
  <c r="AG229" i="4"/>
  <c r="AF235" i="4"/>
  <c r="AL243" i="4"/>
  <c r="W262" i="4"/>
  <c r="X262" i="4" s="1"/>
  <c r="AF292" i="4"/>
  <c r="AD312" i="4"/>
  <c r="AE312" i="4" s="1"/>
  <c r="AF317" i="4"/>
  <c r="AH317" i="4" s="1"/>
  <c r="AI317" i="4" s="1"/>
  <c r="W321" i="4"/>
  <c r="X321" i="4" s="1"/>
  <c r="W361" i="4"/>
  <c r="X361" i="4" s="1"/>
  <c r="W383" i="4"/>
  <c r="X383" i="4" s="1"/>
  <c r="W395" i="4"/>
  <c r="X395" i="4" s="1"/>
  <c r="W403" i="4"/>
  <c r="X403" i="4" s="1"/>
  <c r="AL405" i="4"/>
  <c r="AF413" i="4"/>
  <c r="AF416" i="4"/>
  <c r="R442" i="4"/>
  <c r="AG447" i="4"/>
  <c r="AG469" i="4"/>
  <c r="AG483" i="4"/>
  <c r="AF485" i="4"/>
  <c r="AG488" i="4"/>
  <c r="W490" i="4"/>
  <c r="X490" i="4" s="1"/>
  <c r="W513" i="4"/>
  <c r="X513" i="4" s="1"/>
  <c r="AG534" i="4"/>
  <c r="AL545" i="4"/>
  <c r="W571" i="4"/>
  <c r="X571" i="4" s="1"/>
  <c r="AG579" i="4"/>
  <c r="AG595" i="4"/>
  <c r="AV139" i="4"/>
  <c r="AW139" i="4" s="1"/>
  <c r="BJ139" i="4" s="1"/>
  <c r="AF141" i="4"/>
  <c r="AG163" i="4"/>
  <c r="AL168" i="4"/>
  <c r="AG172" i="4"/>
  <c r="W177" i="4"/>
  <c r="X177" i="4" s="1"/>
  <c r="AU178" i="4"/>
  <c r="AL195" i="4"/>
  <c r="AD217" i="4"/>
  <c r="AE217" i="4" s="1"/>
  <c r="AU218" i="4"/>
  <c r="AL251" i="4"/>
  <c r="AG259" i="4"/>
  <c r="AJ279" i="4"/>
  <c r="BG279" i="4" s="1"/>
  <c r="AH294" i="4"/>
  <c r="AI294" i="4" s="1"/>
  <c r="BF294" i="4" s="1"/>
  <c r="AF295" i="4"/>
  <c r="Y299" i="4"/>
  <c r="AG321" i="4"/>
  <c r="W325" i="4"/>
  <c r="X325" i="4" s="1"/>
  <c r="AV334" i="4"/>
  <c r="AY334" i="4" s="1"/>
  <c r="AD348" i="4"/>
  <c r="AE348" i="4" s="1"/>
  <c r="W389" i="4"/>
  <c r="X389" i="4" s="1"/>
  <c r="AU390" i="4"/>
  <c r="W392" i="4"/>
  <c r="X392" i="4" s="1"/>
  <c r="AF398" i="4"/>
  <c r="W413" i="4"/>
  <c r="X413" i="4" s="1"/>
  <c r="W416" i="4"/>
  <c r="X416" i="4" s="1"/>
  <c r="AG449" i="4"/>
  <c r="AG451" i="4"/>
  <c r="AD453" i="4"/>
  <c r="AE453" i="4" s="1"/>
  <c r="AD460" i="4"/>
  <c r="AE460" i="4" s="1"/>
  <c r="AD462" i="4"/>
  <c r="AE462" i="4" s="1"/>
  <c r="AL520" i="4"/>
  <c r="AL523" i="4"/>
  <c r="AF528" i="4"/>
  <c r="AV529" i="4"/>
  <c r="W531" i="4"/>
  <c r="X531" i="4" s="1"/>
  <c r="AD546" i="4"/>
  <c r="AE546" i="4" s="1"/>
  <c r="AF555" i="4"/>
  <c r="AF560" i="4"/>
  <c r="AH560" i="4" s="1"/>
  <c r="AI560" i="4" s="1"/>
  <c r="BF560" i="4" s="1"/>
  <c r="AV561" i="4"/>
  <c r="BD561" i="4" s="1"/>
  <c r="AF563" i="4"/>
  <c r="AF566" i="4"/>
  <c r="AH566" i="4" s="1"/>
  <c r="AI566" i="4" s="1"/>
  <c r="BF566" i="4" s="1"/>
  <c r="AV567" i="4"/>
  <c r="BD567" i="4" s="1"/>
  <c r="BJ591" i="4"/>
  <c r="AU130" i="4"/>
  <c r="AG133" i="4"/>
  <c r="AD138" i="4"/>
  <c r="AE138" i="4" s="1"/>
  <c r="AG142" i="4"/>
  <c r="W174" i="4"/>
  <c r="X174" i="4" s="1"/>
  <c r="AJ182" i="4"/>
  <c r="BG182" i="4" s="1"/>
  <c r="R201" i="4"/>
  <c r="AU221" i="4"/>
  <c r="AD242" i="4"/>
  <c r="AE242" i="4" s="1"/>
  <c r="AV243" i="4"/>
  <c r="BD243" i="4" s="1"/>
  <c r="AV268" i="4"/>
  <c r="AW268" i="4" s="1"/>
  <c r="BJ268" i="4" s="1"/>
  <c r="AU283" i="4"/>
  <c r="Y287" i="4"/>
  <c r="Y294" i="4"/>
  <c r="AL368" i="4"/>
  <c r="AL413" i="4"/>
  <c r="AL416" i="4"/>
  <c r="AJ418" i="4"/>
  <c r="BG418" i="4" s="1"/>
  <c r="AL424" i="4"/>
  <c r="AJ433" i="4"/>
  <c r="AG435" i="4"/>
  <c r="AL437" i="4"/>
  <c r="AL466" i="4"/>
  <c r="AG476" i="4"/>
  <c r="AF487" i="4"/>
  <c r="AJ494" i="4"/>
  <c r="BG494" i="4" s="1"/>
  <c r="AG506" i="4"/>
  <c r="AD508" i="4"/>
  <c r="AE508" i="4" s="1"/>
  <c r="AL515" i="4"/>
  <c r="AL525" i="4"/>
  <c r="AL533" i="4"/>
  <c r="AV534" i="4"/>
  <c r="BD534" i="4" s="1"/>
  <c r="AG536" i="4"/>
  <c r="AV540" i="4"/>
  <c r="AW540" i="4" s="1"/>
  <c r="BJ540" i="4" s="1"/>
  <c r="AU543" i="4"/>
  <c r="Y545" i="4"/>
  <c r="AJ548" i="4"/>
  <c r="BG548" i="4" s="1"/>
  <c r="W555" i="4"/>
  <c r="X555" i="4" s="1"/>
  <c r="AL557" i="4"/>
  <c r="AJ558" i="4"/>
  <c r="BG558" i="4" s="1"/>
  <c r="AL573" i="4"/>
  <c r="R587" i="4"/>
  <c r="BD101" i="4"/>
  <c r="AW101" i="4"/>
  <c r="BJ101" i="4" s="1"/>
  <c r="BD100" i="4"/>
  <c r="AY100" i="4"/>
  <c r="BD128" i="4"/>
  <c r="AW128" i="4"/>
  <c r="BJ128" i="4" s="1"/>
  <c r="BD7" i="4"/>
  <c r="AW7" i="4"/>
  <c r="BJ7" i="4" s="1"/>
  <c r="AW58" i="4"/>
  <c r="BJ58" i="4" s="1"/>
  <c r="BD58" i="4"/>
  <c r="AY58" i="4"/>
  <c r="BD68" i="4"/>
  <c r="AY68" i="4"/>
  <c r="BD189" i="4"/>
  <c r="AW189" i="4"/>
  <c r="BD99" i="4"/>
  <c r="AW99" i="4"/>
  <c r="BJ99" i="4" s="1"/>
  <c r="AY218" i="4"/>
  <c r="BD218" i="4"/>
  <c r="BD4" i="4"/>
  <c r="AW4" i="4"/>
  <c r="BJ4" i="4" s="1"/>
  <c r="BD88" i="4"/>
  <c r="AY88" i="4"/>
  <c r="BD69" i="4"/>
  <c r="AW69" i="4"/>
  <c r="BJ69" i="4" s="1"/>
  <c r="BD91" i="4"/>
  <c r="AY91" i="4"/>
  <c r="BD129" i="4"/>
  <c r="AW129" i="4"/>
  <c r="AF4" i="4"/>
  <c r="AH4" i="4" s="1"/>
  <c r="AI4" i="4" s="1"/>
  <c r="AF8" i="4"/>
  <c r="AG13" i="4"/>
  <c r="W16" i="4"/>
  <c r="X16" i="4" s="1"/>
  <c r="AU19" i="4"/>
  <c r="W21" i="4"/>
  <c r="X21" i="4" s="1"/>
  <c r="AG23" i="4"/>
  <c r="AY29" i="4"/>
  <c r="AL31" i="4"/>
  <c r="AU36" i="4"/>
  <c r="AG45" i="4"/>
  <c r="AL50" i="4"/>
  <c r="AJ54" i="4"/>
  <c r="BG54" i="4" s="1"/>
  <c r="W55" i="4"/>
  <c r="X55" i="4" s="1"/>
  <c r="AV61" i="4"/>
  <c r="BD61" i="4" s="1"/>
  <c r="W67" i="4"/>
  <c r="X67" i="4" s="1"/>
  <c r="AG73" i="4"/>
  <c r="AH73" i="4" s="1"/>
  <c r="AI73" i="4" s="1"/>
  <c r="AL86" i="4"/>
  <c r="AU88" i="4"/>
  <c r="AV110" i="4"/>
  <c r="AF111" i="4"/>
  <c r="AD112" i="4"/>
  <c r="AE112" i="4" s="1"/>
  <c r="AG113" i="4"/>
  <c r="AG114" i="4"/>
  <c r="AG115" i="4"/>
  <c r="AV117" i="4"/>
  <c r="AV118" i="4"/>
  <c r="AV119" i="4"/>
  <c r="AU128" i="4"/>
  <c r="AF129" i="4"/>
  <c r="AD133" i="4"/>
  <c r="AE133" i="4" s="1"/>
  <c r="AF134" i="4"/>
  <c r="AD137" i="4"/>
  <c r="AE137" i="4" s="1"/>
  <c r="AG140" i="4"/>
  <c r="AD145" i="4"/>
  <c r="AE145" i="4" s="1"/>
  <c r="Y145" i="4"/>
  <c r="AG145" i="4"/>
  <c r="AL149" i="4"/>
  <c r="AJ149" i="4"/>
  <c r="AJ154" i="4"/>
  <c r="BG154" i="4" s="1"/>
  <c r="AD163" i="4"/>
  <c r="AE163" i="4" s="1"/>
  <c r="AG186" i="4"/>
  <c r="AD205" i="4"/>
  <c r="AE205" i="4" s="1"/>
  <c r="AF208" i="4"/>
  <c r="AF229" i="4"/>
  <c r="W239" i="4"/>
  <c r="X239" i="4" s="1"/>
  <c r="AU247" i="4"/>
  <c r="AV247" i="4"/>
  <c r="BD247" i="4" s="1"/>
  <c r="AD322" i="4"/>
  <c r="AE322" i="4" s="1"/>
  <c r="Y322" i="4"/>
  <c r="BD338" i="4"/>
  <c r="AW338" i="4"/>
  <c r="BJ338" i="4" s="1"/>
  <c r="AV389" i="4"/>
  <c r="BD389" i="4" s="1"/>
  <c r="AU389" i="4"/>
  <c r="AL404" i="4"/>
  <c r="R404" i="4"/>
  <c r="AH67" i="4"/>
  <c r="AI67" i="4" s="1"/>
  <c r="BF67" i="4" s="1"/>
  <c r="AY206" i="4"/>
  <c r="AW206" i="4"/>
  <c r="BJ206" i="4" s="1"/>
  <c r="AY221" i="4"/>
  <c r="AW221" i="4"/>
  <c r="BJ221" i="4" s="1"/>
  <c r="AV233" i="4"/>
  <c r="AU233" i="4"/>
  <c r="BD546" i="4"/>
  <c r="AW546" i="4"/>
  <c r="BJ546" i="4" s="1"/>
  <c r="W11" i="4"/>
  <c r="X11" i="4" s="1"/>
  <c r="AF12" i="4"/>
  <c r="W15" i="4"/>
  <c r="X15" i="4" s="1"/>
  <c r="AU25" i="4"/>
  <c r="AD33" i="4"/>
  <c r="AE33" i="4" s="1"/>
  <c r="AU35" i="4"/>
  <c r="W43" i="4"/>
  <c r="X43" i="4" s="1"/>
  <c r="AU46" i="4"/>
  <c r="W50" i="4"/>
  <c r="X50" i="4" s="1"/>
  <c r="W54" i="4"/>
  <c r="X54" i="4" s="1"/>
  <c r="AG56" i="4"/>
  <c r="AG57" i="4"/>
  <c r="AG59" i="4"/>
  <c r="AJ60" i="4"/>
  <c r="BG60" i="4" s="1"/>
  <c r="AJ63" i="4"/>
  <c r="AL64" i="4"/>
  <c r="AL65" i="4"/>
  <c r="AF82" i="4"/>
  <c r="W86" i="4"/>
  <c r="X86" i="4" s="1"/>
  <c r="AD93" i="4"/>
  <c r="AE93" i="4" s="1"/>
  <c r="AG106" i="4"/>
  <c r="AU109" i="4"/>
  <c r="AG111" i="4"/>
  <c r="AV116" i="4"/>
  <c r="BD116" i="4" s="1"/>
  <c r="AG124" i="4"/>
  <c r="AG125" i="4"/>
  <c r="AG126" i="4"/>
  <c r="AG129" i="4"/>
  <c r="AG134" i="4"/>
  <c r="AD139" i="4"/>
  <c r="AE139" i="4" s="1"/>
  <c r="AV142" i="4"/>
  <c r="BD142" i="4" s="1"/>
  <c r="W149" i="4"/>
  <c r="X149" i="4" s="1"/>
  <c r="AF149" i="4"/>
  <c r="W151" i="4"/>
  <c r="X151" i="4" s="1"/>
  <c r="R151" i="4"/>
  <c r="AF154" i="4"/>
  <c r="AU163" i="4"/>
  <c r="AV163" i="4"/>
  <c r="AW163" i="4" s="1"/>
  <c r="BJ163" i="4" s="1"/>
  <c r="AU171" i="4"/>
  <c r="AV171" i="4"/>
  <c r="AY171" i="4" s="1"/>
  <c r="AG175" i="4"/>
  <c r="AF180" i="4"/>
  <c r="W180" i="4"/>
  <c r="X180" i="4" s="1"/>
  <c r="AD186" i="4"/>
  <c r="AE186" i="4" s="1"/>
  <c r="AJ199" i="4"/>
  <c r="BG199" i="4" s="1"/>
  <c r="AL199" i="4"/>
  <c r="R199" i="4"/>
  <c r="AW201" i="4"/>
  <c r="BJ201" i="4" s="1"/>
  <c r="BD206" i="4"/>
  <c r="BD221" i="4"/>
  <c r="AF223" i="4"/>
  <c r="AH223" i="4" s="1"/>
  <c r="AI223" i="4" s="1"/>
  <c r="AG231" i="4"/>
  <c r="AD231" i="4"/>
  <c r="AE231" i="4" s="1"/>
  <c r="W238" i="4"/>
  <c r="X238" i="4" s="1"/>
  <c r="AF238" i="4"/>
  <c r="AY260" i="4"/>
  <c r="BD260" i="4"/>
  <c r="AV263" i="4"/>
  <c r="R381" i="4"/>
  <c r="AF381" i="4"/>
  <c r="AL7" i="4"/>
  <c r="AG34" i="4"/>
  <c r="AG39" i="4"/>
  <c r="AJ69" i="4"/>
  <c r="BG69" i="4" s="1"/>
  <c r="AJ77" i="4"/>
  <c r="AG82" i="4"/>
  <c r="AJ83" i="4"/>
  <c r="BG83" i="4" s="1"/>
  <c r="AL92" i="4"/>
  <c r="AJ100" i="4"/>
  <c r="AU181" i="4"/>
  <c r="AV181" i="4"/>
  <c r="BD181" i="4" s="1"/>
  <c r="BD186" i="4"/>
  <c r="AW186" i="4"/>
  <c r="BJ186" i="4" s="1"/>
  <c r="AV200" i="4"/>
  <c r="AY200" i="4" s="1"/>
  <c r="AU200" i="4"/>
  <c r="AY205" i="4"/>
  <c r="BD205" i="4"/>
  <c r="AG220" i="4"/>
  <c r="AG239" i="4"/>
  <c r="AD239" i="4"/>
  <c r="AE239" i="4" s="1"/>
  <c r="AF290" i="4"/>
  <c r="AL290" i="4"/>
  <c r="AU335" i="4"/>
  <c r="AV335" i="4"/>
  <c r="AV368" i="4"/>
  <c r="AW368" i="4" s="1"/>
  <c r="BJ368" i="4" s="1"/>
  <c r="AU368" i="4"/>
  <c r="AV373" i="4"/>
  <c r="AU373" i="4"/>
  <c r="R411" i="4"/>
  <c r="AJ411" i="4"/>
  <c r="BG411" i="4" s="1"/>
  <c r="AF7" i="4"/>
  <c r="R14" i="4"/>
  <c r="AD15" i="4"/>
  <c r="AE15" i="4" s="1"/>
  <c r="AU18" i="4"/>
  <c r="W20" i="4"/>
  <c r="X20" i="4" s="1"/>
  <c r="AD21" i="4"/>
  <c r="AE21" i="4" s="1"/>
  <c r="AU24" i="4"/>
  <c r="W28" i="4"/>
  <c r="X28" i="4" s="1"/>
  <c r="AD32" i="4"/>
  <c r="AE32" i="4" s="1"/>
  <c r="AF33" i="4"/>
  <c r="AL34" i="4"/>
  <c r="W37" i="4"/>
  <c r="X37" i="4" s="1"/>
  <c r="AU40" i="4"/>
  <c r="Y43" i="4"/>
  <c r="AU44" i="4"/>
  <c r="Y54" i="4"/>
  <c r="AG55" i="4"/>
  <c r="AV60" i="4"/>
  <c r="AY60" i="4" s="1"/>
  <c r="Y63" i="4"/>
  <c r="W64" i="4"/>
  <c r="X64" i="4" s="1"/>
  <c r="W65" i="4"/>
  <c r="X65" i="4" s="1"/>
  <c r="R71" i="4"/>
  <c r="AV73" i="4"/>
  <c r="BD73" i="4" s="1"/>
  <c r="R80" i="4"/>
  <c r="AD85" i="4"/>
  <c r="AE85" i="4" s="1"/>
  <c r="AD86" i="4"/>
  <c r="AE86" i="4" s="1"/>
  <c r="AL100" i="4"/>
  <c r="AF110" i="4"/>
  <c r="AH110" i="4" s="1"/>
  <c r="AI110" i="4" s="1"/>
  <c r="AV112" i="4"/>
  <c r="BD112" i="4" s="1"/>
  <c r="AD122" i="4"/>
  <c r="AE122" i="4" s="1"/>
  <c r="AU124" i="4"/>
  <c r="AU125" i="4"/>
  <c r="AD131" i="4"/>
  <c r="AE131" i="4" s="1"/>
  <c r="AG136" i="4"/>
  <c r="AG154" i="4"/>
  <c r="AD154" i="4"/>
  <c r="AE154" i="4" s="1"/>
  <c r="R172" i="4"/>
  <c r="AD183" i="4"/>
  <c r="AE183" i="4" s="1"/>
  <c r="AG208" i="4"/>
  <c r="BD236" i="4"/>
  <c r="AY236" i="4"/>
  <c r="AW236" i="4"/>
  <c r="W242" i="4"/>
  <c r="X242" i="4" s="1"/>
  <c r="AF242" i="4"/>
  <c r="AG310" i="4"/>
  <c r="Y310" i="4"/>
  <c r="AV394" i="4"/>
  <c r="AY394" i="4" s="1"/>
  <c r="AU394" i="4"/>
  <c r="AV402" i="4"/>
  <c r="AY402" i="4" s="1"/>
  <c r="AU402" i="4"/>
  <c r="AD404" i="4"/>
  <c r="AE404" i="4" s="1"/>
  <c r="AG404" i="4"/>
  <c r="AF32" i="4"/>
  <c r="AF59" i="4"/>
  <c r="AG135" i="4"/>
  <c r="AG138" i="4"/>
  <c r="AU149" i="4"/>
  <c r="AV149" i="4"/>
  <c r="AV229" i="4"/>
  <c r="AU229" i="4"/>
  <c r="AG262" i="4"/>
  <c r="AD262" i="4"/>
  <c r="AE262" i="4" s="1"/>
  <c r="AG7" i="4"/>
  <c r="AJ9" i="4"/>
  <c r="BG9" i="4" s="1"/>
  <c r="AD11" i="4"/>
  <c r="AE11" i="4" s="1"/>
  <c r="AJ12" i="4"/>
  <c r="AF16" i="4"/>
  <c r="AY18" i="4"/>
  <c r="AY22" i="4"/>
  <c r="W26" i="4"/>
  <c r="X26" i="4" s="1"/>
  <c r="AH31" i="4"/>
  <c r="AI31" i="4" s="1"/>
  <c r="BF31" i="4" s="1"/>
  <c r="AU34" i="4"/>
  <c r="AU38" i="4"/>
  <c r="BD39" i="4"/>
  <c r="BD44" i="4"/>
  <c r="AD50" i="4"/>
  <c r="AE50" i="4" s="1"/>
  <c r="AU58" i="4"/>
  <c r="W62" i="4"/>
  <c r="X62" i="4" s="1"/>
  <c r="AV67" i="4"/>
  <c r="BD67" i="4" s="1"/>
  <c r="AU69" i="4"/>
  <c r="AY75" i="4"/>
  <c r="W80" i="4"/>
  <c r="X80" i="4" s="1"/>
  <c r="AU93" i="4"/>
  <c r="AW95" i="4"/>
  <c r="BJ95" i="4" s="1"/>
  <c r="AU100" i="4"/>
  <c r="AD105" i="4"/>
  <c r="AE105" i="4" s="1"/>
  <c r="AD121" i="4"/>
  <c r="AE121" i="4" s="1"/>
  <c r="AW134" i="4"/>
  <c r="BJ134" i="4" s="1"/>
  <c r="AV136" i="4"/>
  <c r="BD136" i="4" s="1"/>
  <c r="W153" i="4"/>
  <c r="X153" i="4" s="1"/>
  <c r="AF158" i="4"/>
  <c r="R158" i="4"/>
  <c r="AV177" i="4"/>
  <c r="AW177" i="4" s="1"/>
  <c r="BJ177" i="4" s="1"/>
  <c r="AF182" i="4"/>
  <c r="AU189" i="4"/>
  <c r="AH192" i="4"/>
  <c r="AI192" i="4" s="1"/>
  <c r="BF192" i="4" s="1"/>
  <c r="AG199" i="4"/>
  <c r="AG218" i="4"/>
  <c r="AV235" i="4"/>
  <c r="BD235" i="4" s="1"/>
  <c r="AU235" i="4"/>
  <c r="Y248" i="4"/>
  <c r="AJ248" i="4"/>
  <c r="BG248" i="4" s="1"/>
  <c r="AD267" i="4"/>
  <c r="AE267" i="4" s="1"/>
  <c r="Y267" i="4"/>
  <c r="AU332" i="4"/>
  <c r="AV332" i="4"/>
  <c r="AV349" i="4"/>
  <c r="AW349" i="4" s="1"/>
  <c r="BJ349" i="4" s="1"/>
  <c r="AU349" i="4"/>
  <c r="AF6" i="4"/>
  <c r="AF9" i="4"/>
  <c r="W10" i="4"/>
  <c r="X10" i="4" s="1"/>
  <c r="AU17" i="4"/>
  <c r="BJ18" i="4"/>
  <c r="AL20" i="4"/>
  <c r="AJ21" i="4"/>
  <c r="BG21" i="4" s="1"/>
  <c r="AD29" i="4"/>
  <c r="AE29" i="4" s="1"/>
  <c r="AL37" i="4"/>
  <c r="AW38" i="4"/>
  <c r="BJ38" i="4" s="1"/>
  <c r="AG42" i="4"/>
  <c r="W46" i="4"/>
  <c r="X46" i="4" s="1"/>
  <c r="AU51" i="4"/>
  <c r="AU52" i="4"/>
  <c r="AL55" i="4"/>
  <c r="AU56" i="4"/>
  <c r="AU57" i="4"/>
  <c r="AU59" i="4"/>
  <c r="AD62" i="4"/>
  <c r="AE62" i="4" s="1"/>
  <c r="AF63" i="4"/>
  <c r="AL74" i="4"/>
  <c r="BJ75" i="4"/>
  <c r="AJ86" i="4"/>
  <c r="BG86" i="4" s="1"/>
  <c r="AY95" i="4"/>
  <c r="AU101" i="4"/>
  <c r="AD143" i="4"/>
  <c r="AE143" i="4" s="1"/>
  <c r="AF147" i="4"/>
  <c r="AF161" i="4"/>
  <c r="W161" i="4"/>
  <c r="X161" i="4" s="1"/>
  <c r="W168" i="4"/>
  <c r="X168" i="4" s="1"/>
  <c r="AU170" i="4"/>
  <c r="AV170" i="4"/>
  <c r="BD170" i="4" s="1"/>
  <c r="AV199" i="4"/>
  <c r="AY199" i="4" s="1"/>
  <c r="AU199" i="4"/>
  <c r="W201" i="4"/>
  <c r="X201" i="4" s="1"/>
  <c r="AL250" i="4"/>
  <c r="AJ250" i="4"/>
  <c r="BG250" i="4" s="1"/>
  <c r="W275" i="4"/>
  <c r="X275" i="4" s="1"/>
  <c r="AF275" i="4"/>
  <c r="AH275" i="4" s="1"/>
  <c r="AI275" i="4" s="1"/>
  <c r="BF275" i="4" s="1"/>
  <c r="W323" i="4"/>
  <c r="X323" i="4" s="1"/>
  <c r="AF323" i="4"/>
  <c r="W9" i="4"/>
  <c r="X9" i="4" s="1"/>
  <c r="BJ16" i="4"/>
  <c r="AW17" i="4"/>
  <c r="BJ17" i="4" s="1"/>
  <c r="AU32" i="4"/>
  <c r="BD38" i="4"/>
  <c r="AL45" i="4"/>
  <c r="AL54" i="4"/>
  <c r="AG64" i="4"/>
  <c r="AH64" i="4" s="1"/>
  <c r="AI64" i="4" s="1"/>
  <c r="AJ65" i="4"/>
  <c r="BG65" i="4" s="1"/>
  <c r="AL91" i="4"/>
  <c r="AD123" i="4"/>
  <c r="AE123" i="4" s="1"/>
  <c r="AG176" i="4"/>
  <c r="AG182" i="4"/>
  <c r="AD182" i="4"/>
  <c r="AE182" i="4" s="1"/>
  <c r="AY192" i="4"/>
  <c r="AW192" i="4"/>
  <c r="AG194" i="4"/>
  <c r="AJ194" i="4"/>
  <c r="BG194" i="4" s="1"/>
  <c r="AG213" i="4"/>
  <c r="AD213" i="4"/>
  <c r="AE213" i="4" s="1"/>
  <c r="AG222" i="4"/>
  <c r="AH222" i="4" s="1"/>
  <c r="AI222" i="4" s="1"/>
  <c r="AD222" i="4"/>
  <c r="AE222" i="4" s="1"/>
  <c r="BD230" i="4"/>
  <c r="AD233" i="4"/>
  <c r="AE233" i="4" s="1"/>
  <c r="AJ237" i="4"/>
  <c r="BG237" i="4" s="1"/>
  <c r="W240" i="4"/>
  <c r="X240" i="4" s="1"/>
  <c r="AF240" i="4"/>
  <c r="AF241" i="4"/>
  <c r="W241" i="4"/>
  <c r="X241" i="4" s="1"/>
  <c r="BD244" i="4"/>
  <c r="AW244" i="4"/>
  <c r="BJ244" i="4" s="1"/>
  <c r="AL248" i="4"/>
  <c r="AU256" i="4"/>
  <c r="AV256" i="4"/>
  <c r="AY256" i="4" s="1"/>
  <c r="AJ266" i="4"/>
  <c r="BG266" i="4" s="1"/>
  <c r="AL266" i="4"/>
  <c r="AL269" i="4"/>
  <c r="R269" i="4"/>
  <c r="AD278" i="4"/>
  <c r="AE278" i="4" s="1"/>
  <c r="AG278" i="4"/>
  <c r="AG6" i="3"/>
  <c r="AG6" i="4"/>
  <c r="AG10" i="4"/>
  <c r="AL11" i="4"/>
  <c r="AJ14" i="4"/>
  <c r="AU15" i="4"/>
  <c r="BD16" i="4"/>
  <c r="AF19" i="4"/>
  <c r="AF20" i="4"/>
  <c r="AG25" i="4"/>
  <c r="AD26" i="4"/>
  <c r="AE26" i="4" s="1"/>
  <c r="AF27" i="4"/>
  <c r="AF28" i="4"/>
  <c r="AU30" i="4"/>
  <c r="BD31" i="4"/>
  <c r="BD32" i="4"/>
  <c r="W34" i="4"/>
  <c r="X34" i="4" s="1"/>
  <c r="AG36" i="4"/>
  <c r="W40" i="4"/>
  <c r="X40" i="4" s="1"/>
  <c r="AU43" i="4"/>
  <c r="AD46" i="4"/>
  <c r="AE46" i="4" s="1"/>
  <c r="AU48" i="4"/>
  <c r="AU49" i="4"/>
  <c r="AU50" i="4"/>
  <c r="AJ52" i="4"/>
  <c r="BG52" i="4" s="1"/>
  <c r="AU53" i="4"/>
  <c r="AU55" i="4"/>
  <c r="AJ58" i="4"/>
  <c r="BG58" i="4" s="1"/>
  <c r="AL63" i="4"/>
  <c r="AJ64" i="4"/>
  <c r="AL68" i="4"/>
  <c r="AL71" i="4"/>
  <c r="AL83" i="4"/>
  <c r="AD98" i="4"/>
  <c r="AE98" i="4" s="1"/>
  <c r="AD110" i="4"/>
  <c r="AE110" i="4" s="1"/>
  <c r="AD117" i="4"/>
  <c r="AE117" i="4" s="1"/>
  <c r="AD118" i="4"/>
  <c r="AE118" i="4" s="1"/>
  <c r="AD119" i="4"/>
  <c r="AE119" i="4" s="1"/>
  <c r="BJ129" i="4"/>
  <c r="AG143" i="4"/>
  <c r="R171" i="4"/>
  <c r="BD192" i="4"/>
  <c r="R197" i="4"/>
  <c r="AG202" i="4"/>
  <c r="AY222" i="4"/>
  <c r="BD222" i="4"/>
  <c r="AV228" i="4"/>
  <c r="AU228" i="4"/>
  <c r="AG233" i="4"/>
  <c r="AG237" i="4"/>
  <c r="AD237" i="4"/>
  <c r="AE237" i="4" s="1"/>
  <c r="AY244" i="4"/>
  <c r="AU253" i="4"/>
  <c r="AV253" i="4"/>
  <c r="AW253" i="4" s="1"/>
  <c r="BJ253" i="4" s="1"/>
  <c r="AU258" i="4"/>
  <c r="AV258" i="4"/>
  <c r="BD258" i="4" s="1"/>
  <c r="AF366" i="4"/>
  <c r="R366" i="4"/>
  <c r="AH5" i="4"/>
  <c r="AI5" i="4" s="1"/>
  <c r="BF5" i="4" s="1"/>
  <c r="AL13" i="4"/>
  <c r="AL39" i="4"/>
  <c r="BJ49" i="4"/>
  <c r="AJ62" i="4"/>
  <c r="BG62" i="4" s="1"/>
  <c r="AU161" i="4"/>
  <c r="AV161" i="4"/>
  <c r="BD161" i="4" s="1"/>
  <c r="BD179" i="4"/>
  <c r="AY179" i="4"/>
  <c r="AW179" i="4"/>
  <c r="AY203" i="4"/>
  <c r="BD203" i="4"/>
  <c r="AW203" i="4"/>
  <c r="BJ203" i="4" s="1"/>
  <c r="AG212" i="4"/>
  <c r="AD212" i="4"/>
  <c r="AE212" i="4" s="1"/>
  <c r="AL237" i="4"/>
  <c r="AG305" i="4"/>
  <c r="AH305" i="4" s="1"/>
  <c r="AI305" i="4" s="1"/>
  <c r="BF305" i="4" s="1"/>
  <c r="Y305" i="4"/>
  <c r="AG309" i="4"/>
  <c r="Y309" i="4"/>
  <c r="AU325" i="4"/>
  <c r="AV325" i="4"/>
  <c r="AG327" i="4"/>
  <c r="Y327" i="4"/>
  <c r="AG9" i="4"/>
  <c r="AU11" i="4"/>
  <c r="W13" i="4"/>
  <c r="X13" i="4" s="1"/>
  <c r="AU14" i="4"/>
  <c r="W22" i="4"/>
  <c r="X22" i="4" s="1"/>
  <c r="AG24" i="4"/>
  <c r="AJ25" i="4"/>
  <c r="BG25" i="4" s="1"/>
  <c r="BJ28" i="4"/>
  <c r="AU29" i="4"/>
  <c r="BD30" i="4"/>
  <c r="AL32" i="4"/>
  <c r="Y34" i="4"/>
  <c r="AU37" i="4"/>
  <c r="AD40" i="4"/>
  <c r="AE40" i="4" s="1"/>
  <c r="AU42" i="4"/>
  <c r="AW47" i="4"/>
  <c r="BJ47" i="4" s="1"/>
  <c r="BD49" i="4"/>
  <c r="AJ53" i="4"/>
  <c r="BG53" i="4" s="1"/>
  <c r="AJ56" i="4"/>
  <c r="BG56" i="4" s="1"/>
  <c r="W57" i="4"/>
  <c r="X57" i="4" s="1"/>
  <c r="AL59" i="4"/>
  <c r="AF61" i="4"/>
  <c r="AV63" i="4"/>
  <c r="AY63" i="4" s="1"/>
  <c r="AV64" i="4"/>
  <c r="BD64" i="4" s="1"/>
  <c r="AL67" i="4"/>
  <c r="W69" i="4"/>
  <c r="X69" i="4" s="1"/>
  <c r="AJ80" i="4"/>
  <c r="BG80" i="4" s="1"/>
  <c r="AD94" i="4"/>
  <c r="AE94" i="4" s="1"/>
  <c r="AD95" i="4"/>
  <c r="AE95" i="4" s="1"/>
  <c r="AD96" i="4"/>
  <c r="AE96" i="4" s="1"/>
  <c r="AD97" i="4"/>
  <c r="AE97" i="4" s="1"/>
  <c r="AD99" i="4"/>
  <c r="AE99" i="4" s="1"/>
  <c r="AD103" i="4"/>
  <c r="AE103" i="4" s="1"/>
  <c r="AW122" i="4"/>
  <c r="BJ122" i="4" s="1"/>
  <c r="AD140" i="4"/>
  <c r="AE140" i="4" s="1"/>
  <c r="AV148" i="4"/>
  <c r="AD152" i="4"/>
  <c r="AE152" i="4" s="1"/>
  <c r="Y152" i="4"/>
  <c r="AL155" i="4"/>
  <c r="W171" i="4"/>
  <c r="X171" i="4" s="1"/>
  <c r="AU172" i="4"/>
  <c r="AV172" i="4"/>
  <c r="BD172" i="4" s="1"/>
  <c r="AJ181" i="4"/>
  <c r="BG181" i="4" s="1"/>
  <c r="AL181" i="4"/>
  <c r="AF197" i="4"/>
  <c r="AU203" i="4"/>
  <c r="AD206" i="4"/>
  <c r="AE206" i="4" s="1"/>
  <c r="BD214" i="4"/>
  <c r="AW217" i="4"/>
  <c r="BJ217" i="4" s="1"/>
  <c r="AG221" i="4"/>
  <c r="AD232" i="4"/>
  <c r="AE232" i="4" s="1"/>
  <c r="AG269" i="4"/>
  <c r="AD269" i="4"/>
  <c r="AE269" i="4" s="1"/>
  <c r="AJ322" i="4"/>
  <c r="BG322" i="4" s="1"/>
  <c r="AF322" i="4"/>
  <c r="AD356" i="4"/>
  <c r="AE356" i="4" s="1"/>
  <c r="Y356" i="4"/>
  <c r="AF160" i="4"/>
  <c r="AG164" i="4"/>
  <c r="AL175" i="4"/>
  <c r="W204" i="4"/>
  <c r="X204" i="4" s="1"/>
  <c r="W205" i="4"/>
  <c r="X205" i="4" s="1"/>
  <c r="AF221" i="4"/>
  <c r="AF237" i="4"/>
  <c r="AG260" i="4"/>
  <c r="AD260" i="4"/>
  <c r="AE260" i="4" s="1"/>
  <c r="AD305" i="4"/>
  <c r="AE305" i="4" s="1"/>
  <c r="AV316" i="4"/>
  <c r="BD316" i="4" s="1"/>
  <c r="AU316" i="4"/>
  <c r="AD323" i="4"/>
  <c r="AE323" i="4" s="1"/>
  <c r="Y323" i="4"/>
  <c r="AD328" i="4"/>
  <c r="AE328" i="4" s="1"/>
  <c r="Y347" i="4"/>
  <c r="AV360" i="4"/>
  <c r="BD360" i="4" s="1"/>
  <c r="AU360" i="4"/>
  <c r="AV376" i="4"/>
  <c r="BD376" i="4" s="1"/>
  <c r="AU376" i="4"/>
  <c r="W381" i="4"/>
  <c r="X381" i="4" s="1"/>
  <c r="AV397" i="4"/>
  <c r="AY397" i="4" s="1"/>
  <c r="AU397" i="4"/>
  <c r="AG144" i="4"/>
  <c r="AD155" i="4"/>
  <c r="AE155" i="4" s="1"/>
  <c r="AV156" i="4"/>
  <c r="AW156" i="4" s="1"/>
  <c r="BJ156" i="4" s="1"/>
  <c r="AV165" i="4"/>
  <c r="AV167" i="4"/>
  <c r="BD167" i="4" s="1"/>
  <c r="AV168" i="4"/>
  <c r="BD168" i="4" s="1"/>
  <c r="AL174" i="4"/>
  <c r="AG177" i="4"/>
  <c r="AV180" i="4"/>
  <c r="AL187" i="4"/>
  <c r="AW209" i="4"/>
  <c r="BJ209" i="4" s="1"/>
  <c r="W237" i="4"/>
  <c r="X237" i="4" s="1"/>
  <c r="AJ240" i="4"/>
  <c r="AV241" i="4"/>
  <c r="BD241" i="4" s="1"/>
  <c r="AV242" i="4"/>
  <c r="AL244" i="4"/>
  <c r="AL249" i="4"/>
  <c r="AG252" i="4"/>
  <c r="AD259" i="4"/>
  <c r="AE259" i="4" s="1"/>
  <c r="AL262" i="4"/>
  <c r="AV270" i="4"/>
  <c r="BD270" i="4" s="1"/>
  <c r="AU270" i="4"/>
  <c r="R288" i="4"/>
  <c r="AJ288" i="4"/>
  <c r="BG288" i="4" s="1"/>
  <c r="AG323" i="4"/>
  <c r="AV348" i="4"/>
  <c r="AU348" i="4"/>
  <c r="AV355" i="4"/>
  <c r="AU355" i="4"/>
  <c r="W372" i="4"/>
  <c r="X372" i="4" s="1"/>
  <c r="AF372" i="4"/>
  <c r="AU444" i="4"/>
  <c r="AV444" i="4"/>
  <c r="BD444" i="4" s="1"/>
  <c r="AY494" i="4"/>
  <c r="BD494" i="4"/>
  <c r="BD357" i="4"/>
  <c r="AW357" i="4"/>
  <c r="BJ357" i="4" s="1"/>
  <c r="AD367" i="4"/>
  <c r="AE367" i="4" s="1"/>
  <c r="AG367" i="4"/>
  <c r="AH367" i="4" s="1"/>
  <c r="AI367" i="4" s="1"/>
  <c r="BF367" i="4" s="1"/>
  <c r="W393" i="4"/>
  <c r="X393" i="4" s="1"/>
  <c r="AF393" i="4"/>
  <c r="AF411" i="4"/>
  <c r="AH411" i="4" s="1"/>
  <c r="AI411" i="4" s="1"/>
  <c r="BF411" i="4" s="1"/>
  <c r="BJ267" i="4"/>
  <c r="AV344" i="4"/>
  <c r="AU344" i="4"/>
  <c r="AU357" i="4"/>
  <c r="AV367" i="4"/>
  <c r="AW367" i="4" s="1"/>
  <c r="BJ367" i="4" s="1"/>
  <c r="AU367" i="4"/>
  <c r="AV372" i="4"/>
  <c r="AW372" i="4" s="1"/>
  <c r="BJ372" i="4" s="1"/>
  <c r="AU372" i="4"/>
  <c r="AD374" i="4"/>
  <c r="AE374" i="4" s="1"/>
  <c r="AG374" i="4"/>
  <c r="AF425" i="4"/>
  <c r="W425" i="4"/>
  <c r="X425" i="4" s="1"/>
  <c r="AL158" i="4"/>
  <c r="W178" i="4"/>
  <c r="X178" i="4" s="1"/>
  <c r="AF181" i="4"/>
  <c r="W197" i="4"/>
  <c r="X197" i="4" s="1"/>
  <c r="AF210" i="4"/>
  <c r="AF227" i="4"/>
  <c r="AH227" i="4" s="1"/>
  <c r="AI227" i="4" s="1"/>
  <c r="BF227" i="4" s="1"/>
  <c r="W264" i="4"/>
  <c r="X264" i="4" s="1"/>
  <c r="AD310" i="4"/>
  <c r="AE310" i="4" s="1"/>
  <c r="W314" i="4"/>
  <c r="X314" i="4" s="1"/>
  <c r="AF314" i="4"/>
  <c r="AG322" i="4"/>
  <c r="AV337" i="4"/>
  <c r="BD337" i="4" s="1"/>
  <c r="AU337" i="4"/>
  <c r="BD359" i="4"/>
  <c r="AW359" i="4"/>
  <c r="BJ359" i="4" s="1"/>
  <c r="AU364" i="4"/>
  <c r="AV364" i="4"/>
  <c r="AW364" i="4" s="1"/>
  <c r="BJ364" i="4" s="1"/>
  <c r="W371" i="4"/>
  <c r="X371" i="4" s="1"/>
  <c r="AF371" i="4"/>
  <c r="AV393" i="4"/>
  <c r="AW393" i="4" s="1"/>
  <c r="BJ393" i="4" s="1"/>
  <c r="AU393" i="4"/>
  <c r="AV401" i="4"/>
  <c r="AU401" i="4"/>
  <c r="AG150" i="4"/>
  <c r="AG162" i="4"/>
  <c r="AV175" i="4"/>
  <c r="BD175" i="4" s="1"/>
  <c r="W181" i="4"/>
  <c r="X181" i="4" s="1"/>
  <c r="AV183" i="4"/>
  <c r="AW183" i="4" s="1"/>
  <c r="BJ183" i="4" s="1"/>
  <c r="AU187" i="4"/>
  <c r="BJ189" i="4"/>
  <c r="AU192" i="4"/>
  <c r="AG198" i="4"/>
  <c r="AD199" i="4"/>
  <c r="AE199" i="4" s="1"/>
  <c r="AU204" i="4"/>
  <c r="AU205" i="4"/>
  <c r="AD207" i="4"/>
  <c r="AE207" i="4" s="1"/>
  <c r="AD208" i="4"/>
  <c r="AE208" i="4" s="1"/>
  <c r="AF211" i="4"/>
  <c r="AH211" i="4" s="1"/>
  <c r="AI211" i="4" s="1"/>
  <c r="AF217" i="4"/>
  <c r="AU220" i="4"/>
  <c r="AV237" i="4"/>
  <c r="BD237" i="4" s="1"/>
  <c r="AV238" i="4"/>
  <c r="AF243" i="4"/>
  <c r="AH243" i="4" s="1"/>
  <c r="AI243" i="4" s="1"/>
  <c r="W244" i="4"/>
  <c r="X244" i="4" s="1"/>
  <c r="R245" i="4"/>
  <c r="AV245" i="4"/>
  <c r="AU246" i="4"/>
  <c r="AV246" i="4"/>
  <c r="AW246" i="4" s="1"/>
  <c r="BJ246" i="4" s="1"/>
  <c r="AV251" i="4"/>
  <c r="AW251" i="4" s="1"/>
  <c r="BJ251" i="4" s="1"/>
  <c r="AW255" i="4"/>
  <c r="BJ255" i="4" s="1"/>
  <c r="AV262" i="4"/>
  <c r="AY262" i="4" s="1"/>
  <c r="AV272" i="4"/>
  <c r="BD272" i="4" s="1"/>
  <c r="AU272" i="4"/>
  <c r="AL277" i="4"/>
  <c r="R277" i="4"/>
  <c r="AJ277" i="4"/>
  <c r="W299" i="4"/>
  <c r="X299" i="4" s="1"/>
  <c r="AF299" i="4"/>
  <c r="AW320" i="4"/>
  <c r="BJ320" i="4" s="1"/>
  <c r="AY346" i="4"/>
  <c r="BD346" i="4"/>
  <c r="AW346" i="4"/>
  <c r="BJ346" i="4" s="1"/>
  <c r="AF405" i="4"/>
  <c r="W405" i="4"/>
  <c r="X405" i="4" s="1"/>
  <c r="AL177" i="4"/>
  <c r="AJ241" i="4"/>
  <c r="BG241" i="4" s="1"/>
  <c r="AJ249" i="4"/>
  <c r="BG249" i="4" s="1"/>
  <c r="AG261" i="4"/>
  <c r="AD261" i="4"/>
  <c r="AE261" i="4" s="1"/>
  <c r="W277" i="4"/>
  <c r="X277" i="4" s="1"/>
  <c r="AF277" i="4"/>
  <c r="AL324" i="4"/>
  <c r="AY350" i="4"/>
  <c r="BD350" i="4"/>
  <c r="AW350" i="4"/>
  <c r="BJ350" i="4" s="1"/>
  <c r="AD366" i="4"/>
  <c r="AE366" i="4" s="1"/>
  <c r="AG366" i="4"/>
  <c r="AV398" i="4"/>
  <c r="BD398" i="4" s="1"/>
  <c r="AU398" i="4"/>
  <c r="AV157" i="4"/>
  <c r="AV158" i="4"/>
  <c r="AG167" i="4"/>
  <c r="AG171" i="4"/>
  <c r="AD172" i="4"/>
  <c r="AE172" i="4" s="1"/>
  <c r="AD181" i="4"/>
  <c r="AE181" i="4" s="1"/>
  <c r="AL190" i="4"/>
  <c r="AD200" i="4"/>
  <c r="AE200" i="4" s="1"/>
  <c r="AD201" i="4"/>
  <c r="AE201" i="4" s="1"/>
  <c r="AU222" i="4"/>
  <c r="AD228" i="4"/>
  <c r="AE228" i="4" s="1"/>
  <c r="AD229" i="4"/>
  <c r="AE229" i="4" s="1"/>
  <c r="AF233" i="4"/>
  <c r="AH233" i="4" s="1"/>
  <c r="AI233" i="4" s="1"/>
  <c r="AV239" i="4"/>
  <c r="BD239" i="4" s="1"/>
  <c r="AG241" i="4"/>
  <c r="AJ243" i="4"/>
  <c r="BG243" i="4" s="1"/>
  <c r="AG253" i="4"/>
  <c r="AV254" i="4"/>
  <c r="AW254" i="4" s="1"/>
  <c r="BJ254" i="4" s="1"/>
  <c r="AG268" i="4"/>
  <c r="AD268" i="4"/>
  <c r="AE268" i="4" s="1"/>
  <c r="AL270" i="4"/>
  <c r="R270" i="4"/>
  <c r="AD280" i="4"/>
  <c r="AE280" i="4" s="1"/>
  <c r="AG280" i="4"/>
  <c r="W283" i="4"/>
  <c r="X283" i="4" s="1"/>
  <c r="AF283" i="4"/>
  <c r="AV331" i="4"/>
  <c r="BD340" i="4"/>
  <c r="AD368" i="4"/>
  <c r="AE368" i="4" s="1"/>
  <c r="AG368" i="4"/>
  <c r="W379" i="4"/>
  <c r="X379" i="4" s="1"/>
  <c r="AF379" i="4"/>
  <c r="AL385" i="4"/>
  <c r="R385" i="4"/>
  <c r="AG160" i="4"/>
  <c r="AG166" i="4"/>
  <c r="AD167" i="4"/>
  <c r="AE167" i="4" s="1"/>
  <c r="AG168" i="4"/>
  <c r="AG169" i="4"/>
  <c r="AG170" i="4"/>
  <c r="AD171" i="4"/>
  <c r="AE171" i="4" s="1"/>
  <c r="AV173" i="4"/>
  <c r="AW173" i="4" s="1"/>
  <c r="BJ173" i="4" s="1"/>
  <c r="AL176" i="4"/>
  <c r="AF178" i="4"/>
  <c r="AH178" i="4" s="1"/>
  <c r="AI178" i="4" s="1"/>
  <c r="BF178" i="4" s="1"/>
  <c r="AL192" i="4"/>
  <c r="AH219" i="4"/>
  <c r="AI219" i="4" s="1"/>
  <c r="BF219" i="4" s="1"/>
  <c r="AJ238" i="4"/>
  <c r="AD241" i="4"/>
  <c r="AE241" i="4" s="1"/>
  <c r="W247" i="4"/>
  <c r="X247" i="4" s="1"/>
  <c r="AJ247" i="4"/>
  <c r="BG247" i="4" s="1"/>
  <c r="AD253" i="4"/>
  <c r="AE253" i="4" s="1"/>
  <c r="AJ256" i="4"/>
  <c r="BG256" i="4" s="1"/>
  <c r="AL256" i="4"/>
  <c r="AU257" i="4"/>
  <c r="AV257" i="4"/>
  <c r="AF270" i="4"/>
  <c r="AH270" i="4" s="1"/>
  <c r="AI270" i="4" s="1"/>
  <c r="BF270" i="4" s="1"/>
  <c r="AV271" i="4"/>
  <c r="BD271" i="4" s="1"/>
  <c r="AU271" i="4"/>
  <c r="AG277" i="4"/>
  <c r="AH279" i="4"/>
  <c r="AI279" i="4" s="1"/>
  <c r="AK279" i="4" s="1"/>
  <c r="W291" i="4"/>
  <c r="X291" i="4" s="1"/>
  <c r="AF291" i="4"/>
  <c r="AH291" i="4" s="1"/>
  <c r="AI291" i="4" s="1"/>
  <c r="W307" i="4"/>
  <c r="X307" i="4" s="1"/>
  <c r="AF311" i="4"/>
  <c r="AD319" i="4"/>
  <c r="AE319" i="4" s="1"/>
  <c r="R323" i="4"/>
  <c r="AL323" i="4"/>
  <c r="AH328" i="4"/>
  <c r="AI328" i="4" s="1"/>
  <c r="BF328" i="4" s="1"/>
  <c r="AV345" i="4"/>
  <c r="AU345" i="4"/>
  <c r="Y360" i="4"/>
  <c r="AG360" i="4"/>
  <c r="BD361" i="4"/>
  <c r="AW361" i="4"/>
  <c r="BJ361" i="4" s="1"/>
  <c r="AH373" i="4"/>
  <c r="AI373" i="4" s="1"/>
  <c r="AV383" i="4"/>
  <c r="AU383" i="4"/>
  <c r="AL391" i="4"/>
  <c r="R391" i="4"/>
  <c r="AG247" i="4"/>
  <c r="AG248" i="4"/>
  <c r="W249" i="4"/>
  <c r="X249" i="4" s="1"/>
  <c r="W250" i="4"/>
  <c r="X250" i="4" s="1"/>
  <c r="AJ255" i="4"/>
  <c r="BG255" i="4" s="1"/>
  <c r="W256" i="4"/>
  <c r="X256" i="4" s="1"/>
  <c r="AG258" i="4"/>
  <c r="AJ265" i="4"/>
  <c r="BG265" i="4" s="1"/>
  <c r="W266" i="4"/>
  <c r="X266" i="4" s="1"/>
  <c r="AF268" i="4"/>
  <c r="AF269" i="4"/>
  <c r="AG271" i="4"/>
  <c r="AH271" i="4" s="1"/>
  <c r="AI271" i="4" s="1"/>
  <c r="BF271" i="4" s="1"/>
  <c r="AG272" i="4"/>
  <c r="AG273" i="4"/>
  <c r="R275" i="4"/>
  <c r="W288" i="4"/>
  <c r="X288" i="4" s="1"/>
  <c r="W292" i="4"/>
  <c r="X292" i="4" s="1"/>
  <c r="AL294" i="4"/>
  <c r="AD300" i="4"/>
  <c r="AE300" i="4" s="1"/>
  <c r="W309" i="4"/>
  <c r="X309" i="4" s="1"/>
  <c r="W322" i="4"/>
  <c r="X322" i="4" s="1"/>
  <c r="AD346" i="4"/>
  <c r="AE346" i="4" s="1"/>
  <c r="AD347" i="4"/>
  <c r="AE347" i="4" s="1"/>
  <c r="AD360" i="4"/>
  <c r="AE360" i="4" s="1"/>
  <c r="W366" i="4"/>
  <c r="X366" i="4" s="1"/>
  <c r="AD372" i="4"/>
  <c r="AE372" i="4" s="1"/>
  <c r="AL380" i="4"/>
  <c r="AL396" i="4"/>
  <c r="AF404" i="4"/>
  <c r="AL410" i="4"/>
  <c r="AJ413" i="4"/>
  <c r="BG413" i="4" s="1"/>
  <c r="AD248" i="4"/>
  <c r="AE248" i="4" s="1"/>
  <c r="AG251" i="4"/>
  <c r="AV252" i="4"/>
  <c r="AW252" i="4" s="1"/>
  <c r="BJ252" i="4" s="1"/>
  <c r="AL260" i="4"/>
  <c r="W267" i="4"/>
  <c r="X267" i="4" s="1"/>
  <c r="AD271" i="4"/>
  <c r="AE271" i="4" s="1"/>
  <c r="AD272" i="4"/>
  <c r="AE272" i="4" s="1"/>
  <c r="W287" i="4"/>
  <c r="X287" i="4" s="1"/>
  <c r="AD295" i="4"/>
  <c r="AE295" i="4" s="1"/>
  <c r="AG302" i="4"/>
  <c r="AG307" i="4"/>
  <c r="AJ314" i="4"/>
  <c r="W327" i="4"/>
  <c r="X327" i="4" s="1"/>
  <c r="AG335" i="4"/>
  <c r="AV336" i="4"/>
  <c r="AG344" i="4"/>
  <c r="AG345" i="4"/>
  <c r="AD355" i="4"/>
  <c r="AE355" i="4" s="1"/>
  <c r="W359" i="4"/>
  <c r="X359" i="4" s="1"/>
  <c r="AL379" i="4"/>
  <c r="W380" i="4"/>
  <c r="X380" i="4" s="1"/>
  <c r="W386" i="4"/>
  <c r="X386" i="4" s="1"/>
  <c r="W396" i="4"/>
  <c r="X396" i="4" s="1"/>
  <c r="AF397" i="4"/>
  <c r="W400" i="4"/>
  <c r="X400" i="4" s="1"/>
  <c r="AF401" i="4"/>
  <c r="AJ404" i="4"/>
  <c r="BG404" i="4" s="1"/>
  <c r="AG405" i="4"/>
  <c r="AD406" i="4"/>
  <c r="AE406" i="4" s="1"/>
  <c r="AD407" i="4"/>
  <c r="AE407" i="4" s="1"/>
  <c r="AD408" i="4"/>
  <c r="AE408" i="4" s="1"/>
  <c r="AD409" i="4"/>
  <c r="AE409" i="4" s="1"/>
  <c r="AD410" i="4"/>
  <c r="AE410" i="4" s="1"/>
  <c r="W411" i="4"/>
  <c r="X411" i="4" s="1"/>
  <c r="AD423" i="4"/>
  <c r="AE423" i="4" s="1"/>
  <c r="AG423" i="4"/>
  <c r="AJ427" i="4"/>
  <c r="BG427" i="4" s="1"/>
  <c r="AF427" i="4"/>
  <c r="W427" i="4"/>
  <c r="X427" i="4" s="1"/>
  <c r="R427" i="4"/>
  <c r="AU455" i="4"/>
  <c r="AV455" i="4"/>
  <c r="AL472" i="4"/>
  <c r="AJ472" i="4"/>
  <c r="BG472" i="4" s="1"/>
  <c r="AG477" i="4"/>
  <c r="AD477" i="4"/>
  <c r="AE477" i="4" s="1"/>
  <c r="Y477" i="4"/>
  <c r="AW492" i="4"/>
  <c r="BJ492" i="4" s="1"/>
  <c r="AY492" i="4"/>
  <c r="W378" i="4"/>
  <c r="X378" i="4" s="1"/>
  <c r="W385" i="4"/>
  <c r="X385" i="4" s="1"/>
  <c r="W391" i="4"/>
  <c r="X391" i="4" s="1"/>
  <c r="AD411" i="4"/>
  <c r="AE411" i="4" s="1"/>
  <c r="Y412" i="4"/>
  <c r="Y413" i="4"/>
  <c r="BD545" i="4"/>
  <c r="AY545" i="4"/>
  <c r="AW545" i="4"/>
  <c r="BJ545" i="4" s="1"/>
  <c r="BD548" i="4"/>
  <c r="AW548" i="4"/>
  <c r="AG249" i="4"/>
  <c r="AG250" i="4"/>
  <c r="AG255" i="4"/>
  <c r="AG256" i="4"/>
  <c r="AG265" i="4"/>
  <c r="AG266" i="4"/>
  <c r="AG267" i="4"/>
  <c r="AL281" i="4"/>
  <c r="W290" i="4"/>
  <c r="X290" i="4" s="1"/>
  <c r="AD294" i="4"/>
  <c r="AE294" i="4" s="1"/>
  <c r="AD304" i="4"/>
  <c r="AE304" i="4" s="1"/>
  <c r="AL318" i="4"/>
  <c r="W326" i="4"/>
  <c r="X326" i="4" s="1"/>
  <c r="AD342" i="4"/>
  <c r="AE342" i="4" s="1"/>
  <c r="AJ406" i="4"/>
  <c r="BG406" i="4" s="1"/>
  <c r="AJ409" i="4"/>
  <c r="BG409" i="4" s="1"/>
  <c r="W469" i="4"/>
  <c r="X469" i="4" s="1"/>
  <c r="AF469" i="4"/>
  <c r="BD535" i="4"/>
  <c r="AY535" i="4"/>
  <c r="AW535" i="4"/>
  <c r="BJ535" i="4" s="1"/>
  <c r="AV248" i="4"/>
  <c r="AD249" i="4"/>
  <c r="AE249" i="4" s="1"/>
  <c r="AD255" i="4"/>
  <c r="AE255" i="4" s="1"/>
  <c r="AD256" i="4"/>
  <c r="AE256" i="4" s="1"/>
  <c r="AJ259" i="4"/>
  <c r="BG259" i="4" s="1"/>
  <c r="AL265" i="4"/>
  <c r="AD266" i="4"/>
  <c r="AE266" i="4" s="1"/>
  <c r="AL274" i="4"/>
  <c r="AD276" i="4"/>
  <c r="AE276" i="4" s="1"/>
  <c r="AU279" i="4"/>
  <c r="W281" i="4"/>
  <c r="X281" i="4" s="1"/>
  <c r="AL282" i="4"/>
  <c r="AD284" i="4"/>
  <c r="AE284" i="4" s="1"/>
  <c r="AD287" i="4"/>
  <c r="AE287" i="4" s="1"/>
  <c r="AF288" i="4"/>
  <c r="AD299" i="4"/>
  <c r="AE299" i="4" s="1"/>
  <c r="W301" i="4"/>
  <c r="X301" i="4" s="1"/>
  <c r="AV319" i="4"/>
  <c r="AF327" i="4"/>
  <c r="AV330" i="4"/>
  <c r="W339" i="4"/>
  <c r="X339" i="4" s="1"/>
  <c r="W350" i="4"/>
  <c r="X350" i="4" s="1"/>
  <c r="W357" i="4"/>
  <c r="X357" i="4" s="1"/>
  <c r="AL358" i="4"/>
  <c r="AU359" i="4"/>
  <c r="AL375" i="4"/>
  <c r="W377" i="4"/>
  <c r="X377" i="4" s="1"/>
  <c r="AD378" i="4"/>
  <c r="AE378" i="4" s="1"/>
  <c r="W384" i="4"/>
  <c r="X384" i="4" s="1"/>
  <c r="W390" i="4"/>
  <c r="X390" i="4" s="1"/>
  <c r="AU405" i="4"/>
  <c r="AJ410" i="4"/>
  <c r="BG410" i="4" s="1"/>
  <c r="AD413" i="4"/>
  <c r="AE413" i="4" s="1"/>
  <c r="AL453" i="4"/>
  <c r="AJ453" i="4"/>
  <c r="BG453" i="4" s="1"/>
  <c r="R453" i="4"/>
  <c r="W483" i="4"/>
  <c r="X483" i="4" s="1"/>
  <c r="AF483" i="4"/>
  <c r="AY507" i="4"/>
  <c r="AW507" i="4"/>
  <c r="BJ507" i="4" s="1"/>
  <c r="AD245" i="4"/>
  <c r="AE245" i="4" s="1"/>
  <c r="AF246" i="4"/>
  <c r="AH246" i="4" s="1"/>
  <c r="AI246" i="4" s="1"/>
  <c r="BF246" i="4" s="1"/>
  <c r="AG254" i="4"/>
  <c r="AJ260" i="4"/>
  <c r="BG260" i="4" s="1"/>
  <c r="AJ262" i="4"/>
  <c r="BG262" i="4" s="1"/>
  <c r="AG276" i="4"/>
  <c r="AG284" i="4"/>
  <c r="AF287" i="4"/>
  <c r="AD291" i="4"/>
  <c r="AE291" i="4" s="1"/>
  <c r="W296" i="4"/>
  <c r="X296" i="4" s="1"/>
  <c r="Y301" i="4"/>
  <c r="W303" i="4"/>
  <c r="X303" i="4" s="1"/>
  <c r="AD306" i="4"/>
  <c r="AE306" i="4" s="1"/>
  <c r="AD311" i="4"/>
  <c r="AE311" i="4" s="1"/>
  <c r="AJ316" i="4"/>
  <c r="BG316" i="4" s="1"/>
  <c r="AG333" i="4"/>
  <c r="Y338" i="4"/>
  <c r="Y339" i="4"/>
  <c r="AD340" i="4"/>
  <c r="AE340" i="4" s="1"/>
  <c r="AD341" i="4"/>
  <c r="AE341" i="4" s="1"/>
  <c r="Y350" i="4"/>
  <c r="Y351" i="4"/>
  <c r="AD352" i="4"/>
  <c r="AE352" i="4" s="1"/>
  <c r="AL362" i="4"/>
  <c r="R368" i="4"/>
  <c r="R374" i="4"/>
  <c r="AF378" i="4"/>
  <c r="AH378" i="4" s="1"/>
  <c r="AI378" i="4" s="1"/>
  <c r="BF378" i="4" s="1"/>
  <c r="AG379" i="4"/>
  <c r="AF385" i="4"/>
  <c r="AF391" i="4"/>
  <c r="AU392" i="4"/>
  <c r="AU396" i="4"/>
  <c r="AU400" i="4"/>
  <c r="AL402" i="4"/>
  <c r="AV406" i="4"/>
  <c r="AW406" i="4" s="1"/>
  <c r="AV407" i="4"/>
  <c r="AW407" i="4" s="1"/>
  <c r="BJ407" i="4" s="1"/>
  <c r="BD491" i="4"/>
  <c r="AY491" i="4"/>
  <c r="AJ261" i="4"/>
  <c r="BG261" i="4" s="1"/>
  <c r="AL279" i="4"/>
  <c r="AG290" i="4"/>
  <c r="AF395" i="4"/>
  <c r="AF399" i="4"/>
  <c r="AF403" i="4"/>
  <c r="R406" i="4"/>
  <c r="BJ406" i="4"/>
  <c r="R409" i="4"/>
  <c r="R410" i="4"/>
  <c r="AG412" i="4"/>
  <c r="AH412" i="4" s="1"/>
  <c r="AI412" i="4" s="1"/>
  <c r="AG413" i="4"/>
  <c r="AJ426" i="4"/>
  <c r="BG426" i="4" s="1"/>
  <c r="AF426" i="4"/>
  <c r="W426" i="4"/>
  <c r="X426" i="4" s="1"/>
  <c r="R426" i="4"/>
  <c r="AU447" i="4"/>
  <c r="AV447" i="4"/>
  <c r="BD547" i="4"/>
  <c r="AW547" i="4"/>
  <c r="BJ547" i="4" s="1"/>
  <c r="AJ258" i="4"/>
  <c r="BG258" i="4" s="1"/>
  <c r="AV266" i="4"/>
  <c r="AW266" i="4" s="1"/>
  <c r="BJ266" i="4" s="1"/>
  <c r="AL271" i="4"/>
  <c r="AL272" i="4"/>
  <c r="AL273" i="4"/>
  <c r="AD274" i="4"/>
  <c r="AE274" i="4" s="1"/>
  <c r="W279" i="4"/>
  <c r="X279" i="4" s="1"/>
  <c r="AL280" i="4"/>
  <c r="AD282" i="4"/>
  <c r="AE282" i="4" s="1"/>
  <c r="AD296" i="4"/>
  <c r="AE296" i="4" s="1"/>
  <c r="AG303" i="4"/>
  <c r="AD308" i="4"/>
  <c r="AE308" i="4" s="1"/>
  <c r="Y317" i="4"/>
  <c r="AD318" i="4"/>
  <c r="AE318" i="4" s="1"/>
  <c r="AD321" i="4"/>
  <c r="AE321" i="4" s="1"/>
  <c r="AU323" i="4"/>
  <c r="AV329" i="4"/>
  <c r="AD338" i="4"/>
  <c r="AE338" i="4" s="1"/>
  <c r="AD339" i="4"/>
  <c r="AE339" i="4" s="1"/>
  <c r="AU340" i="4"/>
  <c r="AU341" i="4"/>
  <c r="AW342" i="4"/>
  <c r="BJ342" i="4" s="1"/>
  <c r="AD350" i="4"/>
  <c r="AE350" i="4" s="1"/>
  <c r="AD351" i="4"/>
  <c r="AE351" i="4" s="1"/>
  <c r="AU352" i="4"/>
  <c r="AU353" i="4"/>
  <c r="AD358" i="4"/>
  <c r="AE358" i="4" s="1"/>
  <c r="W364" i="4"/>
  <c r="X364" i="4" s="1"/>
  <c r="AL367" i="4"/>
  <c r="W368" i="4"/>
  <c r="X368" i="4" s="1"/>
  <c r="W369" i="4"/>
  <c r="X369" i="4" s="1"/>
  <c r="W373" i="4"/>
  <c r="X373" i="4" s="1"/>
  <c r="W374" i="4"/>
  <c r="X374" i="4" s="1"/>
  <c r="AU379" i="4"/>
  <c r="AU385" i="4"/>
  <c r="AL388" i="4"/>
  <c r="AU458" i="4"/>
  <c r="AV458" i="4"/>
  <c r="R475" i="4"/>
  <c r="AJ475" i="4"/>
  <c r="BG475" i="4" s="1"/>
  <c r="AL285" i="4"/>
  <c r="AG298" i="4"/>
  <c r="AG313" i="4"/>
  <c r="AG332" i="4"/>
  <c r="AV333" i="4"/>
  <c r="AG337" i="4"/>
  <c r="BD342" i="4"/>
  <c r="W347" i="4"/>
  <c r="X347" i="4" s="1"/>
  <c r="AG348" i="4"/>
  <c r="AG349" i="4"/>
  <c r="AJ357" i="4"/>
  <c r="BG357" i="4" s="1"/>
  <c r="AG358" i="4"/>
  <c r="AD362" i="4"/>
  <c r="AE362" i="4" s="1"/>
  <c r="W367" i="4"/>
  <c r="X367" i="4" s="1"/>
  <c r="AF375" i="4"/>
  <c r="W382" i="4"/>
  <c r="X382" i="4" s="1"/>
  <c r="W388" i="4"/>
  <c r="X388" i="4" s="1"/>
  <c r="AU395" i="4"/>
  <c r="AL397" i="4"/>
  <c r="AU399" i="4"/>
  <c r="AL401" i="4"/>
  <c r="R405" i="4"/>
  <c r="AF406" i="4"/>
  <c r="AH406" i="4" s="1"/>
  <c r="AI406" i="4" s="1"/>
  <c r="BF406" i="4" s="1"/>
  <c r="AL407" i="4"/>
  <c r="AL408" i="4"/>
  <c r="AG478" i="4"/>
  <c r="AD478" i="4"/>
  <c r="AE478" i="4" s="1"/>
  <c r="AF482" i="4"/>
  <c r="AG485" i="4"/>
  <c r="AH485" i="4" s="1"/>
  <c r="AI485" i="4" s="1"/>
  <c r="BF485" i="4" s="1"/>
  <c r="AD485" i="4"/>
  <c r="AE485" i="4" s="1"/>
  <c r="W409" i="4"/>
  <c r="X409" i="4" s="1"/>
  <c r="AV416" i="4"/>
  <c r="BD416" i="4" s="1"/>
  <c r="W423" i="4"/>
  <c r="X423" i="4" s="1"/>
  <c r="R424" i="4"/>
  <c r="AV431" i="4"/>
  <c r="AG440" i="4"/>
  <c r="AD444" i="4"/>
  <c r="AE444" i="4" s="1"/>
  <c r="AV459" i="4"/>
  <c r="AJ466" i="4"/>
  <c r="BG466" i="4" s="1"/>
  <c r="AH470" i="4"/>
  <c r="AI470" i="4" s="1"/>
  <c r="BF470" i="4" s="1"/>
  <c r="BD473" i="4"/>
  <c r="AW474" i="4"/>
  <c r="AJ477" i="4"/>
  <c r="BG477" i="4" s="1"/>
  <c r="W478" i="4"/>
  <c r="X478" i="4" s="1"/>
  <c r="AD480" i="4"/>
  <c r="AE480" i="4" s="1"/>
  <c r="AG481" i="4"/>
  <c r="AD489" i="4"/>
  <c r="AE489" i="4" s="1"/>
  <c r="AU492" i="4"/>
  <c r="AV495" i="4"/>
  <c r="AU498" i="4"/>
  <c r="AU499" i="4"/>
  <c r="AV501" i="4"/>
  <c r="AW501" i="4" s="1"/>
  <c r="BJ501" i="4" s="1"/>
  <c r="AU502" i="4"/>
  <c r="AU504" i="4"/>
  <c r="AU505" i="4"/>
  <c r="AV506" i="4"/>
  <c r="AD516" i="4"/>
  <c r="AE516" i="4" s="1"/>
  <c r="R519" i="4"/>
  <c r="W521" i="4"/>
  <c r="X521" i="4" s="1"/>
  <c r="AG522" i="4"/>
  <c r="AH522" i="4" s="1"/>
  <c r="AI522" i="4" s="1"/>
  <c r="BF522" i="4" s="1"/>
  <c r="AV524" i="4"/>
  <c r="AY524" i="4" s="1"/>
  <c r="R527" i="4"/>
  <c r="AL528" i="4"/>
  <c r="AG530" i="4"/>
  <c r="AH530" i="4" s="1"/>
  <c r="AI530" i="4" s="1"/>
  <c r="BF530" i="4" s="1"/>
  <c r="AF531" i="4"/>
  <c r="AL536" i="4"/>
  <c r="AL544" i="4"/>
  <c r="AG546" i="4"/>
  <c r="Y547" i="4"/>
  <c r="Y548" i="4"/>
  <c r="AL552" i="4"/>
  <c r="W570" i="4"/>
  <c r="X570" i="4" s="1"/>
  <c r="AJ419" i="4"/>
  <c r="BG419" i="4" s="1"/>
  <c r="AF420" i="4"/>
  <c r="AF421" i="4"/>
  <c r="AF422" i="4"/>
  <c r="R425" i="4"/>
  <c r="AV427" i="4"/>
  <c r="BD427" i="4" s="1"/>
  <c r="AL436" i="4"/>
  <c r="AL439" i="4"/>
  <c r="AJ440" i="4"/>
  <c r="BG440" i="4" s="1"/>
  <c r="AL443" i="4"/>
  <c r="AV448" i="4"/>
  <c r="AL450" i="4"/>
  <c r="AJ451" i="4"/>
  <c r="BG451" i="4" s="1"/>
  <c r="AL454" i="4"/>
  <c r="AL464" i="4"/>
  <c r="AU469" i="4"/>
  <c r="AW471" i="4"/>
  <c r="BJ471" i="4" s="1"/>
  <c r="AY474" i="4"/>
  <c r="AF480" i="4"/>
  <c r="AD488" i="4"/>
  <c r="AE488" i="4" s="1"/>
  <c r="AF490" i="4"/>
  <c r="AU491" i="4"/>
  <c r="R494" i="4"/>
  <c r="AU496" i="4"/>
  <c r="AU497" i="4"/>
  <c r="AU500" i="4"/>
  <c r="AU503" i="4"/>
  <c r="AL556" i="4"/>
  <c r="AJ581" i="4"/>
  <c r="AG420" i="4"/>
  <c r="AG421" i="4"/>
  <c r="AG422" i="4"/>
  <c r="AL423" i="4"/>
  <c r="AV434" i="4"/>
  <c r="BD434" i="4" s="1"/>
  <c r="AJ444" i="4"/>
  <c r="BG444" i="4" s="1"/>
  <c r="AJ455" i="4"/>
  <c r="BG455" i="4" s="1"/>
  <c r="AD461" i="4"/>
  <c r="AE461" i="4" s="1"/>
  <c r="AV462" i="4"/>
  <c r="BD462" i="4" s="1"/>
  <c r="AG465" i="4"/>
  <c r="BD466" i="4"/>
  <c r="AW469" i="4"/>
  <c r="BJ469" i="4" s="1"/>
  <c r="W476" i="4"/>
  <c r="X476" i="4" s="1"/>
  <c r="AD479" i="4"/>
  <c r="AE479" i="4" s="1"/>
  <c r="AD487" i="4"/>
  <c r="AE487" i="4" s="1"/>
  <c r="AF489" i="4"/>
  <c r="AH489" i="4" s="1"/>
  <c r="AI489" i="4" s="1"/>
  <c r="BF489" i="4" s="1"/>
  <c r="AG490" i="4"/>
  <c r="AJ513" i="4"/>
  <c r="BG513" i="4" s="1"/>
  <c r="AG515" i="4"/>
  <c r="AL518" i="4"/>
  <c r="AG521" i="4"/>
  <c r="AV523" i="4"/>
  <c r="R525" i="4"/>
  <c r="W528" i="4"/>
  <c r="X528" i="4" s="1"/>
  <c r="AG529" i="4"/>
  <c r="AH529" i="4" s="1"/>
  <c r="AI529" i="4" s="1"/>
  <c r="AV531" i="4"/>
  <c r="BD531" i="4" s="1"/>
  <c r="AY534" i="4"/>
  <c r="AY539" i="4"/>
  <c r="AV553" i="4"/>
  <c r="AY553" i="4" s="1"/>
  <c r="W556" i="4"/>
  <c r="X556" i="4" s="1"/>
  <c r="AV572" i="4"/>
  <c r="AW572" i="4" s="1"/>
  <c r="BJ572" i="4" s="1"/>
  <c r="AG575" i="4"/>
  <c r="AG585" i="4"/>
  <c r="AH585" i="4" s="1"/>
  <c r="AI585" i="4" s="1"/>
  <c r="BF585" i="4" s="1"/>
  <c r="AV586" i="4"/>
  <c r="AG590" i="4"/>
  <c r="AV594" i="4"/>
  <c r="Y414" i="4"/>
  <c r="Y415" i="4"/>
  <c r="Y416" i="4"/>
  <c r="AJ422" i="4"/>
  <c r="BG422" i="4" s="1"/>
  <c r="Y424" i="4"/>
  <c r="AG436" i="4"/>
  <c r="AG439" i="4"/>
  <c r="AG443" i="4"/>
  <c r="AD446" i="4"/>
  <c r="AE446" i="4" s="1"/>
  <c r="AG450" i="4"/>
  <c r="AG454" i="4"/>
  <c r="AG464" i="4"/>
  <c r="W475" i="4"/>
  <c r="X475" i="4" s="1"/>
  <c r="Y483" i="4"/>
  <c r="AG494" i="4"/>
  <c r="Y507" i="4"/>
  <c r="Y508" i="4"/>
  <c r="AD509" i="4"/>
  <c r="AE509" i="4" s="1"/>
  <c r="AU510" i="4"/>
  <c r="AU513" i="4"/>
  <c r="AV515" i="4"/>
  <c r="AY515" i="4" s="1"/>
  <c r="W518" i="4"/>
  <c r="X518" i="4" s="1"/>
  <c r="AD520" i="4"/>
  <c r="AE520" i="4" s="1"/>
  <c r="R524" i="4"/>
  <c r="W526" i="4"/>
  <c r="X526" i="4" s="1"/>
  <c r="AV530" i="4"/>
  <c r="R532" i="4"/>
  <c r="R535" i="4"/>
  <c r="AY538" i="4"/>
  <c r="AY540" i="4"/>
  <c r="R544" i="4"/>
  <c r="AG549" i="4"/>
  <c r="AJ552" i="4"/>
  <c r="AG556" i="4"/>
  <c r="AW561" i="4"/>
  <c r="BJ561" i="4" s="1"/>
  <c r="AV562" i="4"/>
  <c r="BD562" i="4" s="1"/>
  <c r="AF574" i="4"/>
  <c r="AH574" i="4" s="1"/>
  <c r="AI574" i="4" s="1"/>
  <c r="AJ585" i="4"/>
  <c r="BG585" i="4" s="1"/>
  <c r="AG589" i="4"/>
  <c r="AV590" i="4"/>
  <c r="BD590" i="4" s="1"/>
  <c r="AF592" i="4"/>
  <c r="Y425" i="4"/>
  <c r="AV433" i="4"/>
  <c r="AJ436" i="4"/>
  <c r="AJ439" i="4"/>
  <c r="BG439" i="4" s="1"/>
  <c r="AJ443" i="4"/>
  <c r="AJ454" i="4"/>
  <c r="AV461" i="4"/>
  <c r="AJ464" i="4"/>
  <c r="AV465" i="4"/>
  <c r="BD465" i="4" s="1"/>
  <c r="AL491" i="4"/>
  <c r="AJ496" i="4"/>
  <c r="BG496" i="4" s="1"/>
  <c r="AJ497" i="4"/>
  <c r="BG497" i="4" s="1"/>
  <c r="AJ500" i="4"/>
  <c r="AJ503" i="4"/>
  <c r="W525" i="4"/>
  <c r="X525" i="4" s="1"/>
  <c r="BD540" i="4"/>
  <c r="AF556" i="4"/>
  <c r="AJ570" i="4"/>
  <c r="AJ578" i="4"/>
  <c r="BG578" i="4" s="1"/>
  <c r="AL581" i="4"/>
  <c r="AL585" i="4"/>
  <c r="AV593" i="4"/>
  <c r="AW593" i="4" s="1"/>
  <c r="BJ593" i="4" s="1"/>
  <c r="AD414" i="4"/>
  <c r="AE414" i="4" s="1"/>
  <c r="AD415" i="4"/>
  <c r="AE415" i="4" s="1"/>
  <c r="AD416" i="4"/>
  <c r="AE416" i="4" s="1"/>
  <c r="W417" i="4"/>
  <c r="X417" i="4" s="1"/>
  <c r="W418" i="4"/>
  <c r="X418" i="4" s="1"/>
  <c r="AV422" i="4"/>
  <c r="BD422" i="4" s="1"/>
  <c r="AD424" i="4"/>
  <c r="AE424" i="4" s="1"/>
  <c r="W428" i="4"/>
  <c r="X428" i="4" s="1"/>
  <c r="R441" i="4"/>
  <c r="AV450" i="4"/>
  <c r="BD450" i="4" s="1"/>
  <c r="AG453" i="4"/>
  <c r="AG457" i="4"/>
  <c r="AD468" i="4"/>
  <c r="AE468" i="4" s="1"/>
  <c r="AD476" i="4"/>
  <c r="AE476" i="4" s="1"/>
  <c r="W491" i="4"/>
  <c r="X491" i="4" s="1"/>
  <c r="AF497" i="4"/>
  <c r="AF500" i="4"/>
  <c r="AF503" i="4"/>
  <c r="AF504" i="4"/>
  <c r="W517" i="4"/>
  <c r="X517" i="4" s="1"/>
  <c r="AG518" i="4"/>
  <c r="AH518" i="4" s="1"/>
  <c r="AI518" i="4" s="1"/>
  <c r="AG526" i="4"/>
  <c r="R531" i="4"/>
  <c r="Y543" i="4"/>
  <c r="AU548" i="4"/>
  <c r="AV549" i="4"/>
  <c r="BD549" i="4" s="1"/>
  <c r="AF551" i="4"/>
  <c r="AF554" i="4"/>
  <c r="AH554" i="4" s="1"/>
  <c r="AI554" i="4" s="1"/>
  <c r="AV557" i="4"/>
  <c r="BD557" i="4" s="1"/>
  <c r="AW565" i="4"/>
  <c r="AV566" i="4"/>
  <c r="AL572" i="4"/>
  <c r="AL578" i="4"/>
  <c r="AV589" i="4"/>
  <c r="AG592" i="4"/>
  <c r="Y417" i="4"/>
  <c r="Y418" i="4"/>
  <c r="Y419" i="4"/>
  <c r="AL426" i="4"/>
  <c r="AL427" i="4"/>
  <c r="AV443" i="4"/>
  <c r="AV464" i="4"/>
  <c r="R466" i="4"/>
  <c r="AD469" i="4"/>
  <c r="AE469" i="4" s="1"/>
  <c r="AD473" i="4"/>
  <c r="AE473" i="4" s="1"/>
  <c r="AD474" i="4"/>
  <c r="AE474" i="4" s="1"/>
  <c r="AG493" i="4"/>
  <c r="AG495" i="4"/>
  <c r="Y497" i="4"/>
  <c r="AD502" i="4"/>
  <c r="AE502" i="4" s="1"/>
  <c r="Y503" i="4"/>
  <c r="Y504" i="4"/>
  <c r="R516" i="4"/>
  <c r="AV520" i="4"/>
  <c r="R522" i="4"/>
  <c r="W524" i="4"/>
  <c r="X524" i="4" s="1"/>
  <c r="Y544" i="4"/>
  <c r="AV564" i="4"/>
  <c r="BD564" i="4" s="1"/>
  <c r="AY565" i="4"/>
  <c r="AL569" i="4"/>
  <c r="W576" i="4"/>
  <c r="X576" i="4" s="1"/>
  <c r="AG580" i="4"/>
  <c r="AV584" i="4"/>
  <c r="AV585" i="4"/>
  <c r="BD585" i="4" s="1"/>
  <c r="AG588" i="4"/>
  <c r="AU413" i="4"/>
  <c r="AG414" i="4"/>
  <c r="AG415" i="4"/>
  <c r="AH415" i="4" s="1"/>
  <c r="AI415" i="4" s="1"/>
  <c r="AG416" i="4"/>
  <c r="AH416" i="4" s="1"/>
  <c r="AI416" i="4" s="1"/>
  <c r="AG424" i="4"/>
  <c r="AD426" i="4"/>
  <c r="AE426" i="4" s="1"/>
  <c r="AD427" i="4"/>
  <c r="AE427" i="4" s="1"/>
  <c r="AV432" i="4"/>
  <c r="AW432" i="4" s="1"/>
  <c r="BJ432" i="4" s="1"/>
  <c r="AW436" i="4"/>
  <c r="BJ436" i="4" s="1"/>
  <c r="AG438" i="4"/>
  <c r="AY446" i="4"/>
  <c r="R451" i="4"/>
  <c r="AG452" i="4"/>
  <c r="AV457" i="4"/>
  <c r="BD457" i="4" s="1"/>
  <c r="AD472" i="4"/>
  <c r="AE472" i="4" s="1"/>
  <c r="AU509" i="4"/>
  <c r="W511" i="4"/>
  <c r="X511" i="4" s="1"/>
  <c r="AV519" i="4"/>
  <c r="BD519" i="4" s="1"/>
  <c r="AL534" i="4"/>
  <c r="AD536" i="4"/>
  <c r="AE536" i="4" s="1"/>
  <c r="R571" i="4"/>
  <c r="W573" i="4"/>
  <c r="X573" i="4" s="1"/>
  <c r="AF577" i="4"/>
  <c r="AJ588" i="4"/>
  <c r="BG588" i="4" s="1"/>
  <c r="AV592" i="4"/>
  <c r="AW592" i="4" s="1"/>
  <c r="BJ592" i="4" s="1"/>
  <c r="AD417" i="4"/>
  <c r="AE417" i="4" s="1"/>
  <c r="AD418" i="4"/>
  <c r="AE418" i="4" s="1"/>
  <c r="AD419" i="4"/>
  <c r="AE419" i="4" s="1"/>
  <c r="AU423" i="4"/>
  <c r="AG425" i="4"/>
  <c r="AV449" i="4"/>
  <c r="AJ452" i="4"/>
  <c r="BG452" i="4" s="1"/>
  <c r="AV460" i="4"/>
  <c r="AJ463" i="4"/>
  <c r="AD467" i="4"/>
  <c r="AE467" i="4" s="1"/>
  <c r="AJ468" i="4"/>
  <c r="AD471" i="4"/>
  <c r="AE471" i="4" s="1"/>
  <c r="AJ476" i="4"/>
  <c r="BG476" i="4" s="1"/>
  <c r="W488" i="4"/>
  <c r="X488" i="4" s="1"/>
  <c r="AD496" i="4"/>
  <c r="AE496" i="4" s="1"/>
  <c r="AG498" i="4"/>
  <c r="AH498" i="4" s="1"/>
  <c r="AI498" i="4" s="1"/>
  <c r="AG499" i="4"/>
  <c r="AH499" i="4" s="1"/>
  <c r="AI499" i="4" s="1"/>
  <c r="AD500" i="4"/>
  <c r="AE500" i="4" s="1"/>
  <c r="AG501" i="4"/>
  <c r="AH501" i="4" s="1"/>
  <c r="AI501" i="4" s="1"/>
  <c r="BF501" i="4" s="1"/>
  <c r="AU507" i="4"/>
  <c r="AU508" i="4"/>
  <c r="R515" i="4"/>
  <c r="AG524" i="4"/>
  <c r="AV526" i="4"/>
  <c r="BD526" i="4" s="1"/>
  <c r="AV527" i="4"/>
  <c r="AY527" i="4" s="1"/>
  <c r="AD543" i="4"/>
  <c r="AE543" i="4" s="1"/>
  <c r="AL546" i="4"/>
  <c r="AL550" i="4"/>
  <c r="AJ551" i="4"/>
  <c r="AV555" i="4"/>
  <c r="AJ557" i="4"/>
  <c r="BG557" i="4" s="1"/>
  <c r="AF561" i="4"/>
  <c r="AJ583" i="4"/>
  <c r="BG583" i="4" s="1"/>
  <c r="AG587" i="4"/>
  <c r="Y420" i="4"/>
  <c r="Y421" i="4"/>
  <c r="AG426" i="4"/>
  <c r="AG427" i="4"/>
  <c r="AV438" i="4"/>
  <c r="AW438" i="4" s="1"/>
  <c r="BJ438" i="4" s="1"/>
  <c r="AG441" i="4"/>
  <c r="AV442" i="4"/>
  <c r="BD442" i="4" s="1"/>
  <c r="AW453" i="4"/>
  <c r="BJ453" i="4" s="1"/>
  <c r="AG456" i="4"/>
  <c r="AG466" i="4"/>
  <c r="AL468" i="4"/>
  <c r="W487" i="4"/>
  <c r="X487" i="4" s="1"/>
  <c r="AF491" i="4"/>
  <c r="AU493" i="4"/>
  <c r="AG496" i="4"/>
  <c r="AL498" i="4"/>
  <c r="AL499" i="4"/>
  <c r="AG500" i="4"/>
  <c r="AL502" i="4"/>
  <c r="AL521" i="4"/>
  <c r="W522" i="4"/>
  <c r="X522" i="4" s="1"/>
  <c r="AF524" i="4"/>
  <c r="AL529" i="4"/>
  <c r="AJ533" i="4"/>
  <c r="BG533" i="4" s="1"/>
  <c r="AU535" i="4"/>
  <c r="AL538" i="4"/>
  <c r="AJ543" i="4"/>
  <c r="BG543" i="4" s="1"/>
  <c r="AV554" i="4"/>
  <c r="W561" i="4"/>
  <c r="X561" i="4" s="1"/>
  <c r="AG562" i="4"/>
  <c r="AH562" i="4" s="1"/>
  <c r="AI562" i="4" s="1"/>
  <c r="BF562" i="4" s="1"/>
  <c r="AL563" i="4"/>
  <c r="AL583" i="4"/>
  <c r="AJ587" i="4"/>
  <c r="BG587" i="4" s="1"/>
  <c r="AV595" i="4"/>
  <c r="AG417" i="4"/>
  <c r="AH417" i="4" s="1"/>
  <c r="AI417" i="4" s="1"/>
  <c r="BF417" i="4" s="1"/>
  <c r="AL422" i="4"/>
  <c r="AV424" i="4"/>
  <c r="AG428" i="4"/>
  <c r="AH428" i="4" s="1"/>
  <c r="AI428" i="4" s="1"/>
  <c r="AJ441" i="4"/>
  <c r="AV445" i="4"/>
  <c r="BD445" i="4" s="1"/>
  <c r="AV452" i="4"/>
  <c r="AJ456" i="4"/>
  <c r="AV463" i="4"/>
  <c r="BD463" i="4" s="1"/>
  <c r="AL465" i="4"/>
  <c r="AL469" i="4"/>
  <c r="W486" i="4"/>
  <c r="X486" i="4" s="1"/>
  <c r="AL496" i="4"/>
  <c r="AL497" i="4"/>
  <c r="AL500" i="4"/>
  <c r="AL503" i="4"/>
  <c r="AG512" i="4"/>
  <c r="AH512" i="4" s="1"/>
  <c r="AI512" i="4" s="1"/>
  <c r="AF515" i="4"/>
  <c r="AG516" i="4"/>
  <c r="AV517" i="4"/>
  <c r="AV525" i="4"/>
  <c r="BD525" i="4" s="1"/>
  <c r="AD537" i="4"/>
  <c r="AE537" i="4" s="1"/>
  <c r="AD541" i="4"/>
  <c r="AE541" i="4" s="1"/>
  <c r="Y546" i="4"/>
  <c r="AJ549" i="4"/>
  <c r="BG549" i="4" s="1"/>
  <c r="W550" i="4"/>
  <c r="X550" i="4" s="1"/>
  <c r="AL560" i="4"/>
  <c r="R570" i="4"/>
  <c r="AL590" i="4"/>
  <c r="BD8" i="4"/>
  <c r="AW8" i="4"/>
  <c r="BJ8" i="4" s="1"/>
  <c r="BF66" i="4"/>
  <c r="AY12" i="4"/>
  <c r="AW12" i="4"/>
  <c r="BJ12" i="4" s="1"/>
  <c r="BD12" i="4"/>
  <c r="BD10" i="4"/>
  <c r="AY10" i="4"/>
  <c r="AW10" i="4"/>
  <c r="BJ10" i="4" s="1"/>
  <c r="BD11" i="4"/>
  <c r="AY11" i="4"/>
  <c r="AW11" i="4"/>
  <c r="BJ11" i="4" s="1"/>
  <c r="AY14" i="4"/>
  <c r="AW14" i="4"/>
  <c r="BJ14" i="4" s="1"/>
  <c r="BD14" i="4"/>
  <c r="BG19" i="4"/>
  <c r="AW9" i="4"/>
  <c r="BJ9" i="4" s="1"/>
  <c r="BD9" i="4"/>
  <c r="AH12" i="4"/>
  <c r="AI12" i="4" s="1"/>
  <c r="BD13" i="4"/>
  <c r="AY13" i="4"/>
  <c r="AW13" i="4"/>
  <c r="BJ13" i="4" s="1"/>
  <c r="R4" i="4"/>
  <c r="R5" i="4"/>
  <c r="R6" i="4"/>
  <c r="R7" i="4"/>
  <c r="R8" i="4"/>
  <c r="Y19" i="4"/>
  <c r="AL23" i="4"/>
  <c r="BG24" i="4"/>
  <c r="AH27" i="4"/>
  <c r="AI27" i="4" s="1"/>
  <c r="AH33" i="4"/>
  <c r="AI33" i="4" s="1"/>
  <c r="Y38" i="4"/>
  <c r="Y44" i="4"/>
  <c r="AY57" i="4"/>
  <c r="AW57" i="4"/>
  <c r="BJ57" i="4" s="1"/>
  <c r="AV76" i="4"/>
  <c r="AU76" i="4"/>
  <c r="BD86" i="4"/>
  <c r="AW86" i="4"/>
  <c r="BJ86" i="4" s="1"/>
  <c r="AL104" i="4"/>
  <c r="AJ104" i="4"/>
  <c r="AF104" i="4"/>
  <c r="R104" i="4"/>
  <c r="W104" i="4"/>
  <c r="X104" i="4" s="1"/>
  <c r="AJ48" i="4"/>
  <c r="R48" i="4"/>
  <c r="AF48" i="4"/>
  <c r="AH48" i="4" s="1"/>
  <c r="AI48" i="4" s="1"/>
  <c r="R90" i="4"/>
  <c r="AL90" i="4"/>
  <c r="AJ90" i="4"/>
  <c r="BD108" i="4"/>
  <c r="BF211" i="4"/>
  <c r="AJ4" i="4"/>
  <c r="AJ5" i="4"/>
  <c r="AJ6" i="4"/>
  <c r="AJ7" i="4"/>
  <c r="AJ8" i="4"/>
  <c r="AL12" i="4"/>
  <c r="AD13" i="4"/>
  <c r="AE13" i="4" s="1"/>
  <c r="AU13" i="4"/>
  <c r="AL14" i="4"/>
  <c r="BG14" i="4"/>
  <c r="AD18" i="4"/>
  <c r="AE18" i="4" s="1"/>
  <c r="AW19" i="4"/>
  <c r="BJ19" i="4" s="1"/>
  <c r="AU20" i="4"/>
  <c r="W23" i="4"/>
  <c r="X23" i="4" s="1"/>
  <c r="AD30" i="4"/>
  <c r="AE30" i="4" s="1"/>
  <c r="W36" i="4"/>
  <c r="X36" i="4" s="1"/>
  <c r="AW37" i="4"/>
  <c r="BJ37" i="4" s="1"/>
  <c r="W42" i="4"/>
  <c r="X42" i="4" s="1"/>
  <c r="AW43" i="4"/>
  <c r="BJ43" i="4" s="1"/>
  <c r="W48" i="4"/>
  <c r="X48" i="4" s="1"/>
  <c r="AJ51" i="4"/>
  <c r="R51" i="4"/>
  <c r="AF51" i="4"/>
  <c r="AH51" i="4" s="1"/>
  <c r="AI51" i="4" s="1"/>
  <c r="AD78" i="4"/>
  <c r="AE78" i="4" s="1"/>
  <c r="Y78" i="4"/>
  <c r="AG78" i="4"/>
  <c r="BD81" i="4"/>
  <c r="AW81" i="4"/>
  <c r="BJ81" i="4" s="1"/>
  <c r="W90" i="4"/>
  <c r="X90" i="4" s="1"/>
  <c r="AF90" i="4"/>
  <c r="AH90" i="4" s="1"/>
  <c r="AI90" i="4" s="1"/>
  <c r="AL179" i="4"/>
  <c r="AJ179" i="4"/>
  <c r="AF179" i="4"/>
  <c r="R179" i="4"/>
  <c r="AJ36" i="4"/>
  <c r="R36" i="4"/>
  <c r="AF36" i="4"/>
  <c r="AV7" i="3"/>
  <c r="W4" i="4"/>
  <c r="X4" i="4" s="1"/>
  <c r="W5" i="4"/>
  <c r="X5" i="4" s="1"/>
  <c r="W6" i="4"/>
  <c r="X6" i="4" s="1"/>
  <c r="W7" i="4"/>
  <c r="X7" i="4" s="1"/>
  <c r="W8" i="4"/>
  <c r="X8" i="4" s="1"/>
  <c r="AD10" i="4"/>
  <c r="AE10" i="4" s="1"/>
  <c r="W12" i="4"/>
  <c r="X12" i="4" s="1"/>
  <c r="AF13" i="4"/>
  <c r="AH13" i="4" s="1"/>
  <c r="AI13" i="4" s="1"/>
  <c r="W14" i="4"/>
  <c r="X14" i="4" s="1"/>
  <c r="AJ15" i="4"/>
  <c r="AF18" i="4"/>
  <c r="AD19" i="4"/>
  <c r="AE19" i="4" s="1"/>
  <c r="AY19" i="4"/>
  <c r="AW20" i="4"/>
  <c r="BJ20" i="4" s="1"/>
  <c r="AU21" i="4"/>
  <c r="W24" i="4"/>
  <c r="X24" i="4" s="1"/>
  <c r="AL26" i="4"/>
  <c r="AJ27" i="4"/>
  <c r="AF30" i="4"/>
  <c r="AL33" i="4"/>
  <c r="AJ35" i="4"/>
  <c r="R35" i="4"/>
  <c r="AF35" i="4"/>
  <c r="AD38" i="4"/>
  <c r="AE38" i="4" s="1"/>
  <c r="AJ41" i="4"/>
  <c r="R41" i="4"/>
  <c r="AF41" i="4"/>
  <c r="AD44" i="4"/>
  <c r="AE44" i="4" s="1"/>
  <c r="AJ47" i="4"/>
  <c r="R47" i="4"/>
  <c r="AF47" i="4"/>
  <c r="AH47" i="4" s="1"/>
  <c r="AI47" i="4" s="1"/>
  <c r="W51" i="4"/>
  <c r="X51" i="4" s="1"/>
  <c r="AY53" i="4"/>
  <c r="AW53" i="4"/>
  <c r="BJ53" i="4" s="1"/>
  <c r="BD57" i="4"/>
  <c r="BD71" i="4"/>
  <c r="AY71" i="4"/>
  <c r="AW71" i="4"/>
  <c r="BJ71" i="4" s="1"/>
  <c r="BG77" i="4"/>
  <c r="AU81" i="4"/>
  <c r="BD83" i="4"/>
  <c r="AY83" i="4"/>
  <c r="AW83" i="4"/>
  <c r="BJ83" i="4" s="1"/>
  <c r="AL87" i="4"/>
  <c r="AJ87" i="4"/>
  <c r="AV121" i="4"/>
  <c r="AU121" i="4"/>
  <c r="BD133" i="4"/>
  <c r="AW133" i="4"/>
  <c r="BJ133" i="4" s="1"/>
  <c r="AD153" i="4"/>
  <c r="AE153" i="4" s="1"/>
  <c r="AL153" i="4"/>
  <c r="AF10" i="4"/>
  <c r="AU10" i="4"/>
  <c r="R11" i="4"/>
  <c r="BG12" i="4"/>
  <c r="AL15" i="4"/>
  <c r="AJ16" i="4"/>
  <c r="AG18" i="4"/>
  <c r="AD20" i="4"/>
  <c r="AE20" i="4" s="1"/>
  <c r="AY20" i="4"/>
  <c r="AW21" i="4"/>
  <c r="BJ21" i="4" s="1"/>
  <c r="AU22" i="4"/>
  <c r="W25" i="4"/>
  <c r="X25" i="4" s="1"/>
  <c r="AL27" i="4"/>
  <c r="AJ28" i="4"/>
  <c r="AG30" i="4"/>
  <c r="AJ34" i="4"/>
  <c r="R34" i="4"/>
  <c r="W35" i="4"/>
  <c r="X35" i="4" s="1"/>
  <c r="Y36" i="4"/>
  <c r="AW36" i="4"/>
  <c r="BJ36" i="4" s="1"/>
  <c r="BD37" i="4"/>
  <c r="AG38" i="4"/>
  <c r="W41" i="4"/>
  <c r="X41" i="4" s="1"/>
  <c r="Y42" i="4"/>
  <c r="AW42" i="4"/>
  <c r="BJ42" i="4" s="1"/>
  <c r="BD43" i="4"/>
  <c r="AG44" i="4"/>
  <c r="W47" i="4"/>
  <c r="X47" i="4" s="1"/>
  <c r="Y48" i="4"/>
  <c r="AW48" i="4"/>
  <c r="BJ48" i="4" s="1"/>
  <c r="AW51" i="4"/>
  <c r="BJ51" i="4" s="1"/>
  <c r="BD59" i="4"/>
  <c r="AY59" i="4"/>
  <c r="AW59" i="4"/>
  <c r="BJ59" i="4" s="1"/>
  <c r="AV70" i="4"/>
  <c r="AU70" i="4"/>
  <c r="W77" i="4"/>
  <c r="X77" i="4" s="1"/>
  <c r="AF77" i="4"/>
  <c r="BD79" i="4"/>
  <c r="AY79" i="4"/>
  <c r="AW79" i="4"/>
  <c r="BJ79" i="4" s="1"/>
  <c r="R102" i="4"/>
  <c r="AL102" i="4"/>
  <c r="AJ102" i="4"/>
  <c r="BF110" i="4"/>
  <c r="BD131" i="4"/>
  <c r="AW131" i="4"/>
  <c r="BJ131" i="4" s="1"/>
  <c r="AU133" i="4"/>
  <c r="AG174" i="4"/>
  <c r="AD174" i="4"/>
  <c r="AE174" i="4" s="1"/>
  <c r="AL16" i="4"/>
  <c r="AJ17" i="4"/>
  <c r="AG19" i="4"/>
  <c r="AY21" i="4"/>
  <c r="AW22" i="4"/>
  <c r="BJ22" i="4" s="1"/>
  <c r="Y24" i="4"/>
  <c r="AL28" i="4"/>
  <c r="AJ29" i="4"/>
  <c r="AJ33" i="4"/>
  <c r="R33" i="4"/>
  <c r="AD37" i="4"/>
  <c r="AE37" i="4" s="1"/>
  <c r="AJ40" i="4"/>
  <c r="R40" i="4"/>
  <c r="AF40" i="4"/>
  <c r="AD43" i="4"/>
  <c r="AE43" i="4" s="1"/>
  <c r="AJ46" i="4"/>
  <c r="R46" i="4"/>
  <c r="AF46" i="4"/>
  <c r="AH46" i="4" s="1"/>
  <c r="AI46" i="4" s="1"/>
  <c r="AY62" i="4"/>
  <c r="AW62" i="4"/>
  <c r="BJ62" i="4" s="1"/>
  <c r="W102" i="4"/>
  <c r="X102" i="4" s="1"/>
  <c r="AF102" i="4"/>
  <c r="AH102" i="4" s="1"/>
  <c r="AI102" i="4" s="1"/>
  <c r="AV105" i="4"/>
  <c r="AU105" i="4"/>
  <c r="BD119" i="4"/>
  <c r="AW119" i="4"/>
  <c r="BJ119" i="4" s="1"/>
  <c r="AG161" i="4"/>
  <c r="AD161" i="4"/>
  <c r="AE161" i="4" s="1"/>
  <c r="AL164" i="4"/>
  <c r="AJ164" i="4"/>
  <c r="AF164" i="4"/>
  <c r="W164" i="4"/>
  <c r="X164" i="4" s="1"/>
  <c r="AL17" i="4"/>
  <c r="AJ18" i="4"/>
  <c r="AG20" i="4"/>
  <c r="AF21" i="4"/>
  <c r="Y25" i="4"/>
  <c r="AL29" i="4"/>
  <c r="AL30" i="4"/>
  <c r="AJ32" i="4"/>
  <c r="R32" i="4"/>
  <c r="Y35" i="4"/>
  <c r="BD36" i="4"/>
  <c r="Y41" i="4"/>
  <c r="BD42" i="4"/>
  <c r="Y47" i="4"/>
  <c r="BD48" i="4"/>
  <c r="AJ50" i="4"/>
  <c r="R50" i="4"/>
  <c r="AF50" i="4"/>
  <c r="AH50" i="4" s="1"/>
  <c r="AI50" i="4" s="1"/>
  <c r="BD51" i="4"/>
  <c r="AY54" i="4"/>
  <c r="AW54" i="4"/>
  <c r="BJ54" i="4" s="1"/>
  <c r="BD80" i="4"/>
  <c r="AY80" i="4"/>
  <c r="AW80" i="4"/>
  <c r="BJ80" i="4" s="1"/>
  <c r="AL84" i="4"/>
  <c r="AJ84" i="4"/>
  <c r="BG89" i="4"/>
  <c r="BD97" i="4"/>
  <c r="AW97" i="4"/>
  <c r="BJ97" i="4" s="1"/>
  <c r="BD140" i="4"/>
  <c r="BD141" i="4"/>
  <c r="AW141" i="4"/>
  <c r="BJ141" i="4" s="1"/>
  <c r="AJ13" i="4"/>
  <c r="AL18" i="4"/>
  <c r="AF22" i="4"/>
  <c r="AJ31" i="4"/>
  <c r="R31" i="4"/>
  <c r="AJ39" i="4"/>
  <c r="R39" i="4"/>
  <c r="AF39" i="4"/>
  <c r="AH39" i="4" s="1"/>
  <c r="AI39" i="4" s="1"/>
  <c r="AJ45" i="4"/>
  <c r="R45" i="4"/>
  <c r="AF45" i="4"/>
  <c r="BD63" i="4"/>
  <c r="AD72" i="4"/>
  <c r="AE72" i="4" s="1"/>
  <c r="Y72" i="4"/>
  <c r="AG72" i="4"/>
  <c r="AL76" i="4"/>
  <c r="AJ76" i="4"/>
  <c r="AD4" i="4"/>
  <c r="AE4" i="4" s="1"/>
  <c r="AD5" i="4"/>
  <c r="AE5" i="4" s="1"/>
  <c r="AD6" i="4"/>
  <c r="AE6" i="4" s="1"/>
  <c r="AD7" i="4"/>
  <c r="AE7" i="4" s="1"/>
  <c r="AD8" i="4"/>
  <c r="AE8" i="4" s="1"/>
  <c r="AJ10" i="4"/>
  <c r="AD12" i="4"/>
  <c r="AE12" i="4" s="1"/>
  <c r="AU12" i="4"/>
  <c r="AD14" i="4"/>
  <c r="AE14" i="4" s="1"/>
  <c r="Y15" i="4"/>
  <c r="W17" i="4"/>
  <c r="X17" i="4" s="1"/>
  <c r="AL19" i="4"/>
  <c r="AJ20" i="4"/>
  <c r="AF23" i="4"/>
  <c r="AH23" i="4" s="1"/>
  <c r="AI23" i="4" s="1"/>
  <c r="AD24" i="4"/>
  <c r="AE24" i="4" s="1"/>
  <c r="AW25" i="4"/>
  <c r="BJ25" i="4" s="1"/>
  <c r="AU26" i="4"/>
  <c r="Y27" i="4"/>
  <c r="W29" i="4"/>
  <c r="X29" i="4" s="1"/>
  <c r="AJ30" i="4"/>
  <c r="R30" i="4"/>
  <c r="W31" i="4"/>
  <c r="X31" i="4" s="1"/>
  <c r="Y33" i="4"/>
  <c r="AU33" i="4"/>
  <c r="AW34" i="4"/>
  <c r="BJ34" i="4" s="1"/>
  <c r="W39" i="4"/>
  <c r="X39" i="4" s="1"/>
  <c r="Y40" i="4"/>
  <c r="AW40" i="4"/>
  <c r="BJ40" i="4" s="1"/>
  <c r="W45" i="4"/>
  <c r="X45" i="4" s="1"/>
  <c r="Y46" i="4"/>
  <c r="AW46" i="4"/>
  <c r="BJ46" i="4" s="1"/>
  <c r="AW50" i="4"/>
  <c r="BJ50" i="4" s="1"/>
  <c r="AY55" i="4"/>
  <c r="AW55" i="4"/>
  <c r="BJ55" i="4" s="1"/>
  <c r="AF60" i="4"/>
  <c r="AL60" i="4"/>
  <c r="BD62" i="4"/>
  <c r="AW63" i="4"/>
  <c r="BJ63" i="4" s="1"/>
  <c r="W71" i="4"/>
  <c r="X71" i="4" s="1"/>
  <c r="AF71" i="4"/>
  <c r="BJ78" i="4"/>
  <c r="BD87" i="4"/>
  <c r="AY87" i="4"/>
  <c r="AW87" i="4"/>
  <c r="BJ87" i="4" s="1"/>
  <c r="BD90" i="4"/>
  <c r="AL115" i="4"/>
  <c r="W115" i="4"/>
  <c r="X115" i="4" s="1"/>
  <c r="AJ115" i="4"/>
  <c r="AF115" i="4"/>
  <c r="AL119" i="4"/>
  <c r="W119" i="4"/>
  <c r="X119" i="4" s="1"/>
  <c r="AJ119" i="4"/>
  <c r="AF119" i="4"/>
  <c r="AL7" i="3"/>
  <c r="AF24" i="4"/>
  <c r="AD25" i="4"/>
  <c r="AE25" i="4" s="1"/>
  <c r="AW26" i="4"/>
  <c r="BJ26" i="4" s="1"/>
  <c r="AW33" i="4"/>
  <c r="BJ33" i="4" s="1"/>
  <c r="AD35" i="4"/>
  <c r="AE35" i="4" s="1"/>
  <c r="AJ38" i="4"/>
  <c r="R38" i="4"/>
  <c r="AF38" i="4"/>
  <c r="AD41" i="4"/>
  <c r="AE41" i="4" s="1"/>
  <c r="AJ44" i="4"/>
  <c r="R44" i="4"/>
  <c r="AF44" i="4"/>
  <c r="AD47" i="4"/>
  <c r="AE47" i="4" s="1"/>
  <c r="AY52" i="4"/>
  <c r="AW52" i="4"/>
  <c r="BJ52" i="4" s="1"/>
  <c r="BD54" i="4"/>
  <c r="W60" i="4"/>
  <c r="X60" i="4" s="1"/>
  <c r="AL81" i="4"/>
  <c r="AJ81" i="4"/>
  <c r="AU87" i="4"/>
  <c r="AW90" i="4"/>
  <c r="BJ90" i="4" s="1"/>
  <c r="W95" i="4"/>
  <c r="X95" i="4" s="1"/>
  <c r="AF95" i="4"/>
  <c r="AU8" i="4"/>
  <c r="R9" i="4"/>
  <c r="AW15" i="4"/>
  <c r="BJ15" i="4" s="1"/>
  <c r="AU16" i="4"/>
  <c r="W19" i="4"/>
  <c r="X19" i="4" s="1"/>
  <c r="AL21" i="4"/>
  <c r="AJ22" i="4"/>
  <c r="AF25" i="4"/>
  <c r="AH25" i="4" s="1"/>
  <c r="AI25" i="4" s="1"/>
  <c r="AW27" i="4"/>
  <c r="BJ27" i="4" s="1"/>
  <c r="AU28" i="4"/>
  <c r="AU31" i="4"/>
  <c r="AW32" i="4"/>
  <c r="BJ32" i="4" s="1"/>
  <c r="BD34" i="4"/>
  <c r="AL36" i="4"/>
  <c r="W38" i="4"/>
  <c r="X38" i="4" s="1"/>
  <c r="AW39" i="4"/>
  <c r="BJ39" i="4" s="1"/>
  <c r="BD40" i="4"/>
  <c r="W44" i="4"/>
  <c r="X44" i="4" s="1"/>
  <c r="AW45" i="4"/>
  <c r="BJ45" i="4" s="1"/>
  <c r="BD46" i="4"/>
  <c r="AL48" i="4"/>
  <c r="AJ49" i="4"/>
  <c r="R49" i="4"/>
  <c r="AF49" i="4"/>
  <c r="AH49" i="4" s="1"/>
  <c r="AI49" i="4" s="1"/>
  <c r="BD50" i="4"/>
  <c r="AY56" i="4"/>
  <c r="AW56" i="4"/>
  <c r="BJ56" i="4" s="1"/>
  <c r="BG63" i="4"/>
  <c r="AW72" i="4"/>
  <c r="BJ72" i="4" s="1"/>
  <c r="BG75" i="4"/>
  <c r="BD77" i="4"/>
  <c r="AW77" i="4"/>
  <c r="BJ77" i="4" s="1"/>
  <c r="BD127" i="4"/>
  <c r="AW127" i="4"/>
  <c r="BJ127" i="4" s="1"/>
  <c r="AJ42" i="4"/>
  <c r="R42" i="4"/>
  <c r="AF42" i="4"/>
  <c r="AL5" i="2"/>
  <c r="AL22" i="4"/>
  <c r="AJ23" i="4"/>
  <c r="AF26" i="4"/>
  <c r="AH26" i="4" s="1"/>
  <c r="AI26" i="4" s="1"/>
  <c r="AW31" i="4"/>
  <c r="BJ31" i="4" s="1"/>
  <c r="BD33" i="4"/>
  <c r="AJ37" i="4"/>
  <c r="R37" i="4"/>
  <c r="AF37" i="4"/>
  <c r="AH37" i="4" s="1"/>
  <c r="AI37" i="4" s="1"/>
  <c r="AJ43" i="4"/>
  <c r="R43" i="4"/>
  <c r="AF43" i="4"/>
  <c r="AH43" i="4" s="1"/>
  <c r="AI43" i="4" s="1"/>
  <c r="AL51" i="4"/>
  <c r="BD55" i="4"/>
  <c r="AL61" i="4"/>
  <c r="AG61" i="4"/>
  <c r="AD61" i="4"/>
  <c r="AE61" i="4" s="1"/>
  <c r="BD66" i="4"/>
  <c r="AW66" i="4"/>
  <c r="BJ66" i="4" s="1"/>
  <c r="AL70" i="4"/>
  <c r="AJ70" i="4"/>
  <c r="AY72" i="4"/>
  <c r="BD84" i="4"/>
  <c r="AY84" i="4"/>
  <c r="AW84" i="4"/>
  <c r="BJ84" i="4" s="1"/>
  <c r="AL97" i="4"/>
  <c r="AJ97" i="4"/>
  <c r="BD102" i="4"/>
  <c r="AJ66" i="4"/>
  <c r="AK66" i="4" s="1"/>
  <c r="BG68" i="4"/>
  <c r="W70" i="4"/>
  <c r="X70" i="4" s="1"/>
  <c r="AD71" i="4"/>
  <c r="AE71" i="4" s="1"/>
  <c r="Y71" i="4"/>
  <c r="AF72" i="4"/>
  <c r="W76" i="4"/>
  <c r="X76" i="4" s="1"/>
  <c r="AD77" i="4"/>
  <c r="AE77" i="4" s="1"/>
  <c r="Y77" i="4"/>
  <c r="W81" i="4"/>
  <c r="X81" i="4" s="1"/>
  <c r="W84" i="4"/>
  <c r="X84" i="4" s="1"/>
  <c r="W87" i="4"/>
  <c r="X87" i="4" s="1"/>
  <c r="BG96" i="4"/>
  <c r="W97" i="4"/>
  <c r="X97" i="4" s="1"/>
  <c r="AF97" i="4"/>
  <c r="AV120" i="4"/>
  <c r="AU120" i="4"/>
  <c r="BD124" i="4"/>
  <c r="AW124" i="4"/>
  <c r="BJ124" i="4" s="1"/>
  <c r="AV132" i="4"/>
  <c r="AU132" i="4"/>
  <c r="R150" i="4"/>
  <c r="AJ150" i="4"/>
  <c r="AL150" i="4"/>
  <c r="AJ395" i="4"/>
  <c r="Y395" i="4"/>
  <c r="AL446" i="4"/>
  <c r="AJ446" i="4"/>
  <c r="R66" i="4"/>
  <c r="AJ67" i="4"/>
  <c r="AJ91" i="4"/>
  <c r="W92" i="4"/>
  <c r="X92" i="4" s="1"/>
  <c r="AF92" i="4"/>
  <c r="AL96" i="4"/>
  <c r="AJ103" i="4"/>
  <c r="AV106" i="4"/>
  <c r="AU106" i="4"/>
  <c r="AL124" i="4"/>
  <c r="W124" i="4"/>
  <c r="X124" i="4" s="1"/>
  <c r="AJ124" i="4"/>
  <c r="R124" i="4"/>
  <c r="AV154" i="4"/>
  <c r="AL66" i="4"/>
  <c r="AD70" i="4"/>
  <c r="AE70" i="4" s="1"/>
  <c r="Y70" i="4"/>
  <c r="BG73" i="4"/>
  <c r="AD76" i="4"/>
  <c r="AE76" i="4" s="1"/>
  <c r="Y76" i="4"/>
  <c r="BG79" i="4"/>
  <c r="BG98" i="4"/>
  <c r="W99" i="4"/>
  <c r="X99" i="4" s="1"/>
  <c r="AF99" i="4"/>
  <c r="AL103" i="4"/>
  <c r="AG108" i="4"/>
  <c r="AH108" i="4" s="1"/>
  <c r="AI108" i="4" s="1"/>
  <c r="AD108" i="4"/>
  <c r="AE108" i="4" s="1"/>
  <c r="AL109" i="4"/>
  <c r="AJ109" i="4"/>
  <c r="AF109" i="4"/>
  <c r="W109" i="4"/>
  <c r="X109" i="4" s="1"/>
  <c r="AW109" i="4"/>
  <c r="BJ109" i="4" s="1"/>
  <c r="BD109" i="4"/>
  <c r="AL116" i="4"/>
  <c r="W116" i="4"/>
  <c r="X116" i="4" s="1"/>
  <c r="AJ116" i="4"/>
  <c r="AF116" i="4"/>
  <c r="AH116" i="4" s="1"/>
  <c r="AI116" i="4" s="1"/>
  <c r="AL120" i="4"/>
  <c r="W120" i="4"/>
  <c r="X120" i="4" s="1"/>
  <c r="AJ120" i="4"/>
  <c r="AF120" i="4"/>
  <c r="AL132" i="4"/>
  <c r="W132" i="4"/>
  <c r="X132" i="4" s="1"/>
  <c r="AJ132" i="4"/>
  <c r="AF132" i="4"/>
  <c r="BD135" i="4"/>
  <c r="AW135" i="4"/>
  <c r="BJ135" i="4" s="1"/>
  <c r="BD143" i="4"/>
  <c r="BD144" i="4"/>
  <c r="AW144" i="4"/>
  <c r="BJ144" i="4" s="1"/>
  <c r="R59" i="4"/>
  <c r="Y60" i="4"/>
  <c r="AW61" i="4"/>
  <c r="BJ61" i="4" s="1"/>
  <c r="R63" i="4"/>
  <c r="AW64" i="4"/>
  <c r="BJ64" i="4" s="1"/>
  <c r="AG71" i="4"/>
  <c r="AL73" i="4"/>
  <c r="AG77" i="4"/>
  <c r="AL79" i="4"/>
  <c r="AU80" i="4"/>
  <c r="AU83" i="4"/>
  <c r="AU86" i="4"/>
  <c r="AJ93" i="4"/>
  <c r="W94" i="4"/>
  <c r="X94" i="4" s="1"/>
  <c r="AF94" i="4"/>
  <c r="AH94" i="4" s="1"/>
  <c r="AI94" i="4" s="1"/>
  <c r="AW94" i="4"/>
  <c r="BJ94" i="4" s="1"/>
  <c r="AY99" i="4"/>
  <c r="AG104" i="4"/>
  <c r="AD104" i="4"/>
  <c r="AE104" i="4" s="1"/>
  <c r="AW143" i="4"/>
  <c r="BJ143" i="4" s="1"/>
  <c r="Y158" i="4"/>
  <c r="AF52" i="4"/>
  <c r="AH52" i="4" s="1"/>
  <c r="AI52" i="4" s="1"/>
  <c r="AF53" i="4"/>
  <c r="AF54" i="4"/>
  <c r="AH54" i="4" s="1"/>
  <c r="AI54" i="4" s="1"/>
  <c r="AF55" i="4"/>
  <c r="AF56" i="4"/>
  <c r="AH56" i="4" s="1"/>
  <c r="AI56" i="4" s="1"/>
  <c r="AF57" i="4"/>
  <c r="AF58" i="4"/>
  <c r="AJ59" i="4"/>
  <c r="AY61" i="4"/>
  <c r="Y62" i="4"/>
  <c r="AY64" i="4"/>
  <c r="Y65" i="4"/>
  <c r="W66" i="4"/>
  <c r="X66" i="4" s="1"/>
  <c r="AD69" i="4"/>
  <c r="AE69" i="4" s="1"/>
  <c r="Y69" i="4"/>
  <c r="AF70" i="4"/>
  <c r="AJ72" i="4"/>
  <c r="AD75" i="4"/>
  <c r="AE75" i="4" s="1"/>
  <c r="Y75" i="4"/>
  <c r="AF76" i="4"/>
  <c r="AJ78" i="4"/>
  <c r="AF81" i="4"/>
  <c r="AH81" i="4" s="1"/>
  <c r="AI81" i="4" s="1"/>
  <c r="AJ82" i="4"/>
  <c r="AF84" i="4"/>
  <c r="AJ85" i="4"/>
  <c r="AF87" i="4"/>
  <c r="AH87" i="4" s="1"/>
  <c r="AI87" i="4" s="1"/>
  <c r="AJ88" i="4"/>
  <c r="W89" i="4"/>
  <c r="X89" i="4" s="1"/>
  <c r="AF89" i="4"/>
  <c r="AH89" i="4" s="1"/>
  <c r="AI89" i="4" s="1"/>
  <c r="AL93" i="4"/>
  <c r="BG100" i="4"/>
  <c r="W101" i="4"/>
  <c r="X101" i="4" s="1"/>
  <c r="AF101" i="4"/>
  <c r="AL106" i="4"/>
  <c r="AJ106" i="4"/>
  <c r="AF106" i="4"/>
  <c r="AH106" i="4" s="1"/>
  <c r="AI106" i="4" s="1"/>
  <c r="R106" i="4"/>
  <c r="BD125" i="4"/>
  <c r="AW125" i="4"/>
  <c r="BJ125" i="4" s="1"/>
  <c r="AG70" i="4"/>
  <c r="AL72" i="4"/>
  <c r="AG76" i="4"/>
  <c r="AL78" i="4"/>
  <c r="AL82" i="4"/>
  <c r="AL85" i="4"/>
  <c r="AL88" i="4"/>
  <c r="BG95" i="4"/>
  <c r="W96" i="4"/>
  <c r="X96" i="4" s="1"/>
  <c r="AF96" i="4"/>
  <c r="AH96" i="4" s="1"/>
  <c r="AI96" i="4" s="1"/>
  <c r="AY103" i="4"/>
  <c r="BD103" i="4"/>
  <c r="AL107" i="4"/>
  <c r="AJ107" i="4"/>
  <c r="W107" i="4"/>
  <c r="X107" i="4" s="1"/>
  <c r="R107" i="4"/>
  <c r="AL113" i="4"/>
  <c r="W113" i="4"/>
  <c r="X113" i="4" s="1"/>
  <c r="AJ113" i="4"/>
  <c r="AF113" i="4"/>
  <c r="AL117" i="4"/>
  <c r="W117" i="4"/>
  <c r="X117" i="4" s="1"/>
  <c r="AJ117" i="4"/>
  <c r="AF117" i="4"/>
  <c r="AH117" i="4" s="1"/>
  <c r="AI117" i="4" s="1"/>
  <c r="BD117" i="4"/>
  <c r="AW117" i="4"/>
  <c r="BJ117" i="4" s="1"/>
  <c r="BF123" i="4"/>
  <c r="AY196" i="4"/>
  <c r="BD196" i="4"/>
  <c r="AW196" i="4"/>
  <c r="BJ196" i="4" s="1"/>
  <c r="AV197" i="4"/>
  <c r="AU197" i="4"/>
  <c r="R52" i="4"/>
  <c r="R53" i="4"/>
  <c r="R54" i="4"/>
  <c r="R55" i="4"/>
  <c r="R56" i="4"/>
  <c r="R57" i="4"/>
  <c r="R58" i="4"/>
  <c r="AD60" i="4"/>
  <c r="AE60" i="4" s="1"/>
  <c r="AW65" i="4"/>
  <c r="BJ65" i="4" s="1"/>
  <c r="AD66" i="4"/>
  <c r="AE66" i="4" s="1"/>
  <c r="Y66" i="4"/>
  <c r="AD68" i="4"/>
  <c r="AE68" i="4" s="1"/>
  <c r="Y68" i="4"/>
  <c r="AW68" i="4"/>
  <c r="BJ68" i="4" s="1"/>
  <c r="AF69" i="4"/>
  <c r="W73" i="4"/>
  <c r="X73" i="4" s="1"/>
  <c r="AD74" i="4"/>
  <c r="AE74" i="4" s="1"/>
  <c r="Y74" i="4"/>
  <c r="AW74" i="4"/>
  <c r="BJ74" i="4" s="1"/>
  <c r="AF75" i="4"/>
  <c r="AH75" i="4" s="1"/>
  <c r="AI75" i="4" s="1"/>
  <c r="W79" i="4"/>
  <c r="X79" i="4" s="1"/>
  <c r="AU79" i="4"/>
  <c r="W91" i="4"/>
  <c r="X91" i="4" s="1"/>
  <c r="AF91" i="4"/>
  <c r="AH91" i="4" s="1"/>
  <c r="AI91" i="4" s="1"/>
  <c r="AW91" i="4"/>
  <c r="BJ91" i="4" s="1"/>
  <c r="W103" i="4"/>
  <c r="X103" i="4" s="1"/>
  <c r="AF103" i="4"/>
  <c r="AW103" i="4"/>
  <c r="BJ103" i="4" s="1"/>
  <c r="W106" i="4"/>
  <c r="X106" i="4" s="1"/>
  <c r="AV126" i="4"/>
  <c r="AU126" i="4"/>
  <c r="AU127" i="4"/>
  <c r="BD130" i="4"/>
  <c r="AW130" i="4"/>
  <c r="BJ130" i="4" s="1"/>
  <c r="BD137" i="4"/>
  <c r="BD138" i="4"/>
  <c r="AW138" i="4"/>
  <c r="BJ138" i="4" s="1"/>
  <c r="BD146" i="4"/>
  <c r="AW194" i="4"/>
  <c r="BJ194" i="4" s="1"/>
  <c r="BD194" i="4"/>
  <c r="BG64" i="4"/>
  <c r="AD67" i="4"/>
  <c r="AE67" i="4" s="1"/>
  <c r="Y67" i="4"/>
  <c r="AL77" i="4"/>
  <c r="W98" i="4"/>
  <c r="X98" i="4" s="1"/>
  <c r="AF98" i="4"/>
  <c r="AL110" i="4"/>
  <c r="AJ110" i="4"/>
  <c r="W110" i="4"/>
  <c r="X110" i="4" s="1"/>
  <c r="R110" i="4"/>
  <c r="AL130" i="4"/>
  <c r="W130" i="4"/>
  <c r="X130" i="4" s="1"/>
  <c r="AJ130" i="4"/>
  <c r="R130" i="4"/>
  <c r="BD147" i="4"/>
  <c r="AW147" i="4"/>
  <c r="BJ147" i="4" s="1"/>
  <c r="AG62" i="4"/>
  <c r="AG65" i="4"/>
  <c r="AF68" i="4"/>
  <c r="AH68" i="4" s="1"/>
  <c r="AI68" i="4" s="1"/>
  <c r="W72" i="4"/>
  <c r="X72" i="4" s="1"/>
  <c r="AU72" i="4"/>
  <c r="AD73" i="4"/>
  <c r="AE73" i="4" s="1"/>
  <c r="Y73" i="4"/>
  <c r="AW73" i="4"/>
  <c r="BJ73" i="4" s="1"/>
  <c r="AF74" i="4"/>
  <c r="W78" i="4"/>
  <c r="X78" i="4" s="1"/>
  <c r="AU78" i="4"/>
  <c r="AD79" i="4"/>
  <c r="AE79" i="4" s="1"/>
  <c r="Y79" i="4"/>
  <c r="AF80" i="4"/>
  <c r="W82" i="4"/>
  <c r="X82" i="4" s="1"/>
  <c r="AF83" i="4"/>
  <c r="AH83" i="4" s="1"/>
  <c r="AI83" i="4" s="1"/>
  <c r="W85" i="4"/>
  <c r="X85" i="4" s="1"/>
  <c r="AF86" i="4"/>
  <c r="W88" i="4"/>
  <c r="X88" i="4" s="1"/>
  <c r="AJ92" i="4"/>
  <c r="W93" i="4"/>
  <c r="X93" i="4" s="1"/>
  <c r="AF93" i="4"/>
  <c r="AH93" i="4" s="1"/>
  <c r="AI93" i="4" s="1"/>
  <c r="AW93" i="4"/>
  <c r="BJ93" i="4" s="1"/>
  <c r="AW104" i="4"/>
  <c r="BJ104" i="4" s="1"/>
  <c r="BD104" i="4"/>
  <c r="AL114" i="4"/>
  <c r="W114" i="4"/>
  <c r="X114" i="4" s="1"/>
  <c r="AJ114" i="4"/>
  <c r="AF114" i="4"/>
  <c r="AL118" i="4"/>
  <c r="W118" i="4"/>
  <c r="X118" i="4" s="1"/>
  <c r="AJ118" i="4"/>
  <c r="AF118" i="4"/>
  <c r="AH118" i="4" s="1"/>
  <c r="AI118" i="4" s="1"/>
  <c r="BD118" i="4"/>
  <c r="AW118" i="4"/>
  <c r="BJ118" i="4" s="1"/>
  <c r="AF124" i="4"/>
  <c r="AL126" i="4"/>
  <c r="W126" i="4"/>
  <c r="X126" i="4" s="1"/>
  <c r="AJ126" i="4"/>
  <c r="AF126" i="4"/>
  <c r="AH126" i="4" s="1"/>
  <c r="AI126" i="4" s="1"/>
  <c r="BD177" i="4"/>
  <c r="BD182" i="4"/>
  <c r="AW182" i="4"/>
  <c r="BJ182" i="4" s="1"/>
  <c r="AW82" i="4"/>
  <c r="BJ82" i="4" s="1"/>
  <c r="AW85" i="4"/>
  <c r="BJ85" i="4" s="1"/>
  <c r="AW88" i="4"/>
  <c r="BJ88" i="4" s="1"/>
  <c r="W100" i="4"/>
  <c r="X100" i="4" s="1"/>
  <c r="AF100" i="4"/>
  <c r="AW100" i="4"/>
  <c r="BJ100" i="4" s="1"/>
  <c r="AL112" i="4"/>
  <c r="AJ112" i="4"/>
  <c r="AL121" i="4"/>
  <c r="W121" i="4"/>
  <c r="X121" i="4" s="1"/>
  <c r="AJ121" i="4"/>
  <c r="AL127" i="4"/>
  <c r="W127" i="4"/>
  <c r="X127" i="4" s="1"/>
  <c r="AJ127" i="4"/>
  <c r="AL133" i="4"/>
  <c r="W133" i="4"/>
  <c r="X133" i="4" s="1"/>
  <c r="AJ133" i="4"/>
  <c r="AL137" i="4"/>
  <c r="W137" i="4"/>
  <c r="X137" i="4" s="1"/>
  <c r="AJ137" i="4"/>
  <c r="AL140" i="4"/>
  <c r="W140" i="4"/>
  <c r="X140" i="4" s="1"/>
  <c r="AJ140" i="4"/>
  <c r="AL143" i="4"/>
  <c r="W143" i="4"/>
  <c r="X143" i="4" s="1"/>
  <c r="AJ143" i="4"/>
  <c r="AL146" i="4"/>
  <c r="W146" i="4"/>
  <c r="X146" i="4" s="1"/>
  <c r="AJ146" i="4"/>
  <c r="BD156" i="4"/>
  <c r="AL163" i="4"/>
  <c r="AJ163" i="4"/>
  <c r="AF163" i="4"/>
  <c r="W163" i="4"/>
  <c r="X163" i="4" s="1"/>
  <c r="W191" i="4"/>
  <c r="X191" i="4" s="1"/>
  <c r="AF191" i="4"/>
  <c r="AL125" i="4"/>
  <c r="W125" i="4"/>
  <c r="X125" i="4" s="1"/>
  <c r="AJ125" i="4"/>
  <c r="AL131" i="4"/>
  <c r="W131" i="4"/>
  <c r="X131" i="4" s="1"/>
  <c r="AJ131" i="4"/>
  <c r="AL136" i="4"/>
  <c r="W136" i="4"/>
  <c r="X136" i="4" s="1"/>
  <c r="AJ136" i="4"/>
  <c r="AL139" i="4"/>
  <c r="W139" i="4"/>
  <c r="X139" i="4" s="1"/>
  <c r="AJ139" i="4"/>
  <c r="AL142" i="4"/>
  <c r="W142" i="4"/>
  <c r="X142" i="4" s="1"/>
  <c r="AJ142" i="4"/>
  <c r="AL145" i="4"/>
  <c r="W145" i="4"/>
  <c r="X145" i="4" s="1"/>
  <c r="AJ145" i="4"/>
  <c r="AL148" i="4"/>
  <c r="W148" i="4"/>
  <c r="X148" i="4" s="1"/>
  <c r="AJ148" i="4"/>
  <c r="AF150" i="4"/>
  <c r="AG151" i="4"/>
  <c r="AJ152" i="4"/>
  <c r="W152" i="4"/>
  <c r="X152" i="4" s="1"/>
  <c r="AL152" i="4"/>
  <c r="AJ157" i="4"/>
  <c r="W157" i="4"/>
  <c r="X157" i="4" s="1"/>
  <c r="AG158" i="4"/>
  <c r="AH158" i="4" s="1"/>
  <c r="AI158" i="4" s="1"/>
  <c r="AD158" i="4"/>
  <c r="AE158" i="4" s="1"/>
  <c r="AL159" i="4"/>
  <c r="AJ159" i="4"/>
  <c r="W159" i="4"/>
  <c r="X159" i="4" s="1"/>
  <c r="W179" i="4"/>
  <c r="X179" i="4" s="1"/>
  <c r="W190" i="4"/>
  <c r="X190" i="4" s="1"/>
  <c r="AF190" i="4"/>
  <c r="AV193" i="4"/>
  <c r="AU193" i="4"/>
  <c r="AJ198" i="4"/>
  <c r="AF198" i="4"/>
  <c r="AH198" i="4" s="1"/>
  <c r="AI198" i="4" s="1"/>
  <c r="AL198" i="4"/>
  <c r="AL236" i="4"/>
  <c r="W236" i="4"/>
  <c r="X236" i="4" s="1"/>
  <c r="AJ236" i="4"/>
  <c r="R236" i="4"/>
  <c r="W150" i="4"/>
  <c r="X150" i="4" s="1"/>
  <c r="AD151" i="4"/>
  <c r="AE151" i="4" s="1"/>
  <c r="AG156" i="4"/>
  <c r="AV160" i="4"/>
  <c r="AW174" i="4"/>
  <c r="BJ174" i="4" s="1"/>
  <c r="AD175" i="4"/>
  <c r="AE175" i="4" s="1"/>
  <c r="AL222" i="4"/>
  <c r="W222" i="4"/>
  <c r="X222" i="4" s="1"/>
  <c r="AJ222" i="4"/>
  <c r="R222" i="4"/>
  <c r="BD148" i="4"/>
  <c r="BG149" i="4"/>
  <c r="AG185" i="4"/>
  <c r="AD185" i="4"/>
  <c r="AE185" i="4" s="1"/>
  <c r="Y185" i="4"/>
  <c r="AL185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AD106" i="4"/>
  <c r="AE106" i="4" s="1"/>
  <c r="AF121" i="4"/>
  <c r="AF127" i="4"/>
  <c r="AF133" i="4"/>
  <c r="AF137" i="4"/>
  <c r="AH137" i="4" s="1"/>
  <c r="AI137" i="4" s="1"/>
  <c r="AF140" i="4"/>
  <c r="AF143" i="4"/>
  <c r="AH143" i="4" s="1"/>
  <c r="AI143" i="4" s="1"/>
  <c r="AF146" i="4"/>
  <c r="AW148" i="4"/>
  <c r="BJ148" i="4" s="1"/>
  <c r="AJ155" i="4"/>
  <c r="AF155" i="4"/>
  <c r="AL183" i="4"/>
  <c r="AF183" i="4"/>
  <c r="AJ183" i="4"/>
  <c r="AL105" i="4"/>
  <c r="AJ105" i="4"/>
  <c r="AF112" i="4"/>
  <c r="AL123" i="4"/>
  <c r="W123" i="4"/>
  <c r="X123" i="4" s="1"/>
  <c r="AJ123" i="4"/>
  <c r="AK123" i="4" s="1"/>
  <c r="AL129" i="4"/>
  <c r="W129" i="4"/>
  <c r="X129" i="4" s="1"/>
  <c r="AJ129" i="4"/>
  <c r="AL135" i="4"/>
  <c r="W135" i="4"/>
  <c r="X135" i="4" s="1"/>
  <c r="AJ135" i="4"/>
  <c r="AL138" i="4"/>
  <c r="W138" i="4"/>
  <c r="X138" i="4" s="1"/>
  <c r="AJ138" i="4"/>
  <c r="AL141" i="4"/>
  <c r="W141" i="4"/>
  <c r="X141" i="4" s="1"/>
  <c r="AJ141" i="4"/>
  <c r="AL144" i="4"/>
  <c r="W144" i="4"/>
  <c r="X144" i="4" s="1"/>
  <c r="AJ144" i="4"/>
  <c r="AL147" i="4"/>
  <c r="W147" i="4"/>
  <c r="X147" i="4" s="1"/>
  <c r="AJ147" i="4"/>
  <c r="AF157" i="4"/>
  <c r="AF159" i="4"/>
  <c r="AJ184" i="4"/>
  <c r="AD184" i="4"/>
  <c r="AE184" i="4" s="1"/>
  <c r="Y184" i="4"/>
  <c r="AL215" i="4"/>
  <c r="AJ215" i="4"/>
  <c r="R215" i="4"/>
  <c r="AL111" i="4"/>
  <c r="AJ111" i="4"/>
  <c r="AU135" i="4"/>
  <c r="AU138" i="4"/>
  <c r="AU141" i="4"/>
  <c r="AU144" i="4"/>
  <c r="AU147" i="4"/>
  <c r="W155" i="4"/>
  <c r="X155" i="4" s="1"/>
  <c r="AJ185" i="4"/>
  <c r="W196" i="4"/>
  <c r="X196" i="4" s="1"/>
  <c r="AF196" i="4"/>
  <c r="AF215" i="4"/>
  <c r="W105" i="4"/>
  <c r="X105" i="4" s="1"/>
  <c r="AL122" i="4"/>
  <c r="W122" i="4"/>
  <c r="X122" i="4" s="1"/>
  <c r="AJ122" i="4"/>
  <c r="AL128" i="4"/>
  <c r="W128" i="4"/>
  <c r="X128" i="4" s="1"/>
  <c r="AJ128" i="4"/>
  <c r="AL134" i="4"/>
  <c r="W134" i="4"/>
  <c r="X134" i="4" s="1"/>
  <c r="AJ134" i="4"/>
  <c r="R149" i="4"/>
  <c r="AF152" i="4"/>
  <c r="AL162" i="4"/>
  <c r="AJ162" i="4"/>
  <c r="AF162" i="4"/>
  <c r="R162" i="4"/>
  <c r="BG178" i="4"/>
  <c r="AG180" i="4"/>
  <c r="AD180" i="4"/>
  <c r="AE180" i="4" s="1"/>
  <c r="AG184" i="4"/>
  <c r="AV188" i="4"/>
  <c r="AU188" i="4"/>
  <c r="AH195" i="4"/>
  <c r="AI195" i="4" s="1"/>
  <c r="AL108" i="4"/>
  <c r="AJ108" i="4"/>
  <c r="R112" i="4"/>
  <c r="R121" i="4"/>
  <c r="AF125" i="4"/>
  <c r="R127" i="4"/>
  <c r="AF131" i="4"/>
  <c r="AH131" i="4" s="1"/>
  <c r="AI131" i="4" s="1"/>
  <c r="R133" i="4"/>
  <c r="AF136" i="4"/>
  <c r="R137" i="4"/>
  <c r="AF139" i="4"/>
  <c r="AH139" i="4" s="1"/>
  <c r="AI139" i="4" s="1"/>
  <c r="R140" i="4"/>
  <c r="AF142" i="4"/>
  <c r="R143" i="4"/>
  <c r="AF145" i="4"/>
  <c r="R146" i="4"/>
  <c r="AF148" i="4"/>
  <c r="AU151" i="4"/>
  <c r="AV151" i="4"/>
  <c r="R163" i="4"/>
  <c r="BD178" i="4"/>
  <c r="AW178" i="4"/>
  <c r="BJ178" i="4" s="1"/>
  <c r="BD187" i="4"/>
  <c r="AW187" i="4"/>
  <c r="BJ187" i="4" s="1"/>
  <c r="AY187" i="4"/>
  <c r="AL191" i="4"/>
  <c r="AJ191" i="4"/>
  <c r="AJ153" i="4"/>
  <c r="W185" i="4"/>
  <c r="X185" i="4" s="1"/>
  <c r="AF185" i="4"/>
  <c r="AJ186" i="4"/>
  <c r="R186" i="4"/>
  <c r="AJ193" i="4"/>
  <c r="AG193" i="4"/>
  <c r="AD193" i="4"/>
  <c r="AE193" i="4" s="1"/>
  <c r="BF223" i="4"/>
  <c r="AL165" i="4"/>
  <c r="AJ165" i="4"/>
  <c r="AF165" i="4"/>
  <c r="AH165" i="4" s="1"/>
  <c r="AI165" i="4" s="1"/>
  <c r="W198" i="4"/>
  <c r="X198" i="4" s="1"/>
  <c r="AF203" i="4"/>
  <c r="AH203" i="4" s="1"/>
  <c r="AI203" i="4" s="1"/>
  <c r="AL203" i="4"/>
  <c r="AJ203" i="4"/>
  <c r="AW224" i="4"/>
  <c r="BJ224" i="4" s="1"/>
  <c r="AD247" i="4"/>
  <c r="AE247" i="4" s="1"/>
  <c r="AG153" i="4"/>
  <c r="AH153" i="4" s="1"/>
  <c r="AI153" i="4" s="1"/>
  <c r="R154" i="4"/>
  <c r="Y155" i="4"/>
  <c r="AF156" i="4"/>
  <c r="AV162" i="4"/>
  <c r="AL166" i="4"/>
  <c r="AJ166" i="4"/>
  <c r="AF166" i="4"/>
  <c r="AH166" i="4" s="1"/>
  <c r="AI166" i="4" s="1"/>
  <c r="AW172" i="4"/>
  <c r="BJ172" i="4" s="1"/>
  <c r="BD184" i="4"/>
  <c r="AW184" i="4"/>
  <c r="BJ184" i="4" s="1"/>
  <c r="AF186" i="4"/>
  <c r="AJ190" i="4"/>
  <c r="AG190" i="4"/>
  <c r="AD190" i="4"/>
  <c r="AE190" i="4" s="1"/>
  <c r="AL196" i="4"/>
  <c r="AG196" i="4"/>
  <c r="AD196" i="4"/>
  <c r="AE196" i="4" s="1"/>
  <c r="BD224" i="4"/>
  <c r="AJ263" i="4"/>
  <c r="AL263" i="4"/>
  <c r="R263" i="4"/>
  <c r="W165" i="4"/>
  <c r="X165" i="4" s="1"/>
  <c r="AL167" i="4"/>
  <c r="AJ167" i="4"/>
  <c r="AF167" i="4"/>
  <c r="AY176" i="4"/>
  <c r="AW176" i="4"/>
  <c r="BJ176" i="4" s="1"/>
  <c r="AV185" i="4"/>
  <c r="AU185" i="4"/>
  <c r="BJ192" i="4"/>
  <c r="AW212" i="4"/>
  <c r="BJ212" i="4" s="1"/>
  <c r="BD232" i="4"/>
  <c r="AY232" i="4"/>
  <c r="BF233" i="4"/>
  <c r="AD150" i="4"/>
  <c r="AE150" i="4" s="1"/>
  <c r="AV153" i="4"/>
  <c r="AL154" i="4"/>
  <c r="AG155" i="4"/>
  <c r="AW158" i="4"/>
  <c r="BJ158" i="4" s="1"/>
  <c r="W166" i="4"/>
  <c r="X166" i="4" s="1"/>
  <c r="AD173" i="4"/>
  <c r="AE173" i="4" s="1"/>
  <c r="BD176" i="4"/>
  <c r="AD177" i="4"/>
  <c r="AE177" i="4" s="1"/>
  <c r="BJ179" i="4"/>
  <c r="AU182" i="4"/>
  <c r="AY184" i="4"/>
  <c r="W187" i="4"/>
  <c r="X187" i="4" s="1"/>
  <c r="AF187" i="4"/>
  <c r="AH187" i="4" s="1"/>
  <c r="AI187" i="4" s="1"/>
  <c r="AW204" i="4"/>
  <c r="BJ204" i="4" s="1"/>
  <c r="BD212" i="4"/>
  <c r="AL224" i="4"/>
  <c r="W224" i="4"/>
  <c r="X224" i="4" s="1"/>
  <c r="AJ224" i="4"/>
  <c r="R224" i="4"/>
  <c r="W154" i="4"/>
  <c r="X154" i="4" s="1"/>
  <c r="AJ156" i="4"/>
  <c r="AL160" i="4"/>
  <c r="AJ160" i="4"/>
  <c r="W167" i="4"/>
  <c r="X167" i="4" s="1"/>
  <c r="AL178" i="4"/>
  <c r="R178" i="4"/>
  <c r="AL186" i="4"/>
  <c r="W188" i="4"/>
  <c r="X188" i="4" s="1"/>
  <c r="AF188" i="4"/>
  <c r="AL189" i="4"/>
  <c r="AJ189" i="4"/>
  <c r="R189" i="4"/>
  <c r="AL193" i="4"/>
  <c r="W194" i="4"/>
  <c r="X194" i="4" s="1"/>
  <c r="AF194" i="4"/>
  <c r="AH194" i="4" s="1"/>
  <c r="AI194" i="4" s="1"/>
  <c r="AH197" i="4"/>
  <c r="AI197" i="4" s="1"/>
  <c r="BD204" i="4"/>
  <c r="BD220" i="4"/>
  <c r="AW220" i="4"/>
  <c r="BJ220" i="4" s="1"/>
  <c r="BD227" i="4"/>
  <c r="AL232" i="4"/>
  <c r="W232" i="4"/>
  <c r="X232" i="4" s="1"/>
  <c r="AJ232" i="4"/>
  <c r="AG149" i="4"/>
  <c r="AH149" i="4" s="1"/>
  <c r="AI149" i="4" s="1"/>
  <c r="AV150" i="4"/>
  <c r="AJ151" i="4"/>
  <c r="AV155" i="4"/>
  <c r="AL156" i="4"/>
  <c r="AG157" i="4"/>
  <c r="BD158" i="4"/>
  <c r="AG159" i="4"/>
  <c r="AD164" i="4"/>
  <c r="AE164" i="4" s="1"/>
  <c r="AW175" i="4"/>
  <c r="BJ175" i="4" s="1"/>
  <c r="AL182" i="4"/>
  <c r="R182" i="4"/>
  <c r="AL184" i="4"/>
  <c r="AJ187" i="4"/>
  <c r="AD187" i="4"/>
  <c r="AE187" i="4" s="1"/>
  <c r="AG188" i="4"/>
  <c r="AD188" i="4"/>
  <c r="AE188" i="4" s="1"/>
  <c r="Y188" i="4"/>
  <c r="BD190" i="4"/>
  <c r="AW190" i="4"/>
  <c r="BJ190" i="4" s="1"/>
  <c r="AY191" i="4"/>
  <c r="AW191" i="4"/>
  <c r="BJ191" i="4" s="1"/>
  <c r="BD191" i="4"/>
  <c r="W193" i="4"/>
  <c r="X193" i="4" s="1"/>
  <c r="AF193" i="4"/>
  <c r="AU196" i="4"/>
  <c r="AL212" i="4"/>
  <c r="AJ212" i="4"/>
  <c r="R212" i="4"/>
  <c r="AW227" i="4"/>
  <c r="BJ227" i="4" s="1"/>
  <c r="AD149" i="4"/>
  <c r="AE149" i="4" s="1"/>
  <c r="AL151" i="4"/>
  <c r="AG152" i="4"/>
  <c r="R153" i="4"/>
  <c r="W156" i="4"/>
  <c r="X156" i="4" s="1"/>
  <c r="AD157" i="4"/>
  <c r="AE157" i="4" s="1"/>
  <c r="AJ158" i="4"/>
  <c r="AD159" i="4"/>
  <c r="AE159" i="4" s="1"/>
  <c r="AV159" i="4"/>
  <c r="W160" i="4"/>
  <c r="X160" i="4" s="1"/>
  <c r="AL161" i="4"/>
  <c r="AJ161" i="4"/>
  <c r="AD165" i="4"/>
  <c r="AE165" i="4" s="1"/>
  <c r="AW166" i="4"/>
  <c r="BJ166" i="4" s="1"/>
  <c r="BD169" i="4"/>
  <c r="AD170" i="4"/>
  <c r="AE170" i="4" s="1"/>
  <c r="AD176" i="4"/>
  <c r="AE176" i="4" s="1"/>
  <c r="AG181" i="4"/>
  <c r="W182" i="4"/>
  <c r="X182" i="4" s="1"/>
  <c r="W184" i="4"/>
  <c r="X184" i="4" s="1"/>
  <c r="AF184" i="4"/>
  <c r="AU190" i="4"/>
  <c r="Y193" i="4"/>
  <c r="BD215" i="4"/>
  <c r="AL220" i="4"/>
  <c r="AJ220" i="4"/>
  <c r="AL227" i="4"/>
  <c r="W227" i="4"/>
  <c r="X227" i="4" s="1"/>
  <c r="AJ227" i="4"/>
  <c r="AG179" i="4"/>
  <c r="AG183" i="4"/>
  <c r="AJ197" i="4"/>
  <c r="BD200" i="4"/>
  <c r="AF204" i="4"/>
  <c r="AL204" i="4"/>
  <c r="AJ204" i="4"/>
  <c r="AF207" i="4"/>
  <c r="AH207" i="4" s="1"/>
  <c r="AI207" i="4" s="1"/>
  <c r="AL207" i="4"/>
  <c r="AJ207" i="4"/>
  <c r="AL210" i="4"/>
  <c r="AJ210" i="4"/>
  <c r="AF212" i="4"/>
  <c r="AL217" i="4"/>
  <c r="AJ217" i="4"/>
  <c r="AF224" i="4"/>
  <c r="AL229" i="4"/>
  <c r="W229" i="4"/>
  <c r="X229" i="4" s="1"/>
  <c r="AJ229" i="4"/>
  <c r="AL235" i="4"/>
  <c r="W235" i="4"/>
  <c r="X235" i="4" s="1"/>
  <c r="AJ235" i="4"/>
  <c r="BG242" i="4"/>
  <c r="AF168" i="4"/>
  <c r="AF169" i="4"/>
  <c r="AH169" i="4" s="1"/>
  <c r="AI169" i="4" s="1"/>
  <c r="AF170" i="4"/>
  <c r="AH170" i="4" s="1"/>
  <c r="AI170" i="4" s="1"/>
  <c r="AF171" i="4"/>
  <c r="AF172" i="4"/>
  <c r="AH172" i="4" s="1"/>
  <c r="AI172" i="4" s="1"/>
  <c r="AF173" i="4"/>
  <c r="AF174" i="4"/>
  <c r="AF175" i="4"/>
  <c r="AF176" i="4"/>
  <c r="AF177" i="4"/>
  <c r="AL200" i="4"/>
  <c r="AF202" i="4"/>
  <c r="AJ202" i="4"/>
  <c r="W203" i="4"/>
  <c r="X203" i="4" s="1"/>
  <c r="AF206" i="4"/>
  <c r="AH206" i="4" s="1"/>
  <c r="AI206" i="4" s="1"/>
  <c r="AL206" i="4"/>
  <c r="AJ206" i="4"/>
  <c r="AL209" i="4"/>
  <c r="AJ209" i="4"/>
  <c r="AL213" i="4"/>
  <c r="AJ213" i="4"/>
  <c r="AF220" i="4"/>
  <c r="AL225" i="4"/>
  <c r="W225" i="4"/>
  <c r="X225" i="4" s="1"/>
  <c r="AJ225" i="4"/>
  <c r="AF232" i="4"/>
  <c r="AF236" i="4"/>
  <c r="AV293" i="4"/>
  <c r="AU293" i="4"/>
  <c r="Y191" i="4"/>
  <c r="R192" i="4"/>
  <c r="AJ192" i="4"/>
  <c r="Y194" i="4"/>
  <c r="R195" i="4"/>
  <c r="AJ195" i="4"/>
  <c r="Y198" i="4"/>
  <c r="W199" i="4"/>
  <c r="X199" i="4" s="1"/>
  <c r="AF201" i="4"/>
  <c r="AJ201" i="4"/>
  <c r="W202" i="4"/>
  <c r="X202" i="4" s="1"/>
  <c r="W206" i="4"/>
  <c r="X206" i="4" s="1"/>
  <c r="AF209" i="4"/>
  <c r="AF213" i="4"/>
  <c r="AW213" i="4"/>
  <c r="BJ213" i="4" s="1"/>
  <c r="AL218" i="4"/>
  <c r="AJ218" i="4"/>
  <c r="AF225" i="4"/>
  <c r="AH225" i="4" s="1"/>
  <c r="AI225" i="4" s="1"/>
  <c r="AW225" i="4"/>
  <c r="BJ225" i="4" s="1"/>
  <c r="AL230" i="4"/>
  <c r="W230" i="4"/>
  <c r="X230" i="4" s="1"/>
  <c r="AJ230" i="4"/>
  <c r="BD233" i="4"/>
  <c r="AY233" i="4"/>
  <c r="BG240" i="4"/>
  <c r="AD265" i="4"/>
  <c r="AE265" i="4" s="1"/>
  <c r="AV298" i="4"/>
  <c r="AU298" i="4"/>
  <c r="AF200" i="4"/>
  <c r="AJ200" i="4"/>
  <c r="AL211" i="4"/>
  <c r="AJ211" i="4"/>
  <c r="BD213" i="4"/>
  <c r="AF218" i="4"/>
  <c r="AH218" i="4" s="1"/>
  <c r="AI218" i="4" s="1"/>
  <c r="AW218" i="4"/>
  <c r="BJ218" i="4" s="1"/>
  <c r="AL223" i="4"/>
  <c r="W223" i="4"/>
  <c r="X223" i="4" s="1"/>
  <c r="AJ223" i="4"/>
  <c r="BD225" i="4"/>
  <c r="AF230" i="4"/>
  <c r="AW230" i="4"/>
  <c r="BJ230" i="4" s="1"/>
  <c r="AL233" i="4"/>
  <c r="W233" i="4"/>
  <c r="X233" i="4" s="1"/>
  <c r="AJ233" i="4"/>
  <c r="AW233" i="4"/>
  <c r="BJ233" i="4" s="1"/>
  <c r="BG244" i="4"/>
  <c r="W186" i="4"/>
  <c r="X186" i="4" s="1"/>
  <c r="W189" i="4"/>
  <c r="X189" i="4" s="1"/>
  <c r="AU191" i="4"/>
  <c r="W192" i="4"/>
  <c r="X192" i="4" s="1"/>
  <c r="AU194" i="4"/>
  <c r="W195" i="4"/>
  <c r="X195" i="4" s="1"/>
  <c r="W200" i="4"/>
  <c r="X200" i="4" s="1"/>
  <c r="AL216" i="4"/>
  <c r="AJ216" i="4"/>
  <c r="AL228" i="4"/>
  <c r="W228" i="4"/>
  <c r="X228" i="4" s="1"/>
  <c r="AJ228" i="4"/>
  <c r="AJ168" i="4"/>
  <c r="AJ169" i="4"/>
  <c r="AJ170" i="4"/>
  <c r="AJ171" i="4"/>
  <c r="AJ172" i="4"/>
  <c r="AJ173" i="4"/>
  <c r="AJ174" i="4"/>
  <c r="AJ175" i="4"/>
  <c r="AJ176" i="4"/>
  <c r="AJ177" i="4"/>
  <c r="R181" i="4"/>
  <c r="AD191" i="4"/>
  <c r="AE191" i="4" s="1"/>
  <c r="AD194" i="4"/>
  <c r="AE194" i="4" s="1"/>
  <c r="AD198" i="4"/>
  <c r="AE198" i="4" s="1"/>
  <c r="AW198" i="4"/>
  <c r="BJ198" i="4" s="1"/>
  <c r="AW202" i="4"/>
  <c r="BJ202" i="4" s="1"/>
  <c r="AF205" i="4"/>
  <c r="AH205" i="4" s="1"/>
  <c r="AI205" i="4" s="1"/>
  <c r="AL205" i="4"/>
  <c r="AJ205" i="4"/>
  <c r="AL208" i="4"/>
  <c r="AJ208" i="4"/>
  <c r="AF216" i="4"/>
  <c r="AW216" i="4"/>
  <c r="BJ216" i="4" s="1"/>
  <c r="AL221" i="4"/>
  <c r="W221" i="4"/>
  <c r="X221" i="4" s="1"/>
  <c r="AJ221" i="4"/>
  <c r="AF228" i="4"/>
  <c r="AW228" i="4"/>
  <c r="BJ228" i="4" s="1"/>
  <c r="BD234" i="4"/>
  <c r="AY234" i="4"/>
  <c r="BD264" i="4"/>
  <c r="AY264" i="4"/>
  <c r="AG297" i="4"/>
  <c r="AH297" i="4" s="1"/>
  <c r="AI297" i="4" s="1"/>
  <c r="AL297" i="4"/>
  <c r="Y297" i="4"/>
  <c r="AF335" i="4"/>
  <c r="AL335" i="4"/>
  <c r="AJ335" i="4"/>
  <c r="AL214" i="4"/>
  <c r="AJ214" i="4"/>
  <c r="BD216" i="4"/>
  <c r="AL226" i="4"/>
  <c r="W226" i="4"/>
  <c r="X226" i="4" s="1"/>
  <c r="AJ226" i="4"/>
  <c r="BD228" i="4"/>
  <c r="AL234" i="4"/>
  <c r="W234" i="4"/>
  <c r="X234" i="4" s="1"/>
  <c r="AJ234" i="4"/>
  <c r="AJ257" i="4"/>
  <c r="AL257" i="4"/>
  <c r="AW264" i="4"/>
  <c r="BJ264" i="4" s="1"/>
  <c r="W282" i="4"/>
  <c r="X282" i="4" s="1"/>
  <c r="AF282" i="4"/>
  <c r="AH282" i="4" s="1"/>
  <c r="AI282" i="4" s="1"/>
  <c r="AJ196" i="4"/>
  <c r="BD198" i="4"/>
  <c r="AW200" i="4"/>
  <c r="BJ200" i="4" s="1"/>
  <c r="BD202" i="4"/>
  <c r="AW205" i="4"/>
  <c r="BJ205" i="4" s="1"/>
  <c r="AF214" i="4"/>
  <c r="AH214" i="4" s="1"/>
  <c r="AI214" i="4" s="1"/>
  <c r="AW214" i="4"/>
  <c r="BJ214" i="4" s="1"/>
  <c r="AL219" i="4"/>
  <c r="AJ219" i="4"/>
  <c r="AF226" i="4"/>
  <c r="AL231" i="4"/>
  <c r="W231" i="4"/>
  <c r="X231" i="4" s="1"/>
  <c r="AJ231" i="4"/>
  <c r="AF234" i="4"/>
  <c r="AH234" i="4" s="1"/>
  <c r="AI234" i="4" s="1"/>
  <c r="BG238" i="4"/>
  <c r="BD273" i="4"/>
  <c r="AY273" i="4"/>
  <c r="AW273" i="4"/>
  <c r="BJ273" i="4" s="1"/>
  <c r="AF251" i="4"/>
  <c r="AK275" i="4"/>
  <c r="BD277" i="4"/>
  <c r="AY277" i="4"/>
  <c r="AW277" i="4"/>
  <c r="BJ277" i="4" s="1"/>
  <c r="BD285" i="4"/>
  <c r="AY285" i="4"/>
  <c r="AG293" i="4"/>
  <c r="Y293" i="4"/>
  <c r="AV294" i="4"/>
  <c r="AU294" i="4"/>
  <c r="AV309" i="4"/>
  <c r="AU309" i="4"/>
  <c r="Y237" i="4"/>
  <c r="Y239" i="4"/>
  <c r="Y241" i="4"/>
  <c r="Y243" i="4"/>
  <c r="AF247" i="4"/>
  <c r="R250" i="4"/>
  <c r="AJ251" i="4"/>
  <c r="AJ252" i="4"/>
  <c r="AJ253" i="4"/>
  <c r="AJ254" i="4"/>
  <c r="AL255" i="4"/>
  <c r="R256" i="4"/>
  <c r="W257" i="4"/>
  <c r="X257" i="4" s="1"/>
  <c r="BD259" i="4"/>
  <c r="AL261" i="4"/>
  <c r="R262" i="4"/>
  <c r="W263" i="4"/>
  <c r="X263" i="4" s="1"/>
  <c r="R266" i="4"/>
  <c r="BD283" i="4"/>
  <c r="AY283" i="4"/>
  <c r="AW283" i="4"/>
  <c r="BJ283" i="4" s="1"/>
  <c r="AJ289" i="4"/>
  <c r="R289" i="4"/>
  <c r="AF289" i="4"/>
  <c r="AH289" i="4" s="1"/>
  <c r="AI289" i="4" s="1"/>
  <c r="W318" i="4"/>
  <c r="X318" i="4" s="1"/>
  <c r="AF318" i="4"/>
  <c r="W208" i="4"/>
  <c r="X208" i="4" s="1"/>
  <c r="W209" i="4"/>
  <c r="X209" i="4" s="1"/>
  <c r="W210" i="4"/>
  <c r="X210" i="4" s="1"/>
  <c r="W211" i="4"/>
  <c r="X211" i="4" s="1"/>
  <c r="W212" i="4"/>
  <c r="X212" i="4" s="1"/>
  <c r="W213" i="4"/>
  <c r="X213" i="4" s="1"/>
  <c r="W214" i="4"/>
  <c r="X214" i="4" s="1"/>
  <c r="W215" i="4"/>
  <c r="X215" i="4" s="1"/>
  <c r="W216" i="4"/>
  <c r="X216" i="4" s="1"/>
  <c r="W217" i="4"/>
  <c r="X217" i="4" s="1"/>
  <c r="W218" i="4"/>
  <c r="X218" i="4" s="1"/>
  <c r="W219" i="4"/>
  <c r="X219" i="4" s="1"/>
  <c r="W220" i="4"/>
  <c r="X220" i="4" s="1"/>
  <c r="R238" i="4"/>
  <c r="R240" i="4"/>
  <c r="R242" i="4"/>
  <c r="R244" i="4"/>
  <c r="R251" i="4"/>
  <c r="AL252" i="4"/>
  <c r="AL253" i="4"/>
  <c r="AL254" i="4"/>
  <c r="W278" i="4"/>
  <c r="X278" i="4" s="1"/>
  <c r="AF278" i="4"/>
  <c r="AH278" i="4" s="1"/>
  <c r="AI278" i="4" s="1"/>
  <c r="AG292" i="4"/>
  <c r="AL292" i="4"/>
  <c r="Y292" i="4"/>
  <c r="AG300" i="4"/>
  <c r="AH300" i="4" s="1"/>
  <c r="AI300" i="4" s="1"/>
  <c r="Y300" i="4"/>
  <c r="R255" i="4"/>
  <c r="R261" i="4"/>
  <c r="BG264" i="4"/>
  <c r="BD266" i="4"/>
  <c r="AY266" i="4"/>
  <c r="AL268" i="4"/>
  <c r="W268" i="4"/>
  <c r="X268" i="4" s="1"/>
  <c r="AJ268" i="4"/>
  <c r="BD279" i="4"/>
  <c r="AY279" i="4"/>
  <c r="AW279" i="4"/>
  <c r="BJ279" i="4" s="1"/>
  <c r="BJ259" i="4"/>
  <c r="W274" i="4"/>
  <c r="X274" i="4" s="1"/>
  <c r="AF274" i="4"/>
  <c r="AH274" i="4" s="1"/>
  <c r="AI274" i="4" s="1"/>
  <c r="AG286" i="4"/>
  <c r="AJ286" i="4"/>
  <c r="Y286" i="4"/>
  <c r="AJ302" i="4"/>
  <c r="R302" i="4"/>
  <c r="AL302" i="4"/>
  <c r="AF302" i="4"/>
  <c r="AH302" i="4" s="1"/>
  <c r="AI302" i="4" s="1"/>
  <c r="W360" i="4"/>
  <c r="X360" i="4" s="1"/>
  <c r="AF360" i="4"/>
  <c r="AW239" i="4"/>
  <c r="BJ239" i="4" s="1"/>
  <c r="AW241" i="4"/>
  <c r="BJ241" i="4" s="1"/>
  <c r="AW243" i="4"/>
  <c r="BJ243" i="4" s="1"/>
  <c r="AV249" i="4"/>
  <c r="W252" i="4"/>
  <c r="X252" i="4" s="1"/>
  <c r="AF252" i="4"/>
  <c r="W253" i="4"/>
  <c r="X253" i="4" s="1"/>
  <c r="AF253" i="4"/>
  <c r="W254" i="4"/>
  <c r="X254" i="4" s="1"/>
  <c r="AF254" i="4"/>
  <c r="W255" i="4"/>
  <c r="X255" i="4" s="1"/>
  <c r="AF255" i="4"/>
  <c r="W261" i="4"/>
  <c r="X261" i="4" s="1"/>
  <c r="BD263" i="4"/>
  <c r="BD275" i="4"/>
  <c r="AY275" i="4"/>
  <c r="AW275" i="4"/>
  <c r="BJ275" i="4" s="1"/>
  <c r="W284" i="4"/>
  <c r="X284" i="4" s="1"/>
  <c r="AF284" i="4"/>
  <c r="AJ285" i="4"/>
  <c r="AG285" i="4"/>
  <c r="Y285" i="4"/>
  <c r="AD286" i="4"/>
  <c r="AE286" i="4" s="1"/>
  <c r="BF291" i="4"/>
  <c r="AJ320" i="4"/>
  <c r="AL320" i="4"/>
  <c r="R320" i="4"/>
  <c r="AY239" i="4"/>
  <c r="AY241" i="4"/>
  <c r="AY243" i="4"/>
  <c r="AL247" i="4"/>
  <c r="AV250" i="4"/>
  <c r="AD257" i="4"/>
  <c r="AE257" i="4" s="1"/>
  <c r="AD263" i="4"/>
  <c r="AE263" i="4" s="1"/>
  <c r="AD270" i="4"/>
  <c r="AE270" i="4" s="1"/>
  <c r="AD273" i="4"/>
  <c r="AE273" i="4" s="1"/>
  <c r="AD285" i="4"/>
  <c r="AE285" i="4" s="1"/>
  <c r="AL286" i="4"/>
  <c r="AL289" i="4"/>
  <c r="AV303" i="4"/>
  <c r="AU303" i="4"/>
  <c r="AG306" i="4"/>
  <c r="AH306" i="4" s="1"/>
  <c r="AI306" i="4" s="1"/>
  <c r="Y306" i="4"/>
  <c r="BJ236" i="4"/>
  <c r="AL258" i="4"/>
  <c r="R259" i="4"/>
  <c r="AL264" i="4"/>
  <c r="W265" i="4"/>
  <c r="X265" i="4" s="1"/>
  <c r="AY265" i="4"/>
  <c r="W280" i="4"/>
  <c r="X280" i="4" s="1"/>
  <c r="AF280" i="4"/>
  <c r="AH280" i="4" s="1"/>
  <c r="AI280" i="4" s="1"/>
  <c r="AG315" i="4"/>
  <c r="Y315" i="4"/>
  <c r="AD246" i="4"/>
  <c r="AE246" i="4" s="1"/>
  <c r="AF249" i="4"/>
  <c r="AH249" i="4" s="1"/>
  <c r="AI249" i="4" s="1"/>
  <c r="AD250" i="4"/>
  <c r="AE250" i="4" s="1"/>
  <c r="BD269" i="4"/>
  <c r="AY269" i="4"/>
  <c r="AW269" i="4"/>
  <c r="BJ269" i="4" s="1"/>
  <c r="BD281" i="4"/>
  <c r="AY281" i="4"/>
  <c r="AW281" i="4"/>
  <c r="BJ281" i="4" s="1"/>
  <c r="AJ293" i="4"/>
  <c r="R293" i="4"/>
  <c r="AL293" i="4"/>
  <c r="AF293" i="4"/>
  <c r="AJ308" i="4"/>
  <c r="R308" i="4"/>
  <c r="AL308" i="4"/>
  <c r="AF308" i="4"/>
  <c r="AJ319" i="4"/>
  <c r="AL319" i="4"/>
  <c r="R319" i="4"/>
  <c r="AG238" i="4"/>
  <c r="AG240" i="4"/>
  <c r="AH240" i="4" s="1"/>
  <c r="AI240" i="4" s="1"/>
  <c r="AG242" i="4"/>
  <c r="AG244" i="4"/>
  <c r="AH244" i="4" s="1"/>
  <c r="AI244" i="4" s="1"/>
  <c r="AF250" i="4"/>
  <c r="AH250" i="4" s="1"/>
  <c r="AI250" i="4" s="1"/>
  <c r="AD251" i="4"/>
  <c r="AE251" i="4" s="1"/>
  <c r="BD255" i="4"/>
  <c r="R258" i="4"/>
  <c r="W259" i="4"/>
  <c r="X259" i="4" s="1"/>
  <c r="AW260" i="4"/>
  <c r="BJ260" i="4" s="1"/>
  <c r="BD261" i="4"/>
  <c r="R264" i="4"/>
  <c r="AL267" i="4"/>
  <c r="AJ267" i="4"/>
  <c r="BD267" i="4"/>
  <c r="AY267" i="4"/>
  <c r="W276" i="4"/>
  <c r="X276" i="4" s="1"/>
  <c r="AF276" i="4"/>
  <c r="AH276" i="4" s="1"/>
  <c r="AI276" i="4" s="1"/>
  <c r="AJ304" i="4"/>
  <c r="R304" i="4"/>
  <c r="AL304" i="4"/>
  <c r="AF304" i="4"/>
  <c r="AG312" i="4"/>
  <c r="AH312" i="4" s="1"/>
  <c r="AI312" i="4" s="1"/>
  <c r="Y312" i="4"/>
  <c r="W319" i="4"/>
  <c r="X319" i="4" s="1"/>
  <c r="AF319" i="4"/>
  <c r="BD347" i="4"/>
  <c r="AW347" i="4"/>
  <c r="BJ347" i="4" s="1"/>
  <c r="AV274" i="4"/>
  <c r="AV276" i="4"/>
  <c r="AV278" i="4"/>
  <c r="AV280" i="4"/>
  <c r="AV282" i="4"/>
  <c r="AV284" i="4"/>
  <c r="BG287" i="4"/>
  <c r="AJ295" i="4"/>
  <c r="R295" i="4"/>
  <c r="AJ301" i="4"/>
  <c r="R301" i="4"/>
  <c r="AL301" i="4"/>
  <c r="AJ307" i="4"/>
  <c r="R307" i="4"/>
  <c r="AL307" i="4"/>
  <c r="AJ313" i="4"/>
  <c r="R313" i="4"/>
  <c r="AL313" i="4"/>
  <c r="BG314" i="4"/>
  <c r="AL315" i="4"/>
  <c r="AD324" i="4"/>
  <c r="AE324" i="4" s="1"/>
  <c r="AG324" i="4"/>
  <c r="Y324" i="4"/>
  <c r="AU327" i="4"/>
  <c r="AV327" i="4"/>
  <c r="AF329" i="4"/>
  <c r="AH329" i="4" s="1"/>
  <c r="AI329" i="4" s="1"/>
  <c r="AL329" i="4"/>
  <c r="AJ329" i="4"/>
  <c r="AF285" i="4"/>
  <c r="AF286" i="4"/>
  <c r="AV291" i="4"/>
  <c r="AU291" i="4"/>
  <c r="W293" i="4"/>
  <c r="X293" i="4" s="1"/>
  <c r="AD297" i="4"/>
  <c r="AE297" i="4" s="1"/>
  <c r="AJ298" i="4"/>
  <c r="R298" i="4"/>
  <c r="W302" i="4"/>
  <c r="X302" i="4" s="1"/>
  <c r="AV304" i="4"/>
  <c r="AU304" i="4"/>
  <c r="W308" i="4"/>
  <c r="X308" i="4" s="1"/>
  <c r="AV310" i="4"/>
  <c r="AU310" i="4"/>
  <c r="AD315" i="4"/>
  <c r="AE315" i="4" s="1"/>
  <c r="AL316" i="4"/>
  <c r="AG316" i="4"/>
  <c r="AG320" i="4"/>
  <c r="Y320" i="4"/>
  <c r="AY322" i="4"/>
  <c r="AW322" i="4"/>
  <c r="BJ322" i="4" s="1"/>
  <c r="AV370" i="4"/>
  <c r="AU370" i="4"/>
  <c r="AF256" i="4"/>
  <c r="AF257" i="4"/>
  <c r="AH257" i="4" s="1"/>
  <c r="AI257" i="4" s="1"/>
  <c r="AF258" i="4"/>
  <c r="AF259" i="4"/>
  <c r="AH259" i="4" s="1"/>
  <c r="AI259" i="4" s="1"/>
  <c r="AF260" i="4"/>
  <c r="AF261" i="4"/>
  <c r="AF262" i="4"/>
  <c r="AH262" i="4" s="1"/>
  <c r="AI262" i="4" s="1"/>
  <c r="AF263" i="4"/>
  <c r="AF264" i="4"/>
  <c r="AF265" i="4"/>
  <c r="AF266" i="4"/>
  <c r="AF267" i="4"/>
  <c r="AF273" i="4"/>
  <c r="AH273" i="4" s="1"/>
  <c r="AI273" i="4" s="1"/>
  <c r="R274" i="4"/>
  <c r="AJ274" i="4"/>
  <c r="AD275" i="4"/>
  <c r="AE275" i="4" s="1"/>
  <c r="R276" i="4"/>
  <c r="AJ276" i="4"/>
  <c r="AD277" i="4"/>
  <c r="AE277" i="4" s="1"/>
  <c r="R278" i="4"/>
  <c r="AJ278" i="4"/>
  <c r="AD279" i="4"/>
  <c r="AE279" i="4" s="1"/>
  <c r="R280" i="4"/>
  <c r="AJ280" i="4"/>
  <c r="AD281" i="4"/>
  <c r="AE281" i="4" s="1"/>
  <c r="R282" i="4"/>
  <c r="AJ282" i="4"/>
  <c r="AD283" i="4"/>
  <c r="AE283" i="4" s="1"/>
  <c r="R284" i="4"/>
  <c r="AJ284" i="4"/>
  <c r="AV287" i="4"/>
  <c r="AU287" i="4"/>
  <c r="AD288" i="4"/>
  <c r="AE288" i="4" s="1"/>
  <c r="AD290" i="4"/>
  <c r="AE290" i="4" s="1"/>
  <c r="AJ291" i="4"/>
  <c r="R291" i="4"/>
  <c r="AV296" i="4"/>
  <c r="AU296" i="4"/>
  <c r="W298" i="4"/>
  <c r="X298" i="4" s="1"/>
  <c r="AD301" i="4"/>
  <c r="AE301" i="4" s="1"/>
  <c r="Y302" i="4"/>
  <c r="AJ303" i="4"/>
  <c r="R303" i="4"/>
  <c r="AL303" i="4"/>
  <c r="AD307" i="4"/>
  <c r="AE307" i="4" s="1"/>
  <c r="Y308" i="4"/>
  <c r="AJ309" i="4"/>
  <c r="R309" i="4"/>
  <c r="AL309" i="4"/>
  <c r="AD313" i="4"/>
  <c r="AE313" i="4" s="1"/>
  <c r="AD314" i="4"/>
  <c r="AE314" i="4" s="1"/>
  <c r="AV321" i="4"/>
  <c r="AU321" i="4"/>
  <c r="AU322" i="4"/>
  <c r="AF333" i="4"/>
  <c r="AL333" i="4"/>
  <c r="AJ333" i="4"/>
  <c r="R333" i="4"/>
  <c r="AY343" i="4"/>
  <c r="BD343" i="4"/>
  <c r="AW343" i="4"/>
  <c r="BJ343" i="4" s="1"/>
  <c r="AV289" i="4"/>
  <c r="AU289" i="4"/>
  <c r="AJ296" i="4"/>
  <c r="R296" i="4"/>
  <c r="AV299" i="4"/>
  <c r="AU299" i="4"/>
  <c r="AF301" i="4"/>
  <c r="AV305" i="4"/>
  <c r="AU305" i="4"/>
  <c r="AF307" i="4"/>
  <c r="AV311" i="4"/>
  <c r="AU311" i="4"/>
  <c r="AF313" i="4"/>
  <c r="AH314" i="4"/>
  <c r="AI314" i="4" s="1"/>
  <c r="AF350" i="4"/>
  <c r="AH350" i="4" s="1"/>
  <c r="AI350" i="4" s="1"/>
  <c r="AL350" i="4"/>
  <c r="AJ350" i="4"/>
  <c r="R350" i="4"/>
  <c r="AJ310" i="4"/>
  <c r="R310" i="4"/>
  <c r="AL310" i="4"/>
  <c r="AG334" i="4"/>
  <c r="Y334" i="4"/>
  <c r="BJ285" i="4"/>
  <c r="W289" i="4"/>
  <c r="X289" i="4" s="1"/>
  <c r="AD293" i="4"/>
  <c r="AE293" i="4" s="1"/>
  <c r="AJ294" i="4"/>
  <c r="R294" i="4"/>
  <c r="AV300" i="4"/>
  <c r="AU300" i="4"/>
  <c r="W304" i="4"/>
  <c r="X304" i="4" s="1"/>
  <c r="AV306" i="4"/>
  <c r="AU306" i="4"/>
  <c r="W310" i="4"/>
  <c r="X310" i="4" s="1"/>
  <c r="AV312" i="4"/>
  <c r="AU312" i="4"/>
  <c r="BD315" i="4"/>
  <c r="AY315" i="4"/>
  <c r="AY323" i="4"/>
  <c r="BD323" i="4"/>
  <c r="AW323" i="4"/>
  <c r="BJ323" i="4" s="1"/>
  <c r="AF332" i="4"/>
  <c r="AL332" i="4"/>
  <c r="AJ332" i="4"/>
  <c r="AD334" i="4"/>
  <c r="AE334" i="4" s="1"/>
  <c r="AF346" i="4"/>
  <c r="AH346" i="4" s="1"/>
  <c r="AI346" i="4" s="1"/>
  <c r="AL346" i="4"/>
  <c r="AJ346" i="4"/>
  <c r="R346" i="4"/>
  <c r="AJ269" i="4"/>
  <c r="AJ270" i="4"/>
  <c r="AJ271" i="4"/>
  <c r="AJ272" i="4"/>
  <c r="AJ273" i="4"/>
  <c r="R285" i="4"/>
  <c r="AL288" i="4"/>
  <c r="AV292" i="4"/>
  <c r="AU292" i="4"/>
  <c r="W294" i="4"/>
  <c r="X294" i="4" s="1"/>
  <c r="AL295" i="4"/>
  <c r="Y296" i="4"/>
  <c r="AD298" i="4"/>
  <c r="AE298" i="4" s="1"/>
  <c r="AJ299" i="4"/>
  <c r="R299" i="4"/>
  <c r="AL299" i="4"/>
  <c r="AD303" i="4"/>
  <c r="AE303" i="4" s="1"/>
  <c r="Y304" i="4"/>
  <c r="AJ305" i="4"/>
  <c r="R305" i="4"/>
  <c r="AL305" i="4"/>
  <c r="AD309" i="4"/>
  <c r="AE309" i="4" s="1"/>
  <c r="AJ311" i="4"/>
  <c r="R311" i="4"/>
  <c r="AL311" i="4"/>
  <c r="AV313" i="4"/>
  <c r="AU313" i="4"/>
  <c r="AV314" i="4"/>
  <c r="AU314" i="4"/>
  <c r="AW315" i="4"/>
  <c r="BJ315" i="4" s="1"/>
  <c r="AF342" i="4"/>
  <c r="AL342" i="4"/>
  <c r="AJ342" i="4"/>
  <c r="R342" i="4"/>
  <c r="W346" i="4"/>
  <c r="X346" i="4" s="1"/>
  <c r="W269" i="4"/>
  <c r="X269" i="4" s="1"/>
  <c r="W270" i="4"/>
  <c r="X270" i="4" s="1"/>
  <c r="W271" i="4"/>
  <c r="X271" i="4" s="1"/>
  <c r="W272" i="4"/>
  <c r="X272" i="4" s="1"/>
  <c r="W273" i="4"/>
  <c r="X273" i="4" s="1"/>
  <c r="AV286" i="4"/>
  <c r="AU286" i="4"/>
  <c r="Y289" i="4"/>
  <c r="AJ292" i="4"/>
  <c r="R292" i="4"/>
  <c r="AV297" i="4"/>
  <c r="AU297" i="4"/>
  <c r="AF298" i="4"/>
  <c r="AV301" i="4"/>
  <c r="AU301" i="4"/>
  <c r="W305" i="4"/>
  <c r="X305" i="4" s="1"/>
  <c r="AV307" i="4"/>
  <c r="AU307" i="4"/>
  <c r="W311" i="4"/>
  <c r="X311" i="4" s="1"/>
  <c r="BD317" i="4"/>
  <c r="AY317" i="4"/>
  <c r="AW317" i="4"/>
  <c r="BJ317" i="4" s="1"/>
  <c r="AD326" i="4"/>
  <c r="AE326" i="4" s="1"/>
  <c r="AG326" i="4"/>
  <c r="AF330" i="4"/>
  <c r="AH330" i="4" s="1"/>
  <c r="AI330" i="4" s="1"/>
  <c r="AL330" i="4"/>
  <c r="AJ330" i="4"/>
  <c r="R330" i="4"/>
  <c r="AF338" i="4"/>
  <c r="AH338" i="4" s="1"/>
  <c r="AI338" i="4" s="1"/>
  <c r="AL338" i="4"/>
  <c r="AJ338" i="4"/>
  <c r="R338" i="4"/>
  <c r="W342" i="4"/>
  <c r="X342" i="4" s="1"/>
  <c r="AV363" i="4"/>
  <c r="AU363" i="4"/>
  <c r="BG275" i="4"/>
  <c r="BG277" i="4"/>
  <c r="BG281" i="4"/>
  <c r="AV290" i="4"/>
  <c r="AU290" i="4"/>
  <c r="AJ297" i="4"/>
  <c r="R297" i="4"/>
  <c r="AJ300" i="4"/>
  <c r="R300" i="4"/>
  <c r="AL300" i="4"/>
  <c r="AJ306" i="4"/>
  <c r="R306" i="4"/>
  <c r="AL306" i="4"/>
  <c r="AJ312" i="4"/>
  <c r="R312" i="4"/>
  <c r="AL312" i="4"/>
  <c r="AU317" i="4"/>
  <c r="AV318" i="4"/>
  <c r="AU318" i="4"/>
  <c r="W338" i="4"/>
  <c r="X338" i="4" s="1"/>
  <c r="AF356" i="4"/>
  <c r="AL356" i="4"/>
  <c r="W356" i="4"/>
  <c r="X356" i="4" s="1"/>
  <c r="AJ356" i="4"/>
  <c r="R356" i="4"/>
  <c r="AY401" i="4"/>
  <c r="AW401" i="4"/>
  <c r="BJ401" i="4" s="1"/>
  <c r="BD401" i="4"/>
  <c r="AV288" i="4"/>
  <c r="AU288" i="4"/>
  <c r="AD289" i="4"/>
  <c r="AE289" i="4" s="1"/>
  <c r="AJ290" i="4"/>
  <c r="R290" i="4"/>
  <c r="AV295" i="4"/>
  <c r="AU295" i="4"/>
  <c r="AF296" i="4"/>
  <c r="W297" i="4"/>
  <c r="X297" i="4" s="1"/>
  <c r="AL298" i="4"/>
  <c r="W300" i="4"/>
  <c r="X300" i="4" s="1"/>
  <c r="AV302" i="4"/>
  <c r="AU302" i="4"/>
  <c r="W306" i="4"/>
  <c r="X306" i="4" s="1"/>
  <c r="AV308" i="4"/>
  <c r="AU308" i="4"/>
  <c r="AF310" i="4"/>
  <c r="W312" i="4"/>
  <c r="X312" i="4" s="1"/>
  <c r="AJ321" i="4"/>
  <c r="AL321" i="4"/>
  <c r="AF321" i="4"/>
  <c r="AH321" i="4" s="1"/>
  <c r="AI321" i="4" s="1"/>
  <c r="R321" i="4"/>
  <c r="R329" i="4"/>
  <c r="AG331" i="4"/>
  <c r="Y331" i="4"/>
  <c r="AF336" i="4"/>
  <c r="AH336" i="4" s="1"/>
  <c r="AI336" i="4" s="1"/>
  <c r="AL336" i="4"/>
  <c r="AJ336" i="4"/>
  <c r="R336" i="4"/>
  <c r="AL314" i="4"/>
  <c r="AF355" i="4"/>
  <c r="AL355" i="4"/>
  <c r="W355" i="4"/>
  <c r="X355" i="4" s="1"/>
  <c r="AJ355" i="4"/>
  <c r="AL360" i="4"/>
  <c r="AJ360" i="4"/>
  <c r="R360" i="4"/>
  <c r="AD361" i="4"/>
  <c r="AE361" i="4" s="1"/>
  <c r="AG361" i="4"/>
  <c r="AH361" i="4" s="1"/>
  <c r="AI361" i="4" s="1"/>
  <c r="AF315" i="4"/>
  <c r="AD316" i="4"/>
  <c r="AE316" i="4" s="1"/>
  <c r="W320" i="4"/>
  <c r="X320" i="4" s="1"/>
  <c r="AF324" i="4"/>
  <c r="W329" i="4"/>
  <c r="X329" i="4" s="1"/>
  <c r="W332" i="4"/>
  <c r="X332" i="4" s="1"/>
  <c r="W335" i="4"/>
  <c r="X335" i="4" s="1"/>
  <c r="BG433" i="4"/>
  <c r="AF316" i="4"/>
  <c r="AH316" i="4" s="1"/>
  <c r="AI316" i="4" s="1"/>
  <c r="AD317" i="4"/>
  <c r="AE317" i="4" s="1"/>
  <c r="Y319" i="4"/>
  <c r="Y321" i="4"/>
  <c r="AL327" i="4"/>
  <c r="AJ327" i="4"/>
  <c r="Y329" i="4"/>
  <c r="Y332" i="4"/>
  <c r="Y335" i="4"/>
  <c r="AF339" i="4"/>
  <c r="AH339" i="4" s="1"/>
  <c r="AI339" i="4" s="1"/>
  <c r="AL339" i="4"/>
  <c r="AJ339" i="4"/>
  <c r="AF343" i="4"/>
  <c r="AL343" i="4"/>
  <c r="AJ343" i="4"/>
  <c r="AF347" i="4"/>
  <c r="AH347" i="4" s="1"/>
  <c r="AI347" i="4" s="1"/>
  <c r="AL347" i="4"/>
  <c r="AJ347" i="4"/>
  <c r="AF351" i="4"/>
  <c r="AL351" i="4"/>
  <c r="W351" i="4"/>
  <c r="X351" i="4" s="1"/>
  <c r="AJ351" i="4"/>
  <c r="AD357" i="4"/>
  <c r="AE357" i="4" s="1"/>
  <c r="AG357" i="4"/>
  <c r="AH357" i="4" s="1"/>
  <c r="AI357" i="4" s="1"/>
  <c r="AW366" i="4"/>
  <c r="BJ366" i="4" s="1"/>
  <c r="BD366" i="4"/>
  <c r="AJ376" i="4"/>
  <c r="Y376" i="4"/>
  <c r="AJ387" i="4"/>
  <c r="Y387" i="4"/>
  <c r="AJ394" i="4"/>
  <c r="Y394" i="4"/>
  <c r="AL325" i="4"/>
  <c r="AJ325" i="4"/>
  <c r="BF373" i="4"/>
  <c r="AD376" i="4"/>
  <c r="AE376" i="4" s="1"/>
  <c r="AG376" i="4"/>
  <c r="AH376" i="4" s="1"/>
  <c r="AI376" i="4" s="1"/>
  <c r="AG387" i="4"/>
  <c r="AH387" i="4" s="1"/>
  <c r="AI387" i="4" s="1"/>
  <c r="AD387" i="4"/>
  <c r="AE387" i="4" s="1"/>
  <c r="AG394" i="4"/>
  <c r="AH394" i="4" s="1"/>
  <c r="AI394" i="4" s="1"/>
  <c r="AD394" i="4"/>
  <c r="AE394" i="4" s="1"/>
  <c r="BD362" i="4"/>
  <c r="AY362" i="4"/>
  <c r="AW362" i="4"/>
  <c r="BJ362" i="4" s="1"/>
  <c r="AY365" i="4"/>
  <c r="AW365" i="4"/>
  <c r="BJ365" i="4" s="1"/>
  <c r="BD365" i="4"/>
  <c r="AW379" i="4"/>
  <c r="BJ379" i="4" s="1"/>
  <c r="BD379" i="4"/>
  <c r="AJ315" i="4"/>
  <c r="AD320" i="4"/>
  <c r="AE320" i="4" s="1"/>
  <c r="BD325" i="4"/>
  <c r="W330" i="4"/>
  <c r="X330" i="4" s="1"/>
  <c r="W333" i="4"/>
  <c r="X333" i="4" s="1"/>
  <c r="W336" i="4"/>
  <c r="X336" i="4" s="1"/>
  <c r="AF340" i="4"/>
  <c r="AL340" i="4"/>
  <c r="AJ340" i="4"/>
  <c r="AF344" i="4"/>
  <c r="AL344" i="4"/>
  <c r="AJ344" i="4"/>
  <c r="AF348" i="4"/>
  <c r="AH348" i="4" s="1"/>
  <c r="AI348" i="4" s="1"/>
  <c r="AL348" i="4"/>
  <c r="AJ348" i="4"/>
  <c r="AF352" i="4"/>
  <c r="AH352" i="4" s="1"/>
  <c r="AI352" i="4" s="1"/>
  <c r="AL352" i="4"/>
  <c r="W352" i="4"/>
  <c r="X352" i="4" s="1"/>
  <c r="AJ352" i="4"/>
  <c r="BD353" i="4"/>
  <c r="AY353" i="4"/>
  <c r="AD364" i="4"/>
  <c r="AE364" i="4" s="1"/>
  <c r="AG364" i="4"/>
  <c r="AU365" i="4"/>
  <c r="AD371" i="4"/>
  <c r="AE371" i="4" s="1"/>
  <c r="AG371" i="4"/>
  <c r="AH371" i="4" s="1"/>
  <c r="AI371" i="4" s="1"/>
  <c r="R314" i="4"/>
  <c r="R315" i="4"/>
  <c r="AF320" i="4"/>
  <c r="AH320" i="4" s="1"/>
  <c r="AI320" i="4" s="1"/>
  <c r="BD320" i="4"/>
  <c r="Y325" i="4"/>
  <c r="AD327" i="4"/>
  <c r="AE327" i="4" s="1"/>
  <c r="AV328" i="4"/>
  <c r="Y330" i="4"/>
  <c r="Y333" i="4"/>
  <c r="Y336" i="4"/>
  <c r="W340" i="4"/>
  <c r="X340" i="4" s="1"/>
  <c r="W344" i="4"/>
  <c r="X344" i="4" s="1"/>
  <c r="W348" i="4"/>
  <c r="X348" i="4" s="1"/>
  <c r="AW353" i="4"/>
  <c r="BJ353" i="4" s="1"/>
  <c r="BD354" i="4"/>
  <c r="AG393" i="4"/>
  <c r="AH393" i="4" s="1"/>
  <c r="AI393" i="4" s="1"/>
  <c r="AD393" i="4"/>
  <c r="AE393" i="4" s="1"/>
  <c r="AJ324" i="4"/>
  <c r="AL328" i="4"/>
  <c r="AJ328" i="4"/>
  <c r="AK328" i="4" s="1"/>
  <c r="BD355" i="4"/>
  <c r="AW371" i="4"/>
  <c r="BJ371" i="4" s="1"/>
  <c r="BD371" i="4"/>
  <c r="AW403" i="4"/>
  <c r="BJ403" i="4" s="1"/>
  <c r="BD403" i="4"/>
  <c r="W315" i="4"/>
  <c r="X315" i="4" s="1"/>
  <c r="AJ318" i="4"/>
  <c r="AL322" i="4"/>
  <c r="W324" i="4"/>
  <c r="X324" i="4" s="1"/>
  <c r="AV324" i="4"/>
  <c r="AD325" i="4"/>
  <c r="AE325" i="4" s="1"/>
  <c r="AV326" i="4"/>
  <c r="W328" i="4"/>
  <c r="X328" i="4" s="1"/>
  <c r="AD330" i="4"/>
  <c r="AE330" i="4" s="1"/>
  <c r="AF331" i="4"/>
  <c r="AL331" i="4"/>
  <c r="AJ331" i="4"/>
  <c r="BD331" i="4"/>
  <c r="AD333" i="4"/>
  <c r="AE333" i="4" s="1"/>
  <c r="AF334" i="4"/>
  <c r="AH334" i="4" s="1"/>
  <c r="AI334" i="4" s="1"/>
  <c r="AL334" i="4"/>
  <c r="AJ334" i="4"/>
  <c r="AD336" i="4"/>
  <c r="AE336" i="4" s="1"/>
  <c r="AF337" i="4"/>
  <c r="AH337" i="4" s="1"/>
  <c r="AI337" i="4" s="1"/>
  <c r="AL337" i="4"/>
  <c r="AJ337" i="4"/>
  <c r="AF341" i="4"/>
  <c r="AH341" i="4" s="1"/>
  <c r="AI341" i="4" s="1"/>
  <c r="AL341" i="4"/>
  <c r="AJ341" i="4"/>
  <c r="BD341" i="4"/>
  <c r="AF345" i="4"/>
  <c r="AL345" i="4"/>
  <c r="AJ345" i="4"/>
  <c r="BD345" i="4"/>
  <c r="AF349" i="4"/>
  <c r="AH349" i="4" s="1"/>
  <c r="AI349" i="4" s="1"/>
  <c r="AL349" i="4"/>
  <c r="AJ349" i="4"/>
  <c r="AF353" i="4"/>
  <c r="AL353" i="4"/>
  <c r="W353" i="4"/>
  <c r="X353" i="4" s="1"/>
  <c r="AJ353" i="4"/>
  <c r="AW355" i="4"/>
  <c r="BJ355" i="4" s="1"/>
  <c r="BD358" i="4"/>
  <c r="AY358" i="4"/>
  <c r="AW358" i="4"/>
  <c r="BJ358" i="4" s="1"/>
  <c r="Y369" i="4"/>
  <c r="AG369" i="4"/>
  <c r="AJ382" i="4"/>
  <c r="Y382" i="4"/>
  <c r="AU403" i="4"/>
  <c r="W316" i="4"/>
  <c r="X316" i="4" s="1"/>
  <c r="R318" i="4"/>
  <c r="R322" i="4"/>
  <c r="AJ323" i="4"/>
  <c r="AF325" i="4"/>
  <c r="AL326" i="4"/>
  <c r="AJ326" i="4"/>
  <c r="Y328" i="4"/>
  <c r="W331" i="4"/>
  <c r="X331" i="4" s="1"/>
  <c r="W334" i="4"/>
  <c r="X334" i="4" s="1"/>
  <c r="W337" i="4"/>
  <c r="X337" i="4" s="1"/>
  <c r="W341" i="4"/>
  <c r="X341" i="4" s="1"/>
  <c r="W345" i="4"/>
  <c r="X345" i="4" s="1"/>
  <c r="W349" i="4"/>
  <c r="X349" i="4" s="1"/>
  <c r="AF354" i="4"/>
  <c r="AL354" i="4"/>
  <c r="W354" i="4"/>
  <c r="X354" i="4" s="1"/>
  <c r="AJ354" i="4"/>
  <c r="R355" i="4"/>
  <c r="AG343" i="4"/>
  <c r="AG353" i="4"/>
  <c r="AG354" i="4"/>
  <c r="AG355" i="4"/>
  <c r="AG356" i="4"/>
  <c r="AJ359" i="4"/>
  <c r="AL369" i="4"/>
  <c r="AW374" i="4"/>
  <c r="BJ374" i="4" s="1"/>
  <c r="BD374" i="4"/>
  <c r="AG381" i="4"/>
  <c r="AD381" i="4"/>
  <c r="AE381" i="4" s="1"/>
  <c r="AL382" i="4"/>
  <c r="AG386" i="4"/>
  <c r="AH386" i="4" s="1"/>
  <c r="AI386" i="4" s="1"/>
  <c r="AD386" i="4"/>
  <c r="AE386" i="4" s="1"/>
  <c r="AG392" i="4"/>
  <c r="AH392" i="4" s="1"/>
  <c r="AI392" i="4" s="1"/>
  <c r="AD392" i="4"/>
  <c r="AE392" i="4" s="1"/>
  <c r="AJ393" i="4"/>
  <c r="Y393" i="4"/>
  <c r="AL395" i="4"/>
  <c r="AW400" i="4"/>
  <c r="BJ400" i="4" s="1"/>
  <c r="BD400" i="4"/>
  <c r="AV428" i="4"/>
  <c r="AU428" i="4"/>
  <c r="AJ358" i="4"/>
  <c r="AJ362" i="4"/>
  <c r="AF364" i="4"/>
  <c r="AH364" i="4" s="1"/>
  <c r="AI364" i="4" s="1"/>
  <c r="AD369" i="4"/>
  <c r="AE369" i="4" s="1"/>
  <c r="AL372" i="4"/>
  <c r="AW377" i="4"/>
  <c r="BJ377" i="4" s="1"/>
  <c r="BD377" i="4"/>
  <c r="AG382" i="4"/>
  <c r="AD382" i="4"/>
  <c r="AE382" i="4" s="1"/>
  <c r="AL383" i="4"/>
  <c r="AJ388" i="4"/>
  <c r="Y388" i="4"/>
  <c r="AL389" i="4"/>
  <c r="AG395" i="4"/>
  <c r="AH395" i="4" s="1"/>
  <c r="AI395" i="4" s="1"/>
  <c r="AD395" i="4"/>
  <c r="AE395" i="4" s="1"/>
  <c r="AJ396" i="4"/>
  <c r="Y396" i="4"/>
  <c r="AL398" i="4"/>
  <c r="AW405" i="4"/>
  <c r="BJ405" i="4" s="1"/>
  <c r="BD405" i="4"/>
  <c r="AW411" i="4"/>
  <c r="BJ411" i="4" s="1"/>
  <c r="BD411" i="4"/>
  <c r="AL359" i="4"/>
  <c r="AL363" i="4"/>
  <c r="AJ363" i="4"/>
  <c r="AL365" i="4"/>
  <c r="AL377" i="4"/>
  <c r="AJ379" i="4"/>
  <c r="Y379" i="4"/>
  <c r="AW380" i="4"/>
  <c r="BJ380" i="4" s="1"/>
  <c r="BD380" i="4"/>
  <c r="AG388" i="4"/>
  <c r="AH388" i="4" s="1"/>
  <c r="AI388" i="4" s="1"/>
  <c r="AD388" i="4"/>
  <c r="AE388" i="4" s="1"/>
  <c r="AW392" i="4"/>
  <c r="BJ392" i="4" s="1"/>
  <c r="BD392" i="4"/>
  <c r="AG396" i="4"/>
  <c r="AH396" i="4" s="1"/>
  <c r="AI396" i="4" s="1"/>
  <c r="AD396" i="4"/>
  <c r="AE396" i="4" s="1"/>
  <c r="AJ397" i="4"/>
  <c r="Y397" i="4"/>
  <c r="AL399" i="4"/>
  <c r="AV412" i="4"/>
  <c r="AU412" i="4"/>
  <c r="AW417" i="4"/>
  <c r="BJ417" i="4" s="1"/>
  <c r="BD417" i="4"/>
  <c r="AF457" i="4"/>
  <c r="W457" i="4"/>
  <c r="X457" i="4" s="1"/>
  <c r="AL370" i="4"/>
  <c r="AW375" i="4"/>
  <c r="BJ375" i="4" s="1"/>
  <c r="BD375" i="4"/>
  <c r="AJ383" i="4"/>
  <c r="Y383" i="4"/>
  <c r="AL384" i="4"/>
  <c r="AJ389" i="4"/>
  <c r="Y389" i="4"/>
  <c r="AL390" i="4"/>
  <c r="BD393" i="4"/>
  <c r="AG397" i="4"/>
  <c r="AH397" i="4" s="1"/>
  <c r="AI397" i="4" s="1"/>
  <c r="AD397" i="4"/>
  <c r="AE397" i="4" s="1"/>
  <c r="AJ398" i="4"/>
  <c r="Y398" i="4"/>
  <c r="AL400" i="4"/>
  <c r="AV418" i="4"/>
  <c r="AU418" i="4"/>
  <c r="AJ377" i="4"/>
  <c r="Y377" i="4"/>
  <c r="AG383" i="4"/>
  <c r="AD383" i="4"/>
  <c r="AE383" i="4" s="1"/>
  <c r="AG389" i="4"/>
  <c r="AH389" i="4" s="1"/>
  <c r="AI389" i="4" s="1"/>
  <c r="AD389" i="4"/>
  <c r="AE389" i="4" s="1"/>
  <c r="AG398" i="4"/>
  <c r="AD398" i="4"/>
  <c r="AE398" i="4" s="1"/>
  <c r="AJ399" i="4"/>
  <c r="Y399" i="4"/>
  <c r="BF409" i="4"/>
  <c r="AL431" i="4"/>
  <c r="AJ431" i="4"/>
  <c r="R431" i="4"/>
  <c r="AU358" i="4"/>
  <c r="AD359" i="4"/>
  <c r="AE359" i="4" s="1"/>
  <c r="AU362" i="4"/>
  <c r="AD363" i="4"/>
  <c r="AE363" i="4" s="1"/>
  <c r="AD365" i="4"/>
  <c r="AE365" i="4" s="1"/>
  <c r="AU366" i="4"/>
  <c r="AW373" i="4"/>
  <c r="BJ373" i="4" s="1"/>
  <c r="BD373" i="4"/>
  <c r="AD377" i="4"/>
  <c r="AE377" i="4" s="1"/>
  <c r="AW381" i="4"/>
  <c r="BJ381" i="4" s="1"/>
  <c r="BD381" i="4"/>
  <c r="AJ384" i="4"/>
  <c r="Y384" i="4"/>
  <c r="AJ390" i="4"/>
  <c r="Y390" i="4"/>
  <c r="AW395" i="4"/>
  <c r="BJ395" i="4" s="1"/>
  <c r="BD395" i="4"/>
  <c r="AG399" i="4"/>
  <c r="AD399" i="4"/>
  <c r="AE399" i="4" s="1"/>
  <c r="AJ400" i="4"/>
  <c r="Y400" i="4"/>
  <c r="W404" i="4"/>
  <c r="X404" i="4" s="1"/>
  <c r="W358" i="4"/>
  <c r="X358" i="4" s="1"/>
  <c r="AF359" i="4"/>
  <c r="W362" i="4"/>
  <c r="X362" i="4" s="1"/>
  <c r="AF363" i="4"/>
  <c r="AD370" i="4"/>
  <c r="AE370" i="4" s="1"/>
  <c r="AU371" i="4"/>
  <c r="AG372" i="4"/>
  <c r="AL373" i="4"/>
  <c r="AJ375" i="4"/>
  <c r="Y375" i="4"/>
  <c r="AW378" i="4"/>
  <c r="BJ378" i="4" s="1"/>
  <c r="AJ380" i="4"/>
  <c r="Y380" i="4"/>
  <c r="AG384" i="4"/>
  <c r="AD384" i="4"/>
  <c r="AE384" i="4" s="1"/>
  <c r="AG390" i="4"/>
  <c r="AH390" i="4" s="1"/>
  <c r="AI390" i="4" s="1"/>
  <c r="AD390" i="4"/>
  <c r="AE390" i="4" s="1"/>
  <c r="AW396" i="4"/>
  <c r="BJ396" i="4" s="1"/>
  <c r="BD396" i="4"/>
  <c r="AG400" i="4"/>
  <c r="AH400" i="4" s="1"/>
  <c r="AI400" i="4" s="1"/>
  <c r="AD400" i="4"/>
  <c r="AE400" i="4" s="1"/>
  <c r="AJ401" i="4"/>
  <c r="Y401" i="4"/>
  <c r="AV429" i="4"/>
  <c r="AG359" i="4"/>
  <c r="AG363" i="4"/>
  <c r="AG365" i="4"/>
  <c r="AH365" i="4" s="1"/>
  <c r="AI365" i="4" s="1"/>
  <c r="AL366" i="4"/>
  <c r="AD375" i="4"/>
  <c r="AE375" i="4" s="1"/>
  <c r="AG377" i="4"/>
  <c r="AH377" i="4" s="1"/>
  <c r="AI377" i="4" s="1"/>
  <c r="AL378" i="4"/>
  <c r="AG380" i="4"/>
  <c r="AH380" i="4" s="1"/>
  <c r="AI380" i="4" s="1"/>
  <c r="AD380" i="4"/>
  <c r="AE380" i="4" s="1"/>
  <c r="AL381" i="4"/>
  <c r="AJ385" i="4"/>
  <c r="Y385" i="4"/>
  <c r="AL386" i="4"/>
  <c r="AJ391" i="4"/>
  <c r="Y391" i="4"/>
  <c r="AL392" i="4"/>
  <c r="AW397" i="4"/>
  <c r="BJ397" i="4" s="1"/>
  <c r="BD397" i="4"/>
  <c r="AG401" i="4"/>
  <c r="AD401" i="4"/>
  <c r="AE401" i="4" s="1"/>
  <c r="AJ402" i="4"/>
  <c r="Y402" i="4"/>
  <c r="AW408" i="4"/>
  <c r="BJ408" i="4" s="1"/>
  <c r="BD408" i="4"/>
  <c r="AV425" i="4"/>
  <c r="AU425" i="4"/>
  <c r="BD426" i="4"/>
  <c r="AY426" i="4"/>
  <c r="AW426" i="4"/>
  <c r="BJ426" i="4" s="1"/>
  <c r="AL357" i="4"/>
  <c r="AL361" i="4"/>
  <c r="AG370" i="4"/>
  <c r="AH370" i="4" s="1"/>
  <c r="AI370" i="4" s="1"/>
  <c r="AL371" i="4"/>
  <c r="AG385" i="4"/>
  <c r="AD385" i="4"/>
  <c r="AE385" i="4" s="1"/>
  <c r="AG391" i="4"/>
  <c r="AH391" i="4" s="1"/>
  <c r="AI391" i="4" s="1"/>
  <c r="AD391" i="4"/>
  <c r="AE391" i="4" s="1"/>
  <c r="AL393" i="4"/>
  <c r="AG402" i="4"/>
  <c r="AH402" i="4" s="1"/>
  <c r="AI402" i="4" s="1"/>
  <c r="AD402" i="4"/>
  <c r="AE402" i="4" s="1"/>
  <c r="AV409" i="4"/>
  <c r="AU409" i="4"/>
  <c r="AY414" i="4"/>
  <c r="AW414" i="4"/>
  <c r="BJ414" i="4" s="1"/>
  <c r="BD414" i="4"/>
  <c r="AW420" i="4"/>
  <c r="BJ420" i="4" s="1"/>
  <c r="BD420" i="4"/>
  <c r="AF358" i="4"/>
  <c r="AF362" i="4"/>
  <c r="AH362" i="4" s="1"/>
  <c r="AI362" i="4" s="1"/>
  <c r="AL364" i="4"/>
  <c r="AJ364" i="4"/>
  <c r="AD373" i="4"/>
  <c r="AE373" i="4" s="1"/>
  <c r="AL376" i="4"/>
  <c r="AJ378" i="4"/>
  <c r="Y378" i="4"/>
  <c r="AJ381" i="4"/>
  <c r="Y381" i="4"/>
  <c r="AJ386" i="4"/>
  <c r="Y386" i="4"/>
  <c r="AL387" i="4"/>
  <c r="AJ392" i="4"/>
  <c r="Y392" i="4"/>
  <c r="AL394" i="4"/>
  <c r="AW399" i="4"/>
  <c r="BJ399" i="4" s="1"/>
  <c r="BD399" i="4"/>
  <c r="AG403" i="4"/>
  <c r="AH403" i="4" s="1"/>
  <c r="AI403" i="4" s="1"/>
  <c r="AD403" i="4"/>
  <c r="AE403" i="4" s="1"/>
  <c r="AV415" i="4"/>
  <c r="AU415" i="4"/>
  <c r="AV421" i="4"/>
  <c r="AU421" i="4"/>
  <c r="BD382" i="4"/>
  <c r="BD383" i="4"/>
  <c r="BD384" i="4"/>
  <c r="BD385" i="4"/>
  <c r="BD388" i="4"/>
  <c r="BD390" i="4"/>
  <c r="BD391" i="4"/>
  <c r="AJ405" i="4"/>
  <c r="BD406" i="4"/>
  <c r="AF407" i="4"/>
  <c r="AH407" i="4" s="1"/>
  <c r="AI407" i="4" s="1"/>
  <c r="BD407" i="4"/>
  <c r="AF408" i="4"/>
  <c r="AH408" i="4" s="1"/>
  <c r="AI408" i="4" s="1"/>
  <c r="AY413" i="4"/>
  <c r="AW413" i="4"/>
  <c r="BJ413" i="4" s="1"/>
  <c r="AW416" i="4"/>
  <c r="BJ416" i="4" s="1"/>
  <c r="AW422" i="4"/>
  <c r="BJ422" i="4" s="1"/>
  <c r="BD424" i="4"/>
  <c r="AW424" i="4"/>
  <c r="BJ424" i="4" s="1"/>
  <c r="AW427" i="4"/>
  <c r="BJ427" i="4" s="1"/>
  <c r="AL457" i="4"/>
  <c r="AJ457" i="4"/>
  <c r="R457" i="4"/>
  <c r="Y404" i="4"/>
  <c r="BG407" i="4"/>
  <c r="W431" i="4"/>
  <c r="X431" i="4" s="1"/>
  <c r="AF431" i="4"/>
  <c r="AF446" i="4"/>
  <c r="AH446" i="4" s="1"/>
  <c r="AI446" i="4" s="1"/>
  <c r="W446" i="4"/>
  <c r="X446" i="4" s="1"/>
  <c r="BD510" i="4"/>
  <c r="AW510" i="4"/>
  <c r="BJ510" i="4" s="1"/>
  <c r="AY510" i="4"/>
  <c r="AL406" i="4"/>
  <c r="Y405" i="4"/>
  <c r="AL435" i="4"/>
  <c r="AJ435" i="4"/>
  <c r="AF456" i="4"/>
  <c r="W456" i="4"/>
  <c r="X456" i="4" s="1"/>
  <c r="AL459" i="4"/>
  <c r="AJ459" i="4"/>
  <c r="AF435" i="4"/>
  <c r="AH435" i="4" s="1"/>
  <c r="AI435" i="4" s="1"/>
  <c r="W435" i="4"/>
  <c r="X435" i="4" s="1"/>
  <c r="AL445" i="4"/>
  <c r="AJ445" i="4"/>
  <c r="R445" i="4"/>
  <c r="AD405" i="4"/>
  <c r="AE405" i="4" s="1"/>
  <c r="AU408" i="4"/>
  <c r="AU411" i="4"/>
  <c r="AU414" i="4"/>
  <c r="AU417" i="4"/>
  <c r="AU420" i="4"/>
  <c r="AW423" i="4"/>
  <c r="BJ423" i="4" s="1"/>
  <c r="AU426" i="4"/>
  <c r="AW437" i="4"/>
  <c r="BJ437" i="4" s="1"/>
  <c r="AF445" i="4"/>
  <c r="AH445" i="4" s="1"/>
  <c r="AI445" i="4" s="1"/>
  <c r="W445" i="4"/>
  <c r="X445" i="4" s="1"/>
  <c r="BG464" i="4"/>
  <c r="BG465" i="4"/>
  <c r="AL492" i="4"/>
  <c r="AJ492" i="4"/>
  <c r="AG492" i="4"/>
  <c r="Y492" i="4"/>
  <c r="AW382" i="4"/>
  <c r="BJ382" i="4" s="1"/>
  <c r="AW383" i="4"/>
  <c r="BJ383" i="4" s="1"/>
  <c r="AW384" i="4"/>
  <c r="BJ384" i="4" s="1"/>
  <c r="AW385" i="4"/>
  <c r="BJ385" i="4" s="1"/>
  <c r="AW388" i="4"/>
  <c r="BJ388" i="4" s="1"/>
  <c r="AW390" i="4"/>
  <c r="BJ390" i="4" s="1"/>
  <c r="AW391" i="4"/>
  <c r="BJ391" i="4" s="1"/>
  <c r="AL403" i="4"/>
  <c r="AJ403" i="4"/>
  <c r="BD404" i="4"/>
  <c r="BD423" i="4"/>
  <c r="AJ429" i="4"/>
  <c r="AF429" i="4"/>
  <c r="AL429" i="4"/>
  <c r="AY437" i="4"/>
  <c r="BG441" i="4"/>
  <c r="AL458" i="4"/>
  <c r="AJ458" i="4"/>
  <c r="AJ365" i="4"/>
  <c r="AJ366" i="4"/>
  <c r="AJ367" i="4"/>
  <c r="AJ368" i="4"/>
  <c r="AJ369" i="4"/>
  <c r="AJ370" i="4"/>
  <c r="AJ371" i="4"/>
  <c r="AJ372" i="4"/>
  <c r="AJ373" i="4"/>
  <c r="AJ374" i="4"/>
  <c r="AF458" i="4"/>
  <c r="AH458" i="4" s="1"/>
  <c r="AI458" i="4" s="1"/>
  <c r="W458" i="4"/>
  <c r="X458" i="4" s="1"/>
  <c r="AY406" i="4"/>
  <c r="Y434" i="4"/>
  <c r="AJ434" i="4"/>
  <c r="BG463" i="4"/>
  <c r="AG434" i="4"/>
  <c r="AF444" i="4"/>
  <c r="AH444" i="4" s="1"/>
  <c r="AI444" i="4" s="1"/>
  <c r="W444" i="4"/>
  <c r="X444" i="4" s="1"/>
  <c r="AL447" i="4"/>
  <c r="AJ447" i="4"/>
  <c r="AF434" i="4"/>
  <c r="W434" i="4"/>
  <c r="X434" i="4" s="1"/>
  <c r="AJ438" i="4"/>
  <c r="AF443" i="4"/>
  <c r="AH443" i="4" s="1"/>
  <c r="AI443" i="4" s="1"/>
  <c r="W443" i="4"/>
  <c r="X443" i="4" s="1"/>
  <c r="AJ450" i="4"/>
  <c r="AF455" i="4"/>
  <c r="AH455" i="4" s="1"/>
  <c r="AI455" i="4" s="1"/>
  <c r="W455" i="4"/>
  <c r="X455" i="4" s="1"/>
  <c r="AJ462" i="4"/>
  <c r="W429" i="4"/>
  <c r="X429" i="4" s="1"/>
  <c r="AJ430" i="4"/>
  <c r="AG431" i="4"/>
  <c r="R432" i="4"/>
  <c r="R437" i="4"/>
  <c r="AJ442" i="4"/>
  <c r="AF447" i="4"/>
  <c r="W447" i="4"/>
  <c r="X447" i="4" s="1"/>
  <c r="R449" i="4"/>
  <c r="BG454" i="4"/>
  <c r="AF459" i="4"/>
  <c r="AH459" i="4" s="1"/>
  <c r="AI459" i="4" s="1"/>
  <c r="W459" i="4"/>
  <c r="X459" i="4" s="1"/>
  <c r="R461" i="4"/>
  <c r="AF436" i="4"/>
  <c r="W436" i="4"/>
  <c r="X436" i="4" s="1"/>
  <c r="R438" i="4"/>
  <c r="BG443" i="4"/>
  <c r="AF448" i="4"/>
  <c r="AH448" i="4" s="1"/>
  <c r="AI448" i="4" s="1"/>
  <c r="W448" i="4"/>
  <c r="X448" i="4" s="1"/>
  <c r="R450" i="4"/>
  <c r="AF460" i="4"/>
  <c r="AH460" i="4" s="1"/>
  <c r="AI460" i="4" s="1"/>
  <c r="W460" i="4"/>
  <c r="X460" i="4" s="1"/>
  <c r="R462" i="4"/>
  <c r="AV470" i="4"/>
  <c r="AU470" i="4"/>
  <c r="BG478" i="4"/>
  <c r="AV481" i="4"/>
  <c r="AU481" i="4"/>
  <c r="AD429" i="4"/>
  <c r="AE429" i="4" s="1"/>
  <c r="Y429" i="4"/>
  <c r="AF432" i="4"/>
  <c r="AH432" i="4" s="1"/>
  <c r="AI432" i="4" s="1"/>
  <c r="W432" i="4"/>
  <c r="X432" i="4" s="1"/>
  <c r="AF437" i="4"/>
  <c r="AH437" i="4" s="1"/>
  <c r="AI437" i="4" s="1"/>
  <c r="W437" i="4"/>
  <c r="X437" i="4" s="1"/>
  <c r="AF449" i="4"/>
  <c r="W449" i="4"/>
  <c r="X449" i="4" s="1"/>
  <c r="BG456" i="4"/>
  <c r="AF461" i="4"/>
  <c r="W461" i="4"/>
  <c r="X461" i="4" s="1"/>
  <c r="AW465" i="4"/>
  <c r="BJ465" i="4" s="1"/>
  <c r="BD467" i="4"/>
  <c r="AW467" i="4"/>
  <c r="BJ467" i="4" s="1"/>
  <c r="AV479" i="4"/>
  <c r="AU479" i="4"/>
  <c r="AV486" i="4"/>
  <c r="AU486" i="4"/>
  <c r="AL411" i="4"/>
  <c r="AL412" i="4"/>
  <c r="AG429" i="4"/>
  <c r="AV430" i="4"/>
  <c r="R433" i="4"/>
  <c r="AY433" i="4"/>
  <c r="AF438" i="4"/>
  <c r="W438" i="4"/>
  <c r="X438" i="4" s="1"/>
  <c r="R440" i="4"/>
  <c r="AW442" i="4"/>
  <c r="BJ442" i="4" s="1"/>
  <c r="AF450" i="4"/>
  <c r="AH450" i="4" s="1"/>
  <c r="AI450" i="4" s="1"/>
  <c r="W450" i="4"/>
  <c r="X450" i="4" s="1"/>
  <c r="R452" i="4"/>
  <c r="AY453" i="4"/>
  <c r="AF462" i="4"/>
  <c r="AH462" i="4" s="1"/>
  <c r="AI462" i="4" s="1"/>
  <c r="W462" i="4"/>
  <c r="X462" i="4" s="1"/>
  <c r="R464" i="4"/>
  <c r="AY465" i="4"/>
  <c r="AU467" i="4"/>
  <c r="R471" i="4"/>
  <c r="AJ471" i="4"/>
  <c r="AV487" i="4"/>
  <c r="AU487" i="4"/>
  <c r="AF439" i="4"/>
  <c r="W439" i="4"/>
  <c r="X439" i="4" s="1"/>
  <c r="AF451" i="4"/>
  <c r="AH451" i="4" s="1"/>
  <c r="AI451" i="4" s="1"/>
  <c r="W451" i="4"/>
  <c r="X451" i="4" s="1"/>
  <c r="AF463" i="4"/>
  <c r="AH463" i="4" s="1"/>
  <c r="AI463" i="4" s="1"/>
  <c r="W463" i="4"/>
  <c r="X463" i="4" s="1"/>
  <c r="W471" i="4"/>
  <c r="X471" i="4" s="1"/>
  <c r="AF471" i="4"/>
  <c r="AH471" i="4" s="1"/>
  <c r="AI471" i="4" s="1"/>
  <c r="AL481" i="4"/>
  <c r="AJ481" i="4"/>
  <c r="R481" i="4"/>
  <c r="AF481" i="4"/>
  <c r="AV488" i="4"/>
  <c r="AU488" i="4"/>
  <c r="AF433" i="4"/>
  <c r="W433" i="4"/>
  <c r="X433" i="4" s="1"/>
  <c r="AF440" i="4"/>
  <c r="W440" i="4"/>
  <c r="X440" i="4" s="1"/>
  <c r="AF452" i="4"/>
  <c r="AH452" i="4" s="1"/>
  <c r="AI452" i="4" s="1"/>
  <c r="W452" i="4"/>
  <c r="X452" i="4" s="1"/>
  <c r="AF464" i="4"/>
  <c r="W464" i="4"/>
  <c r="X464" i="4" s="1"/>
  <c r="AL479" i="4"/>
  <c r="AJ479" i="4"/>
  <c r="R479" i="4"/>
  <c r="AF479" i="4"/>
  <c r="AH479" i="4" s="1"/>
  <c r="AI479" i="4" s="1"/>
  <c r="W481" i="4"/>
  <c r="X481" i="4" s="1"/>
  <c r="BD498" i="4"/>
  <c r="W430" i="4"/>
  <c r="X430" i="4" s="1"/>
  <c r="BG436" i="4"/>
  <c r="AF441" i="4"/>
  <c r="W441" i="4"/>
  <c r="X441" i="4" s="1"/>
  <c r="AJ448" i="4"/>
  <c r="AF453" i="4"/>
  <c r="W453" i="4"/>
  <c r="X453" i="4" s="1"/>
  <c r="AJ460" i="4"/>
  <c r="AF465" i="4"/>
  <c r="AH465" i="4" s="1"/>
  <c r="AI465" i="4" s="1"/>
  <c r="W465" i="4"/>
  <c r="X465" i="4" s="1"/>
  <c r="AF468" i="4"/>
  <c r="AH468" i="4" s="1"/>
  <c r="AI468" i="4" s="1"/>
  <c r="R472" i="4"/>
  <c r="AF472" i="4"/>
  <c r="AH472" i="4" s="1"/>
  <c r="AI472" i="4" s="1"/>
  <c r="W479" i="4"/>
  <c r="X479" i="4" s="1"/>
  <c r="AW498" i="4"/>
  <c r="BJ498" i="4" s="1"/>
  <c r="AJ432" i="4"/>
  <c r="AG433" i="4"/>
  <c r="AL434" i="4"/>
  <c r="AJ437" i="4"/>
  <c r="AF442" i="4"/>
  <c r="W442" i="4"/>
  <c r="X442" i="4" s="1"/>
  <c r="R444" i="4"/>
  <c r="AW446" i="4"/>
  <c r="BJ446" i="4" s="1"/>
  <c r="AJ449" i="4"/>
  <c r="AF454" i="4"/>
  <c r="AH454" i="4" s="1"/>
  <c r="AI454" i="4" s="1"/>
  <c r="W454" i="4"/>
  <c r="X454" i="4" s="1"/>
  <c r="R456" i="4"/>
  <c r="AW458" i="4"/>
  <c r="BJ458" i="4" s="1"/>
  <c r="AJ461" i="4"/>
  <c r="AF466" i="4"/>
  <c r="AH466" i="4" s="1"/>
  <c r="AI466" i="4" s="1"/>
  <c r="W466" i="4"/>
  <c r="X466" i="4" s="1"/>
  <c r="W468" i="4"/>
  <c r="X468" i="4" s="1"/>
  <c r="BG468" i="4"/>
  <c r="W472" i="4"/>
  <c r="X472" i="4" s="1"/>
  <c r="AJ473" i="4"/>
  <c r="AF475" i="4"/>
  <c r="AH475" i="4" s="1"/>
  <c r="AI475" i="4" s="1"/>
  <c r="AF476" i="4"/>
  <c r="AL478" i="4"/>
  <c r="R478" i="4"/>
  <c r="AV489" i="4"/>
  <c r="AU489" i="4"/>
  <c r="AF467" i="4"/>
  <c r="AH467" i="4" s="1"/>
  <c r="AI467" i="4" s="1"/>
  <c r="AL473" i="4"/>
  <c r="AL484" i="4"/>
  <c r="AJ484" i="4"/>
  <c r="R484" i="4"/>
  <c r="AV484" i="4"/>
  <c r="AU484" i="4"/>
  <c r="AV490" i="4"/>
  <c r="AU490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AJ469" i="4"/>
  <c r="AU471" i="4"/>
  <c r="W473" i="4"/>
  <c r="X473" i="4" s="1"/>
  <c r="AJ474" i="4"/>
  <c r="AV478" i="4"/>
  <c r="AU478" i="4"/>
  <c r="W484" i="4"/>
  <c r="X484" i="4" s="1"/>
  <c r="AL474" i="4"/>
  <c r="BJ474" i="4"/>
  <c r="AL477" i="4"/>
  <c r="R477" i="4"/>
  <c r="AL482" i="4"/>
  <c r="AJ482" i="4"/>
  <c r="R482" i="4"/>
  <c r="AV482" i="4"/>
  <c r="AU482" i="4"/>
  <c r="AY506" i="4"/>
  <c r="BD506" i="4"/>
  <c r="AY509" i="4"/>
  <c r="BD509" i="4"/>
  <c r="AJ467" i="4"/>
  <c r="AU468" i="4"/>
  <c r="AU472" i="4"/>
  <c r="W474" i="4"/>
  <c r="X474" i="4" s="1"/>
  <c r="AL475" i="4"/>
  <c r="AL476" i="4"/>
  <c r="W477" i="4"/>
  <c r="X477" i="4" s="1"/>
  <c r="AL480" i="4"/>
  <c r="AJ480" i="4"/>
  <c r="R480" i="4"/>
  <c r="W482" i="4"/>
  <c r="X482" i="4" s="1"/>
  <c r="BD504" i="4"/>
  <c r="AW506" i="4"/>
  <c r="BJ506" i="4" s="1"/>
  <c r="AW509" i="4"/>
  <c r="BJ509" i="4" s="1"/>
  <c r="AD430" i="4"/>
  <c r="AE430" i="4" s="1"/>
  <c r="AD431" i="4"/>
  <c r="AE431" i="4" s="1"/>
  <c r="AD432" i="4"/>
  <c r="AE432" i="4" s="1"/>
  <c r="AD433" i="4"/>
  <c r="AE433" i="4" s="1"/>
  <c r="AD434" i="4"/>
  <c r="AE434" i="4" s="1"/>
  <c r="AD435" i="4"/>
  <c r="AE435" i="4" s="1"/>
  <c r="AD436" i="4"/>
  <c r="AE436" i="4" s="1"/>
  <c r="AD437" i="4"/>
  <c r="AE437" i="4" s="1"/>
  <c r="AD438" i="4"/>
  <c r="AE438" i="4" s="1"/>
  <c r="AD439" i="4"/>
  <c r="AE439" i="4" s="1"/>
  <c r="AD445" i="4"/>
  <c r="AE445" i="4" s="1"/>
  <c r="AD466" i="4"/>
  <c r="AE466" i="4" s="1"/>
  <c r="AW468" i="4"/>
  <c r="BJ468" i="4" s="1"/>
  <c r="AW472" i="4"/>
  <c r="BJ472" i="4" s="1"/>
  <c r="AV477" i="4"/>
  <c r="AU477" i="4"/>
  <c r="AV480" i="4"/>
  <c r="AU480" i="4"/>
  <c r="AJ493" i="4"/>
  <c r="AL493" i="4"/>
  <c r="R493" i="4"/>
  <c r="AW526" i="4"/>
  <c r="BJ526" i="4" s="1"/>
  <c r="AU466" i="4"/>
  <c r="AL467" i="4"/>
  <c r="AJ470" i="4"/>
  <c r="AU473" i="4"/>
  <c r="AL485" i="4"/>
  <c r="AJ485" i="4"/>
  <c r="R485" i="4"/>
  <c r="AV485" i="4"/>
  <c r="AU485" i="4"/>
  <c r="AF493" i="4"/>
  <c r="W493" i="4"/>
  <c r="X493" i="4" s="1"/>
  <c r="AW466" i="4"/>
  <c r="BJ466" i="4" s="1"/>
  <c r="AL470" i="4"/>
  <c r="AW473" i="4"/>
  <c r="BJ473" i="4" s="1"/>
  <c r="AF478" i="4"/>
  <c r="W485" i="4"/>
  <c r="X485" i="4" s="1"/>
  <c r="AL506" i="4"/>
  <c r="AJ506" i="4"/>
  <c r="AL509" i="4"/>
  <c r="W509" i="4"/>
  <c r="X509" i="4" s="1"/>
  <c r="AJ509" i="4"/>
  <c r="W470" i="4"/>
  <c r="X470" i="4" s="1"/>
  <c r="AU474" i="4"/>
  <c r="AV475" i="4"/>
  <c r="AU475" i="4"/>
  <c r="AV476" i="4"/>
  <c r="AU476" i="4"/>
  <c r="AL483" i="4"/>
  <c r="AJ483" i="4"/>
  <c r="R483" i="4"/>
  <c r="AV483" i="4"/>
  <c r="AU483" i="4"/>
  <c r="AF484" i="4"/>
  <c r="BG501" i="4"/>
  <c r="BG504" i="4"/>
  <c r="AH511" i="4"/>
  <c r="AI511" i="4" s="1"/>
  <c r="AU516" i="4"/>
  <c r="AV516" i="4"/>
  <c r="AD492" i="4"/>
  <c r="AE492" i="4" s="1"/>
  <c r="AL494" i="4"/>
  <c r="AF506" i="4"/>
  <c r="AH506" i="4" s="1"/>
  <c r="AI506" i="4" s="1"/>
  <c r="AF509" i="4"/>
  <c r="AH509" i="4" s="1"/>
  <c r="AI509" i="4" s="1"/>
  <c r="R486" i="4"/>
  <c r="R487" i="4"/>
  <c r="R488" i="4"/>
  <c r="R489" i="4"/>
  <c r="R490" i="4"/>
  <c r="R491" i="4"/>
  <c r="Y493" i="4"/>
  <c r="BG500" i="4"/>
  <c r="BG503" i="4"/>
  <c r="AJ491" i="4"/>
  <c r="AF494" i="4"/>
  <c r="W494" i="4"/>
  <c r="X494" i="4" s="1"/>
  <c r="BG495" i="4"/>
  <c r="AJ539" i="4"/>
  <c r="AL539" i="4"/>
  <c r="AJ486" i="4"/>
  <c r="AJ487" i="4"/>
  <c r="AJ488" i="4"/>
  <c r="AJ489" i="4"/>
  <c r="AJ490" i="4"/>
  <c r="AD493" i="4"/>
  <c r="AE493" i="4" s="1"/>
  <c r="AW497" i="4"/>
  <c r="BJ497" i="4" s="1"/>
  <c r="AW500" i="4"/>
  <c r="BJ500" i="4" s="1"/>
  <c r="AL507" i="4"/>
  <c r="AJ507" i="4"/>
  <c r="AF510" i="4"/>
  <c r="AL510" i="4"/>
  <c r="W510" i="4"/>
  <c r="X510" i="4" s="1"/>
  <c r="Y517" i="4"/>
  <c r="AJ517" i="4"/>
  <c r="AD517" i="4"/>
  <c r="AE517" i="4" s="1"/>
  <c r="AG531" i="4"/>
  <c r="AH531" i="4" s="1"/>
  <c r="AI531" i="4" s="1"/>
  <c r="AD531" i="4"/>
  <c r="AE531" i="4" s="1"/>
  <c r="AW493" i="4"/>
  <c r="BJ493" i="4" s="1"/>
  <c r="Y494" i="4"/>
  <c r="AF507" i="4"/>
  <c r="AH507" i="4" s="1"/>
  <c r="AI507" i="4" s="1"/>
  <c r="BD507" i="4"/>
  <c r="BD512" i="4"/>
  <c r="AW512" i="4"/>
  <c r="BJ512" i="4" s="1"/>
  <c r="AY512" i="4"/>
  <c r="Y514" i="4"/>
  <c r="AJ514" i="4"/>
  <c r="AG514" i="4"/>
  <c r="AD514" i="4"/>
  <c r="AE514" i="4" s="1"/>
  <c r="AF516" i="4"/>
  <c r="W516" i="4"/>
  <c r="X516" i="4" s="1"/>
  <c r="AY493" i="4"/>
  <c r="AF495" i="4"/>
  <c r="W495" i="4"/>
  <c r="X495" i="4" s="1"/>
  <c r="BD497" i="4"/>
  <c r="BG499" i="4"/>
  <c r="BD500" i="4"/>
  <c r="BG502" i="4"/>
  <c r="BD503" i="4"/>
  <c r="AL505" i="4"/>
  <c r="AJ505" i="4"/>
  <c r="AF496" i="4"/>
  <c r="W496" i="4"/>
  <c r="X496" i="4" s="1"/>
  <c r="AL501" i="4"/>
  <c r="AL504" i="4"/>
  <c r="AF505" i="4"/>
  <c r="AH505" i="4" s="1"/>
  <c r="AI505" i="4" s="1"/>
  <c r="AW505" i="4"/>
  <c r="BJ505" i="4" s="1"/>
  <c r="AG510" i="4"/>
  <c r="AG528" i="4"/>
  <c r="AD528" i="4"/>
  <c r="AE528" i="4" s="1"/>
  <c r="AW494" i="4"/>
  <c r="BJ494" i="4" s="1"/>
  <c r="AW496" i="4"/>
  <c r="BJ496" i="4" s="1"/>
  <c r="AW499" i="4"/>
  <c r="BJ499" i="4" s="1"/>
  <c r="AW502" i="4"/>
  <c r="BJ502" i="4" s="1"/>
  <c r="BD505" i="4"/>
  <c r="AL508" i="4"/>
  <c r="W508" i="4"/>
  <c r="X508" i="4" s="1"/>
  <c r="AJ508" i="4"/>
  <c r="AW508" i="4"/>
  <c r="BJ508" i="4" s="1"/>
  <c r="BD517" i="4"/>
  <c r="AY517" i="4"/>
  <c r="AW517" i="4"/>
  <c r="BJ517" i="4" s="1"/>
  <c r="BD520" i="4"/>
  <c r="AY520" i="4"/>
  <c r="AW520" i="4"/>
  <c r="BJ520" i="4" s="1"/>
  <c r="BD529" i="4"/>
  <c r="AY529" i="4"/>
  <c r="AW529" i="4"/>
  <c r="BJ529" i="4" s="1"/>
  <c r="AD491" i="4"/>
  <c r="AE491" i="4" s="1"/>
  <c r="AF492" i="4"/>
  <c r="AH492" i="4" s="1"/>
  <c r="AI492" i="4" s="1"/>
  <c r="W492" i="4"/>
  <c r="X492" i="4" s="1"/>
  <c r="R498" i="4"/>
  <c r="R501" i="4"/>
  <c r="R504" i="4"/>
  <c r="AF508" i="4"/>
  <c r="AH508" i="4" s="1"/>
  <c r="AI508" i="4" s="1"/>
  <c r="BD508" i="4"/>
  <c r="AJ510" i="4"/>
  <c r="AD511" i="4"/>
  <c r="AE511" i="4" s="1"/>
  <c r="BD513" i="4"/>
  <c r="AW513" i="4"/>
  <c r="BJ513" i="4" s="1"/>
  <c r="BF527" i="4"/>
  <c r="BF529" i="4"/>
  <c r="AG542" i="4"/>
  <c r="AL542" i="4"/>
  <c r="AJ542" i="4"/>
  <c r="AD542" i="4"/>
  <c r="AE542" i="4" s="1"/>
  <c r="AL512" i="4"/>
  <c r="AG513" i="4"/>
  <c r="AH513" i="4" s="1"/>
  <c r="AI513" i="4" s="1"/>
  <c r="AG517" i="4"/>
  <c r="Y520" i="4"/>
  <c r="AJ520" i="4"/>
  <c r="W584" i="4"/>
  <c r="X584" i="4" s="1"/>
  <c r="AF584" i="4"/>
  <c r="W497" i="4"/>
  <c r="X497" i="4" s="1"/>
  <c r="W498" i="4"/>
  <c r="X498" i="4" s="1"/>
  <c r="W499" i="4"/>
  <c r="X499" i="4" s="1"/>
  <c r="W500" i="4"/>
  <c r="X500" i="4" s="1"/>
  <c r="W501" i="4"/>
  <c r="X501" i="4" s="1"/>
  <c r="W502" i="4"/>
  <c r="X502" i="4" s="1"/>
  <c r="W503" i="4"/>
  <c r="X503" i="4" s="1"/>
  <c r="W504" i="4"/>
  <c r="X504" i="4" s="1"/>
  <c r="W505" i="4"/>
  <c r="X505" i="4" s="1"/>
  <c r="W506" i="4"/>
  <c r="X506" i="4" s="1"/>
  <c r="W507" i="4"/>
  <c r="X507" i="4" s="1"/>
  <c r="AL519" i="4"/>
  <c r="BD542" i="4"/>
  <c r="AY542" i="4"/>
  <c r="AW542" i="4"/>
  <c r="BJ542" i="4" s="1"/>
  <c r="AL547" i="4"/>
  <c r="R547" i="4"/>
  <c r="AJ547" i="4"/>
  <c r="BD514" i="4"/>
  <c r="AW514" i="4"/>
  <c r="BJ514" i="4" s="1"/>
  <c r="Y522" i="4"/>
  <c r="AJ522" i="4"/>
  <c r="Y524" i="4"/>
  <c r="AJ524" i="4"/>
  <c r="BD530" i="4"/>
  <c r="AY530" i="4"/>
  <c r="AW530" i="4"/>
  <c r="BJ530" i="4" s="1"/>
  <c r="AY541" i="4"/>
  <c r="AF547" i="4"/>
  <c r="AH547" i="4" s="1"/>
  <c r="AI547" i="4" s="1"/>
  <c r="W547" i="4"/>
  <c r="X547" i="4" s="1"/>
  <c r="BD543" i="4"/>
  <c r="AY543" i="4"/>
  <c r="AW543" i="4"/>
  <c r="BJ543" i="4" s="1"/>
  <c r="BD554" i="4"/>
  <c r="AY554" i="4"/>
  <c r="AW554" i="4"/>
  <c r="BJ554" i="4" s="1"/>
  <c r="AD515" i="4"/>
  <c r="AE515" i="4" s="1"/>
  <c r="Y519" i="4"/>
  <c r="AJ519" i="4"/>
  <c r="AD522" i="4"/>
  <c r="AE522" i="4" s="1"/>
  <c r="AD524" i="4"/>
  <c r="AE524" i="4" s="1"/>
  <c r="AD526" i="4"/>
  <c r="AE526" i="4" s="1"/>
  <c r="AD529" i="4"/>
  <c r="AE529" i="4" s="1"/>
  <c r="BD544" i="4"/>
  <c r="AY544" i="4"/>
  <c r="AD510" i="4"/>
  <c r="AE510" i="4" s="1"/>
  <c r="AD512" i="4"/>
  <c r="AE512" i="4" s="1"/>
  <c r="AU512" i="4"/>
  <c r="AG519" i="4"/>
  <c r="AH519" i="4" s="1"/>
  <c r="AI519" i="4" s="1"/>
  <c r="AV521" i="4"/>
  <c r="BD523" i="4"/>
  <c r="AY523" i="4"/>
  <c r="AW523" i="4"/>
  <c r="BJ523" i="4" s="1"/>
  <c r="AW544" i="4"/>
  <c r="BJ544" i="4" s="1"/>
  <c r="R511" i="4"/>
  <c r="AJ516" i="4"/>
  <c r="BD518" i="4"/>
  <c r="AY518" i="4"/>
  <c r="AW518" i="4"/>
  <c r="BJ518" i="4" s="1"/>
  <c r="AD519" i="4"/>
  <c r="AE519" i="4" s="1"/>
  <c r="BD528" i="4"/>
  <c r="AY528" i="4"/>
  <c r="AW528" i="4"/>
  <c r="BJ528" i="4" s="1"/>
  <c r="AL535" i="4"/>
  <c r="BG546" i="4"/>
  <c r="AL511" i="4"/>
  <c r="AL514" i="4"/>
  <c r="AJ515" i="4"/>
  <c r="AL517" i="4"/>
  <c r="Y518" i="4"/>
  <c r="AJ518" i="4"/>
  <c r="Y521" i="4"/>
  <c r="AJ521" i="4"/>
  <c r="Y523" i="4"/>
  <c r="AJ523" i="4"/>
  <c r="Y525" i="4"/>
  <c r="AJ525" i="4"/>
  <c r="AD527" i="4"/>
  <c r="AE527" i="4" s="1"/>
  <c r="AD530" i="4"/>
  <c r="AE530" i="4" s="1"/>
  <c r="Y542" i="4"/>
  <c r="AF534" i="4"/>
  <c r="W534" i="4"/>
  <c r="X534" i="4" s="1"/>
  <c r="AF538" i="4"/>
  <c r="W538" i="4"/>
  <c r="X538" i="4" s="1"/>
  <c r="AF543" i="4"/>
  <c r="W543" i="4"/>
  <c r="X543" i="4" s="1"/>
  <c r="AJ559" i="4"/>
  <c r="AF559" i="4"/>
  <c r="W559" i="4"/>
  <c r="X559" i="4" s="1"/>
  <c r="AL584" i="4"/>
  <c r="AJ584" i="4"/>
  <c r="R584" i="4"/>
  <c r="AG533" i="4"/>
  <c r="AF535" i="4"/>
  <c r="AH535" i="4" s="1"/>
  <c r="AI535" i="4" s="1"/>
  <c r="W535" i="4"/>
  <c r="X535" i="4" s="1"/>
  <c r="AG537" i="4"/>
  <c r="AF539" i="4"/>
  <c r="AH539" i="4" s="1"/>
  <c r="AI539" i="4" s="1"/>
  <c r="W539" i="4"/>
  <c r="X539" i="4" s="1"/>
  <c r="AG541" i="4"/>
  <c r="BG545" i="4"/>
  <c r="AJ567" i="4"/>
  <c r="W567" i="4"/>
  <c r="X567" i="4" s="1"/>
  <c r="AL567" i="4"/>
  <c r="AU581" i="4"/>
  <c r="AV581" i="4"/>
  <c r="AL532" i="4"/>
  <c r="BG536" i="4"/>
  <c r="BG552" i="4"/>
  <c r="AL559" i="4"/>
  <c r="AD534" i="4"/>
  <c r="AE534" i="4" s="1"/>
  <c r="AW534" i="4"/>
  <c r="BJ534" i="4" s="1"/>
  <c r="Y535" i="4"/>
  <c r="AD538" i="4"/>
  <c r="AE538" i="4" s="1"/>
  <c r="AW538" i="4"/>
  <c r="BJ538" i="4" s="1"/>
  <c r="Y539" i="4"/>
  <c r="R546" i="4"/>
  <c r="AL564" i="4"/>
  <c r="AJ564" i="4"/>
  <c r="R564" i="4"/>
  <c r="Y565" i="4"/>
  <c r="AL565" i="4"/>
  <c r="AJ565" i="4"/>
  <c r="AF532" i="4"/>
  <c r="AH532" i="4" s="1"/>
  <c r="AI532" i="4" s="1"/>
  <c r="W532" i="4"/>
  <c r="X532" i="4" s="1"/>
  <c r="AF536" i="4"/>
  <c r="AH536" i="4" s="1"/>
  <c r="AI536" i="4" s="1"/>
  <c r="W536" i="4"/>
  <c r="X536" i="4" s="1"/>
  <c r="AF540" i="4"/>
  <c r="W540" i="4"/>
  <c r="X540" i="4" s="1"/>
  <c r="BG551" i="4"/>
  <c r="AF564" i="4"/>
  <c r="AH564" i="4" s="1"/>
  <c r="AI564" i="4" s="1"/>
  <c r="W564" i="4"/>
  <c r="X564" i="4" s="1"/>
  <c r="R533" i="4"/>
  <c r="R537" i="4"/>
  <c r="BG537" i="4"/>
  <c r="R541" i="4"/>
  <c r="BG541" i="4"/>
  <c r="AF546" i="4"/>
  <c r="AH546" i="4" s="1"/>
  <c r="AI546" i="4" s="1"/>
  <c r="W546" i="4"/>
  <c r="X546" i="4" s="1"/>
  <c r="AL548" i="4"/>
  <c r="R548" i="4"/>
  <c r="AG550" i="4"/>
  <c r="AD550" i="4"/>
  <c r="AE550" i="4" s="1"/>
  <c r="AL575" i="4"/>
  <c r="AJ575" i="4"/>
  <c r="R575" i="4"/>
  <c r="W579" i="4"/>
  <c r="X579" i="4" s="1"/>
  <c r="AF579" i="4"/>
  <c r="AH579" i="4" s="1"/>
  <c r="AI579" i="4" s="1"/>
  <c r="AJ526" i="4"/>
  <c r="AJ527" i="4"/>
  <c r="AJ528" i="4"/>
  <c r="AJ529" i="4"/>
  <c r="AJ530" i="4"/>
  <c r="AJ531" i="4"/>
  <c r="Y532" i="4"/>
  <c r="AD535" i="4"/>
  <c r="AE535" i="4" s="1"/>
  <c r="Y536" i="4"/>
  <c r="AD539" i="4"/>
  <c r="AE539" i="4" s="1"/>
  <c r="Y540" i="4"/>
  <c r="AF548" i="4"/>
  <c r="AH548" i="4" s="1"/>
  <c r="AI548" i="4" s="1"/>
  <c r="W548" i="4"/>
  <c r="X548" i="4" s="1"/>
  <c r="BF554" i="4"/>
  <c r="Y555" i="4"/>
  <c r="AL555" i="4"/>
  <c r="AJ555" i="4"/>
  <c r="AH556" i="4"/>
  <c r="AI556" i="4" s="1"/>
  <c r="AF586" i="4"/>
  <c r="W586" i="4"/>
  <c r="X586" i="4" s="1"/>
  <c r="AF533" i="4"/>
  <c r="W533" i="4"/>
  <c r="X533" i="4" s="1"/>
  <c r="AJ534" i="4"/>
  <c r="AF537" i="4"/>
  <c r="AH537" i="4" s="1"/>
  <c r="AI537" i="4" s="1"/>
  <c r="W537" i="4"/>
  <c r="X537" i="4" s="1"/>
  <c r="AJ538" i="4"/>
  <c r="AF541" i="4"/>
  <c r="W541" i="4"/>
  <c r="X541" i="4" s="1"/>
  <c r="AJ553" i="4"/>
  <c r="AF553" i="4"/>
  <c r="W553" i="4"/>
  <c r="X553" i="4" s="1"/>
  <c r="W554" i="4"/>
  <c r="X554" i="4" s="1"/>
  <c r="AF545" i="4"/>
  <c r="W545" i="4"/>
  <c r="X545" i="4" s="1"/>
  <c r="BD573" i="4"/>
  <c r="AY573" i="4"/>
  <c r="AW573" i="4"/>
  <c r="BJ573" i="4" s="1"/>
  <c r="AF542" i="4"/>
  <c r="W542" i="4"/>
  <c r="X542" i="4" s="1"/>
  <c r="AF544" i="4"/>
  <c r="W544" i="4"/>
  <c r="X544" i="4" s="1"/>
  <c r="R559" i="4"/>
  <c r="Y561" i="4"/>
  <c r="AL561" i="4"/>
  <c r="AJ561" i="4"/>
  <c r="AL549" i="4"/>
  <c r="AJ563" i="4"/>
  <c r="AU574" i="4"/>
  <c r="AV574" i="4"/>
  <c r="AL579" i="4"/>
  <c r="AJ579" i="4"/>
  <c r="AL586" i="4"/>
  <c r="AJ586" i="4"/>
  <c r="R586" i="4"/>
  <c r="R551" i="4"/>
  <c r="R552" i="4"/>
  <c r="AG555" i="4"/>
  <c r="R558" i="4"/>
  <c r="AG561" i="4"/>
  <c r="AG565" i="4"/>
  <c r="AH565" i="4" s="1"/>
  <c r="AI565" i="4" s="1"/>
  <c r="BG566" i="4"/>
  <c r="AF567" i="4"/>
  <c r="AH567" i="4" s="1"/>
  <c r="AI567" i="4" s="1"/>
  <c r="W575" i="4"/>
  <c r="X575" i="4" s="1"/>
  <c r="AF575" i="4"/>
  <c r="AL577" i="4"/>
  <c r="AJ577" i="4"/>
  <c r="Y577" i="4"/>
  <c r="BF574" i="4"/>
  <c r="AG577" i="4"/>
  <c r="AH577" i="4" s="1"/>
  <c r="AI577" i="4" s="1"/>
  <c r="AJ556" i="4"/>
  <c r="BJ565" i="4"/>
  <c r="W574" i="4"/>
  <c r="X574" i="4" s="1"/>
  <c r="AL576" i="4"/>
  <c r="AJ576" i="4"/>
  <c r="AV579" i="4"/>
  <c r="AL595" i="4"/>
  <c r="AJ595" i="4"/>
  <c r="AD549" i="4"/>
  <c r="AE549" i="4" s="1"/>
  <c r="AW549" i="4"/>
  <c r="BJ549" i="4" s="1"/>
  <c r="W551" i="4"/>
  <c r="X551" i="4" s="1"/>
  <c r="W552" i="4"/>
  <c r="X552" i="4" s="1"/>
  <c r="AV552" i="4"/>
  <c r="W558" i="4"/>
  <c r="X558" i="4" s="1"/>
  <c r="AV558" i="4"/>
  <c r="W563" i="4"/>
  <c r="X563" i="4" s="1"/>
  <c r="AV568" i="4"/>
  <c r="AF595" i="4"/>
  <c r="AV550" i="4"/>
  <c r="AV551" i="4"/>
  <c r="AG553" i="4"/>
  <c r="R556" i="4"/>
  <c r="AG559" i="4"/>
  <c r="BG570" i="4"/>
  <c r="AG571" i="4"/>
  <c r="AH571" i="4" s="1"/>
  <c r="AI571" i="4" s="1"/>
  <c r="AD571" i="4"/>
  <c r="AE571" i="4" s="1"/>
  <c r="BG581" i="4"/>
  <c r="Y582" i="4"/>
  <c r="AL582" i="4"/>
  <c r="AJ582" i="4"/>
  <c r="BD587" i="4"/>
  <c r="AW587" i="4"/>
  <c r="BJ587" i="4" s="1"/>
  <c r="AL568" i="4"/>
  <c r="BJ548" i="4"/>
  <c r="AG551" i="4"/>
  <c r="AH551" i="4" s="1"/>
  <c r="AI551" i="4" s="1"/>
  <c r="AD551" i="4"/>
  <c r="AE551" i="4" s="1"/>
  <c r="AG552" i="4"/>
  <c r="AH552" i="4" s="1"/>
  <c r="AI552" i="4" s="1"/>
  <c r="AJ554" i="4"/>
  <c r="AK554" i="4" s="1"/>
  <c r="AW557" i="4"/>
  <c r="BJ557" i="4" s="1"/>
  <c r="AG558" i="4"/>
  <c r="AH558" i="4" s="1"/>
  <c r="AI558" i="4" s="1"/>
  <c r="AJ560" i="4"/>
  <c r="W562" i="4"/>
  <c r="X562" i="4" s="1"/>
  <c r="AW562" i="4"/>
  <c r="BJ562" i="4" s="1"/>
  <c r="AG563" i="4"/>
  <c r="AH563" i="4" s="1"/>
  <c r="AI563" i="4" s="1"/>
  <c r="W566" i="4"/>
  <c r="X566" i="4" s="1"/>
  <c r="AY566" i="4"/>
  <c r="BG569" i="4"/>
  <c r="BG573" i="4"/>
  <c r="AL589" i="4"/>
  <c r="AJ589" i="4"/>
  <c r="R589" i="4"/>
  <c r="AL594" i="4"/>
  <c r="AJ594" i="4"/>
  <c r="R549" i="4"/>
  <c r="AV556" i="4"/>
  <c r="AY557" i="4"/>
  <c r="AF569" i="4"/>
  <c r="AV575" i="4"/>
  <c r="AF589" i="4"/>
  <c r="W589" i="4"/>
  <c r="X589" i="4" s="1"/>
  <c r="R554" i="4"/>
  <c r="R560" i="4"/>
  <c r="R579" i="4"/>
  <c r="AL574" i="4"/>
  <c r="AG568" i="4"/>
  <c r="AD568" i="4"/>
  <c r="AE568" i="4" s="1"/>
  <c r="AL570" i="4"/>
  <c r="AG572" i="4"/>
  <c r="AG576" i="4"/>
  <c r="AL593" i="4"/>
  <c r="AJ593" i="4"/>
  <c r="AF594" i="4"/>
  <c r="AH594" i="4" s="1"/>
  <c r="AI594" i="4" s="1"/>
  <c r="AF568" i="4"/>
  <c r="AJ571" i="4"/>
  <c r="AF572" i="4"/>
  <c r="AG573" i="4"/>
  <c r="AF576" i="4"/>
  <c r="AJ580" i="4"/>
  <c r="W581" i="4"/>
  <c r="X581" i="4" s="1"/>
  <c r="AG584" i="4"/>
  <c r="AL592" i="4"/>
  <c r="AJ592" i="4"/>
  <c r="AF593" i="4"/>
  <c r="AL580" i="4"/>
  <c r="AF587" i="4"/>
  <c r="AH587" i="4" s="1"/>
  <c r="AI587" i="4" s="1"/>
  <c r="W587" i="4"/>
  <c r="X587" i="4" s="1"/>
  <c r="AF590" i="4"/>
  <c r="AH590" i="4" s="1"/>
  <c r="AI590" i="4" s="1"/>
  <c r="W590" i="4"/>
  <c r="X590" i="4" s="1"/>
  <c r="AL591" i="4"/>
  <c r="AJ591" i="4"/>
  <c r="AG569" i="4"/>
  <c r="AD569" i="4"/>
  <c r="AE569" i="4" s="1"/>
  <c r="AW569" i="4"/>
  <c r="BJ569" i="4" s="1"/>
  <c r="AV578" i="4"/>
  <c r="W583" i="4"/>
  <c r="X583" i="4" s="1"/>
  <c r="AW583" i="4"/>
  <c r="BJ583" i="4" s="1"/>
  <c r="AF591" i="4"/>
  <c r="AH591" i="4" s="1"/>
  <c r="AI591" i="4" s="1"/>
  <c r="AD552" i="4"/>
  <c r="AE552" i="4" s="1"/>
  <c r="AD553" i="4"/>
  <c r="AE553" i="4" s="1"/>
  <c r="AD554" i="4"/>
  <c r="AE554" i="4" s="1"/>
  <c r="AD555" i="4"/>
  <c r="AE555" i="4" s="1"/>
  <c r="AD556" i="4"/>
  <c r="AE556" i="4" s="1"/>
  <c r="AD557" i="4"/>
  <c r="AE557" i="4" s="1"/>
  <c r="AD558" i="4"/>
  <c r="AE558" i="4" s="1"/>
  <c r="AD559" i="4"/>
  <c r="AE559" i="4" s="1"/>
  <c r="AD560" i="4"/>
  <c r="AE560" i="4" s="1"/>
  <c r="AD561" i="4"/>
  <c r="AE561" i="4" s="1"/>
  <c r="AD562" i="4"/>
  <c r="AE562" i="4" s="1"/>
  <c r="AD563" i="4"/>
  <c r="AE563" i="4" s="1"/>
  <c r="AD564" i="4"/>
  <c r="AE564" i="4" s="1"/>
  <c r="AD565" i="4"/>
  <c r="AE565" i="4" s="1"/>
  <c r="AD566" i="4"/>
  <c r="AE566" i="4" s="1"/>
  <c r="AD567" i="4"/>
  <c r="AE567" i="4" s="1"/>
  <c r="AJ568" i="4"/>
  <c r="AJ572" i="4"/>
  <c r="W578" i="4"/>
  <c r="X578" i="4" s="1"/>
  <c r="AG581" i="4"/>
  <c r="AY583" i="4"/>
  <c r="AW585" i="4"/>
  <c r="BJ585" i="4" s="1"/>
  <c r="AW588" i="4"/>
  <c r="BJ588" i="4" s="1"/>
  <c r="R568" i="4"/>
  <c r="AV570" i="4"/>
  <c r="R572" i="4"/>
  <c r="AV580" i="4"/>
  <c r="AF581" i="4"/>
  <c r="W585" i="4"/>
  <c r="X585" i="4" s="1"/>
  <c r="AY588" i="4"/>
  <c r="BD595" i="4"/>
  <c r="AG570" i="4"/>
  <c r="AH570" i="4" s="1"/>
  <c r="AI570" i="4" s="1"/>
  <c r="AD570" i="4"/>
  <c r="AE570" i="4" s="1"/>
  <c r="AJ574" i="4"/>
  <c r="W580" i="4"/>
  <c r="X580" i="4" s="1"/>
  <c r="AG583" i="4"/>
  <c r="AF588" i="4"/>
  <c r="AH588" i="4" s="1"/>
  <c r="AI588" i="4" s="1"/>
  <c r="W588" i="4"/>
  <c r="X588" i="4" s="1"/>
  <c r="BD594" i="4"/>
  <c r="AW595" i="4"/>
  <c r="BJ595" i="4" s="1"/>
  <c r="AV577" i="4"/>
  <c r="AG578" i="4"/>
  <c r="AV582" i="4"/>
  <c r="AF583" i="4"/>
  <c r="AJ590" i="4"/>
  <c r="AW594" i="4"/>
  <c r="BJ594" i="4" s="1"/>
  <c r="W591" i="4"/>
  <c r="X591" i="4" s="1"/>
  <c r="W592" i="4"/>
  <c r="X592" i="4" s="1"/>
  <c r="W593" i="4"/>
  <c r="X593" i="4" s="1"/>
  <c r="W594" i="4"/>
  <c r="X594" i="4" s="1"/>
  <c r="W595" i="4"/>
  <c r="X595" i="4" s="1"/>
  <c r="AD572" i="4"/>
  <c r="AE572" i="4" s="1"/>
  <c r="AD573" i="4"/>
  <c r="AE573" i="4" s="1"/>
  <c r="AD574" i="4"/>
  <c r="AE574" i="4" s="1"/>
  <c r="AD575" i="4"/>
  <c r="AE575" i="4" s="1"/>
  <c r="AD576" i="4"/>
  <c r="AE576" i="4" s="1"/>
  <c r="AD577" i="4"/>
  <c r="AE577" i="4" s="1"/>
  <c r="AD578" i="4"/>
  <c r="AE578" i="4" s="1"/>
  <c r="AD579" i="4"/>
  <c r="AE579" i="4" s="1"/>
  <c r="AD580" i="4"/>
  <c r="AE580" i="4" s="1"/>
  <c r="AD581" i="4"/>
  <c r="AE581" i="4" s="1"/>
  <c r="AD582" i="4"/>
  <c r="AE582" i="4" s="1"/>
  <c r="AD583" i="4"/>
  <c r="AE583" i="4" s="1"/>
  <c r="AD584" i="4"/>
  <c r="AE584" i="4" s="1"/>
  <c r="AD585" i="4"/>
  <c r="AE585" i="4" s="1"/>
  <c r="AD586" i="4"/>
  <c r="AE586" i="4" s="1"/>
  <c r="AD587" i="4"/>
  <c r="AE587" i="4" s="1"/>
  <c r="AD588" i="4"/>
  <c r="AE588" i="4" s="1"/>
  <c r="AD589" i="4"/>
  <c r="AE589" i="4" s="1"/>
  <c r="AD590" i="4"/>
  <c r="AE590" i="4" s="1"/>
  <c r="AD591" i="4"/>
  <c r="AE591" i="4" s="1"/>
  <c r="AD592" i="4"/>
  <c r="AE592" i="4" s="1"/>
  <c r="AD593" i="4"/>
  <c r="AE593" i="4" s="1"/>
  <c r="AD594" i="4"/>
  <c r="AE594" i="4" s="1"/>
  <c r="AD595" i="4"/>
  <c r="AE595" i="4" s="1"/>
  <c r="AG4" i="3"/>
  <c r="AV5" i="3"/>
  <c r="AV4" i="2"/>
  <c r="BD4" i="2" s="1"/>
  <c r="AV4" i="3"/>
  <c r="AF8" i="3"/>
  <c r="AV6" i="3"/>
  <c r="AG8" i="2"/>
  <c r="AF7" i="3"/>
  <c r="AG8" i="3"/>
  <c r="AF7" i="2"/>
  <c r="AL5" i="3"/>
  <c r="AF6" i="3"/>
  <c r="AH6" i="3" s="1"/>
  <c r="AI6" i="3" s="1"/>
  <c r="AV8" i="3"/>
  <c r="AL4" i="3"/>
  <c r="AF5" i="3"/>
  <c r="AH5" i="3" s="1"/>
  <c r="AI5" i="3" s="1"/>
  <c r="AG7" i="3"/>
  <c r="AF4" i="3"/>
  <c r="AL6" i="2"/>
  <c r="R4" i="3"/>
  <c r="R5" i="3"/>
  <c r="R6" i="3"/>
  <c r="R7" i="3"/>
  <c r="R8" i="3"/>
  <c r="AV9" i="2"/>
  <c r="AJ4" i="3"/>
  <c r="AJ5" i="3"/>
  <c r="AJ6" i="3"/>
  <c r="AJ7" i="3"/>
  <c r="AJ8" i="3"/>
  <c r="AF8" i="2"/>
  <c r="W4" i="3"/>
  <c r="X4" i="3" s="1"/>
  <c r="W5" i="3"/>
  <c r="X5" i="3" s="1"/>
  <c r="W6" i="3"/>
  <c r="X6" i="3" s="1"/>
  <c r="W7" i="3"/>
  <c r="X7" i="3" s="1"/>
  <c r="W8" i="3"/>
  <c r="X8" i="3" s="1"/>
  <c r="AL7" i="2"/>
  <c r="AL4" i="2"/>
  <c r="AD4" i="3"/>
  <c r="AE4" i="3" s="1"/>
  <c r="AD5" i="3"/>
  <c r="AE5" i="3" s="1"/>
  <c r="AD6" i="3"/>
  <c r="AE6" i="3" s="1"/>
  <c r="AD7" i="3"/>
  <c r="AE7" i="3" s="1"/>
  <c r="AD8" i="3"/>
  <c r="AE8" i="3" s="1"/>
  <c r="AF6" i="2"/>
  <c r="AV8" i="2"/>
  <c r="AF5" i="2"/>
  <c r="AG7" i="2"/>
  <c r="AH7" i="2" s="1"/>
  <c r="AI7" i="2" s="1"/>
  <c r="BF7" i="2" s="1"/>
  <c r="AF10" i="2"/>
  <c r="AF4" i="2"/>
  <c r="AG6" i="2"/>
  <c r="AV7" i="2"/>
  <c r="AG5" i="2"/>
  <c r="AF9" i="2"/>
  <c r="AG10" i="2"/>
  <c r="AG4" i="2"/>
  <c r="AV5" i="2"/>
  <c r="AW6" i="2"/>
  <c r="BJ6" i="2" s="1"/>
  <c r="AL8" i="2"/>
  <c r="AV10" i="2"/>
  <c r="AY6" i="2"/>
  <c r="AG9" i="2"/>
  <c r="R4" i="2"/>
  <c r="R5" i="2"/>
  <c r="R6" i="2"/>
  <c r="R7" i="2"/>
  <c r="R8" i="2"/>
  <c r="R9" i="2"/>
  <c r="R10" i="2"/>
  <c r="AJ4" i="2"/>
  <c r="AJ5" i="2"/>
  <c r="AJ6" i="2"/>
  <c r="AJ7" i="2"/>
  <c r="AJ8" i="2"/>
  <c r="AJ9" i="2"/>
  <c r="AJ10" i="2"/>
  <c r="W4" i="2"/>
  <c r="X4" i="2" s="1"/>
  <c r="W5" i="2"/>
  <c r="X5" i="2" s="1"/>
  <c r="W6" i="2"/>
  <c r="X6" i="2" s="1"/>
  <c r="W7" i="2"/>
  <c r="X7" i="2" s="1"/>
  <c r="W8" i="2"/>
  <c r="X8" i="2" s="1"/>
  <c r="W9" i="2"/>
  <c r="X9" i="2" s="1"/>
  <c r="W10" i="2"/>
  <c r="X10" i="2" s="1"/>
  <c r="AD4" i="2"/>
  <c r="AE4" i="2" s="1"/>
  <c r="AD5" i="2"/>
  <c r="AE5" i="2" s="1"/>
  <c r="AD6" i="2"/>
  <c r="AE6" i="2" s="1"/>
  <c r="AD7" i="2"/>
  <c r="AE7" i="2" s="1"/>
  <c r="AD8" i="2"/>
  <c r="AE8" i="2" s="1"/>
  <c r="AD9" i="2"/>
  <c r="AE9" i="2" s="1"/>
  <c r="AD10" i="2"/>
  <c r="AE10" i="2" s="1"/>
  <c r="AY175" i="4" l="1"/>
  <c r="AW563" i="4"/>
  <c r="BJ563" i="4" s="1"/>
  <c r="AW376" i="4"/>
  <c r="BJ376" i="4" s="1"/>
  <c r="AH369" i="4"/>
  <c r="AI369" i="4" s="1"/>
  <c r="AH112" i="4"/>
  <c r="AI112" i="4" s="1"/>
  <c r="AH113" i="4"/>
  <c r="AI113" i="4" s="1"/>
  <c r="AH119" i="4"/>
  <c r="AI119" i="4" s="1"/>
  <c r="AH35" i="4"/>
  <c r="AI35" i="4" s="1"/>
  <c r="AW6" i="4"/>
  <c r="BJ6" i="4" s="1"/>
  <c r="AH534" i="4"/>
  <c r="AI534" i="4" s="1"/>
  <c r="BF534" i="4" s="1"/>
  <c r="AH62" i="4"/>
  <c r="AI62" i="4" s="1"/>
  <c r="AK62" i="4" s="1"/>
  <c r="AH21" i="4"/>
  <c r="AI21" i="4" s="1"/>
  <c r="AW115" i="4"/>
  <c r="BJ115" i="4" s="1"/>
  <c r="AH40" i="4"/>
  <c r="AI40" i="4" s="1"/>
  <c r="AH182" i="4"/>
  <c r="AI182" i="4" s="1"/>
  <c r="AH80" i="4"/>
  <c r="AI80" i="4" s="1"/>
  <c r="AH101" i="4"/>
  <c r="AI101" i="4" s="1"/>
  <c r="AY591" i="4"/>
  <c r="AH442" i="4"/>
  <c r="AI442" i="4" s="1"/>
  <c r="BD387" i="4"/>
  <c r="AK192" i="4"/>
  <c r="AH127" i="4"/>
  <c r="AI127" i="4" s="1"/>
  <c r="BF127" i="4" s="1"/>
  <c r="AH109" i="4"/>
  <c r="AI109" i="4" s="1"/>
  <c r="BF109" i="4" s="1"/>
  <c r="BD265" i="4"/>
  <c r="BD591" i="4"/>
  <c r="AH544" i="4"/>
  <c r="AI544" i="4" s="1"/>
  <c r="AH540" i="4"/>
  <c r="AI540" i="4" s="1"/>
  <c r="AH517" i="4"/>
  <c r="AI517" i="4" s="1"/>
  <c r="AH351" i="4"/>
  <c r="AI351" i="4" s="1"/>
  <c r="AH156" i="4"/>
  <c r="AI156" i="4" s="1"/>
  <c r="AH299" i="4"/>
  <c r="AI299" i="4" s="1"/>
  <c r="BF299" i="4" s="1"/>
  <c r="AH293" i="4"/>
  <c r="AI293" i="4" s="1"/>
  <c r="AH318" i="4"/>
  <c r="AI318" i="4" s="1"/>
  <c r="AH173" i="4"/>
  <c r="AI173" i="4" s="1"/>
  <c r="AK173" i="4" s="1"/>
  <c r="BD173" i="4"/>
  <c r="AW435" i="4"/>
  <c r="BJ435" i="4" s="1"/>
  <c r="AH135" i="4"/>
  <c r="AI135" i="4" s="1"/>
  <c r="BF135" i="4" s="1"/>
  <c r="AH382" i="4"/>
  <c r="AI382" i="4" s="1"/>
  <c r="AH74" i="4"/>
  <c r="AI74" i="4" s="1"/>
  <c r="AH22" i="4"/>
  <c r="AI22" i="4" s="1"/>
  <c r="AH105" i="4"/>
  <c r="AI105" i="4" s="1"/>
  <c r="BF105" i="4" s="1"/>
  <c r="AH288" i="4"/>
  <c r="AI288" i="4" s="1"/>
  <c r="AH15" i="4"/>
  <c r="AI15" i="4" s="1"/>
  <c r="AH358" i="4"/>
  <c r="AI358" i="4" s="1"/>
  <c r="AH301" i="4"/>
  <c r="AI301" i="4" s="1"/>
  <c r="AH263" i="4"/>
  <c r="AI263" i="4" s="1"/>
  <c r="AK263" i="4" s="1"/>
  <c r="AH414" i="4"/>
  <c r="AI414" i="4" s="1"/>
  <c r="BF414" i="4" s="1"/>
  <c r="BH414" i="4" s="1"/>
  <c r="AH144" i="4"/>
  <c r="AI144" i="4" s="1"/>
  <c r="AH79" i="4"/>
  <c r="AI79" i="4" s="1"/>
  <c r="BF79" i="4" s="1"/>
  <c r="AH474" i="4"/>
  <c r="AI474" i="4" s="1"/>
  <c r="BF474" i="4" s="1"/>
  <c r="AH303" i="4"/>
  <c r="AI303" i="4" s="1"/>
  <c r="AW451" i="4"/>
  <c r="BJ451" i="4" s="1"/>
  <c r="AH151" i="4"/>
  <c r="AI151" i="4" s="1"/>
  <c r="AH103" i="4"/>
  <c r="AI103" i="4" s="1"/>
  <c r="AH53" i="4"/>
  <c r="AI53" i="4" s="1"/>
  <c r="AH503" i="4"/>
  <c r="AI503" i="4" s="1"/>
  <c r="AH65" i="4"/>
  <c r="AI65" i="4" s="1"/>
  <c r="AW441" i="4"/>
  <c r="BJ441" i="4" s="1"/>
  <c r="AH593" i="4"/>
  <c r="AI593" i="4" s="1"/>
  <c r="AK593" i="4" s="1"/>
  <c r="AH561" i="4"/>
  <c r="AI561" i="4" s="1"/>
  <c r="BD432" i="4"/>
  <c r="BD349" i="4"/>
  <c r="AW208" i="4"/>
  <c r="BJ208" i="4" s="1"/>
  <c r="AK85" i="4"/>
  <c r="AH42" i="4"/>
  <c r="AI42" i="4" s="1"/>
  <c r="AH476" i="4"/>
  <c r="AI476" i="4" s="1"/>
  <c r="AH146" i="4"/>
  <c r="AI146" i="4" s="1"/>
  <c r="AH114" i="4"/>
  <c r="AI114" i="4" s="1"/>
  <c r="AH84" i="4"/>
  <c r="AI84" i="4" s="1"/>
  <c r="AH45" i="4"/>
  <c r="AI45" i="4" s="1"/>
  <c r="AK45" i="4" s="1"/>
  <c r="AH549" i="4"/>
  <c r="AI549" i="4" s="1"/>
  <c r="BF549" i="4" s="1"/>
  <c r="BH549" i="4" s="1"/>
  <c r="AH375" i="4"/>
  <c r="AI375" i="4" s="1"/>
  <c r="BF375" i="4" s="1"/>
  <c r="AH430" i="4"/>
  <c r="AI430" i="4" s="1"/>
  <c r="BF430" i="4" s="1"/>
  <c r="AH189" i="4"/>
  <c r="AI189" i="4" s="1"/>
  <c r="BF189" i="4" s="1"/>
  <c r="BF317" i="4"/>
  <c r="AK317" i="4"/>
  <c r="AY172" i="4"/>
  <c r="AH526" i="4"/>
  <c r="AI526" i="4" s="1"/>
  <c r="BF526" i="4" s="1"/>
  <c r="AH502" i="4"/>
  <c r="AI502" i="4" s="1"/>
  <c r="AK486" i="4"/>
  <c r="AH384" i="4"/>
  <c r="AI384" i="4" s="1"/>
  <c r="AH344" i="4"/>
  <c r="AI344" i="4" s="1"/>
  <c r="AK344" i="4" s="1"/>
  <c r="AH264" i="4"/>
  <c r="AI264" i="4" s="1"/>
  <c r="AK264" i="4" s="1"/>
  <c r="AH226" i="4"/>
  <c r="AI226" i="4" s="1"/>
  <c r="BD183" i="4"/>
  <c r="AH311" i="4"/>
  <c r="AI311" i="4" s="1"/>
  <c r="BF311" i="4" s="1"/>
  <c r="AW231" i="4"/>
  <c r="BJ231" i="4" s="1"/>
  <c r="AK294" i="4"/>
  <c r="AW262" i="4"/>
  <c r="BJ262" i="4" s="1"/>
  <c r="AW270" i="4"/>
  <c r="BJ270" i="4" s="1"/>
  <c r="AH228" i="4"/>
  <c r="AI228" i="4" s="1"/>
  <c r="AH204" i="4"/>
  <c r="AI204" i="4" s="1"/>
  <c r="AK178" i="4"/>
  <c r="AH163" i="4"/>
  <c r="AI163" i="4" s="1"/>
  <c r="BF163" i="4" s="1"/>
  <c r="AH86" i="4"/>
  <c r="AI86" i="4" s="1"/>
  <c r="BF86" i="4" s="1"/>
  <c r="BH86" i="4" s="1"/>
  <c r="AH58" i="4"/>
  <c r="AI58" i="4" s="1"/>
  <c r="AH36" i="4"/>
  <c r="AI36" i="4" s="1"/>
  <c r="AK36" i="4" s="1"/>
  <c r="AH480" i="4"/>
  <c r="AI480" i="4" s="1"/>
  <c r="BF480" i="4" s="1"/>
  <c r="AY537" i="4"/>
  <c r="AW519" i="4"/>
  <c r="BJ519" i="4" s="1"/>
  <c r="AW454" i="4"/>
  <c r="BJ454" i="4" s="1"/>
  <c r="AH326" i="4"/>
  <c r="AI326" i="4" s="1"/>
  <c r="BD262" i="4"/>
  <c r="AY270" i="4"/>
  <c r="AY183" i="4"/>
  <c r="AH57" i="4"/>
  <c r="AI57" i="4" s="1"/>
  <c r="AK57" i="4" s="1"/>
  <c r="AH120" i="4"/>
  <c r="AI120" i="4" s="1"/>
  <c r="BF120" i="4" s="1"/>
  <c r="BD60" i="4"/>
  <c r="AH504" i="4"/>
  <c r="AI504" i="4" s="1"/>
  <c r="AH141" i="4"/>
  <c r="AI141" i="4" s="1"/>
  <c r="BF141" i="4" s="1"/>
  <c r="AH541" i="4"/>
  <c r="AI541" i="4" s="1"/>
  <c r="BD537" i="4"/>
  <c r="AY519" i="4"/>
  <c r="AW522" i="4"/>
  <c r="BJ522" i="4" s="1"/>
  <c r="AW445" i="4"/>
  <c r="BJ445" i="4" s="1"/>
  <c r="AW389" i="4"/>
  <c r="BJ389" i="4" s="1"/>
  <c r="AY438" i="4"/>
  <c r="AH381" i="4"/>
  <c r="AI381" i="4" s="1"/>
  <c r="AK381" i="4" s="1"/>
  <c r="AH296" i="4"/>
  <c r="AI296" i="4" s="1"/>
  <c r="AK296" i="4" s="1"/>
  <c r="AW339" i="4"/>
  <c r="BJ339" i="4" s="1"/>
  <c r="AW256" i="4"/>
  <c r="BJ256" i="4" s="1"/>
  <c r="AH491" i="4"/>
  <c r="AI491" i="4" s="1"/>
  <c r="BF491" i="4" s="1"/>
  <c r="AH483" i="4"/>
  <c r="AI483" i="4" s="1"/>
  <c r="BF483" i="4" s="1"/>
  <c r="AH128" i="4"/>
  <c r="AI128" i="4" s="1"/>
  <c r="BF128" i="4" s="1"/>
  <c r="AW456" i="4"/>
  <c r="BJ456" i="4" s="1"/>
  <c r="BD438" i="4"/>
  <c r="AW419" i="4"/>
  <c r="BJ419" i="4" s="1"/>
  <c r="AK409" i="4"/>
  <c r="AK406" i="4"/>
  <c r="AH260" i="4"/>
  <c r="AI260" i="4" s="1"/>
  <c r="AK260" i="4" s="1"/>
  <c r="AH255" i="4"/>
  <c r="AI255" i="4" s="1"/>
  <c r="AK255" i="4" s="1"/>
  <c r="AH236" i="4"/>
  <c r="AI236" i="4" s="1"/>
  <c r="AH55" i="4"/>
  <c r="AI55" i="4" s="1"/>
  <c r="AK55" i="4" s="1"/>
  <c r="AH60" i="4"/>
  <c r="AI60" i="4" s="1"/>
  <c r="BF60" i="4" s="1"/>
  <c r="BH60" i="4" s="1"/>
  <c r="AH404" i="4"/>
  <c r="AI404" i="4" s="1"/>
  <c r="BF404" i="4" s="1"/>
  <c r="AH28" i="4"/>
  <c r="AI28" i="4" s="1"/>
  <c r="BF28" i="4" s="1"/>
  <c r="AW5" i="4"/>
  <c r="BJ5" i="4" s="1"/>
  <c r="BD522" i="4"/>
  <c r="AH449" i="4"/>
  <c r="AI449" i="4" s="1"/>
  <c r="BH409" i="4"/>
  <c r="BD368" i="4"/>
  <c r="BD256" i="4"/>
  <c r="AH201" i="4"/>
  <c r="AI201" i="4" s="1"/>
  <c r="BF201" i="4" s="1"/>
  <c r="AH232" i="4"/>
  <c r="AI232" i="4" s="1"/>
  <c r="BH417" i="4"/>
  <c r="AH521" i="4"/>
  <c r="AI521" i="4" s="1"/>
  <c r="AK521" i="4" s="1"/>
  <c r="AH441" i="4"/>
  <c r="AI441" i="4" s="1"/>
  <c r="AH543" i="4"/>
  <c r="AI543" i="4" s="1"/>
  <c r="AW386" i="4"/>
  <c r="BJ386" i="4" s="1"/>
  <c r="AW272" i="4"/>
  <c r="BJ272" i="4" s="1"/>
  <c r="AH181" i="4"/>
  <c r="AI181" i="4" s="1"/>
  <c r="AH124" i="4"/>
  <c r="AI124" i="4" s="1"/>
  <c r="BD107" i="4"/>
  <c r="AH63" i="4"/>
  <c r="AI63" i="4" s="1"/>
  <c r="BF63" i="4" s="1"/>
  <c r="BH63" i="4" s="1"/>
  <c r="BH245" i="4"/>
  <c r="AY454" i="4"/>
  <c r="AH555" i="4"/>
  <c r="AI555" i="4" s="1"/>
  <c r="BF555" i="4" s="1"/>
  <c r="AH545" i="4"/>
  <c r="AI545" i="4" s="1"/>
  <c r="AK545" i="4" s="1"/>
  <c r="AH516" i="4"/>
  <c r="AI516" i="4" s="1"/>
  <c r="AW444" i="4"/>
  <c r="BJ444" i="4" s="1"/>
  <c r="AY272" i="4"/>
  <c r="AH186" i="4"/>
  <c r="AI186" i="4" s="1"/>
  <c r="AH215" i="4"/>
  <c r="AI215" i="4" s="1"/>
  <c r="AW60" i="4"/>
  <c r="BJ60" i="4" s="1"/>
  <c r="AK79" i="4"/>
  <c r="AH138" i="4"/>
  <c r="AI138" i="4" s="1"/>
  <c r="BF138" i="4" s="1"/>
  <c r="AH231" i="4"/>
  <c r="AI231" i="4" s="1"/>
  <c r="BF231" i="4" s="1"/>
  <c r="AH424" i="4"/>
  <c r="AI424" i="4" s="1"/>
  <c r="AH147" i="4"/>
  <c r="AI147" i="4" s="1"/>
  <c r="BF147" i="4" s="1"/>
  <c r="AY445" i="4"/>
  <c r="AH256" i="4"/>
  <c r="AI256" i="4" s="1"/>
  <c r="AH24" i="4"/>
  <c r="AI24" i="4" s="1"/>
  <c r="AH469" i="4"/>
  <c r="AI469" i="4" s="1"/>
  <c r="BF469" i="4" s="1"/>
  <c r="AH16" i="4"/>
  <c r="AI16" i="4" s="1"/>
  <c r="BF16" i="4" s="1"/>
  <c r="AK11" i="4"/>
  <c r="AH578" i="4"/>
  <c r="AI578" i="4" s="1"/>
  <c r="AW576" i="4"/>
  <c r="BJ576" i="4" s="1"/>
  <c r="AH494" i="4"/>
  <c r="AI494" i="4" s="1"/>
  <c r="BF494" i="4" s="1"/>
  <c r="BH494" i="4" s="1"/>
  <c r="AH586" i="4"/>
  <c r="AI586" i="4" s="1"/>
  <c r="BF586" i="4" s="1"/>
  <c r="AH97" i="4"/>
  <c r="AI97" i="4" s="1"/>
  <c r="AY536" i="4"/>
  <c r="AH379" i="4"/>
  <c r="AI379" i="4" s="1"/>
  <c r="BF379" i="4" s="1"/>
  <c r="AH210" i="4"/>
  <c r="AI210" i="4" s="1"/>
  <c r="BF210" i="4" s="1"/>
  <c r="BD560" i="4"/>
  <c r="AH493" i="4"/>
  <c r="AI493" i="4" s="1"/>
  <c r="AH461" i="4"/>
  <c r="AI461" i="4" s="1"/>
  <c r="AW398" i="4"/>
  <c r="BJ398" i="4" s="1"/>
  <c r="AY258" i="4"/>
  <c r="BH419" i="4"/>
  <c r="AH239" i="4"/>
  <c r="AI239" i="4" s="1"/>
  <c r="BF239" i="4" s="1"/>
  <c r="BH239" i="4" s="1"/>
  <c r="AH487" i="4"/>
  <c r="AI487" i="4" s="1"/>
  <c r="BF487" i="4" s="1"/>
  <c r="BH487" i="4" s="1"/>
  <c r="AH542" i="4"/>
  <c r="AI542" i="4" s="1"/>
  <c r="AK523" i="4"/>
  <c r="AM523" i="4" s="1"/>
  <c r="AH495" i="4"/>
  <c r="AI495" i="4" s="1"/>
  <c r="BF495" i="4" s="1"/>
  <c r="BH495" i="4" s="1"/>
  <c r="AK474" i="4"/>
  <c r="AH457" i="4"/>
  <c r="AI457" i="4" s="1"/>
  <c r="BD367" i="4"/>
  <c r="AY316" i="4"/>
  <c r="AH304" i="4"/>
  <c r="AI304" i="4" s="1"/>
  <c r="AW199" i="4"/>
  <c r="BJ199" i="4" s="1"/>
  <c r="BD199" i="4"/>
  <c r="AH184" i="4"/>
  <c r="AI184" i="4" s="1"/>
  <c r="BF184" i="4" s="1"/>
  <c r="BH184" i="4" s="1"/>
  <c r="AH413" i="4"/>
  <c r="AI413" i="4" s="1"/>
  <c r="AK413" i="4" s="1"/>
  <c r="AH308" i="4"/>
  <c r="AI308" i="4" s="1"/>
  <c r="AY532" i="4"/>
  <c r="AH568" i="4"/>
  <c r="AI568" i="4" s="1"/>
  <c r="BF568" i="4" s="1"/>
  <c r="AH385" i="4"/>
  <c r="AI385" i="4" s="1"/>
  <c r="AH340" i="4"/>
  <c r="AI340" i="4" s="1"/>
  <c r="AW271" i="4"/>
  <c r="BJ271" i="4" s="1"/>
  <c r="AW226" i="4"/>
  <c r="BJ226" i="4" s="1"/>
  <c r="AH200" i="4"/>
  <c r="AI200" i="4" s="1"/>
  <c r="AW170" i="4"/>
  <c r="BJ170" i="4" s="1"/>
  <c r="AH368" i="4"/>
  <c r="AI368" i="4" s="1"/>
  <c r="BF368" i="4" s="1"/>
  <c r="AH229" i="4"/>
  <c r="AI229" i="4" s="1"/>
  <c r="BF229" i="4" s="1"/>
  <c r="AH281" i="4"/>
  <c r="AI281" i="4" s="1"/>
  <c r="BF281" i="4" s="1"/>
  <c r="BH281" i="4" s="1"/>
  <c r="AW511" i="4"/>
  <c r="BJ511" i="4" s="1"/>
  <c r="AH496" i="4"/>
  <c r="AI496" i="4" s="1"/>
  <c r="BF496" i="4" s="1"/>
  <c r="BH496" i="4" s="1"/>
  <c r="AH440" i="4"/>
  <c r="AI440" i="4" s="1"/>
  <c r="BF440" i="4" s="1"/>
  <c r="BH440" i="4" s="1"/>
  <c r="AY441" i="4"/>
  <c r="AH345" i="4"/>
  <c r="AI345" i="4" s="1"/>
  <c r="AY271" i="4"/>
  <c r="AH230" i="4"/>
  <c r="AI230" i="4" s="1"/>
  <c r="AK210" i="4"/>
  <c r="AH41" i="4"/>
  <c r="AI41" i="4" s="1"/>
  <c r="AK219" i="4"/>
  <c r="AH202" i="4"/>
  <c r="AI202" i="4" s="1"/>
  <c r="AK63" i="4"/>
  <c r="AM63" i="4" s="1"/>
  <c r="AH423" i="4"/>
  <c r="AI423" i="4" s="1"/>
  <c r="AH34" i="4"/>
  <c r="AI34" i="4" s="1"/>
  <c r="AK34" i="4" s="1"/>
  <c r="AH224" i="4"/>
  <c r="AI224" i="4" s="1"/>
  <c r="BF224" i="4" s="1"/>
  <c r="AH133" i="4"/>
  <c r="AI133" i="4" s="1"/>
  <c r="AW564" i="4"/>
  <c r="BJ564" i="4" s="1"/>
  <c r="BD511" i="4"/>
  <c r="AY564" i="4"/>
  <c r="BD394" i="4"/>
  <c r="AH298" i="4"/>
  <c r="AI298" i="4" s="1"/>
  <c r="AK270" i="4"/>
  <c r="AH265" i="4"/>
  <c r="AI265" i="4" s="1"/>
  <c r="AK265" i="4" s="1"/>
  <c r="AW152" i="4"/>
  <c r="BJ152" i="4" s="1"/>
  <c r="AH92" i="4"/>
  <c r="AI92" i="4" s="1"/>
  <c r="AH20" i="4"/>
  <c r="AI20" i="4" s="1"/>
  <c r="AK20" i="4" s="1"/>
  <c r="AH19" i="4"/>
  <c r="AI19" i="4" s="1"/>
  <c r="AK19" i="4" s="1"/>
  <c r="BD524" i="4"/>
  <c r="AW410" i="4"/>
  <c r="BJ410" i="4" s="1"/>
  <c r="BD364" i="4"/>
  <c r="AW394" i="4"/>
  <c r="BJ394" i="4" s="1"/>
  <c r="AW113" i="4"/>
  <c r="BJ113" i="4" s="1"/>
  <c r="AW559" i="4"/>
  <c r="BJ559" i="4" s="1"/>
  <c r="AH497" i="4"/>
  <c r="AI497" i="4" s="1"/>
  <c r="BF497" i="4" s="1"/>
  <c r="AW219" i="4"/>
  <c r="BJ219" i="4" s="1"/>
  <c r="BD226" i="4"/>
  <c r="AY559" i="4"/>
  <c r="AY533" i="4"/>
  <c r="BD533" i="4"/>
  <c r="AH528" i="4"/>
  <c r="AI528" i="4" s="1"/>
  <c r="AW439" i="4"/>
  <c r="BJ439" i="4" s="1"/>
  <c r="AH331" i="4"/>
  <c r="AI331" i="4" s="1"/>
  <c r="AH247" i="4"/>
  <c r="AI247" i="4" s="1"/>
  <c r="AW258" i="4"/>
  <c r="BJ258" i="4" s="1"/>
  <c r="AH176" i="4"/>
  <c r="AI176" i="4" s="1"/>
  <c r="AW161" i="4"/>
  <c r="BJ161" i="4" s="1"/>
  <c r="AH78" i="4"/>
  <c r="AI78" i="4" s="1"/>
  <c r="BF78" i="4" s="1"/>
  <c r="BH78" i="4" s="1"/>
  <c r="AH580" i="4"/>
  <c r="AI580" i="4" s="1"/>
  <c r="BF580" i="4" s="1"/>
  <c r="AH421" i="4"/>
  <c r="AI421" i="4" s="1"/>
  <c r="BF421" i="4" s="1"/>
  <c r="BH421" i="4" s="1"/>
  <c r="AH287" i="4"/>
  <c r="AI287" i="4" s="1"/>
  <c r="AH477" i="4"/>
  <c r="AI477" i="4" s="1"/>
  <c r="AH283" i="4"/>
  <c r="AI283" i="4" s="1"/>
  <c r="AK283" i="4" s="1"/>
  <c r="BD532" i="4"/>
  <c r="AW316" i="4"/>
  <c r="BJ316" i="4" s="1"/>
  <c r="AH315" i="4"/>
  <c r="AI315" i="4" s="1"/>
  <c r="AH319" i="4"/>
  <c r="AI319" i="4" s="1"/>
  <c r="AK189" i="4"/>
  <c r="AH199" i="4"/>
  <c r="AI199" i="4" s="1"/>
  <c r="BF199" i="4" s="1"/>
  <c r="BH199" i="4" s="1"/>
  <c r="AH410" i="4"/>
  <c r="AI410" i="4" s="1"/>
  <c r="BF410" i="4" s="1"/>
  <c r="BH410" i="4" s="1"/>
  <c r="BD541" i="4"/>
  <c r="AW360" i="4"/>
  <c r="BJ360" i="4" s="1"/>
  <c r="BD171" i="4"/>
  <c r="AK17" i="4"/>
  <c r="AH248" i="4"/>
  <c r="AI248" i="4" s="1"/>
  <c r="AH6" i="4"/>
  <c r="AI6" i="4" s="1"/>
  <c r="BD207" i="4"/>
  <c r="AH69" i="4"/>
  <c r="AI69" i="4" s="1"/>
  <c r="AW334" i="4"/>
  <c r="BJ334" i="4" s="1"/>
  <c r="AH272" i="4"/>
  <c r="AI272" i="4" s="1"/>
  <c r="BF272" i="4" s="1"/>
  <c r="AH374" i="4"/>
  <c r="AI374" i="4" s="1"/>
  <c r="BF374" i="4" s="1"/>
  <c r="AH32" i="4"/>
  <c r="AI32" i="4" s="1"/>
  <c r="BF32" i="4" s="1"/>
  <c r="AH8" i="4"/>
  <c r="AI8" i="4" s="1"/>
  <c r="AH589" i="4"/>
  <c r="AI589" i="4" s="1"/>
  <c r="BF589" i="4" s="1"/>
  <c r="AH342" i="4"/>
  <c r="AI342" i="4" s="1"/>
  <c r="BF342" i="4" s="1"/>
  <c r="AY268" i="4"/>
  <c r="AH132" i="4"/>
  <c r="AI132" i="4" s="1"/>
  <c r="AY92" i="4"/>
  <c r="AW571" i="4"/>
  <c r="BJ571" i="4" s="1"/>
  <c r="AK375" i="4"/>
  <c r="BD268" i="4"/>
  <c r="AW145" i="4"/>
  <c r="BJ145" i="4" s="1"/>
  <c r="BD536" i="4"/>
  <c r="AH235" i="4"/>
  <c r="AI235" i="4" s="1"/>
  <c r="BF235" i="4" s="1"/>
  <c r="AH573" i="4"/>
  <c r="AI573" i="4" s="1"/>
  <c r="AH553" i="4"/>
  <c r="AI553" i="4" s="1"/>
  <c r="BF553" i="4" s="1"/>
  <c r="AW567" i="4"/>
  <c r="BJ567" i="4" s="1"/>
  <c r="AH313" i="4"/>
  <c r="AI313" i="4" s="1"/>
  <c r="AH268" i="4"/>
  <c r="AI268" i="4" s="1"/>
  <c r="BF268" i="4" s="1"/>
  <c r="AH473" i="4"/>
  <c r="AI473" i="4" s="1"/>
  <c r="BF473" i="4" s="1"/>
  <c r="AY567" i="4"/>
  <c r="AH383" i="4"/>
  <c r="AI383" i="4" s="1"/>
  <c r="BF383" i="4" s="1"/>
  <c r="AH209" i="4"/>
  <c r="AI209" i="4" s="1"/>
  <c r="BH562" i="4"/>
  <c r="AW89" i="4"/>
  <c r="BJ89" i="4" s="1"/>
  <c r="AH292" i="4"/>
  <c r="AI292" i="4" s="1"/>
  <c r="AK292" i="4" s="1"/>
  <c r="AH514" i="4"/>
  <c r="AI514" i="4" s="1"/>
  <c r="AK514" i="4" s="1"/>
  <c r="AH515" i="4"/>
  <c r="AI515" i="4" s="1"/>
  <c r="BF515" i="4" s="1"/>
  <c r="AK520" i="4"/>
  <c r="AM520" i="4" s="1"/>
  <c r="AH399" i="4"/>
  <c r="AI399" i="4" s="1"/>
  <c r="AW171" i="4"/>
  <c r="BJ171" i="4" s="1"/>
  <c r="AW92" i="4"/>
  <c r="BJ92" i="4" s="1"/>
  <c r="AH217" i="4"/>
  <c r="AI217" i="4" s="1"/>
  <c r="BF217" i="4" s="1"/>
  <c r="AH418" i="4"/>
  <c r="AI418" i="4" s="1"/>
  <c r="AH4" i="3"/>
  <c r="AI4" i="3" s="1"/>
  <c r="BD334" i="4"/>
  <c r="AW114" i="4"/>
  <c r="BJ114" i="4" s="1"/>
  <c r="AH180" i="4"/>
  <c r="AI180" i="4" s="1"/>
  <c r="AK180" i="4" s="1"/>
  <c r="AH538" i="4"/>
  <c r="AI538" i="4" s="1"/>
  <c r="BF538" i="4" s="1"/>
  <c r="AK419" i="4"/>
  <c r="AH325" i="4"/>
  <c r="AI325" i="4" s="1"/>
  <c r="AH284" i="4"/>
  <c r="AI284" i="4" s="1"/>
  <c r="AH221" i="4"/>
  <c r="AI221" i="4" s="1"/>
  <c r="BF221" i="4" s="1"/>
  <c r="AH161" i="4"/>
  <c r="AI161" i="4" s="1"/>
  <c r="AK161" i="4" s="1"/>
  <c r="BF144" i="4"/>
  <c r="AK144" i="4"/>
  <c r="AK14" i="4"/>
  <c r="BF14" i="4"/>
  <c r="BH14" i="4" s="1"/>
  <c r="BF424" i="4"/>
  <c r="BH424" i="4" s="1"/>
  <c r="AK424" i="4"/>
  <c r="AM424" i="4" s="1"/>
  <c r="AH171" i="4"/>
  <c r="AI171" i="4" s="1"/>
  <c r="BF171" i="4" s="1"/>
  <c r="AH569" i="4"/>
  <c r="AI569" i="4" s="1"/>
  <c r="AH484" i="4"/>
  <c r="AI484" i="4" s="1"/>
  <c r="AH252" i="4"/>
  <c r="AI252" i="4" s="1"/>
  <c r="AW142" i="4"/>
  <c r="BJ142" i="4" s="1"/>
  <c r="BF11" i="4"/>
  <c r="BH11" i="4" s="1"/>
  <c r="AK404" i="4"/>
  <c r="AK526" i="4"/>
  <c r="AY526" i="4"/>
  <c r="BD501" i="4"/>
  <c r="AH447" i="4"/>
  <c r="AI447" i="4" s="1"/>
  <c r="AK447" i="4" s="1"/>
  <c r="AK411" i="4"/>
  <c r="BC411" i="4" s="1"/>
  <c r="AH167" i="4"/>
  <c r="AI167" i="4" s="1"/>
  <c r="AK167" i="4" s="1"/>
  <c r="AH100" i="4"/>
  <c r="AI100" i="4" s="1"/>
  <c r="AY201" i="4"/>
  <c r="BD201" i="4"/>
  <c r="AY123" i="4"/>
  <c r="BD123" i="4"/>
  <c r="AY572" i="4"/>
  <c r="BD527" i="4"/>
  <c r="AH398" i="4"/>
  <c r="AI398" i="4" s="1"/>
  <c r="AK398" i="4" s="1"/>
  <c r="AK417" i="4"/>
  <c r="BC417" i="4" s="1"/>
  <c r="AH238" i="4"/>
  <c r="AI238" i="4" s="1"/>
  <c r="BF238" i="4" s="1"/>
  <c r="BH238" i="4" s="1"/>
  <c r="AH185" i="4"/>
  <c r="AI185" i="4" s="1"/>
  <c r="BF185" i="4" s="1"/>
  <c r="AW136" i="4"/>
  <c r="BJ136" i="4" s="1"/>
  <c r="BD111" i="4"/>
  <c r="BD240" i="4"/>
  <c r="AW240" i="4"/>
  <c r="BJ240" i="4" s="1"/>
  <c r="AY240" i="4"/>
  <c r="BD572" i="4"/>
  <c r="AW457" i="4"/>
  <c r="BJ457" i="4" s="1"/>
  <c r="AW356" i="4"/>
  <c r="BJ356" i="4" s="1"/>
  <c r="AH310" i="4"/>
  <c r="AI310" i="4" s="1"/>
  <c r="AK310" i="4" s="1"/>
  <c r="AH267" i="4"/>
  <c r="AI267" i="4" s="1"/>
  <c r="AK267" i="4" s="1"/>
  <c r="AW351" i="4"/>
  <c r="BJ351" i="4" s="1"/>
  <c r="AH168" i="4"/>
  <c r="AI168" i="4" s="1"/>
  <c r="AK168" i="4" s="1"/>
  <c r="AW235" i="4"/>
  <c r="BJ235" i="4" s="1"/>
  <c r="AW590" i="4"/>
  <c r="BJ590" i="4" s="1"/>
  <c r="AW450" i="4"/>
  <c r="BJ450" i="4" s="1"/>
  <c r="AK378" i="4"/>
  <c r="BC378" i="4" s="1"/>
  <c r="AH372" i="4"/>
  <c r="AI372" i="4" s="1"/>
  <c r="AH360" i="4"/>
  <c r="AI360" i="4" s="1"/>
  <c r="BH275" i="4"/>
  <c r="AW247" i="4"/>
  <c r="BJ247" i="4" s="1"/>
  <c r="AK246" i="4"/>
  <c r="AM246" i="4" s="1"/>
  <c r="AH212" i="4"/>
  <c r="AI212" i="4" s="1"/>
  <c r="BF212" i="4" s="1"/>
  <c r="AY235" i="4"/>
  <c r="AH191" i="4"/>
  <c r="AI191" i="4" s="1"/>
  <c r="AK191" i="4" s="1"/>
  <c r="AW440" i="4"/>
  <c r="BJ440" i="4" s="1"/>
  <c r="AH160" i="4"/>
  <c r="AI160" i="4" s="1"/>
  <c r="BF160" i="4" s="1"/>
  <c r="AY164" i="4"/>
  <c r="AW164" i="4"/>
  <c r="BJ164" i="4" s="1"/>
  <c r="BD164" i="4"/>
  <c r="AY209" i="4"/>
  <c r="BD209" i="4"/>
  <c r="AY590" i="4"/>
  <c r="AK566" i="4"/>
  <c r="AM566" i="4" s="1"/>
  <c r="AH510" i="4"/>
  <c r="AI510" i="4" s="1"/>
  <c r="BF510" i="4" s="1"/>
  <c r="AY457" i="4"/>
  <c r="AH436" i="4"/>
  <c r="AI436" i="4" s="1"/>
  <c r="AK436" i="4" s="1"/>
  <c r="AH216" i="4"/>
  <c r="AI216" i="4" s="1"/>
  <c r="BF216" i="4" s="1"/>
  <c r="AW168" i="4"/>
  <c r="BJ168" i="4" s="1"/>
  <c r="AH148" i="4"/>
  <c r="AI148" i="4" s="1"/>
  <c r="AH121" i="4"/>
  <c r="AI121" i="4" s="1"/>
  <c r="BF121" i="4" s="1"/>
  <c r="BD139" i="4"/>
  <c r="AH150" i="4"/>
  <c r="AI150" i="4" s="1"/>
  <c r="AW67" i="4"/>
  <c r="BJ67" i="4" s="1"/>
  <c r="AH99" i="4"/>
  <c r="AI99" i="4" s="1"/>
  <c r="AH595" i="4"/>
  <c r="AI595" i="4" s="1"/>
  <c r="BF595" i="4" s="1"/>
  <c r="AH550" i="4"/>
  <c r="AI550" i="4" s="1"/>
  <c r="AK550" i="4" s="1"/>
  <c r="BF279" i="4"/>
  <c r="BH279" i="4" s="1"/>
  <c r="AH254" i="4"/>
  <c r="AI254" i="4" s="1"/>
  <c r="AK254" i="4" s="1"/>
  <c r="BD211" i="4"/>
  <c r="AY247" i="4"/>
  <c r="AH220" i="4"/>
  <c r="AI220" i="4" s="1"/>
  <c r="AY168" i="4"/>
  <c r="AH162" i="4"/>
  <c r="AI162" i="4" s="1"/>
  <c r="AY96" i="4"/>
  <c r="AH95" i="4"/>
  <c r="AI95" i="4" s="1"/>
  <c r="BH585" i="4"/>
  <c r="AH427" i="4"/>
  <c r="AI427" i="4" s="1"/>
  <c r="AH401" i="4"/>
  <c r="AI401" i="4" s="1"/>
  <c r="AK401" i="4" s="1"/>
  <c r="AW96" i="4"/>
  <c r="BJ96" i="4" s="1"/>
  <c r="AH557" i="4"/>
  <c r="AI557" i="4" s="1"/>
  <c r="AY450" i="4"/>
  <c r="BD369" i="4"/>
  <c r="AK245" i="4"/>
  <c r="BC245" i="4" s="1"/>
  <c r="AY67" i="4"/>
  <c r="AH98" i="4"/>
  <c r="AI98" i="4" s="1"/>
  <c r="AW462" i="4"/>
  <c r="BJ462" i="4" s="1"/>
  <c r="AH426" i="4"/>
  <c r="AI426" i="4" s="1"/>
  <c r="AH111" i="4"/>
  <c r="AI111" i="4" s="1"/>
  <c r="BF111" i="4" s="1"/>
  <c r="AY210" i="4"/>
  <c r="BD210" i="4"/>
  <c r="AW210" i="4"/>
  <c r="BJ210" i="4" s="1"/>
  <c r="BD592" i="4"/>
  <c r="AH575" i="4"/>
  <c r="AI575" i="4" s="1"/>
  <c r="AH584" i="4"/>
  <c r="AI584" i="4" s="1"/>
  <c r="AW369" i="4"/>
  <c r="BJ369" i="4" s="1"/>
  <c r="BF283" i="4"/>
  <c r="AH213" i="4"/>
  <c r="AI213" i="4" s="1"/>
  <c r="AK105" i="4"/>
  <c r="AY462" i="4"/>
  <c r="AH420" i="4"/>
  <c r="AI420" i="4" s="1"/>
  <c r="BF420" i="4" s="1"/>
  <c r="BH420" i="4" s="1"/>
  <c r="AH405" i="4"/>
  <c r="AI405" i="4" s="1"/>
  <c r="BF405" i="4" s="1"/>
  <c r="AH323" i="4"/>
  <c r="AI323" i="4" s="1"/>
  <c r="BF323" i="4" s="1"/>
  <c r="AH290" i="4"/>
  <c r="AI290" i="4" s="1"/>
  <c r="AK290" i="4" s="1"/>
  <c r="AH482" i="4"/>
  <c r="AI482" i="4" s="1"/>
  <c r="BF482" i="4" s="1"/>
  <c r="BH411" i="4"/>
  <c r="AW223" i="4"/>
  <c r="BJ223" i="4" s="1"/>
  <c r="BD223" i="4"/>
  <c r="AH359" i="4"/>
  <c r="AI359" i="4" s="1"/>
  <c r="AH324" i="4"/>
  <c r="AI324" i="4" s="1"/>
  <c r="AH142" i="4"/>
  <c r="AI142" i="4" s="1"/>
  <c r="AH76" i="4"/>
  <c r="AI76" i="4" s="1"/>
  <c r="BF76" i="4" s="1"/>
  <c r="AH38" i="4"/>
  <c r="AI38" i="4" s="1"/>
  <c r="BF38" i="4" s="1"/>
  <c r="AK29" i="4"/>
  <c r="AH10" i="4"/>
  <c r="AI10" i="4" s="1"/>
  <c r="AK10" i="4" s="1"/>
  <c r="AH7" i="4"/>
  <c r="AI7" i="4" s="1"/>
  <c r="BF7" i="4" s="1"/>
  <c r="AH295" i="4"/>
  <c r="AI295" i="4" s="1"/>
  <c r="BF295" i="4" s="1"/>
  <c r="AY261" i="4"/>
  <c r="AW261" i="4"/>
  <c r="BJ261" i="4" s="1"/>
  <c r="AY122" i="4"/>
  <c r="BD122" i="4"/>
  <c r="BF415" i="4"/>
  <c r="BH415" i="4" s="1"/>
  <c r="AK415" i="4"/>
  <c r="BF412" i="4"/>
  <c r="BH412" i="4" s="1"/>
  <c r="AK412" i="4"/>
  <c r="BC412" i="4" s="1"/>
  <c r="BF222" i="4"/>
  <c r="AK222" i="4"/>
  <c r="BC222" i="4" s="1"/>
  <c r="AK239" i="4"/>
  <c r="BF477" i="4"/>
  <c r="BH477" i="4" s="1"/>
  <c r="AK477" i="4"/>
  <c r="BC477" i="4" s="1"/>
  <c r="AK518" i="4"/>
  <c r="BF518" i="4"/>
  <c r="BF64" i="4"/>
  <c r="BH64" i="4" s="1"/>
  <c r="AK64" i="4"/>
  <c r="BC64" i="4" s="1"/>
  <c r="BF248" i="4"/>
  <c r="BH248" i="4" s="1"/>
  <c r="AK248" i="4"/>
  <c r="AM248" i="4" s="1"/>
  <c r="AK199" i="4"/>
  <c r="AM199" i="4" s="1"/>
  <c r="BF498" i="4"/>
  <c r="BH498" i="4" s="1"/>
  <c r="AK498" i="4"/>
  <c r="AM498" i="4" s="1"/>
  <c r="AK423" i="4"/>
  <c r="BF423" i="4"/>
  <c r="BH423" i="4" s="1"/>
  <c r="BF428" i="4"/>
  <c r="BH428" i="4" s="1"/>
  <c r="AK428" i="4"/>
  <c r="BF416" i="4"/>
  <c r="BH416" i="4" s="1"/>
  <c r="AK416" i="4"/>
  <c r="BC416" i="4" s="1"/>
  <c r="BD448" i="4"/>
  <c r="AW448" i="4"/>
  <c r="BJ448" i="4" s="1"/>
  <c r="BD495" i="4"/>
  <c r="AY495" i="4"/>
  <c r="AW495" i="4"/>
  <c r="BJ495" i="4" s="1"/>
  <c r="BD245" i="4"/>
  <c r="AY245" i="4"/>
  <c r="AW245" i="4"/>
  <c r="BJ245" i="4" s="1"/>
  <c r="AH237" i="4"/>
  <c r="AI237" i="4" s="1"/>
  <c r="AW531" i="4"/>
  <c r="BJ531" i="4" s="1"/>
  <c r="AK562" i="4"/>
  <c r="AM562" i="4" s="1"/>
  <c r="AW434" i="4"/>
  <c r="BJ434" i="4" s="1"/>
  <c r="AH439" i="4"/>
  <c r="AI439" i="4" s="1"/>
  <c r="BF439" i="4" s="1"/>
  <c r="BH439" i="4" s="1"/>
  <c r="AK368" i="4"/>
  <c r="BC368" i="4" s="1"/>
  <c r="AH332" i="4"/>
  <c r="AI332" i="4" s="1"/>
  <c r="BF332" i="4" s="1"/>
  <c r="AH333" i="4"/>
  <c r="AI333" i="4" s="1"/>
  <c r="AY237" i="4"/>
  <c r="AW167" i="4"/>
  <c r="BJ167" i="4" s="1"/>
  <c r="BD163" i="4"/>
  <c r="AH188" i="4"/>
  <c r="AI188" i="4" s="1"/>
  <c r="AH145" i="4"/>
  <c r="AI145" i="4" s="1"/>
  <c r="BF145" i="4" s="1"/>
  <c r="AK31" i="4"/>
  <c r="AM31" i="4" s="1"/>
  <c r="BD589" i="4"/>
  <c r="AY589" i="4"/>
  <c r="AW589" i="4"/>
  <c r="BJ589" i="4" s="1"/>
  <c r="AY257" i="4"/>
  <c r="BD257" i="4"/>
  <c r="AW257" i="4"/>
  <c r="BJ257" i="4" s="1"/>
  <c r="AH425" i="4"/>
  <c r="AI425" i="4" s="1"/>
  <c r="AY229" i="4"/>
  <c r="BD229" i="4"/>
  <c r="AW229" i="4"/>
  <c r="BJ229" i="4" s="1"/>
  <c r="AK497" i="4"/>
  <c r="BC497" i="4" s="1"/>
  <c r="AK367" i="4"/>
  <c r="BC367" i="4" s="1"/>
  <c r="AH261" i="4"/>
  <c r="AI261" i="4" s="1"/>
  <c r="AH253" i="4"/>
  <c r="AI253" i="4" s="1"/>
  <c r="AK253" i="4" s="1"/>
  <c r="AY167" i="4"/>
  <c r="AH524" i="4"/>
  <c r="AI524" i="4" s="1"/>
  <c r="BF524" i="4" s="1"/>
  <c r="BD433" i="4"/>
  <c r="AW433" i="4"/>
  <c r="BJ433" i="4" s="1"/>
  <c r="AH490" i="4"/>
  <c r="AI490" i="4" s="1"/>
  <c r="BF490" i="4" s="1"/>
  <c r="BD431" i="4"/>
  <c r="AW431" i="4"/>
  <c r="BJ431" i="4" s="1"/>
  <c r="AY333" i="4"/>
  <c r="BD333" i="4"/>
  <c r="AW333" i="4"/>
  <c r="BJ333" i="4" s="1"/>
  <c r="AY335" i="4"/>
  <c r="BD335" i="4"/>
  <c r="AW335" i="4"/>
  <c r="BJ335" i="4" s="1"/>
  <c r="BH497" i="4"/>
  <c r="BD586" i="4"/>
  <c r="AW586" i="4"/>
  <c r="BJ586" i="4" s="1"/>
  <c r="AY330" i="4"/>
  <c r="BD330" i="4"/>
  <c r="AW330" i="4"/>
  <c r="BJ330" i="4" s="1"/>
  <c r="AK243" i="4"/>
  <c r="BF243" i="4"/>
  <c r="BH243" i="4" s="1"/>
  <c r="BD149" i="4"/>
  <c r="AW149" i="4"/>
  <c r="BJ149" i="4" s="1"/>
  <c r="AH464" i="4"/>
  <c r="AI464" i="4" s="1"/>
  <c r="AK464" i="4" s="1"/>
  <c r="AW112" i="4"/>
  <c r="BJ112" i="4" s="1"/>
  <c r="AH72" i="4"/>
  <c r="AI72" i="4" s="1"/>
  <c r="AH115" i="4"/>
  <c r="AI115" i="4" s="1"/>
  <c r="BF115" i="4" s="1"/>
  <c r="AH164" i="4"/>
  <c r="AI164" i="4" s="1"/>
  <c r="AK164" i="4" s="1"/>
  <c r="BD464" i="4"/>
  <c r="AW464" i="4"/>
  <c r="BJ464" i="4" s="1"/>
  <c r="BD566" i="4"/>
  <c r="AW566" i="4"/>
  <c r="BJ566" i="4" s="1"/>
  <c r="AH592" i="4"/>
  <c r="AI592" i="4" s="1"/>
  <c r="BD447" i="4"/>
  <c r="AW447" i="4"/>
  <c r="BJ447" i="4" s="1"/>
  <c r="AH327" i="4"/>
  <c r="AI327" i="4" s="1"/>
  <c r="BF327" i="4" s="1"/>
  <c r="AY254" i="4"/>
  <c r="BD254" i="4"/>
  <c r="BD238" i="4"/>
  <c r="AY238" i="4"/>
  <c r="AW238" i="4"/>
  <c r="BJ238" i="4" s="1"/>
  <c r="BD165" i="4"/>
  <c r="AW165" i="4"/>
  <c r="BJ165" i="4" s="1"/>
  <c r="AH59" i="4"/>
  <c r="AI59" i="4" s="1"/>
  <c r="AW463" i="4"/>
  <c r="BJ463" i="4" s="1"/>
  <c r="AH307" i="4"/>
  <c r="AI307" i="4" s="1"/>
  <c r="AH258" i="4"/>
  <c r="AI258" i="4" s="1"/>
  <c r="BF258" i="4" s="1"/>
  <c r="BH258" i="4" s="1"/>
  <c r="BD452" i="4"/>
  <c r="AW452" i="4"/>
  <c r="BJ452" i="4" s="1"/>
  <c r="BD460" i="4"/>
  <c r="AW460" i="4"/>
  <c r="BJ460" i="4" s="1"/>
  <c r="BD443" i="4"/>
  <c r="AW443" i="4"/>
  <c r="BJ443" i="4" s="1"/>
  <c r="AY319" i="4"/>
  <c r="BD319" i="4"/>
  <c r="AW319" i="4"/>
  <c r="BJ319" i="4" s="1"/>
  <c r="AY331" i="4"/>
  <c r="AW331" i="4"/>
  <c r="BJ331" i="4" s="1"/>
  <c r="BD242" i="4"/>
  <c r="AY242" i="4"/>
  <c r="AW242" i="4"/>
  <c r="BJ242" i="4" s="1"/>
  <c r="AH9" i="4"/>
  <c r="AI9" i="4" s="1"/>
  <c r="AH154" i="4"/>
  <c r="AI154" i="4" s="1"/>
  <c r="AH134" i="4"/>
  <c r="AI134" i="4" s="1"/>
  <c r="BF134" i="4" s="1"/>
  <c r="BD110" i="4"/>
  <c r="AW110" i="4"/>
  <c r="BJ110" i="4" s="1"/>
  <c r="AW525" i="4"/>
  <c r="BJ525" i="4" s="1"/>
  <c r="AH353" i="4"/>
  <c r="AI353" i="4" s="1"/>
  <c r="BF353" i="4" s="1"/>
  <c r="BD584" i="4"/>
  <c r="AW584" i="4"/>
  <c r="BJ584" i="4" s="1"/>
  <c r="AH500" i="4"/>
  <c r="AI500" i="4" s="1"/>
  <c r="BD348" i="4"/>
  <c r="AW348" i="4"/>
  <c r="BJ348" i="4" s="1"/>
  <c r="AY325" i="4"/>
  <c r="AW325" i="4"/>
  <c r="BJ325" i="4" s="1"/>
  <c r="AH581" i="4"/>
  <c r="AI581" i="4" s="1"/>
  <c r="AK581" i="4" s="1"/>
  <c r="AY525" i="4"/>
  <c r="AH481" i="4"/>
  <c r="AI481" i="4" s="1"/>
  <c r="AH456" i="4"/>
  <c r="AI456" i="4" s="1"/>
  <c r="BF456" i="4" s="1"/>
  <c r="BH456" i="4" s="1"/>
  <c r="BD402" i="4"/>
  <c r="AH177" i="4"/>
  <c r="AI177" i="4" s="1"/>
  <c r="AK177" i="4" s="1"/>
  <c r="AH136" i="4"/>
  <c r="AI136" i="4" s="1"/>
  <c r="AK136" i="4" s="1"/>
  <c r="AH140" i="4"/>
  <c r="AI140" i="4" s="1"/>
  <c r="BF140" i="4" s="1"/>
  <c r="BF512" i="4"/>
  <c r="BH512" i="4" s="1"/>
  <c r="AK512" i="4"/>
  <c r="BC512" i="4" s="1"/>
  <c r="AP512" i="4" s="1"/>
  <c r="BE512" i="4" s="1"/>
  <c r="AR512" i="4" s="1"/>
  <c r="BD555" i="4"/>
  <c r="AY555" i="4"/>
  <c r="AW555" i="4"/>
  <c r="BJ555" i="4" s="1"/>
  <c r="BD449" i="4"/>
  <c r="AY449" i="4"/>
  <c r="AW449" i="4"/>
  <c r="BJ449" i="4" s="1"/>
  <c r="AH422" i="4"/>
  <c r="AI422" i="4" s="1"/>
  <c r="AW329" i="4"/>
  <c r="BJ329" i="4" s="1"/>
  <c r="BD329" i="4"/>
  <c r="AH241" i="4"/>
  <c r="AI241" i="4" s="1"/>
  <c r="AY263" i="4"/>
  <c r="AW263" i="4"/>
  <c r="BJ263" i="4" s="1"/>
  <c r="AH129" i="4"/>
  <c r="AI129" i="4" s="1"/>
  <c r="BF129" i="4" s="1"/>
  <c r="AW515" i="4"/>
  <c r="BJ515" i="4" s="1"/>
  <c r="AW402" i="4"/>
  <c r="BJ402" i="4" s="1"/>
  <c r="AH251" i="4"/>
  <c r="AI251" i="4" s="1"/>
  <c r="AH335" i="4"/>
  <c r="AI335" i="4" s="1"/>
  <c r="AW181" i="4"/>
  <c r="BJ181" i="4" s="1"/>
  <c r="AK88" i="4"/>
  <c r="AM88" i="4" s="1"/>
  <c r="BD553" i="4"/>
  <c r="AW553" i="4"/>
  <c r="BJ553" i="4" s="1"/>
  <c r="BD455" i="4"/>
  <c r="AW455" i="4"/>
  <c r="BJ455" i="4" s="1"/>
  <c r="AY251" i="4"/>
  <c r="BD251" i="4"/>
  <c r="AH366" i="4"/>
  <c r="AI366" i="4" s="1"/>
  <c r="BF366" i="4" s="1"/>
  <c r="BD515" i="4"/>
  <c r="AH453" i="4"/>
  <c r="AI453" i="4" s="1"/>
  <c r="AK453" i="4" s="1"/>
  <c r="AH266" i="4"/>
  <c r="AI266" i="4" s="1"/>
  <c r="BF266" i="4" s="1"/>
  <c r="BH266" i="4" s="1"/>
  <c r="AH242" i="4"/>
  <c r="AI242" i="4" s="1"/>
  <c r="BF242" i="4" s="1"/>
  <c r="BH242" i="4" s="1"/>
  <c r="AH175" i="4"/>
  <c r="AI175" i="4" s="1"/>
  <c r="AK175" i="4" s="1"/>
  <c r="AK28" i="4"/>
  <c r="BC28" i="4" s="1"/>
  <c r="BD461" i="4"/>
  <c r="AY461" i="4"/>
  <c r="AW461" i="4"/>
  <c r="BJ461" i="4" s="1"/>
  <c r="BD458" i="4"/>
  <c r="AY458" i="4"/>
  <c r="AY345" i="4"/>
  <c r="AW345" i="4"/>
  <c r="BJ345" i="4" s="1"/>
  <c r="AH277" i="4"/>
  <c r="AI277" i="4" s="1"/>
  <c r="AH322" i="4"/>
  <c r="AI322" i="4" s="1"/>
  <c r="AY332" i="4"/>
  <c r="AW332" i="4"/>
  <c r="BJ332" i="4" s="1"/>
  <c r="BD332" i="4"/>
  <c r="AK580" i="4"/>
  <c r="AM580" i="4" s="1"/>
  <c r="AY531" i="4"/>
  <c r="AW527" i="4"/>
  <c r="BJ527" i="4" s="1"/>
  <c r="AK585" i="4"/>
  <c r="AM585" i="4" s="1"/>
  <c r="AW524" i="4"/>
  <c r="BJ524" i="4" s="1"/>
  <c r="AK501" i="4"/>
  <c r="AY442" i="4"/>
  <c r="BD372" i="4"/>
  <c r="AW237" i="4"/>
  <c r="BJ237" i="4" s="1"/>
  <c r="AH174" i="4"/>
  <c r="AI174" i="4" s="1"/>
  <c r="AW116" i="4"/>
  <c r="BJ116" i="4" s="1"/>
  <c r="AH104" i="4"/>
  <c r="AI104" i="4" s="1"/>
  <c r="AK104" i="4" s="1"/>
  <c r="AW157" i="4"/>
  <c r="BJ157" i="4" s="1"/>
  <c r="BD157" i="4"/>
  <c r="AY246" i="4"/>
  <c r="BD246" i="4"/>
  <c r="AY344" i="4"/>
  <c r="BD344" i="4"/>
  <c r="AW344" i="4"/>
  <c r="BJ344" i="4" s="1"/>
  <c r="AH208" i="4"/>
  <c r="AI208" i="4" s="1"/>
  <c r="BF208" i="4" s="1"/>
  <c r="AH8" i="2"/>
  <c r="AI8" i="2" s="1"/>
  <c r="AK8" i="2" s="1"/>
  <c r="BD593" i="4"/>
  <c r="AH576" i="4"/>
  <c r="AI576" i="4" s="1"/>
  <c r="BF576" i="4" s="1"/>
  <c r="AH478" i="4"/>
  <c r="AI478" i="4" s="1"/>
  <c r="BF478" i="4" s="1"/>
  <c r="BH478" i="4" s="1"/>
  <c r="AK485" i="4"/>
  <c r="BC485" i="4" s="1"/>
  <c r="AH438" i="4"/>
  <c r="AI438" i="4" s="1"/>
  <c r="BF438" i="4" s="1"/>
  <c r="AK268" i="4"/>
  <c r="AM268" i="4" s="1"/>
  <c r="AH125" i="4"/>
  <c r="AI125" i="4" s="1"/>
  <c r="AH61" i="4"/>
  <c r="AI61" i="4" s="1"/>
  <c r="BF61" i="4" s="1"/>
  <c r="BH61" i="4" s="1"/>
  <c r="AH44" i="4"/>
  <c r="AI44" i="4" s="1"/>
  <c r="BD459" i="4"/>
  <c r="AW459" i="4"/>
  <c r="BJ459" i="4" s="1"/>
  <c r="BD248" i="4"/>
  <c r="AW248" i="4"/>
  <c r="BJ248" i="4" s="1"/>
  <c r="AY248" i="4"/>
  <c r="AY336" i="4"/>
  <c r="BD336" i="4"/>
  <c r="AW336" i="4"/>
  <c r="BJ336" i="4" s="1"/>
  <c r="AY252" i="4"/>
  <c r="BD252" i="4"/>
  <c r="AH269" i="4"/>
  <c r="AI269" i="4" s="1"/>
  <c r="BF269" i="4" s="1"/>
  <c r="AY337" i="4"/>
  <c r="AW337" i="4"/>
  <c r="BJ337" i="4" s="1"/>
  <c r="AW180" i="4"/>
  <c r="BJ180" i="4" s="1"/>
  <c r="BD180" i="4"/>
  <c r="AY180" i="4"/>
  <c r="AY253" i="4"/>
  <c r="BD253" i="4"/>
  <c r="AH82" i="4"/>
  <c r="AI82" i="4" s="1"/>
  <c r="BF82" i="4" s="1"/>
  <c r="AK399" i="4"/>
  <c r="BF399" i="4"/>
  <c r="AM192" i="4"/>
  <c r="BC192" i="4"/>
  <c r="BF403" i="4"/>
  <c r="AK403" i="4"/>
  <c r="AM66" i="4"/>
  <c r="BC66" i="4"/>
  <c r="AM29" i="4"/>
  <c r="BC29" i="4"/>
  <c r="AM28" i="4"/>
  <c r="BF563" i="4"/>
  <c r="AK563" i="4"/>
  <c r="BF571" i="4"/>
  <c r="AK571" i="4"/>
  <c r="AK400" i="4"/>
  <c r="BF400" i="4"/>
  <c r="BC375" i="4"/>
  <c r="AM375" i="4"/>
  <c r="AK361" i="4"/>
  <c r="BF361" i="4"/>
  <c r="BH361" i="4" s="1"/>
  <c r="BF149" i="4"/>
  <c r="BH149" i="4" s="1"/>
  <c r="AK149" i="4"/>
  <c r="BF65" i="4"/>
  <c r="BH65" i="4" s="1"/>
  <c r="AK65" i="4"/>
  <c r="AM85" i="4"/>
  <c r="BC85" i="4"/>
  <c r="AM189" i="4"/>
  <c r="BC189" i="4"/>
  <c r="AK372" i="4"/>
  <c r="BF372" i="4"/>
  <c r="AK394" i="4"/>
  <c r="BF394" i="4"/>
  <c r="BF519" i="4"/>
  <c r="AK519" i="4"/>
  <c r="BF108" i="4"/>
  <c r="AK108" i="4"/>
  <c r="BF558" i="4"/>
  <c r="BH558" i="4" s="1"/>
  <c r="AK558" i="4"/>
  <c r="AM367" i="4"/>
  <c r="BF570" i="4"/>
  <c r="BH570" i="4" s="1"/>
  <c r="AK570" i="4"/>
  <c r="AM270" i="4"/>
  <c r="BC270" i="4"/>
  <c r="AM17" i="4"/>
  <c r="BC17" i="4"/>
  <c r="BC105" i="4"/>
  <c r="AM105" i="4"/>
  <c r="BF552" i="4"/>
  <c r="BH552" i="4" s="1"/>
  <c r="AK552" i="4"/>
  <c r="AK513" i="4"/>
  <c r="BF513" i="4"/>
  <c r="BH513" i="4" s="1"/>
  <c r="AK395" i="4"/>
  <c r="BF395" i="4"/>
  <c r="AK392" i="4"/>
  <c r="BF392" i="4"/>
  <c r="AK357" i="4"/>
  <c r="BF357" i="4"/>
  <c r="BH357" i="4" s="1"/>
  <c r="BF577" i="4"/>
  <c r="AK577" i="4"/>
  <c r="AK371" i="4"/>
  <c r="BF371" i="4"/>
  <c r="BC294" i="4"/>
  <c r="AM294" i="4"/>
  <c r="AH583" i="4"/>
  <c r="AI583" i="4" s="1"/>
  <c r="BD580" i="4"/>
  <c r="AY580" i="4"/>
  <c r="AW580" i="4"/>
  <c r="BJ580" i="4" s="1"/>
  <c r="BG571" i="4"/>
  <c r="BD575" i="4"/>
  <c r="AY575" i="4"/>
  <c r="AW575" i="4"/>
  <c r="BJ575" i="4" s="1"/>
  <c r="BG589" i="4"/>
  <c r="BD550" i="4"/>
  <c r="AW550" i="4"/>
  <c r="BJ550" i="4" s="1"/>
  <c r="BD552" i="4"/>
  <c r="AY552" i="4"/>
  <c r="AW552" i="4"/>
  <c r="BJ552" i="4" s="1"/>
  <c r="AH533" i="4"/>
  <c r="AI533" i="4" s="1"/>
  <c r="BG530" i="4"/>
  <c r="BH530" i="4" s="1"/>
  <c r="BG510" i="4"/>
  <c r="BF505" i="4"/>
  <c r="AK505" i="4"/>
  <c r="BG483" i="4"/>
  <c r="BF502" i="4"/>
  <c r="BH502" i="4" s="1"/>
  <c r="AK502" i="4"/>
  <c r="BG480" i="4"/>
  <c r="BG474" i="4"/>
  <c r="BH474" i="4" s="1"/>
  <c r="BD484" i="4"/>
  <c r="AW484" i="4"/>
  <c r="BJ484" i="4" s="1"/>
  <c r="BG473" i="4"/>
  <c r="BH473" i="4" s="1"/>
  <c r="BF453" i="4"/>
  <c r="BH453" i="4" s="1"/>
  <c r="BF437" i="4"/>
  <c r="AK437" i="4"/>
  <c r="BG442" i="4"/>
  <c r="BF455" i="4"/>
  <c r="BH455" i="4" s="1"/>
  <c r="AK455" i="4"/>
  <c r="BG366" i="4"/>
  <c r="BF435" i="4"/>
  <c r="AK435" i="4"/>
  <c r="AK362" i="4"/>
  <c r="BF362" i="4"/>
  <c r="AK380" i="4"/>
  <c r="BF380" i="4"/>
  <c r="BH404" i="4"/>
  <c r="AK389" i="4"/>
  <c r="BF389" i="4"/>
  <c r="AK396" i="4"/>
  <c r="BF396" i="4"/>
  <c r="BG393" i="4"/>
  <c r="BG341" i="4"/>
  <c r="BG318" i="4"/>
  <c r="BF320" i="4"/>
  <c r="AK320" i="4"/>
  <c r="BF351" i="4"/>
  <c r="AK351" i="4"/>
  <c r="BF321" i="4"/>
  <c r="AK321" i="4"/>
  <c r="BG306" i="4"/>
  <c r="BG338" i="4"/>
  <c r="AK298" i="4"/>
  <c r="BF298" i="4"/>
  <c r="AY314" i="4"/>
  <c r="AW314" i="4"/>
  <c r="BJ314" i="4" s="1"/>
  <c r="BD314" i="4"/>
  <c r="BG273" i="4"/>
  <c r="BG332" i="4"/>
  <c r="AK314" i="4"/>
  <c r="BF314" i="4"/>
  <c r="BH314" i="4" s="1"/>
  <c r="BG282" i="4"/>
  <c r="BG274" i="4"/>
  <c r="AK300" i="4"/>
  <c r="BF300" i="4"/>
  <c r="BG307" i="4"/>
  <c r="BD276" i="4"/>
  <c r="AY276" i="4"/>
  <c r="AW276" i="4"/>
  <c r="BJ276" i="4" s="1"/>
  <c r="BG304" i="4"/>
  <c r="BG302" i="4"/>
  <c r="BG251" i="4"/>
  <c r="BG169" i="4"/>
  <c r="BG216" i="4"/>
  <c r="BG223" i="4"/>
  <c r="AY298" i="4"/>
  <c r="BD298" i="4"/>
  <c r="AW298" i="4"/>
  <c r="BJ298" i="4" s="1"/>
  <c r="BF213" i="4"/>
  <c r="AK213" i="4"/>
  <c r="BF220" i="4"/>
  <c r="AK220" i="4"/>
  <c r="BF204" i="4"/>
  <c r="AK204" i="4"/>
  <c r="AW159" i="4"/>
  <c r="BJ159" i="4" s="1"/>
  <c r="BD159" i="4"/>
  <c r="BF187" i="4"/>
  <c r="AK187" i="4"/>
  <c r="AK181" i="4"/>
  <c r="BF181" i="4"/>
  <c r="BH181" i="4" s="1"/>
  <c r="AK223" i="4"/>
  <c r="BF142" i="4"/>
  <c r="AK142" i="4"/>
  <c r="BG108" i="4"/>
  <c r="BG147" i="4"/>
  <c r="BG135" i="4"/>
  <c r="BF146" i="4"/>
  <c r="AK146" i="4"/>
  <c r="AK151" i="4"/>
  <c r="BF151" i="4"/>
  <c r="BG157" i="4"/>
  <c r="BF91" i="4"/>
  <c r="AK91" i="4"/>
  <c r="BF96" i="4"/>
  <c r="BH96" i="4" s="1"/>
  <c r="AK96" i="4"/>
  <c r="BF84" i="4"/>
  <c r="AK84" i="4"/>
  <c r="BG132" i="4"/>
  <c r="BD106" i="4"/>
  <c r="AW106" i="4"/>
  <c r="BJ106" i="4" s="1"/>
  <c r="BG446" i="4"/>
  <c r="AK26" i="4"/>
  <c r="BF26" i="4"/>
  <c r="BH26" i="4" s="1"/>
  <c r="BG44" i="4"/>
  <c r="BF119" i="4"/>
  <c r="AK119" i="4"/>
  <c r="BG41" i="4"/>
  <c r="BG5" i="4"/>
  <c r="BH5" i="4" s="1"/>
  <c r="AK517" i="4"/>
  <c r="BF517" i="4"/>
  <c r="BF458" i="4"/>
  <c r="AK458" i="4"/>
  <c r="BG381" i="4"/>
  <c r="BG396" i="4"/>
  <c r="BF340" i="4"/>
  <c r="AK340" i="4"/>
  <c r="AK280" i="4"/>
  <c r="BF280" i="4"/>
  <c r="BF214" i="4"/>
  <c r="AK214" i="4"/>
  <c r="BG168" i="4"/>
  <c r="BF209" i="4"/>
  <c r="AK209" i="4"/>
  <c r="BG213" i="4"/>
  <c r="AK176" i="4"/>
  <c r="BF176" i="4"/>
  <c r="BF188" i="4"/>
  <c r="BH188" i="4" s="1"/>
  <c r="AK188" i="4"/>
  <c r="BF162" i="4"/>
  <c r="AK162" i="4"/>
  <c r="BG122" i="4"/>
  <c r="AK153" i="4"/>
  <c r="BF153" i="4"/>
  <c r="BG142" i="4"/>
  <c r="BG125" i="4"/>
  <c r="BF126" i="4"/>
  <c r="AK126" i="4"/>
  <c r="BG110" i="4"/>
  <c r="AY197" i="4"/>
  <c r="BD197" i="4"/>
  <c r="AW197" i="4"/>
  <c r="BJ197" i="4" s="1"/>
  <c r="BC123" i="4"/>
  <c r="AM123" i="4"/>
  <c r="BF113" i="4"/>
  <c r="AK113" i="4"/>
  <c r="BF101" i="4"/>
  <c r="BH101" i="4" s="1"/>
  <c r="AK101" i="4"/>
  <c r="BG82" i="4"/>
  <c r="BG103" i="4"/>
  <c r="AM144" i="4"/>
  <c r="BC144" i="4"/>
  <c r="BF97" i="4"/>
  <c r="AK97" i="4"/>
  <c r="BG66" i="4"/>
  <c r="BH66" i="4" s="1"/>
  <c r="BG23" i="4"/>
  <c r="BG119" i="4"/>
  <c r="AK22" i="4"/>
  <c r="BF22" i="4"/>
  <c r="BG33" i="4"/>
  <c r="BD7" i="3"/>
  <c r="AW7" i="3"/>
  <c r="BJ7" i="3" s="1"/>
  <c r="BG51" i="4"/>
  <c r="BF104" i="4"/>
  <c r="AK12" i="4"/>
  <c r="BF12" i="4"/>
  <c r="BH12" i="4" s="1"/>
  <c r="BF451" i="4"/>
  <c r="BH451" i="4" s="1"/>
  <c r="AK451" i="4"/>
  <c r="BG365" i="4"/>
  <c r="AH7" i="3"/>
  <c r="AI7" i="3" s="1"/>
  <c r="BF7" i="3" s="1"/>
  <c r="BF578" i="4"/>
  <c r="BH578" i="4" s="1"/>
  <c r="AK578" i="4"/>
  <c r="BG568" i="4"/>
  <c r="BF569" i="4"/>
  <c r="BH569" i="4" s="1"/>
  <c r="AK569" i="4"/>
  <c r="BG560" i="4"/>
  <c r="BF575" i="4"/>
  <c r="AK575" i="4"/>
  <c r="BG528" i="4"/>
  <c r="BG515" i="4"/>
  <c r="BG524" i="4"/>
  <c r="BF508" i="4"/>
  <c r="AK508" i="4"/>
  <c r="AQ512" i="4"/>
  <c r="BG489" i="4"/>
  <c r="BF506" i="4"/>
  <c r="AK506" i="4"/>
  <c r="BG484" i="4"/>
  <c r="BF454" i="4"/>
  <c r="BH454" i="4" s="1"/>
  <c r="AK454" i="4"/>
  <c r="BF472" i="4"/>
  <c r="BH472" i="4" s="1"/>
  <c r="AK472" i="4"/>
  <c r="BF479" i="4"/>
  <c r="AK479" i="4"/>
  <c r="AH433" i="4"/>
  <c r="AI433" i="4" s="1"/>
  <c r="AK473" i="4"/>
  <c r="BD486" i="4"/>
  <c r="AW486" i="4"/>
  <c r="BJ486" i="4" s="1"/>
  <c r="BF461" i="4"/>
  <c r="AK461" i="4"/>
  <c r="AK358" i="4"/>
  <c r="BF358" i="4"/>
  <c r="AK391" i="4"/>
  <c r="BF391" i="4"/>
  <c r="AK370" i="4"/>
  <c r="BF370" i="4"/>
  <c r="AK377" i="4"/>
  <c r="BF377" i="4"/>
  <c r="BG401" i="4"/>
  <c r="AW412" i="4"/>
  <c r="BJ412" i="4" s="1"/>
  <c r="BD412" i="4"/>
  <c r="AM412" i="4"/>
  <c r="BG382" i="4"/>
  <c r="BF341" i="4"/>
  <c r="AK341" i="4"/>
  <c r="BG331" i="4"/>
  <c r="BG376" i="4"/>
  <c r="BF315" i="4"/>
  <c r="AK315" i="4"/>
  <c r="BG355" i="4"/>
  <c r="AM417" i="4"/>
  <c r="BG321" i="4"/>
  <c r="BD288" i="4"/>
  <c r="AW288" i="4"/>
  <c r="BJ288" i="4" s="1"/>
  <c r="AY288" i="4"/>
  <c r="BF338" i="4"/>
  <c r="AK338" i="4"/>
  <c r="AK309" i="4"/>
  <c r="BF309" i="4"/>
  <c r="AY297" i="4"/>
  <c r="AW297" i="4"/>
  <c r="BJ297" i="4" s="1"/>
  <c r="BD297" i="4"/>
  <c r="AY313" i="4"/>
  <c r="AW313" i="4"/>
  <c r="BJ313" i="4" s="1"/>
  <c r="BD313" i="4"/>
  <c r="BG299" i="4"/>
  <c r="BH299" i="4" s="1"/>
  <c r="BG271" i="4"/>
  <c r="BH271" i="4" s="1"/>
  <c r="AK273" i="4"/>
  <c r="BF273" i="4"/>
  <c r="BH273" i="4" s="1"/>
  <c r="AK256" i="4"/>
  <c r="BF256" i="4"/>
  <c r="BH256" i="4" s="1"/>
  <c r="AK312" i="4"/>
  <c r="BF312" i="4"/>
  <c r="BG298" i="4"/>
  <c r="AK308" i="4"/>
  <c r="BF308" i="4"/>
  <c r="AY309" i="4"/>
  <c r="BD309" i="4"/>
  <c r="AW309" i="4"/>
  <c r="BJ309" i="4" s="1"/>
  <c r="BC275" i="4"/>
  <c r="AM275" i="4"/>
  <c r="BF234" i="4"/>
  <c r="AK234" i="4"/>
  <c r="BG214" i="4"/>
  <c r="AK271" i="4"/>
  <c r="BH246" i="4"/>
  <c r="BG217" i="4"/>
  <c r="BG158" i="4"/>
  <c r="AW155" i="4"/>
  <c r="BJ155" i="4" s="1"/>
  <c r="BD155" i="4"/>
  <c r="AW185" i="4"/>
  <c r="BJ185" i="4" s="1"/>
  <c r="BD185" i="4"/>
  <c r="BF139" i="4"/>
  <c r="AK139" i="4"/>
  <c r="BG162" i="4"/>
  <c r="BG184" i="4"/>
  <c r="BG183" i="4"/>
  <c r="BF143" i="4"/>
  <c r="AK143" i="4"/>
  <c r="BG222" i="4"/>
  <c r="BH222" i="4" s="1"/>
  <c r="BG143" i="4"/>
  <c r="BG127" i="4"/>
  <c r="BG126" i="4"/>
  <c r="BG113" i="4"/>
  <c r="BF81" i="4"/>
  <c r="AK81" i="4"/>
  <c r="AH71" i="4"/>
  <c r="AI71" i="4" s="1"/>
  <c r="BG10" i="4"/>
  <c r="BG76" i="4"/>
  <c r="BG29" i="4"/>
  <c r="AK35" i="4"/>
  <c r="BF35" i="4"/>
  <c r="AH18" i="4"/>
  <c r="AI18" i="4" s="1"/>
  <c r="BF90" i="4"/>
  <c r="AK90" i="4"/>
  <c r="BG4" i="4"/>
  <c r="BG104" i="4"/>
  <c r="AK5" i="4"/>
  <c r="BC14" i="4"/>
  <c r="AM14" i="4"/>
  <c r="BG574" i="4"/>
  <c r="BG563" i="4"/>
  <c r="BF535" i="4"/>
  <c r="BH535" i="4" s="1"/>
  <c r="AK535" i="4"/>
  <c r="BF509" i="4"/>
  <c r="AK509" i="4"/>
  <c r="BF444" i="4"/>
  <c r="BH444" i="4" s="1"/>
  <c r="AK444" i="4"/>
  <c r="BG319" i="4"/>
  <c r="AW577" i="4"/>
  <c r="BJ577" i="4" s="1"/>
  <c r="BD577" i="4"/>
  <c r="BG592" i="4"/>
  <c r="BF594" i="4"/>
  <c r="AK594" i="4"/>
  <c r="BF582" i="4"/>
  <c r="AK582" i="4"/>
  <c r="BG556" i="4"/>
  <c r="BF542" i="4"/>
  <c r="AK542" i="4"/>
  <c r="BG527" i="4"/>
  <c r="BH527" i="4" s="1"/>
  <c r="BF536" i="4"/>
  <c r="BH536" i="4" s="1"/>
  <c r="AK536" i="4"/>
  <c r="BF547" i="4"/>
  <c r="AK547" i="4"/>
  <c r="AM518" i="4"/>
  <c r="BC518" i="4"/>
  <c r="BG488" i="4"/>
  <c r="BH488" i="4" s="1"/>
  <c r="BG470" i="4"/>
  <c r="BH470" i="4" s="1"/>
  <c r="BG493" i="4"/>
  <c r="BG469" i="4"/>
  <c r="BH469" i="4" s="1"/>
  <c r="BD489" i="4"/>
  <c r="AY489" i="4"/>
  <c r="AW489" i="4"/>
  <c r="BJ489" i="4" s="1"/>
  <c r="BG449" i="4"/>
  <c r="BF432" i="4"/>
  <c r="AK432" i="4"/>
  <c r="BF448" i="4"/>
  <c r="AK448" i="4"/>
  <c r="BG403" i="4"/>
  <c r="BF445" i="4"/>
  <c r="AK445" i="4"/>
  <c r="AK470" i="4"/>
  <c r="BF446" i="4"/>
  <c r="AK446" i="4"/>
  <c r="BG457" i="4"/>
  <c r="BF407" i="4"/>
  <c r="BH407" i="4" s="1"/>
  <c r="AK407" i="4"/>
  <c r="BG378" i="4"/>
  <c r="AY409" i="4"/>
  <c r="AW409" i="4"/>
  <c r="BJ409" i="4" s="1"/>
  <c r="BD409" i="4"/>
  <c r="BD425" i="4"/>
  <c r="AY425" i="4"/>
  <c r="AW425" i="4"/>
  <c r="BJ425" i="4" s="1"/>
  <c r="AK384" i="4"/>
  <c r="BF384" i="4"/>
  <c r="BG399" i="4"/>
  <c r="AK369" i="4"/>
  <c r="BF369" i="4"/>
  <c r="AK387" i="4"/>
  <c r="BF387" i="4"/>
  <c r="BF347" i="4"/>
  <c r="AK347" i="4"/>
  <c r="BG300" i="4"/>
  <c r="BG270" i="4"/>
  <c r="BH270" i="4" s="1"/>
  <c r="BC328" i="4"/>
  <c r="AM328" i="4"/>
  <c r="AY306" i="4"/>
  <c r="BD306" i="4"/>
  <c r="AW306" i="4"/>
  <c r="BJ306" i="4" s="1"/>
  <c r="AY311" i="4"/>
  <c r="BD311" i="4"/>
  <c r="AW311" i="4"/>
  <c r="BJ311" i="4" s="1"/>
  <c r="BG296" i="4"/>
  <c r="BG309" i="4"/>
  <c r="BG280" i="4"/>
  <c r="BG329" i="4"/>
  <c r="BG301" i="4"/>
  <c r="AK276" i="4"/>
  <c r="BF276" i="4"/>
  <c r="BC279" i="4"/>
  <c r="AM279" i="4"/>
  <c r="BH283" i="4"/>
  <c r="BG286" i="4"/>
  <c r="AK278" i="4"/>
  <c r="BF278" i="4"/>
  <c r="AK289" i="4"/>
  <c r="BF289" i="4"/>
  <c r="BF247" i="4"/>
  <c r="BH247" i="4" s="1"/>
  <c r="AK247" i="4"/>
  <c r="BG257" i="4"/>
  <c r="AY293" i="4"/>
  <c r="BD293" i="4"/>
  <c r="AW293" i="4"/>
  <c r="BJ293" i="4" s="1"/>
  <c r="BG209" i="4"/>
  <c r="AK174" i="4"/>
  <c r="BF174" i="4"/>
  <c r="BG197" i="4"/>
  <c r="BF195" i="4"/>
  <c r="AK195" i="4"/>
  <c r="BG144" i="4"/>
  <c r="BH144" i="4" s="1"/>
  <c r="BG129" i="4"/>
  <c r="AH183" i="4"/>
  <c r="AI183" i="4" s="1"/>
  <c r="BG236" i="4"/>
  <c r="BG163" i="4"/>
  <c r="BF93" i="4"/>
  <c r="AK93" i="4"/>
  <c r="BF98" i="4"/>
  <c r="BH98" i="4" s="1"/>
  <c r="AK98" i="4"/>
  <c r="BD126" i="4"/>
  <c r="AW126" i="4"/>
  <c r="BJ126" i="4" s="1"/>
  <c r="BG78" i="4"/>
  <c r="BF99" i="4"/>
  <c r="BH99" i="4" s="1"/>
  <c r="AK99" i="4"/>
  <c r="AK135" i="4"/>
  <c r="AK43" i="4"/>
  <c r="BF43" i="4"/>
  <c r="AK49" i="4"/>
  <c r="BF49" i="4"/>
  <c r="BG32" i="4"/>
  <c r="BG15" i="4"/>
  <c r="AK48" i="4"/>
  <c r="BF48" i="4"/>
  <c r="AK15" i="4"/>
  <c r="BF15" i="4"/>
  <c r="BG529" i="4"/>
  <c r="BH529" i="4" s="1"/>
  <c r="BG352" i="4"/>
  <c r="AY296" i="4"/>
  <c r="BD296" i="4"/>
  <c r="AW296" i="4"/>
  <c r="BJ296" i="4" s="1"/>
  <c r="AW570" i="4"/>
  <c r="BJ570" i="4" s="1"/>
  <c r="BD570" i="4"/>
  <c r="BG593" i="4"/>
  <c r="BD568" i="4"/>
  <c r="AW568" i="4"/>
  <c r="BJ568" i="4" s="1"/>
  <c r="BF567" i="4"/>
  <c r="AK567" i="4"/>
  <c r="BG586" i="4"/>
  <c r="BG553" i="4"/>
  <c r="BF548" i="4"/>
  <c r="BH548" i="4" s="1"/>
  <c r="AK548" i="4"/>
  <c r="BG526" i="4"/>
  <c r="BH526" i="4" s="1"/>
  <c r="BG584" i="4"/>
  <c r="BG525" i="4"/>
  <c r="BH525" i="4" s="1"/>
  <c r="BG522" i="4"/>
  <c r="BH522" i="4" s="1"/>
  <c r="AK516" i="4"/>
  <c r="BF516" i="4"/>
  <c r="BF507" i="4"/>
  <c r="AK507" i="4"/>
  <c r="BG487" i="4"/>
  <c r="BG491" i="4"/>
  <c r="BD476" i="4"/>
  <c r="AW476" i="4"/>
  <c r="BJ476" i="4" s="1"/>
  <c r="BF499" i="4"/>
  <c r="BH499" i="4" s="1"/>
  <c r="AK499" i="4"/>
  <c r="BF468" i="4"/>
  <c r="BH468" i="4" s="1"/>
  <c r="AK468" i="4"/>
  <c r="BG479" i="4"/>
  <c r="BD488" i="4"/>
  <c r="AY488" i="4"/>
  <c r="AW488" i="4"/>
  <c r="BJ488" i="4" s="1"/>
  <c r="BF471" i="4"/>
  <c r="AK471" i="4"/>
  <c r="BD479" i="4"/>
  <c r="AW479" i="4"/>
  <c r="BJ479" i="4" s="1"/>
  <c r="BD470" i="4"/>
  <c r="AY470" i="4"/>
  <c r="AW470" i="4"/>
  <c r="BJ470" i="4" s="1"/>
  <c r="BF443" i="4"/>
  <c r="BH443" i="4" s="1"/>
  <c r="AK443" i="4"/>
  <c r="BG374" i="4"/>
  <c r="AH363" i="4"/>
  <c r="AI363" i="4" s="1"/>
  <c r="BC415" i="4"/>
  <c r="AM415" i="4"/>
  <c r="AY418" i="4"/>
  <c r="AW418" i="4"/>
  <c r="BJ418" i="4" s="1"/>
  <c r="BD418" i="4"/>
  <c r="BC406" i="4"/>
  <c r="AM406" i="4"/>
  <c r="BG349" i="4"/>
  <c r="BG337" i="4"/>
  <c r="BF331" i="4"/>
  <c r="AK331" i="4"/>
  <c r="BF352" i="4"/>
  <c r="AK352" i="4"/>
  <c r="AK376" i="4"/>
  <c r="BF376" i="4"/>
  <c r="BG343" i="4"/>
  <c r="BG327" i="4"/>
  <c r="BD318" i="4"/>
  <c r="AW318" i="4"/>
  <c r="BJ318" i="4" s="1"/>
  <c r="AY318" i="4"/>
  <c r="BG330" i="4"/>
  <c r="AY307" i="4"/>
  <c r="BD307" i="4"/>
  <c r="AW307" i="4"/>
  <c r="BJ307" i="4" s="1"/>
  <c r="BG342" i="4"/>
  <c r="BG269" i="4"/>
  <c r="BG291" i="4"/>
  <c r="BH291" i="4" s="1"/>
  <c r="AK266" i="4"/>
  <c r="AW370" i="4"/>
  <c r="BJ370" i="4" s="1"/>
  <c r="BD370" i="4"/>
  <c r="AY310" i="4"/>
  <c r="BD310" i="4"/>
  <c r="AW310" i="4"/>
  <c r="BJ310" i="4" s="1"/>
  <c r="BC283" i="4"/>
  <c r="AM283" i="4"/>
  <c r="BG285" i="4"/>
  <c r="AY294" i="4"/>
  <c r="BD294" i="4"/>
  <c r="AW294" i="4"/>
  <c r="BJ294" i="4" s="1"/>
  <c r="BG231" i="4"/>
  <c r="BG177" i="4"/>
  <c r="BF218" i="4"/>
  <c r="AK218" i="4"/>
  <c r="BG230" i="4"/>
  <c r="BG201" i="4"/>
  <c r="BC219" i="4"/>
  <c r="AM219" i="4"/>
  <c r="BG151" i="4"/>
  <c r="BG160" i="4"/>
  <c r="BH160" i="4" s="1"/>
  <c r="AK166" i="4"/>
  <c r="BF166" i="4"/>
  <c r="BG153" i="4"/>
  <c r="BF136" i="4"/>
  <c r="AK158" i="4"/>
  <c r="BF158" i="4"/>
  <c r="BH158" i="4" s="1"/>
  <c r="AM178" i="4"/>
  <c r="BC178" i="4"/>
  <c r="BG152" i="4"/>
  <c r="BG139" i="4"/>
  <c r="BF114" i="4"/>
  <c r="AK114" i="4"/>
  <c r="BF74" i="4"/>
  <c r="BH74" i="4" s="1"/>
  <c r="AK74" i="4"/>
  <c r="BF75" i="4"/>
  <c r="BH75" i="4" s="1"/>
  <c r="AK75" i="4"/>
  <c r="BG59" i="4"/>
  <c r="BG120" i="4"/>
  <c r="BF92" i="4"/>
  <c r="AK92" i="4"/>
  <c r="BH135" i="4"/>
  <c r="AK42" i="4"/>
  <c r="BF42" i="4"/>
  <c r="BG38" i="4"/>
  <c r="BG45" i="4"/>
  <c r="BG13" i="4"/>
  <c r="AK50" i="4"/>
  <c r="BF50" i="4"/>
  <c r="BG164" i="4"/>
  <c r="AK46" i="4"/>
  <c r="BF46" i="4"/>
  <c r="BG16" i="4"/>
  <c r="BH16" i="4" s="1"/>
  <c r="AY121" i="4"/>
  <c r="BD121" i="4"/>
  <c r="AW121" i="4"/>
  <c r="BJ121" i="4" s="1"/>
  <c r="BG35" i="4"/>
  <c r="BG90" i="4"/>
  <c r="BD578" i="4"/>
  <c r="AW578" i="4"/>
  <c r="BJ578" i="4" s="1"/>
  <c r="BG448" i="4"/>
  <c r="BG450" i="4"/>
  <c r="BG310" i="4"/>
  <c r="BG554" i="4"/>
  <c r="BH554" i="4" s="1"/>
  <c r="BG595" i="4"/>
  <c r="BG561" i="4"/>
  <c r="BF579" i="4"/>
  <c r="AK579" i="4"/>
  <c r="BF532" i="4"/>
  <c r="BH532" i="4" s="1"/>
  <c r="AK532" i="4"/>
  <c r="BG567" i="4"/>
  <c r="BH566" i="4"/>
  <c r="BG547" i="4"/>
  <c r="BG542" i="4"/>
  <c r="AK515" i="4"/>
  <c r="BG486" i="4"/>
  <c r="BH486" i="4" s="1"/>
  <c r="BF493" i="4"/>
  <c r="AK493" i="4"/>
  <c r="AM501" i="4"/>
  <c r="BC501" i="4"/>
  <c r="AY482" i="4"/>
  <c r="BD482" i="4"/>
  <c r="AW482" i="4"/>
  <c r="BJ482" i="4" s="1"/>
  <c r="BF462" i="4"/>
  <c r="AK462" i="4"/>
  <c r="BF459" i="4"/>
  <c r="AK459" i="4"/>
  <c r="BG430" i="4"/>
  <c r="BG438" i="4"/>
  <c r="BG373" i="4"/>
  <c r="AH429" i="4"/>
  <c r="AI429" i="4" s="1"/>
  <c r="BG492" i="4"/>
  <c r="AM428" i="4"/>
  <c r="BC428" i="4"/>
  <c r="BG405" i="4"/>
  <c r="BG380" i="4"/>
  <c r="BG390" i="4"/>
  <c r="BG363" i="4"/>
  <c r="BH406" i="4"/>
  <c r="BG354" i="4"/>
  <c r="BG326" i="4"/>
  <c r="BG328" i="4"/>
  <c r="BH328" i="4" s="1"/>
  <c r="BG348" i="4"/>
  <c r="BG325" i="4"/>
  <c r="AH355" i="4"/>
  <c r="AI355" i="4" s="1"/>
  <c r="BG336" i="4"/>
  <c r="BG297" i="4"/>
  <c r="BG292" i="4"/>
  <c r="BG311" i="4"/>
  <c r="BH366" i="4"/>
  <c r="BG333" i="4"/>
  <c r="BF329" i="4"/>
  <c r="BH329" i="4" s="1"/>
  <c r="AK329" i="4"/>
  <c r="BG295" i="4"/>
  <c r="BH295" i="4" s="1"/>
  <c r="BF319" i="4"/>
  <c r="AK319" i="4"/>
  <c r="AK250" i="4"/>
  <c r="BF250" i="4"/>
  <c r="BH250" i="4" s="1"/>
  <c r="BG308" i="4"/>
  <c r="AK284" i="4"/>
  <c r="BF284" i="4"/>
  <c r="AK360" i="4"/>
  <c r="BF360" i="4"/>
  <c r="BG289" i="4"/>
  <c r="BG208" i="4"/>
  <c r="BG176" i="4"/>
  <c r="BG233" i="4"/>
  <c r="BH233" i="4" s="1"/>
  <c r="BG206" i="4"/>
  <c r="BF172" i="4"/>
  <c r="AK172" i="4"/>
  <c r="BG210" i="4"/>
  <c r="AW150" i="4"/>
  <c r="BJ150" i="4" s="1"/>
  <c r="BD150" i="4"/>
  <c r="BG224" i="4"/>
  <c r="BG166" i="4"/>
  <c r="BG193" i="4"/>
  <c r="AY188" i="4"/>
  <c r="AW188" i="4"/>
  <c r="BJ188" i="4" s="1"/>
  <c r="BD188" i="4"/>
  <c r="AH152" i="4"/>
  <c r="AI152" i="4" s="1"/>
  <c r="BF215" i="4"/>
  <c r="AK215" i="4"/>
  <c r="BG111" i="4"/>
  <c r="BH178" i="4"/>
  <c r="BG140" i="4"/>
  <c r="BG121" i="4"/>
  <c r="BF124" i="4"/>
  <c r="AK124" i="4"/>
  <c r="BG114" i="4"/>
  <c r="BG92" i="4"/>
  <c r="BF58" i="4"/>
  <c r="BH58" i="4" s="1"/>
  <c r="AK58" i="4"/>
  <c r="BD154" i="4"/>
  <c r="AW154" i="4"/>
  <c r="BJ154" i="4" s="1"/>
  <c r="BG395" i="4"/>
  <c r="BG97" i="4"/>
  <c r="BG43" i="4"/>
  <c r="BG49" i="4"/>
  <c r="BF95" i="4"/>
  <c r="BH95" i="4" s="1"/>
  <c r="AK95" i="4"/>
  <c r="BG115" i="4"/>
  <c r="BG84" i="4"/>
  <c r="AK110" i="4"/>
  <c r="AH77" i="4"/>
  <c r="AI77" i="4" s="1"/>
  <c r="AK13" i="4"/>
  <c r="BF13" i="4"/>
  <c r="BG48" i="4"/>
  <c r="AK16" i="4"/>
  <c r="BD582" i="4"/>
  <c r="AW582" i="4"/>
  <c r="BJ582" i="4" s="1"/>
  <c r="AY582" i="4"/>
  <c r="BF540" i="4"/>
  <c r="BH540" i="4" s="1"/>
  <c r="AK540" i="4"/>
  <c r="BG516" i="4"/>
  <c r="BH223" i="4"/>
  <c r="BG591" i="4"/>
  <c r="BD556" i="4"/>
  <c r="AW556" i="4"/>
  <c r="BJ556" i="4" s="1"/>
  <c r="AY556" i="4"/>
  <c r="BG579" i="4"/>
  <c r="BF541" i="4"/>
  <c r="BH541" i="4" s="1"/>
  <c r="AK541" i="4"/>
  <c r="BF551" i="4"/>
  <c r="BH551" i="4" s="1"/>
  <c r="AK551" i="4"/>
  <c r="BG523" i="4"/>
  <c r="BH523" i="4" s="1"/>
  <c r="BD521" i="4"/>
  <c r="AY521" i="4"/>
  <c r="AW521" i="4"/>
  <c r="BJ521" i="4" s="1"/>
  <c r="AK527" i="4"/>
  <c r="AK528" i="4"/>
  <c r="BF528" i="4"/>
  <c r="AK488" i="4"/>
  <c r="BD475" i="4"/>
  <c r="AW475" i="4"/>
  <c r="BJ475" i="4" s="1"/>
  <c r="AM486" i="4"/>
  <c r="BC486" i="4"/>
  <c r="BH501" i="4"/>
  <c r="BF465" i="4"/>
  <c r="BH465" i="4" s="1"/>
  <c r="AK465" i="4"/>
  <c r="BF441" i="4"/>
  <c r="BH441" i="4" s="1"/>
  <c r="AK441" i="4"/>
  <c r="AM474" i="4"/>
  <c r="BC474" i="4"/>
  <c r="BF452" i="4"/>
  <c r="BH452" i="4" s="1"/>
  <c r="AK452" i="4"/>
  <c r="BG372" i="4"/>
  <c r="BG429" i="4"/>
  <c r="AH431" i="4"/>
  <c r="AI431" i="4" s="1"/>
  <c r="AY421" i="4"/>
  <c r="AW421" i="4"/>
  <c r="BJ421" i="4" s="1"/>
  <c r="BD421" i="4"/>
  <c r="AK385" i="4"/>
  <c r="BF385" i="4"/>
  <c r="BG391" i="4"/>
  <c r="AK365" i="4"/>
  <c r="BF365" i="4"/>
  <c r="BH365" i="4" s="1"/>
  <c r="AK359" i="4"/>
  <c r="BF359" i="4"/>
  <c r="AK397" i="4"/>
  <c r="BF397" i="4"/>
  <c r="BG377" i="4"/>
  <c r="BG389" i="4"/>
  <c r="AK388" i="4"/>
  <c r="BF388" i="4"/>
  <c r="AK364" i="4"/>
  <c r="BF364" i="4"/>
  <c r="AK386" i="4"/>
  <c r="BF386" i="4"/>
  <c r="BG359" i="4"/>
  <c r="BF349" i="4"/>
  <c r="BH349" i="4" s="1"/>
  <c r="AK349" i="4"/>
  <c r="BF337" i="4"/>
  <c r="BH337" i="4" s="1"/>
  <c r="AK337" i="4"/>
  <c r="BH373" i="4"/>
  <c r="AH343" i="4"/>
  <c r="AI343" i="4" s="1"/>
  <c r="BF330" i="4"/>
  <c r="BH330" i="4" s="1"/>
  <c r="AK330" i="4"/>
  <c r="BG350" i="4"/>
  <c r="AK307" i="4"/>
  <c r="BF307" i="4"/>
  <c r="AY289" i="4"/>
  <c r="BD289" i="4"/>
  <c r="AW289" i="4"/>
  <c r="BJ289" i="4" s="1"/>
  <c r="BG278" i="4"/>
  <c r="AY327" i="4"/>
  <c r="BD327" i="4"/>
  <c r="AW327" i="4"/>
  <c r="BJ327" i="4" s="1"/>
  <c r="BF244" i="4"/>
  <c r="BH244" i="4" s="1"/>
  <c r="AK244" i="4"/>
  <c r="AK297" i="4"/>
  <c r="BF297" i="4"/>
  <c r="AK249" i="4"/>
  <c r="BF249" i="4"/>
  <c r="BH249" i="4" s="1"/>
  <c r="BG234" i="4"/>
  <c r="BG335" i="4"/>
  <c r="BG175" i="4"/>
  <c r="BF197" i="4"/>
  <c r="AK197" i="4"/>
  <c r="AW153" i="4"/>
  <c r="BJ153" i="4" s="1"/>
  <c r="BD153" i="4"/>
  <c r="BG190" i="4"/>
  <c r="BD151" i="4"/>
  <c r="AW151" i="4"/>
  <c r="BJ151" i="4" s="1"/>
  <c r="BF131" i="4"/>
  <c r="AK131" i="4"/>
  <c r="AH196" i="4"/>
  <c r="AI196" i="4" s="1"/>
  <c r="BG141" i="4"/>
  <c r="BG123" i="4"/>
  <c r="BH123" i="4" s="1"/>
  <c r="BF137" i="4"/>
  <c r="AK137" i="4"/>
  <c r="AK150" i="4"/>
  <c r="BF150" i="4"/>
  <c r="BF117" i="4"/>
  <c r="AK117" i="4"/>
  <c r="BG91" i="4"/>
  <c r="BD132" i="4"/>
  <c r="AW132" i="4"/>
  <c r="BJ132" i="4" s="1"/>
  <c r="AK37" i="4"/>
  <c r="BF37" i="4"/>
  <c r="BG42" i="4"/>
  <c r="AK23" i="4"/>
  <c r="BF23" i="4"/>
  <c r="BH23" i="4" s="1"/>
  <c r="AK39" i="4"/>
  <c r="BF39" i="4"/>
  <c r="BG50" i="4"/>
  <c r="AW105" i="4"/>
  <c r="BJ105" i="4" s="1"/>
  <c r="BD105" i="4"/>
  <c r="BG46" i="4"/>
  <c r="BH110" i="4"/>
  <c r="BG34" i="4"/>
  <c r="AK47" i="4"/>
  <c r="BF47" i="4"/>
  <c r="AH30" i="4"/>
  <c r="AI30" i="4" s="1"/>
  <c r="BG36" i="4"/>
  <c r="BG8" i="4"/>
  <c r="AM11" i="4"/>
  <c r="BC11" i="4"/>
  <c r="BG506" i="4"/>
  <c r="BG379" i="4"/>
  <c r="AK313" i="4"/>
  <c r="BF313" i="4"/>
  <c r="AK257" i="4"/>
  <c r="BF257" i="4"/>
  <c r="BG580" i="4"/>
  <c r="BH580" i="4" s="1"/>
  <c r="BG582" i="4"/>
  <c r="AK574" i="4"/>
  <c r="BF565" i="4"/>
  <c r="AK565" i="4"/>
  <c r="BG538" i="4"/>
  <c r="BF556" i="4"/>
  <c r="AK556" i="4"/>
  <c r="BG565" i="4"/>
  <c r="BF584" i="4"/>
  <c r="AK584" i="4"/>
  <c r="BF492" i="4"/>
  <c r="AK492" i="4"/>
  <c r="BG505" i="4"/>
  <c r="BG539" i="4"/>
  <c r="BD516" i="4"/>
  <c r="AW516" i="4"/>
  <c r="BJ516" i="4" s="1"/>
  <c r="AY516" i="4"/>
  <c r="BD480" i="4"/>
  <c r="AW480" i="4"/>
  <c r="BJ480" i="4" s="1"/>
  <c r="BG482" i="4"/>
  <c r="BF467" i="4"/>
  <c r="AK467" i="4"/>
  <c r="BF466" i="4"/>
  <c r="BH466" i="4" s="1"/>
  <c r="AK466" i="4"/>
  <c r="BG460" i="4"/>
  <c r="BD487" i="4"/>
  <c r="AY487" i="4"/>
  <c r="AW487" i="4"/>
  <c r="BJ487" i="4" s="1"/>
  <c r="BF449" i="4"/>
  <c r="AK449" i="4"/>
  <c r="BG434" i="4"/>
  <c r="BG371" i="4"/>
  <c r="BG458" i="4"/>
  <c r="AK483" i="4"/>
  <c r="BG459" i="4"/>
  <c r="BF401" i="4"/>
  <c r="BH401" i="4" s="1"/>
  <c r="BG384" i="4"/>
  <c r="BF457" i="4"/>
  <c r="AK457" i="4"/>
  <c r="BG388" i="4"/>
  <c r="BG362" i="4"/>
  <c r="BF325" i="4"/>
  <c r="AK325" i="4"/>
  <c r="AY326" i="4"/>
  <c r="AW326" i="4"/>
  <c r="BJ326" i="4" s="1"/>
  <c r="BD326" i="4"/>
  <c r="BF348" i="4"/>
  <c r="AK348" i="4"/>
  <c r="AK373" i="4"/>
  <c r="BG339" i="4"/>
  <c r="BF336" i="4"/>
  <c r="BH336" i="4" s="1"/>
  <c r="AK336" i="4"/>
  <c r="BG356" i="4"/>
  <c r="AY290" i="4"/>
  <c r="AW290" i="4"/>
  <c r="BJ290" i="4" s="1"/>
  <c r="BD290" i="4"/>
  <c r="BF326" i="4"/>
  <c r="BH326" i="4" s="1"/>
  <c r="AK326" i="4"/>
  <c r="AK303" i="4"/>
  <c r="BF303" i="4"/>
  <c r="AY300" i="4"/>
  <c r="BD300" i="4"/>
  <c r="AW300" i="4"/>
  <c r="BJ300" i="4" s="1"/>
  <c r="BF333" i="4"/>
  <c r="BH333" i="4" s="1"/>
  <c r="AK333" i="4"/>
  <c r="AK306" i="4"/>
  <c r="BF306" i="4"/>
  <c r="BH306" i="4" s="1"/>
  <c r="AY291" i="4"/>
  <c r="AW291" i="4"/>
  <c r="BJ291" i="4" s="1"/>
  <c r="BD291" i="4"/>
  <c r="AK293" i="4"/>
  <c r="BF293" i="4"/>
  <c r="AK274" i="4"/>
  <c r="BF274" i="4"/>
  <c r="BH274" i="4" s="1"/>
  <c r="BG268" i="4"/>
  <c r="BH268" i="4" s="1"/>
  <c r="AK251" i="4"/>
  <c r="BF251" i="4"/>
  <c r="BG205" i="4"/>
  <c r="BG174" i="4"/>
  <c r="BG211" i="4"/>
  <c r="BH211" i="4" s="1"/>
  <c r="BF236" i="4"/>
  <c r="BH236" i="4" s="1"/>
  <c r="AK236" i="4"/>
  <c r="BF206" i="4"/>
  <c r="BH206" i="4" s="1"/>
  <c r="AK206" i="4"/>
  <c r="BF170" i="4"/>
  <c r="AK170" i="4"/>
  <c r="BG235" i="4"/>
  <c r="BG207" i="4"/>
  <c r="BG227" i="4"/>
  <c r="BH227" i="4" s="1"/>
  <c r="BG212" i="4"/>
  <c r="BF194" i="4"/>
  <c r="BH194" i="4" s="1"/>
  <c r="AK194" i="4"/>
  <c r="BG156" i="4"/>
  <c r="BC210" i="4"/>
  <c r="AM210" i="4"/>
  <c r="BG263" i="4"/>
  <c r="BD162" i="4"/>
  <c r="AW162" i="4"/>
  <c r="BJ162" i="4" s="1"/>
  <c r="BF165" i="4"/>
  <c r="AK165" i="4"/>
  <c r="BG134" i="4"/>
  <c r="BH134" i="4" s="1"/>
  <c r="BF198" i="4"/>
  <c r="AK198" i="4"/>
  <c r="BG159" i="4"/>
  <c r="BG148" i="4"/>
  <c r="BG136" i="4"/>
  <c r="BF100" i="4"/>
  <c r="BH100" i="4" s="1"/>
  <c r="AK100" i="4"/>
  <c r="BG117" i="4"/>
  <c r="BF89" i="4"/>
  <c r="BH89" i="4" s="1"/>
  <c r="AK89" i="4"/>
  <c r="BG72" i="4"/>
  <c r="AK56" i="4"/>
  <c r="BF56" i="4"/>
  <c r="BH56" i="4" s="1"/>
  <c r="BG67" i="4"/>
  <c r="BH67" i="4" s="1"/>
  <c r="AK299" i="4"/>
  <c r="BF72" i="4"/>
  <c r="AK72" i="4"/>
  <c r="AK25" i="4"/>
  <c r="BF25" i="4"/>
  <c r="BH25" i="4" s="1"/>
  <c r="BG20" i="4"/>
  <c r="BF102" i="4"/>
  <c r="AK102" i="4"/>
  <c r="BG87" i="4"/>
  <c r="BG27" i="4"/>
  <c r="AK211" i="4"/>
  <c r="AK129" i="4"/>
  <c r="BG590" i="4"/>
  <c r="BF591" i="4"/>
  <c r="AK591" i="4"/>
  <c r="BD558" i="4"/>
  <c r="AY558" i="4"/>
  <c r="AW558" i="4"/>
  <c r="BJ558" i="4" s="1"/>
  <c r="BD579" i="4"/>
  <c r="AW579" i="4"/>
  <c r="BJ579" i="4" s="1"/>
  <c r="BH574" i="4"/>
  <c r="BD574" i="4"/>
  <c r="AY574" i="4"/>
  <c r="AW574" i="4"/>
  <c r="BJ574" i="4" s="1"/>
  <c r="AK560" i="4"/>
  <c r="BG555" i="4"/>
  <c r="BG575" i="4"/>
  <c r="BF546" i="4"/>
  <c r="BH546" i="4" s="1"/>
  <c r="AK546" i="4"/>
  <c r="AH559" i="4"/>
  <c r="AI559" i="4" s="1"/>
  <c r="BG521" i="4"/>
  <c r="BG519" i="4"/>
  <c r="AK525" i="4"/>
  <c r="BF531" i="4"/>
  <c r="AK531" i="4"/>
  <c r="BG507" i="4"/>
  <c r="BF484" i="4"/>
  <c r="AK484" i="4"/>
  <c r="BD490" i="4"/>
  <c r="AY490" i="4"/>
  <c r="AW490" i="4"/>
  <c r="BJ490" i="4" s="1"/>
  <c r="BG461" i="4"/>
  <c r="BF481" i="4"/>
  <c r="AK481" i="4"/>
  <c r="BD430" i="4"/>
  <c r="AY430" i="4"/>
  <c r="AW430" i="4"/>
  <c r="BJ430" i="4" s="1"/>
  <c r="AK489" i="4"/>
  <c r="AH434" i="4"/>
  <c r="AI434" i="4" s="1"/>
  <c r="BG370" i="4"/>
  <c r="BH483" i="4"/>
  <c r="AW415" i="4"/>
  <c r="BJ415" i="4" s="1"/>
  <c r="BD415" i="4"/>
  <c r="BG392" i="4"/>
  <c r="BG397" i="4"/>
  <c r="AK430" i="4"/>
  <c r="BG358" i="4"/>
  <c r="AH354" i="4"/>
  <c r="AI354" i="4" s="1"/>
  <c r="BG323" i="4"/>
  <c r="BH323" i="4" s="1"/>
  <c r="BG345" i="4"/>
  <c r="AK393" i="4"/>
  <c r="BF393" i="4"/>
  <c r="BG324" i="4"/>
  <c r="BD328" i="4"/>
  <c r="AW328" i="4"/>
  <c r="BJ328" i="4" s="1"/>
  <c r="BG344" i="4"/>
  <c r="BG394" i="4"/>
  <c r="AY295" i="4"/>
  <c r="AW295" i="4"/>
  <c r="BJ295" i="4" s="1"/>
  <c r="BD295" i="4"/>
  <c r="AY286" i="4"/>
  <c r="AW286" i="4"/>
  <c r="BJ286" i="4" s="1"/>
  <c r="BD286" i="4"/>
  <c r="AY292" i="4"/>
  <c r="BD292" i="4"/>
  <c r="AW292" i="4"/>
  <c r="BJ292" i="4" s="1"/>
  <c r="BG346" i="4"/>
  <c r="BF350" i="4"/>
  <c r="BH350" i="4" s="1"/>
  <c r="AK350" i="4"/>
  <c r="AY305" i="4"/>
  <c r="BD305" i="4"/>
  <c r="AW305" i="4"/>
  <c r="BJ305" i="4" s="1"/>
  <c r="AK288" i="4"/>
  <c r="BF288" i="4"/>
  <c r="BH288" i="4" s="1"/>
  <c r="BG303" i="4"/>
  <c r="BD287" i="4"/>
  <c r="AW287" i="4"/>
  <c r="BJ287" i="4" s="1"/>
  <c r="AY287" i="4"/>
  <c r="AK262" i="4"/>
  <c r="BF262" i="4"/>
  <c r="BH262" i="4" s="1"/>
  <c r="BD284" i="4"/>
  <c r="AY284" i="4"/>
  <c r="AW284" i="4"/>
  <c r="BJ284" i="4" s="1"/>
  <c r="BG267" i="4"/>
  <c r="BF240" i="4"/>
  <c r="BH240" i="4" s="1"/>
  <c r="AK240" i="4"/>
  <c r="BG320" i="4"/>
  <c r="BF226" i="4"/>
  <c r="AK226" i="4"/>
  <c r="BG196" i="4"/>
  <c r="BF335" i="4"/>
  <c r="AK335" i="4"/>
  <c r="BG173" i="4"/>
  <c r="BG228" i="4"/>
  <c r="BF225" i="4"/>
  <c r="AK225" i="4"/>
  <c r="BG195" i="4"/>
  <c r="BF232" i="4"/>
  <c r="AK232" i="4"/>
  <c r="BF169" i="4"/>
  <c r="BH169" i="4" s="1"/>
  <c r="AK169" i="4"/>
  <c r="BG232" i="4"/>
  <c r="BH210" i="4"/>
  <c r="BF186" i="4"/>
  <c r="AK186" i="4"/>
  <c r="BF156" i="4"/>
  <c r="BH156" i="4" s="1"/>
  <c r="AK156" i="4"/>
  <c r="BG165" i="4"/>
  <c r="BG186" i="4"/>
  <c r="BF148" i="4"/>
  <c r="BH148" i="4" s="1"/>
  <c r="AK148" i="4"/>
  <c r="BG185" i="4"/>
  <c r="BG215" i="4"/>
  <c r="BF133" i="4"/>
  <c r="AK133" i="4"/>
  <c r="BG198" i="4"/>
  <c r="BG137" i="4"/>
  <c r="BG112" i="4"/>
  <c r="BG130" i="4"/>
  <c r="BH130" i="4" s="1"/>
  <c r="BF103" i="4"/>
  <c r="BH103" i="4" s="1"/>
  <c r="AK103" i="4"/>
  <c r="BG107" i="4"/>
  <c r="BH107" i="4" s="1"/>
  <c r="AH70" i="4"/>
  <c r="AI70" i="4" s="1"/>
  <c r="BF94" i="4"/>
  <c r="BH94" i="4" s="1"/>
  <c r="AK94" i="4"/>
  <c r="BG124" i="4"/>
  <c r="BG37" i="4"/>
  <c r="BG22" i="4"/>
  <c r="BG39" i="4"/>
  <c r="AK21" i="4"/>
  <c r="BF21" i="4"/>
  <c r="BH21" i="4" s="1"/>
  <c r="AK40" i="4"/>
  <c r="BF40" i="4"/>
  <c r="BD70" i="4"/>
  <c r="AW70" i="4"/>
  <c r="BJ70" i="4" s="1"/>
  <c r="BG28" i="4"/>
  <c r="BH28" i="4" s="1"/>
  <c r="BG47" i="4"/>
  <c r="AH179" i="4"/>
  <c r="AI179" i="4" s="1"/>
  <c r="BG7" i="4"/>
  <c r="BH129" i="4"/>
  <c r="BD76" i="4"/>
  <c r="AY76" i="4"/>
  <c r="AW76" i="4"/>
  <c r="BJ76" i="4" s="1"/>
  <c r="BF573" i="4"/>
  <c r="BH573" i="4" s="1"/>
  <c r="AK573" i="4"/>
  <c r="AK538" i="4"/>
  <c r="AW4" i="2"/>
  <c r="BJ4" i="2" s="1"/>
  <c r="BF590" i="4"/>
  <c r="BH590" i="4" s="1"/>
  <c r="AK590" i="4"/>
  <c r="BG594" i="4"/>
  <c r="BH560" i="4"/>
  <c r="BF537" i="4"/>
  <c r="BH537" i="4" s="1"/>
  <c r="AK537" i="4"/>
  <c r="BF564" i="4"/>
  <c r="AK564" i="4"/>
  <c r="BG559" i="4"/>
  <c r="BG508" i="4"/>
  <c r="AK530" i="4"/>
  <c r="BG514" i="4"/>
  <c r="AK522" i="4"/>
  <c r="AK511" i="4"/>
  <c r="BF511" i="4"/>
  <c r="BH511" i="4" s="1"/>
  <c r="AK478" i="4"/>
  <c r="AY485" i="4"/>
  <c r="BD485" i="4"/>
  <c r="AW485" i="4"/>
  <c r="BJ485" i="4" s="1"/>
  <c r="BH524" i="4"/>
  <c r="BG467" i="4"/>
  <c r="BF442" i="4"/>
  <c r="AK442" i="4"/>
  <c r="AK469" i="4"/>
  <c r="BF463" i="4"/>
  <c r="BH463" i="4" s="1"/>
  <c r="AK463" i="4"/>
  <c r="BH489" i="4"/>
  <c r="BF460" i="4"/>
  <c r="AK460" i="4"/>
  <c r="BG462" i="4"/>
  <c r="BG369" i="4"/>
  <c r="BG445" i="4"/>
  <c r="BG402" i="4"/>
  <c r="BG385" i="4"/>
  <c r="BD429" i="4"/>
  <c r="AW429" i="4"/>
  <c r="BJ429" i="4" s="1"/>
  <c r="BG400" i="4"/>
  <c r="BC409" i="4"/>
  <c r="AM409" i="4"/>
  <c r="BG398" i="4"/>
  <c r="BG383" i="4"/>
  <c r="BH430" i="4"/>
  <c r="BG334" i="4"/>
  <c r="AY324" i="4"/>
  <c r="AW324" i="4"/>
  <c r="BJ324" i="4" s="1"/>
  <c r="BD324" i="4"/>
  <c r="BG315" i="4"/>
  <c r="BG351" i="4"/>
  <c r="BF339" i="4"/>
  <c r="AK339" i="4"/>
  <c r="BF316" i="4"/>
  <c r="BH316" i="4" s="1"/>
  <c r="AK316" i="4"/>
  <c r="AY308" i="4"/>
  <c r="AW308" i="4"/>
  <c r="BJ308" i="4" s="1"/>
  <c r="BD308" i="4"/>
  <c r="BG312" i="4"/>
  <c r="BD363" i="4"/>
  <c r="AW363" i="4"/>
  <c r="BJ363" i="4" s="1"/>
  <c r="AY301" i="4"/>
  <c r="BD301" i="4"/>
  <c r="AW301" i="4"/>
  <c r="BJ301" i="4" s="1"/>
  <c r="BG305" i="4"/>
  <c r="BH305" i="4" s="1"/>
  <c r="AM317" i="4"/>
  <c r="BC317" i="4"/>
  <c r="BG284" i="4"/>
  <c r="BG276" i="4"/>
  <c r="AK261" i="4"/>
  <c r="BF261" i="4"/>
  <c r="BH261" i="4" s="1"/>
  <c r="AY304" i="4"/>
  <c r="BD304" i="4"/>
  <c r="AW304" i="4"/>
  <c r="BJ304" i="4" s="1"/>
  <c r="BG313" i="4"/>
  <c r="BD282" i="4"/>
  <c r="AY282" i="4"/>
  <c r="AW282" i="4"/>
  <c r="BJ282" i="4" s="1"/>
  <c r="AK304" i="4"/>
  <c r="BF304" i="4"/>
  <c r="BH304" i="4" s="1"/>
  <c r="AY303" i="4"/>
  <c r="BD303" i="4"/>
  <c r="AW303" i="4"/>
  <c r="BJ303" i="4" s="1"/>
  <c r="AK252" i="4"/>
  <c r="BF252" i="4"/>
  <c r="AK302" i="4"/>
  <c r="BF302" i="4"/>
  <c r="BG254" i="4"/>
  <c r="BC248" i="4"/>
  <c r="AK282" i="4"/>
  <c r="BF282" i="4"/>
  <c r="BF205" i="4"/>
  <c r="BH205" i="4" s="1"/>
  <c r="AK205" i="4"/>
  <c r="BG172" i="4"/>
  <c r="BF230" i="4"/>
  <c r="AK230" i="4"/>
  <c r="BG200" i="4"/>
  <c r="BG218" i="4"/>
  <c r="BG225" i="4"/>
  <c r="BG202" i="4"/>
  <c r="BF207" i="4"/>
  <c r="AK207" i="4"/>
  <c r="BG161" i="4"/>
  <c r="BG203" i="4"/>
  <c r="BG191" i="4"/>
  <c r="BF125" i="4"/>
  <c r="BH125" i="4" s="1"/>
  <c r="AK125" i="4"/>
  <c r="BG138" i="4"/>
  <c r="BF112" i="4"/>
  <c r="AK112" i="4"/>
  <c r="AH155" i="4"/>
  <c r="AI155" i="4" s="1"/>
  <c r="AK127" i="4"/>
  <c r="BF182" i="4"/>
  <c r="BH182" i="4" s="1"/>
  <c r="AK182" i="4"/>
  <c r="BF118" i="4"/>
  <c r="AK118" i="4"/>
  <c r="BF83" i="4"/>
  <c r="BH83" i="4" s="1"/>
  <c r="AK83" i="4"/>
  <c r="BF69" i="4"/>
  <c r="BH69" i="4" s="1"/>
  <c r="AK69" i="4"/>
  <c r="BG88" i="4"/>
  <c r="BH88" i="4" s="1"/>
  <c r="AK54" i="4"/>
  <c r="BF54" i="4"/>
  <c r="BH54" i="4" s="1"/>
  <c r="AK109" i="4"/>
  <c r="BF73" i="4"/>
  <c r="BH73" i="4" s="1"/>
  <c r="AK73" i="4"/>
  <c r="BG17" i="4"/>
  <c r="BH17" i="4" s="1"/>
  <c r="BG102" i="4"/>
  <c r="BG179" i="4"/>
  <c r="AM79" i="4"/>
  <c r="BC79" i="4"/>
  <c r="AK122" i="4"/>
  <c r="AK33" i="4"/>
  <c r="BF33" i="4"/>
  <c r="BH33" i="4" s="1"/>
  <c r="BF8" i="4"/>
  <c r="AK8" i="4"/>
  <c r="AK402" i="4"/>
  <c r="BF402" i="4"/>
  <c r="AY302" i="4"/>
  <c r="AW302" i="4"/>
  <c r="BJ302" i="4" s="1"/>
  <c r="BD302" i="4"/>
  <c r="BF588" i="4"/>
  <c r="BH588" i="4" s="1"/>
  <c r="AK588" i="4"/>
  <c r="BG576" i="4"/>
  <c r="BF561" i="4"/>
  <c r="AK561" i="4"/>
  <c r="BG534" i="4"/>
  <c r="BF539" i="4"/>
  <c r="AK539" i="4"/>
  <c r="BG518" i="4"/>
  <c r="BH518" i="4" s="1"/>
  <c r="AK529" i="4"/>
  <c r="BG517" i="4"/>
  <c r="BD483" i="4"/>
  <c r="AW483" i="4"/>
  <c r="BJ483" i="4" s="1"/>
  <c r="BG509" i="4"/>
  <c r="AK524" i="4"/>
  <c r="BD477" i="4"/>
  <c r="AY477" i="4"/>
  <c r="AW477" i="4"/>
  <c r="BJ477" i="4" s="1"/>
  <c r="BD478" i="4"/>
  <c r="AY478" i="4"/>
  <c r="AW478" i="4"/>
  <c r="BJ478" i="4" s="1"/>
  <c r="BF476" i="4"/>
  <c r="BH476" i="4" s="1"/>
  <c r="AK476" i="4"/>
  <c r="BG437" i="4"/>
  <c r="BG481" i="4"/>
  <c r="BG471" i="4"/>
  <c r="BG447" i="4"/>
  <c r="BG368" i="4"/>
  <c r="BH368" i="4" s="1"/>
  <c r="BC419" i="4"/>
  <c r="AM419" i="4"/>
  <c r="BG364" i="4"/>
  <c r="BG375" i="4"/>
  <c r="BH375" i="4" s="1"/>
  <c r="AK382" i="4"/>
  <c r="BF382" i="4"/>
  <c r="BH382" i="4" s="1"/>
  <c r="BD428" i="4"/>
  <c r="AW428" i="4"/>
  <c r="BJ428" i="4" s="1"/>
  <c r="BF345" i="4"/>
  <c r="AK345" i="4"/>
  <c r="BF344" i="4"/>
  <c r="BC423" i="4"/>
  <c r="AM423" i="4"/>
  <c r="BG387" i="4"/>
  <c r="AH356" i="4"/>
  <c r="AI356" i="4" s="1"/>
  <c r="BF346" i="4"/>
  <c r="AK346" i="4"/>
  <c r="BG294" i="4"/>
  <c r="BH294" i="4" s="1"/>
  <c r="BH317" i="4"/>
  <c r="AY321" i="4"/>
  <c r="BD321" i="4"/>
  <c r="AW321" i="4"/>
  <c r="BJ321" i="4" s="1"/>
  <c r="AH286" i="4"/>
  <c r="AI286" i="4" s="1"/>
  <c r="BD280" i="4"/>
  <c r="AY280" i="4"/>
  <c r="AW280" i="4"/>
  <c r="BJ280" i="4" s="1"/>
  <c r="BG293" i="4"/>
  <c r="AK291" i="4"/>
  <c r="BF318" i="4"/>
  <c r="AK318" i="4"/>
  <c r="BG253" i="4"/>
  <c r="BG219" i="4"/>
  <c r="BH219" i="4" s="1"/>
  <c r="BG226" i="4"/>
  <c r="BF228" i="4"/>
  <c r="AK228" i="4"/>
  <c r="BG171" i="4"/>
  <c r="BF200" i="4"/>
  <c r="AK200" i="4"/>
  <c r="BF202" i="4"/>
  <c r="AK202" i="4"/>
  <c r="BG229" i="4"/>
  <c r="BG204" i="4"/>
  <c r="BG220" i="4"/>
  <c r="AH193" i="4"/>
  <c r="AI193" i="4" s="1"/>
  <c r="BG187" i="4"/>
  <c r="AK305" i="4"/>
  <c r="BG167" i="4"/>
  <c r="AK227" i="4"/>
  <c r="AK145" i="4"/>
  <c r="BG128" i="4"/>
  <c r="BH128" i="4" s="1"/>
  <c r="AH159" i="4"/>
  <c r="AI159" i="4" s="1"/>
  <c r="BG105" i="4"/>
  <c r="BH105" i="4" s="1"/>
  <c r="BG155" i="4"/>
  <c r="BD160" i="4"/>
  <c r="AW160" i="4"/>
  <c r="BJ160" i="4" s="1"/>
  <c r="BD193" i="4"/>
  <c r="AW193" i="4"/>
  <c r="BJ193" i="4" s="1"/>
  <c r="BG145" i="4"/>
  <c r="BG131" i="4"/>
  <c r="BG118" i="4"/>
  <c r="BF68" i="4"/>
  <c r="BH68" i="4" s="1"/>
  <c r="AK68" i="4"/>
  <c r="BF106" i="4"/>
  <c r="AK106" i="4"/>
  <c r="BF87" i="4"/>
  <c r="AK87" i="4"/>
  <c r="AK53" i="4"/>
  <c r="BF53" i="4"/>
  <c r="BH53" i="4" s="1"/>
  <c r="BG93" i="4"/>
  <c r="BF116" i="4"/>
  <c r="AK116" i="4"/>
  <c r="BG109" i="4"/>
  <c r="BH82" i="4"/>
  <c r="AK44" i="4"/>
  <c r="BF44" i="4"/>
  <c r="AK24" i="4"/>
  <c r="BF24" i="4"/>
  <c r="BH24" i="4" s="1"/>
  <c r="BG18" i="4"/>
  <c r="BG40" i="4"/>
  <c r="AK41" i="4"/>
  <c r="BF41" i="4"/>
  <c r="BH41" i="4" s="1"/>
  <c r="BG6" i="4"/>
  <c r="BH79" i="4"/>
  <c r="BH122" i="4"/>
  <c r="AK27" i="4"/>
  <c r="BF27" i="4"/>
  <c r="BH27" i="4" s="1"/>
  <c r="BF4" i="4"/>
  <c r="AK4" i="4"/>
  <c r="BF544" i="4"/>
  <c r="BH544" i="4" s="1"/>
  <c r="AK544" i="4"/>
  <c r="BD581" i="4"/>
  <c r="AY581" i="4"/>
  <c r="AW581" i="4"/>
  <c r="BJ581" i="4" s="1"/>
  <c r="AM526" i="4"/>
  <c r="BC526" i="4"/>
  <c r="BG490" i="4"/>
  <c r="BG432" i="4"/>
  <c r="BF408" i="4"/>
  <c r="BH408" i="4" s="1"/>
  <c r="AK408" i="4"/>
  <c r="BG431" i="4"/>
  <c r="BG347" i="4"/>
  <c r="BG272" i="4"/>
  <c r="BH272" i="4" s="1"/>
  <c r="AY299" i="4"/>
  <c r="BD299" i="4"/>
  <c r="AW299" i="4"/>
  <c r="BJ299" i="4" s="1"/>
  <c r="BD274" i="4"/>
  <c r="AY274" i="4"/>
  <c r="AW274" i="4"/>
  <c r="BJ274" i="4" s="1"/>
  <c r="BG572" i="4"/>
  <c r="BF587" i="4"/>
  <c r="BH587" i="4" s="1"/>
  <c r="AK587" i="4"/>
  <c r="AH572" i="4"/>
  <c r="AI572" i="4" s="1"/>
  <c r="BD551" i="4"/>
  <c r="AW551" i="4"/>
  <c r="BJ551" i="4" s="1"/>
  <c r="BG577" i="4"/>
  <c r="AM554" i="4"/>
  <c r="BC554" i="4"/>
  <c r="BG531" i="4"/>
  <c r="BG564" i="4"/>
  <c r="BF543" i="4"/>
  <c r="BH543" i="4" s="1"/>
  <c r="AK543" i="4"/>
  <c r="BG520" i="4"/>
  <c r="BH520" i="4" s="1"/>
  <c r="BG485" i="4"/>
  <c r="BH485" i="4" s="1"/>
  <c r="BF475" i="4"/>
  <c r="BH475" i="4" s="1"/>
  <c r="AK475" i="4"/>
  <c r="BF450" i="4"/>
  <c r="AK450" i="4"/>
  <c r="AY481" i="4"/>
  <c r="BD481" i="4"/>
  <c r="AW481" i="4"/>
  <c r="BJ481" i="4" s="1"/>
  <c r="BG367" i="4"/>
  <c r="BH367" i="4" s="1"/>
  <c r="BG435" i="4"/>
  <c r="BG386" i="4"/>
  <c r="AK390" i="4"/>
  <c r="BF390" i="4"/>
  <c r="BC404" i="4"/>
  <c r="AM404" i="4"/>
  <c r="BG353" i="4"/>
  <c r="BF334" i="4"/>
  <c r="BH334" i="4" s="1"/>
  <c r="AK334" i="4"/>
  <c r="BG340" i="4"/>
  <c r="BH378" i="4"/>
  <c r="BF324" i="4"/>
  <c r="AK324" i="4"/>
  <c r="BG360" i="4"/>
  <c r="BG290" i="4"/>
  <c r="AY312" i="4"/>
  <c r="BD312" i="4"/>
  <c r="AW312" i="4"/>
  <c r="BJ312" i="4" s="1"/>
  <c r="AK301" i="4"/>
  <c r="BF301" i="4"/>
  <c r="AK259" i="4"/>
  <c r="BF259" i="4"/>
  <c r="BH259" i="4" s="1"/>
  <c r="AH285" i="4"/>
  <c r="AI285" i="4" s="1"/>
  <c r="BD278" i="4"/>
  <c r="AW278" i="4"/>
  <c r="BJ278" i="4" s="1"/>
  <c r="AY278" i="4"/>
  <c r="AK295" i="4"/>
  <c r="AY250" i="4"/>
  <c r="AW250" i="4"/>
  <c r="BJ250" i="4" s="1"/>
  <c r="BD250" i="4"/>
  <c r="BD249" i="4"/>
  <c r="AY249" i="4"/>
  <c r="AW249" i="4"/>
  <c r="BJ249" i="4" s="1"/>
  <c r="BG252" i="4"/>
  <c r="BG221" i="4"/>
  <c r="BH221" i="4" s="1"/>
  <c r="BG170" i="4"/>
  <c r="BG192" i="4"/>
  <c r="BH192" i="4" s="1"/>
  <c r="BG189" i="4"/>
  <c r="BH189" i="4" s="1"/>
  <c r="AK233" i="4"/>
  <c r="BF203" i="4"/>
  <c r="AK203" i="4"/>
  <c r="AH157" i="4"/>
  <c r="AI157" i="4" s="1"/>
  <c r="AH190" i="4"/>
  <c r="AI190" i="4" s="1"/>
  <c r="BG146" i="4"/>
  <c r="BG133" i="4"/>
  <c r="BF80" i="4"/>
  <c r="BH80" i="4" s="1"/>
  <c r="AK80" i="4"/>
  <c r="AK128" i="4"/>
  <c r="BG106" i="4"/>
  <c r="BG85" i="4"/>
  <c r="BH85" i="4" s="1"/>
  <c r="AK52" i="4"/>
  <c r="BF52" i="4"/>
  <c r="BH52" i="4" s="1"/>
  <c r="BF132" i="4"/>
  <c r="BH132" i="4" s="1"/>
  <c r="AK132" i="4"/>
  <c r="BG116" i="4"/>
  <c r="BG150" i="4"/>
  <c r="AY120" i="4"/>
  <c r="BD120" i="4"/>
  <c r="AW120" i="4"/>
  <c r="BJ120" i="4" s="1"/>
  <c r="BG70" i="4"/>
  <c r="AK107" i="4"/>
  <c r="BG81" i="4"/>
  <c r="BG30" i="4"/>
  <c r="BG31" i="4"/>
  <c r="BH31" i="4" s="1"/>
  <c r="AK130" i="4"/>
  <c r="AK51" i="4"/>
  <c r="BF51" i="4"/>
  <c r="BH51" i="4" s="1"/>
  <c r="AK67" i="4"/>
  <c r="BH29" i="4"/>
  <c r="BF6" i="4"/>
  <c r="AK6" i="4"/>
  <c r="BD6" i="3"/>
  <c r="AW6" i="3"/>
  <c r="BJ6" i="3" s="1"/>
  <c r="AH8" i="3"/>
  <c r="AI8" i="3" s="1"/>
  <c r="BF8" i="3" s="1"/>
  <c r="BH8" i="3" s="1"/>
  <c r="BD8" i="3"/>
  <c r="AW8" i="3"/>
  <c r="BJ8" i="3" s="1"/>
  <c r="BD4" i="3"/>
  <c r="AY4" i="3"/>
  <c r="AW4" i="3"/>
  <c r="BJ4" i="3" s="1"/>
  <c r="BD5" i="3"/>
  <c r="AY5" i="3"/>
  <c r="AW5" i="3"/>
  <c r="BJ5" i="3" s="1"/>
  <c r="BG8" i="3"/>
  <c r="BG7" i="3"/>
  <c r="BH7" i="3" s="1"/>
  <c r="BF4" i="3"/>
  <c r="AK4" i="3"/>
  <c r="BG6" i="3"/>
  <c r="BF5" i="3"/>
  <c r="AK5" i="3"/>
  <c r="AH4" i="2"/>
  <c r="AI4" i="2" s="1"/>
  <c r="BF4" i="2" s="1"/>
  <c r="BG5" i="3"/>
  <c r="BF6" i="3"/>
  <c r="AK6" i="3"/>
  <c r="AH10" i="2"/>
  <c r="AI10" i="2" s="1"/>
  <c r="BF10" i="2" s="1"/>
  <c r="BG4" i="3"/>
  <c r="AK7" i="3"/>
  <c r="BD9" i="2"/>
  <c r="AW9" i="2"/>
  <c r="BJ9" i="2" s="1"/>
  <c r="AH5" i="2"/>
  <c r="AI5" i="2" s="1"/>
  <c r="BF5" i="2" s="1"/>
  <c r="BD10" i="2"/>
  <c r="AW10" i="2"/>
  <c r="BJ10" i="2" s="1"/>
  <c r="AY5" i="2"/>
  <c r="AW5" i="2"/>
  <c r="BJ5" i="2" s="1"/>
  <c r="BD5" i="2"/>
  <c r="BD8" i="2"/>
  <c r="AW8" i="2"/>
  <c r="BJ8" i="2" s="1"/>
  <c r="AH6" i="2"/>
  <c r="AI6" i="2" s="1"/>
  <c r="BF6" i="2" s="1"/>
  <c r="AH9" i="2"/>
  <c r="AI9" i="2" s="1"/>
  <c r="BD7" i="2"/>
  <c r="AW7" i="2"/>
  <c r="BJ7" i="2" s="1"/>
  <c r="BG7" i="2"/>
  <c r="BH7" i="2" s="1"/>
  <c r="BG5" i="2"/>
  <c r="BG4" i="2"/>
  <c r="BG6" i="2"/>
  <c r="BG10" i="2"/>
  <c r="BG9" i="2"/>
  <c r="AK7" i="2"/>
  <c r="BG8" i="2"/>
  <c r="AM413" i="4" l="1"/>
  <c r="BC413" i="4"/>
  <c r="BH327" i="4"/>
  <c r="BF180" i="4"/>
  <c r="BH180" i="4" s="1"/>
  <c r="BH4" i="4"/>
  <c r="BH229" i="4"/>
  <c r="BF464" i="4"/>
  <c r="BH464" i="4" s="1"/>
  <c r="BH32" i="4"/>
  <c r="BC580" i="4"/>
  <c r="BF447" i="4"/>
  <c r="AK78" i="4"/>
  <c r="BH231" i="4"/>
  <c r="BF255" i="4"/>
  <c r="BH255" i="4" s="1"/>
  <c r="AK494" i="4"/>
  <c r="BF593" i="4"/>
  <c r="BF62" i="4"/>
  <c r="BH62" i="4" s="1"/>
  <c r="BF413" i="4"/>
  <c r="BH413" i="4" s="1"/>
  <c r="BF381" i="4"/>
  <c r="AK576" i="4"/>
  <c r="BH348" i="4"/>
  <c r="BF265" i="4"/>
  <c r="BH265" i="4" s="1"/>
  <c r="AK231" i="4"/>
  <c r="AM231" i="4" s="1"/>
  <c r="AK549" i="4"/>
  <c r="BC549" i="4" s="1"/>
  <c r="BF503" i="4"/>
  <c r="BH503" i="4" s="1"/>
  <c r="AK503" i="4"/>
  <c r="BC199" i="4"/>
  <c r="AK487" i="4"/>
  <c r="BH145" i="4"/>
  <c r="AK184" i="4"/>
  <c r="AK140" i="4"/>
  <c r="AK238" i="4"/>
  <c r="AK235" i="4"/>
  <c r="AM235" i="4" s="1"/>
  <c r="BH138" i="4"/>
  <c r="BH584" i="4"/>
  <c r="BF296" i="4"/>
  <c r="BH296" i="4" s="1"/>
  <c r="AK586" i="4"/>
  <c r="BC586" i="4" s="1"/>
  <c r="AK410" i="4"/>
  <c r="BH307" i="4"/>
  <c r="BC63" i="4"/>
  <c r="BF263" i="4"/>
  <c r="BF264" i="4"/>
  <c r="BH264" i="4" s="1"/>
  <c r="BF173" i="4"/>
  <c r="AK120" i="4"/>
  <c r="AK163" i="4"/>
  <c r="BF260" i="4"/>
  <c r="BH260" i="4" s="1"/>
  <c r="BF45" i="4"/>
  <c r="BF191" i="4"/>
  <c r="AK86" i="4"/>
  <c r="AM86" i="4" s="1"/>
  <c r="BH235" i="4"/>
  <c r="BF57" i="4"/>
  <c r="BH57" i="4" s="1"/>
  <c r="AK201" i="4"/>
  <c r="AK534" i="4"/>
  <c r="AK414" i="4"/>
  <c r="BH342" i="4"/>
  <c r="AK32" i="4"/>
  <c r="BH539" i="4"/>
  <c r="BF436" i="4"/>
  <c r="BH436" i="4" s="1"/>
  <c r="AK138" i="4"/>
  <c r="BH147" i="4"/>
  <c r="AM521" i="4"/>
  <c r="BC521" i="4"/>
  <c r="AK242" i="4"/>
  <c r="BF545" i="4"/>
  <c r="BH545" i="4" s="1"/>
  <c r="AK185" i="4"/>
  <c r="BF290" i="4"/>
  <c r="AM497" i="4"/>
  <c r="BC523" i="4"/>
  <c r="AK379" i="4"/>
  <c r="AM379" i="4" s="1"/>
  <c r="BH311" i="4"/>
  <c r="BF504" i="4"/>
  <c r="BH504" i="4" s="1"/>
  <c r="AK504" i="4"/>
  <c r="AK141" i="4"/>
  <c r="AM141" i="4" s="1"/>
  <c r="BH339" i="4"/>
  <c r="BH335" i="4"/>
  <c r="BH341" i="4"/>
  <c r="BH515" i="4"/>
  <c r="BC562" i="4"/>
  <c r="BH510" i="4"/>
  <c r="AK7" i="4"/>
  <c r="AK353" i="4"/>
  <c r="BH228" i="4"/>
  <c r="BF167" i="4"/>
  <c r="BH167" i="4" s="1"/>
  <c r="BF55" i="4"/>
  <c r="BH55" i="4" s="1"/>
  <c r="BH208" i="4"/>
  <c r="AM222" i="4"/>
  <c r="BC31" i="4"/>
  <c r="BH257" i="4"/>
  <c r="BH491" i="4"/>
  <c r="BH87" i="4"/>
  <c r="AK311" i="4"/>
  <c r="BC520" i="4"/>
  <c r="BH480" i="4"/>
  <c r="AK555" i="4"/>
  <c r="AM549" i="4"/>
  <c r="BC424" i="4"/>
  <c r="AQ424" i="4" s="1"/>
  <c r="AK147" i="4"/>
  <c r="AM147" i="4" s="1"/>
  <c r="BH591" i="4"/>
  <c r="BH482" i="4"/>
  <c r="BH141" i="4"/>
  <c r="BF36" i="4"/>
  <c r="BH331" i="4"/>
  <c r="BF177" i="4"/>
  <c r="AK480" i="4"/>
  <c r="AK323" i="4"/>
  <c r="AK491" i="4"/>
  <c r="BH127" i="4"/>
  <c r="BH44" i="4"/>
  <c r="BF10" i="4"/>
  <c r="BH10" i="4" s="1"/>
  <c r="BH7" i="4"/>
  <c r="BH325" i="4"/>
  <c r="AK171" i="4"/>
  <c r="BF254" i="4"/>
  <c r="BH493" i="4"/>
  <c r="BF521" i="4"/>
  <c r="BF168" i="4"/>
  <c r="BH168" i="4" s="1"/>
  <c r="AM411" i="4"/>
  <c r="AK60" i="4"/>
  <c r="BH379" i="4"/>
  <c r="AK216" i="4"/>
  <c r="BC216" i="4" s="1"/>
  <c r="AK272" i="4"/>
  <c r="AK208" i="4"/>
  <c r="BH344" i="4"/>
  <c r="BF164" i="4"/>
  <c r="AK38" i="4"/>
  <c r="AM64" i="4"/>
  <c r="BH207" i="4"/>
  <c r="BH282" i="4"/>
  <c r="AK510" i="4"/>
  <c r="AK438" i="4"/>
  <c r="AK224" i="4"/>
  <c r="BC224" i="4" s="1"/>
  <c r="BF398" i="4"/>
  <c r="BH398" i="4" s="1"/>
  <c r="AK421" i="4"/>
  <c r="AK366" i="4"/>
  <c r="BC366" i="4" s="1"/>
  <c r="AK405" i="4"/>
  <c r="BF267" i="4"/>
  <c r="BF550" i="4"/>
  <c r="BH550" i="4" s="1"/>
  <c r="AK495" i="4"/>
  <c r="AK342" i="4"/>
  <c r="BH405" i="4"/>
  <c r="BC246" i="4"/>
  <c r="BH374" i="4"/>
  <c r="AK440" i="4"/>
  <c r="AM440" i="4" s="1"/>
  <c r="AK589" i="4"/>
  <c r="AM589" i="4" s="1"/>
  <c r="BC268" i="4"/>
  <c r="AP268" i="4" s="1"/>
  <c r="BE268" i="4" s="1"/>
  <c r="AR268" i="4" s="1"/>
  <c r="AS268" i="4" s="1"/>
  <c r="AZ268" i="4" s="1"/>
  <c r="BH217" i="4"/>
  <c r="BF34" i="4"/>
  <c r="BH34" i="4" s="1"/>
  <c r="BF310" i="4"/>
  <c r="BH310" i="4" s="1"/>
  <c r="BH556" i="4"/>
  <c r="BH521" i="4"/>
  <c r="BF581" i="4"/>
  <c r="BH581" i="4" s="1"/>
  <c r="BH302" i="4"/>
  <c r="AK496" i="4"/>
  <c r="BH528" i="4"/>
  <c r="BF292" i="4"/>
  <c r="BH292" i="4" s="1"/>
  <c r="BC585" i="4"/>
  <c r="AQ585" i="4" s="1"/>
  <c r="AK281" i="4"/>
  <c r="BH449" i="4"/>
  <c r="AK134" i="4"/>
  <c r="BC134" i="4" s="1"/>
  <c r="AK327" i="4"/>
  <c r="BC327" i="4" s="1"/>
  <c r="BF287" i="4"/>
  <c r="BH287" i="4" s="1"/>
  <c r="AK287" i="4"/>
  <c r="AM416" i="4"/>
  <c r="BF514" i="4"/>
  <c r="AK212" i="4"/>
  <c r="AK553" i="4"/>
  <c r="AK568" i="4"/>
  <c r="AM568" i="4" s="1"/>
  <c r="BF19" i="4"/>
  <c r="BH19" i="4" s="1"/>
  <c r="BF20" i="4"/>
  <c r="BH20" i="4" s="1"/>
  <c r="BH457" i="4"/>
  <c r="AK229" i="4"/>
  <c r="BH381" i="4"/>
  <c r="AK383" i="4"/>
  <c r="BC231" i="4"/>
  <c r="BC235" i="4"/>
  <c r="BF418" i="4"/>
  <c r="BH418" i="4" s="1"/>
  <c r="AK418" i="4"/>
  <c r="AK121" i="4"/>
  <c r="BF161" i="4"/>
  <c r="BF175" i="4"/>
  <c r="BH175" i="4" s="1"/>
  <c r="AK374" i="4"/>
  <c r="AK217" i="4"/>
  <c r="BC217" i="4" s="1"/>
  <c r="AK258" i="4"/>
  <c r="BH269" i="4"/>
  <c r="AK221" i="4"/>
  <c r="BH324" i="4"/>
  <c r="BH72" i="4"/>
  <c r="BH214" i="4"/>
  <c r="AM378" i="4"/>
  <c r="BH538" i="4"/>
  <c r="AM368" i="4"/>
  <c r="BH76" i="4"/>
  <c r="BH111" i="4"/>
  <c r="AM245" i="4"/>
  <c r="BH318" i="4"/>
  <c r="BC498" i="4"/>
  <c r="BF253" i="4"/>
  <c r="BF8" i="2"/>
  <c r="BH201" i="4"/>
  <c r="BC88" i="4"/>
  <c r="BH319" i="4"/>
  <c r="AK76" i="4"/>
  <c r="AK332" i="4"/>
  <c r="BC332" i="4" s="1"/>
  <c r="BF426" i="4"/>
  <c r="BH426" i="4" s="1"/>
  <c r="AK426" i="4"/>
  <c r="BH185" i="4"/>
  <c r="AK111" i="4"/>
  <c r="BH338" i="4"/>
  <c r="AK482" i="4"/>
  <c r="BH447" i="4"/>
  <c r="BH376" i="4"/>
  <c r="AK595" i="4"/>
  <c r="BC566" i="4"/>
  <c r="AK8" i="3"/>
  <c r="BH197" i="4"/>
  <c r="BF427" i="4"/>
  <c r="BH427" i="4" s="1"/>
  <c r="AK427" i="4"/>
  <c r="BH251" i="4"/>
  <c r="BH565" i="4"/>
  <c r="BH352" i="4"/>
  <c r="BH589" i="4"/>
  <c r="AK61" i="4"/>
  <c r="BH112" i="4"/>
  <c r="AK420" i="4"/>
  <c r="BC420" i="4" s="1"/>
  <c r="BH568" i="4"/>
  <c r="BF557" i="4"/>
  <c r="BH557" i="4" s="1"/>
  <c r="AK557" i="4"/>
  <c r="BH345" i="4"/>
  <c r="AM512" i="4"/>
  <c r="AS512" i="4" s="1"/>
  <c r="AZ512" i="4" s="1"/>
  <c r="AK269" i="4"/>
  <c r="AM269" i="4" s="1"/>
  <c r="BH484" i="4"/>
  <c r="BC379" i="4"/>
  <c r="AK160" i="4"/>
  <c r="BH230" i="4"/>
  <c r="BH263" i="4"/>
  <c r="AM477" i="4"/>
  <c r="BF241" i="4"/>
  <c r="BH241" i="4" s="1"/>
  <c r="AK241" i="4"/>
  <c r="BC243" i="4"/>
  <c r="AM243" i="4"/>
  <c r="BH460" i="4"/>
  <c r="BH92" i="4"/>
  <c r="AK490" i="4"/>
  <c r="BF500" i="4"/>
  <c r="BH500" i="4" s="1"/>
  <c r="AK500" i="4"/>
  <c r="BH390" i="4"/>
  <c r="BH202" i="4"/>
  <c r="BH8" i="4"/>
  <c r="BH13" i="4"/>
  <c r="BH446" i="4"/>
  <c r="BF59" i="4"/>
  <c r="BH59" i="4" s="1"/>
  <c r="AK59" i="4"/>
  <c r="BH4" i="2"/>
  <c r="BF322" i="4"/>
  <c r="BH322" i="4" s="1"/>
  <c r="AK322" i="4"/>
  <c r="BF422" i="4"/>
  <c r="BH422" i="4" s="1"/>
  <c r="AK422" i="4"/>
  <c r="AK439" i="4"/>
  <c r="BC439" i="4" s="1"/>
  <c r="BH332" i="4"/>
  <c r="AK277" i="4"/>
  <c r="BF277" i="4"/>
  <c r="BH277" i="4" s="1"/>
  <c r="BF154" i="4"/>
  <c r="BH154" i="4" s="1"/>
  <c r="AK154" i="4"/>
  <c r="BC239" i="4"/>
  <c r="AM239" i="4"/>
  <c r="BH561" i="4"/>
  <c r="AK82" i="4"/>
  <c r="BH216" i="4"/>
  <c r="BF9" i="4"/>
  <c r="BH9" i="4" s="1"/>
  <c r="AK9" i="4"/>
  <c r="BH203" i="4"/>
  <c r="BH200" i="4"/>
  <c r="BH402" i="4"/>
  <c r="AK115" i="4"/>
  <c r="BC115" i="4" s="1"/>
  <c r="BH142" i="4"/>
  <c r="BF425" i="4"/>
  <c r="BH425" i="4" s="1"/>
  <c r="AK425" i="4"/>
  <c r="BF237" i="4"/>
  <c r="BH237" i="4" s="1"/>
  <c r="AK237" i="4"/>
  <c r="AK456" i="4"/>
  <c r="BH442" i="4"/>
  <c r="BH567" i="4"/>
  <c r="AM134" i="4"/>
  <c r="AM485" i="4"/>
  <c r="BH450" i="4"/>
  <c r="AK4" i="2"/>
  <c r="AM4" i="2" s="1"/>
  <c r="BH346" i="4"/>
  <c r="BH37" i="4"/>
  <c r="BH490" i="4"/>
  <c r="BH121" i="4"/>
  <c r="BH301" i="4"/>
  <c r="BH393" i="4"/>
  <c r="BH297" i="4"/>
  <c r="BF592" i="4"/>
  <c r="BH592" i="4" s="1"/>
  <c r="AK592" i="4"/>
  <c r="BC130" i="4"/>
  <c r="AM130" i="4"/>
  <c r="BC203" i="4"/>
  <c r="AM203" i="4"/>
  <c r="AQ554" i="4"/>
  <c r="AP554" i="4"/>
  <c r="BE554" i="4" s="1"/>
  <c r="AR554" i="4" s="1"/>
  <c r="AS554" i="4" s="1"/>
  <c r="AZ554" i="4" s="1"/>
  <c r="BC208" i="4"/>
  <c r="AM208" i="4"/>
  <c r="AP245" i="4"/>
  <c r="BE245" i="4" s="1"/>
  <c r="AR245" i="4" s="1"/>
  <c r="AQ245" i="4"/>
  <c r="BC346" i="4"/>
  <c r="AM346" i="4"/>
  <c r="BC344" i="4"/>
  <c r="AM344" i="4"/>
  <c r="BC382" i="4"/>
  <c r="AM382" i="4"/>
  <c r="AQ419" i="4"/>
  <c r="AP419" i="4"/>
  <c r="AM529" i="4"/>
  <c r="BC529" i="4"/>
  <c r="AM561" i="4"/>
  <c r="BC561" i="4"/>
  <c r="BC33" i="4"/>
  <c r="AM33" i="4"/>
  <c r="AM10" i="4"/>
  <c r="BC10" i="4"/>
  <c r="BC109" i="4"/>
  <c r="AM109" i="4"/>
  <c r="AM83" i="4"/>
  <c r="BC83" i="4"/>
  <c r="BC167" i="4"/>
  <c r="AM167" i="4"/>
  <c r="AM252" i="4"/>
  <c r="BC252" i="4"/>
  <c r="AM564" i="4"/>
  <c r="BC564" i="4"/>
  <c r="AM7" i="4"/>
  <c r="BC7" i="4"/>
  <c r="BC311" i="4"/>
  <c r="AM311" i="4"/>
  <c r="BC262" i="4"/>
  <c r="AM262" i="4"/>
  <c r="AM72" i="4"/>
  <c r="BC72" i="4"/>
  <c r="BH170" i="4"/>
  <c r="BC348" i="4"/>
  <c r="AM348" i="4"/>
  <c r="BC52" i="4"/>
  <c r="AM52" i="4"/>
  <c r="AK285" i="4"/>
  <c r="BF285" i="4"/>
  <c r="BH285" i="4" s="1"/>
  <c r="AM68" i="4"/>
  <c r="BC68" i="4"/>
  <c r="BF193" i="4"/>
  <c r="BH193" i="4" s="1"/>
  <c r="AK193" i="4"/>
  <c r="AM200" i="4"/>
  <c r="BC200" i="4"/>
  <c r="BH109" i="4"/>
  <c r="AM469" i="4"/>
  <c r="BC469" i="4"/>
  <c r="AM511" i="4"/>
  <c r="BC511" i="4"/>
  <c r="BH564" i="4"/>
  <c r="AQ199" i="4"/>
  <c r="AP199" i="4"/>
  <c r="BE199" i="4" s="1"/>
  <c r="AR199" i="4" s="1"/>
  <c r="AS199" i="4" s="1"/>
  <c r="AZ199" i="4" s="1"/>
  <c r="AM94" i="4"/>
  <c r="BC94" i="4"/>
  <c r="BF354" i="4"/>
  <c r="BH354" i="4" s="1"/>
  <c r="AK354" i="4"/>
  <c r="BF434" i="4"/>
  <c r="BH434" i="4" s="1"/>
  <c r="AK434" i="4"/>
  <c r="BC129" i="4"/>
  <c r="AM129" i="4"/>
  <c r="BC194" i="4"/>
  <c r="AM194" i="4"/>
  <c r="BC206" i="4"/>
  <c r="AM206" i="4"/>
  <c r="BH5" i="3"/>
  <c r="BC32" i="4"/>
  <c r="AM32" i="4"/>
  <c r="AM233" i="4"/>
  <c r="BC233" i="4"/>
  <c r="AM450" i="4"/>
  <c r="BC450" i="4"/>
  <c r="AM27" i="4"/>
  <c r="BC27" i="4"/>
  <c r="BC116" i="4"/>
  <c r="AM116" i="4"/>
  <c r="AQ79" i="4"/>
  <c r="AP79" i="4"/>
  <c r="BE79" i="4" s="1"/>
  <c r="AR79" i="4" s="1"/>
  <c r="AS79" i="4" s="1"/>
  <c r="AZ79" i="4" s="1"/>
  <c r="BC282" i="4"/>
  <c r="AM282" i="4"/>
  <c r="AM442" i="4"/>
  <c r="BC442" i="4"/>
  <c r="AM522" i="4"/>
  <c r="BC522" i="4"/>
  <c r="AM537" i="4"/>
  <c r="BC537" i="4"/>
  <c r="AM560" i="4"/>
  <c r="BC560" i="4"/>
  <c r="AM591" i="4"/>
  <c r="BC591" i="4"/>
  <c r="BC211" i="4"/>
  <c r="AM211" i="4"/>
  <c r="BC496" i="4"/>
  <c r="AM496" i="4"/>
  <c r="AM6" i="4"/>
  <c r="BC6" i="4"/>
  <c r="AQ416" i="4"/>
  <c r="AP416" i="4"/>
  <c r="BC545" i="4"/>
  <c r="AM545" i="4"/>
  <c r="AP526" i="4"/>
  <c r="BE526" i="4" s="1"/>
  <c r="AR526" i="4" s="1"/>
  <c r="AS526" i="4" s="1"/>
  <c r="AZ526" i="4" s="1"/>
  <c r="AQ526" i="4"/>
  <c r="BH116" i="4"/>
  <c r="AK286" i="4"/>
  <c r="BF286" i="4"/>
  <c r="BH286" i="4" s="1"/>
  <c r="BC345" i="4"/>
  <c r="AM345" i="4"/>
  <c r="BC118" i="4"/>
  <c r="AM118" i="4"/>
  <c r="BC125" i="4"/>
  <c r="AM125" i="4"/>
  <c r="AM316" i="4"/>
  <c r="BC316" i="4"/>
  <c r="AM60" i="4"/>
  <c r="BC60" i="4"/>
  <c r="BC133" i="4"/>
  <c r="AM133" i="4"/>
  <c r="BC169" i="4"/>
  <c r="AM169" i="4"/>
  <c r="AM430" i="4"/>
  <c r="BC430" i="4"/>
  <c r="AM78" i="4"/>
  <c r="BC78" i="4"/>
  <c r="AM236" i="4"/>
  <c r="BC236" i="4"/>
  <c r="AM57" i="4"/>
  <c r="BC57" i="4"/>
  <c r="BH6" i="4"/>
  <c r="AM259" i="4"/>
  <c r="BC259" i="4"/>
  <c r="AQ549" i="4"/>
  <c r="AP549" i="4"/>
  <c r="AM581" i="4"/>
  <c r="BC581" i="4"/>
  <c r="BC121" i="4"/>
  <c r="AM121" i="4"/>
  <c r="AM145" i="4"/>
  <c r="BC145" i="4"/>
  <c r="BC318" i="4"/>
  <c r="AM318" i="4"/>
  <c r="BF356" i="4"/>
  <c r="BH356" i="4" s="1"/>
  <c r="AK356" i="4"/>
  <c r="AM524" i="4"/>
  <c r="BC524" i="4"/>
  <c r="AM73" i="4"/>
  <c r="BC73" i="4"/>
  <c r="BC54" i="4"/>
  <c r="AM54" i="4"/>
  <c r="BH118" i="4"/>
  <c r="AP248" i="4"/>
  <c r="BE248" i="4" s="1"/>
  <c r="AR248" i="4" s="1"/>
  <c r="AS248" i="4" s="1"/>
  <c r="AZ248" i="4" s="1"/>
  <c r="AQ248" i="4"/>
  <c r="BC261" i="4"/>
  <c r="AM261" i="4"/>
  <c r="BC55" i="4"/>
  <c r="AM55" i="4"/>
  <c r="BC111" i="4"/>
  <c r="AM111" i="4"/>
  <c r="BH133" i="4"/>
  <c r="AM156" i="4"/>
  <c r="BC156" i="4"/>
  <c r="BC335" i="4"/>
  <c r="AM335" i="4"/>
  <c r="BC191" i="4"/>
  <c r="AM191" i="4"/>
  <c r="BC165" i="4"/>
  <c r="AM165" i="4"/>
  <c r="AM475" i="4"/>
  <c r="BC475" i="4"/>
  <c r="AM260" i="4"/>
  <c r="BC260" i="4"/>
  <c r="BC476" i="4"/>
  <c r="AM476" i="4"/>
  <c r="BC339" i="4"/>
  <c r="AM339" i="4"/>
  <c r="AM436" i="4"/>
  <c r="BC436" i="4"/>
  <c r="AM530" i="4"/>
  <c r="BC530" i="4"/>
  <c r="BF70" i="4"/>
  <c r="BH70" i="4" s="1"/>
  <c r="AK70" i="4"/>
  <c r="BC484" i="4"/>
  <c r="AM484" i="4"/>
  <c r="AM56" i="4"/>
  <c r="BC56" i="4"/>
  <c r="BH165" i="4"/>
  <c r="AM67" i="4"/>
  <c r="BC67" i="4"/>
  <c r="AM324" i="4"/>
  <c r="BC324" i="4"/>
  <c r="AQ404" i="4"/>
  <c r="AP404" i="4"/>
  <c r="AM543" i="4"/>
  <c r="BC543" i="4"/>
  <c r="BC24" i="4"/>
  <c r="AM24" i="4"/>
  <c r="BC228" i="4"/>
  <c r="AM228" i="4"/>
  <c r="AM182" i="4"/>
  <c r="BC182" i="4"/>
  <c r="BC207" i="4"/>
  <c r="AM207" i="4"/>
  <c r="BC230" i="4"/>
  <c r="AM230" i="4"/>
  <c r="BC304" i="4"/>
  <c r="AM304" i="4"/>
  <c r="BH40" i="4"/>
  <c r="AM186" i="4"/>
  <c r="BC186" i="4"/>
  <c r="AM232" i="4"/>
  <c r="BC232" i="4"/>
  <c r="AM288" i="4"/>
  <c r="BC288" i="4"/>
  <c r="BC128" i="4"/>
  <c r="AM128" i="4"/>
  <c r="BF190" i="4"/>
  <c r="BH190" i="4" s="1"/>
  <c r="AK190" i="4"/>
  <c r="BC301" i="4"/>
  <c r="AM301" i="4"/>
  <c r="AM447" i="4"/>
  <c r="BC447" i="4"/>
  <c r="BC53" i="4"/>
  <c r="AM53" i="4"/>
  <c r="BC227" i="4"/>
  <c r="AM227" i="4"/>
  <c r="BC381" i="4"/>
  <c r="AM381" i="4"/>
  <c r="AQ498" i="4"/>
  <c r="AP498" i="4"/>
  <c r="BC539" i="4"/>
  <c r="AM539" i="4"/>
  <c r="BC185" i="4"/>
  <c r="AM185" i="4"/>
  <c r="BC226" i="4"/>
  <c r="AM226" i="4"/>
  <c r="AM102" i="4"/>
  <c r="BC102" i="4"/>
  <c r="AM89" i="4"/>
  <c r="BC89" i="4"/>
  <c r="AM293" i="4"/>
  <c r="BC293" i="4"/>
  <c r="AM467" i="4"/>
  <c r="BC467" i="4"/>
  <c r="AQ64" i="4"/>
  <c r="AP64" i="4"/>
  <c r="BE64" i="4" s="1"/>
  <c r="AR64" i="4" s="1"/>
  <c r="AS64" i="4" s="1"/>
  <c r="AZ64" i="4" s="1"/>
  <c r="AM80" i="4"/>
  <c r="BC80" i="4"/>
  <c r="BF157" i="4"/>
  <c r="BH157" i="4" s="1"/>
  <c r="AK157" i="4"/>
  <c r="AM180" i="4"/>
  <c r="BC180" i="4"/>
  <c r="BC390" i="4"/>
  <c r="AM390" i="4"/>
  <c r="BC408" i="4"/>
  <c r="AM408" i="4"/>
  <c r="AM544" i="4"/>
  <c r="BC544" i="4"/>
  <c r="AM44" i="4"/>
  <c r="BC44" i="4"/>
  <c r="AM87" i="4"/>
  <c r="BC87" i="4"/>
  <c r="BC202" i="4"/>
  <c r="AM202" i="4"/>
  <c r="BC291" i="4"/>
  <c r="AM291" i="4"/>
  <c r="AM82" i="4"/>
  <c r="BC82" i="4"/>
  <c r="AM69" i="4"/>
  <c r="BC69" i="4"/>
  <c r="BC127" i="4"/>
  <c r="AM127" i="4"/>
  <c r="AM538" i="4"/>
  <c r="BC538" i="4"/>
  <c r="BF179" i="4"/>
  <c r="BH179" i="4" s="1"/>
  <c r="AK179" i="4"/>
  <c r="BH226" i="4"/>
  <c r="BC393" i="4"/>
  <c r="AM393" i="4"/>
  <c r="BC481" i="4"/>
  <c r="AM481" i="4"/>
  <c r="BC336" i="4"/>
  <c r="AM336" i="4"/>
  <c r="BC132" i="4"/>
  <c r="AM132" i="4"/>
  <c r="AM295" i="4"/>
  <c r="BC295" i="4"/>
  <c r="BC41" i="4"/>
  <c r="AM41" i="4"/>
  <c r="AM456" i="4"/>
  <c r="BC456" i="4"/>
  <c r="AM8" i="4"/>
  <c r="BC8" i="4"/>
  <c r="BC168" i="4"/>
  <c r="AM168" i="4"/>
  <c r="AM576" i="4"/>
  <c r="BC576" i="4"/>
  <c r="BC107" i="4"/>
  <c r="AM107" i="4"/>
  <c r="BF572" i="4"/>
  <c r="BH572" i="4" s="1"/>
  <c r="AK572" i="4"/>
  <c r="AQ63" i="4"/>
  <c r="AP63" i="4"/>
  <c r="BE63" i="4" s="1"/>
  <c r="AR63" i="4" s="1"/>
  <c r="AS63" i="4" s="1"/>
  <c r="AZ63" i="4" s="1"/>
  <c r="BC106" i="4"/>
  <c r="AM106" i="4"/>
  <c r="BC305" i="4"/>
  <c r="AM305" i="4"/>
  <c r="AM588" i="4"/>
  <c r="BC588" i="4"/>
  <c r="BC302" i="4"/>
  <c r="AM302" i="4"/>
  <c r="AQ411" i="4"/>
  <c r="AP411" i="4"/>
  <c r="AQ409" i="4"/>
  <c r="AP409" i="4"/>
  <c r="BE409" i="4" s="1"/>
  <c r="AR409" i="4" s="1"/>
  <c r="AS409" i="4" s="1"/>
  <c r="AZ409" i="4" s="1"/>
  <c r="AM463" i="4"/>
  <c r="BC463" i="4"/>
  <c r="BC478" i="4"/>
  <c r="AM478" i="4"/>
  <c r="BH576" i="4"/>
  <c r="BC573" i="4"/>
  <c r="AM573" i="4"/>
  <c r="AM21" i="4"/>
  <c r="BC21" i="4"/>
  <c r="AM148" i="4"/>
  <c r="BC148" i="4"/>
  <c r="BC225" i="4"/>
  <c r="AM225" i="4"/>
  <c r="BC350" i="4"/>
  <c r="AM350" i="4"/>
  <c r="BH531" i="4"/>
  <c r="AM251" i="4"/>
  <c r="BC251" i="4"/>
  <c r="BH303" i="4"/>
  <c r="AM449" i="4"/>
  <c r="BC449" i="4"/>
  <c r="BC51" i="4"/>
  <c r="AM51" i="4"/>
  <c r="BC141" i="4"/>
  <c r="BC334" i="4"/>
  <c r="AM334" i="4"/>
  <c r="AQ521" i="4"/>
  <c r="AP521" i="4"/>
  <c r="BE521" i="4" s="1"/>
  <c r="AR521" i="4" s="1"/>
  <c r="AM587" i="4"/>
  <c r="BC587" i="4"/>
  <c r="AM4" i="4"/>
  <c r="BC4" i="4"/>
  <c r="BH106" i="4"/>
  <c r="AK159" i="4"/>
  <c r="BF159" i="4"/>
  <c r="BH159" i="4" s="1"/>
  <c r="AQ423" i="4"/>
  <c r="AP423" i="4"/>
  <c r="BC402" i="4"/>
  <c r="AM402" i="4"/>
  <c r="BC34" i="4"/>
  <c r="AM34" i="4"/>
  <c r="BC112" i="4"/>
  <c r="AM112" i="4"/>
  <c r="BC205" i="4"/>
  <c r="AM205" i="4"/>
  <c r="BH252" i="4"/>
  <c r="AQ317" i="4"/>
  <c r="AP317" i="4"/>
  <c r="BE317" i="4" s="1"/>
  <c r="AR317" i="4" s="1"/>
  <c r="AS317" i="4" s="1"/>
  <c r="AZ317" i="4" s="1"/>
  <c r="AM590" i="4"/>
  <c r="BC590" i="4"/>
  <c r="BC103" i="4"/>
  <c r="AM103" i="4"/>
  <c r="BH225" i="4"/>
  <c r="BC25" i="4"/>
  <c r="AM25" i="4"/>
  <c r="AQ210" i="4"/>
  <c r="AP210" i="4"/>
  <c r="BE210" i="4" s="1"/>
  <c r="AR210" i="4" s="1"/>
  <c r="AS210" i="4" s="1"/>
  <c r="AZ210" i="4" s="1"/>
  <c r="AM495" i="4"/>
  <c r="BC495" i="4"/>
  <c r="BH313" i="4"/>
  <c r="BC39" i="4"/>
  <c r="AM39" i="4"/>
  <c r="BC131" i="4"/>
  <c r="AM131" i="4"/>
  <c r="BC249" i="4"/>
  <c r="AM249" i="4"/>
  <c r="BC349" i="4"/>
  <c r="AM349" i="4"/>
  <c r="AM527" i="4"/>
  <c r="BC527" i="4"/>
  <c r="BC124" i="4"/>
  <c r="AM124" i="4"/>
  <c r="BC215" i="4"/>
  <c r="AM215" i="4"/>
  <c r="BH360" i="4"/>
  <c r="AM438" i="4"/>
  <c r="BC438" i="4"/>
  <c r="AM579" i="4"/>
  <c r="BC579" i="4"/>
  <c r="AK363" i="4"/>
  <c r="BF363" i="4"/>
  <c r="BH363" i="4" s="1"/>
  <c r="AM48" i="4"/>
  <c r="BC48" i="4"/>
  <c r="BH43" i="4"/>
  <c r="BH195" i="4"/>
  <c r="AM448" i="4"/>
  <c r="BC448" i="4"/>
  <c r="BH553" i="4"/>
  <c r="AM444" i="4"/>
  <c r="BC444" i="4"/>
  <c r="AQ14" i="4"/>
  <c r="AP14" i="4"/>
  <c r="BE14" i="4" s="1"/>
  <c r="AR14" i="4" s="1"/>
  <c r="BH35" i="4"/>
  <c r="BF71" i="4"/>
  <c r="BH71" i="4" s="1"/>
  <c r="AK71" i="4"/>
  <c r="BC338" i="4"/>
  <c r="AM338" i="4"/>
  <c r="BH315" i="4"/>
  <c r="AM353" i="4"/>
  <c r="BC353" i="4"/>
  <c r="BH104" i="4"/>
  <c r="BC188" i="4"/>
  <c r="AM188" i="4"/>
  <c r="BC340" i="4"/>
  <c r="AM340" i="4"/>
  <c r="BH300" i="4"/>
  <c r="BC380" i="4"/>
  <c r="AM380" i="4"/>
  <c r="AQ134" i="4"/>
  <c r="AP134" i="4"/>
  <c r="AM513" i="4"/>
  <c r="BC513" i="4"/>
  <c r="AM558" i="4"/>
  <c r="BC558" i="4"/>
  <c r="BH394" i="4"/>
  <c r="AM238" i="4"/>
  <c r="BC238" i="4"/>
  <c r="BH563" i="4"/>
  <c r="BH253" i="4"/>
  <c r="BC263" i="4"/>
  <c r="AM263" i="4"/>
  <c r="BC574" i="4"/>
  <c r="AM574" i="4"/>
  <c r="BC313" i="4"/>
  <c r="AM313" i="4"/>
  <c r="BH150" i="4"/>
  <c r="BH131" i="4"/>
  <c r="BC197" i="4"/>
  <c r="AM197" i="4"/>
  <c r="BH385" i="4"/>
  <c r="AM452" i="4"/>
  <c r="BC452" i="4"/>
  <c r="AM541" i="4"/>
  <c r="BC541" i="4"/>
  <c r="BH124" i="4"/>
  <c r="BH215" i="4"/>
  <c r="BC360" i="4"/>
  <c r="AM360" i="4"/>
  <c r="BH438" i="4"/>
  <c r="BH579" i="4"/>
  <c r="AP178" i="4"/>
  <c r="AQ178" i="4"/>
  <c r="BC468" i="4"/>
  <c r="AM468" i="4"/>
  <c r="AM43" i="4"/>
  <c r="BC43" i="4"/>
  <c r="AM216" i="4"/>
  <c r="BC347" i="4"/>
  <c r="AM347" i="4"/>
  <c r="BH384" i="4"/>
  <c r="BH448" i="4"/>
  <c r="AM542" i="4"/>
  <c r="BC542" i="4"/>
  <c r="BC35" i="4"/>
  <c r="AM35" i="4"/>
  <c r="AM139" i="4"/>
  <c r="BC139" i="4"/>
  <c r="AQ275" i="4"/>
  <c r="AP275" i="4"/>
  <c r="BE275" i="4" s="1"/>
  <c r="AR275" i="4" s="1"/>
  <c r="AS275" i="4" s="1"/>
  <c r="AZ275" i="4" s="1"/>
  <c r="BH353" i="4"/>
  <c r="AM454" i="4"/>
  <c r="BC454" i="4"/>
  <c r="BC104" i="4"/>
  <c r="AM104" i="4"/>
  <c r="AM101" i="4"/>
  <c r="BC101" i="4"/>
  <c r="BH340" i="4"/>
  <c r="AM84" i="4"/>
  <c r="BC84" i="4"/>
  <c r="AM142" i="4"/>
  <c r="BC142" i="4"/>
  <c r="BC300" i="4"/>
  <c r="AM300" i="4"/>
  <c r="AM321" i="4"/>
  <c r="BC321" i="4"/>
  <c r="BH362" i="4"/>
  <c r="AQ497" i="4"/>
  <c r="AP497" i="4"/>
  <c r="AM552" i="4"/>
  <c r="BC552" i="4"/>
  <c r="BC394" i="4"/>
  <c r="AM394" i="4"/>
  <c r="AQ85" i="4"/>
  <c r="AP85" i="4"/>
  <c r="AQ580" i="4"/>
  <c r="AP580" i="4"/>
  <c r="BE580" i="4" s="1"/>
  <c r="AR580" i="4" s="1"/>
  <c r="AS580" i="4" s="1"/>
  <c r="AZ580" i="4" s="1"/>
  <c r="AQ379" i="4"/>
  <c r="AP379" i="4"/>
  <c r="AQ235" i="4"/>
  <c r="AP235" i="4"/>
  <c r="BE235" i="4" s="1"/>
  <c r="AR235" i="4" s="1"/>
  <c r="AS235" i="4" s="1"/>
  <c r="AZ235" i="4" s="1"/>
  <c r="AM525" i="4"/>
  <c r="BC525" i="4"/>
  <c r="BH102" i="4"/>
  <c r="BH191" i="4"/>
  <c r="AM253" i="4"/>
  <c r="BC253" i="4"/>
  <c r="BC333" i="4"/>
  <c r="AM333" i="4"/>
  <c r="AM466" i="4"/>
  <c r="BC466" i="4"/>
  <c r="BC23" i="4"/>
  <c r="AM23" i="4"/>
  <c r="BC150" i="4"/>
  <c r="AM150" i="4"/>
  <c r="BC297" i="4"/>
  <c r="AM297" i="4"/>
  <c r="BC330" i="4"/>
  <c r="AM330" i="4"/>
  <c r="BC385" i="4"/>
  <c r="AM385" i="4"/>
  <c r="AM95" i="4"/>
  <c r="BC95" i="4"/>
  <c r="BF152" i="4"/>
  <c r="BH152" i="4" s="1"/>
  <c r="AK152" i="4"/>
  <c r="BH254" i="4"/>
  <c r="BF429" i="4"/>
  <c r="BH429" i="4" s="1"/>
  <c r="AK429" i="4"/>
  <c r="AM462" i="4"/>
  <c r="BC462" i="4"/>
  <c r="AQ501" i="4"/>
  <c r="AP501" i="4"/>
  <c r="BC114" i="4"/>
  <c r="AM114" i="4"/>
  <c r="AQ477" i="4"/>
  <c r="AP477" i="4"/>
  <c r="BE477" i="4" s="1"/>
  <c r="AR477" i="4" s="1"/>
  <c r="AS477" i="4" s="1"/>
  <c r="AZ477" i="4" s="1"/>
  <c r="AM135" i="4"/>
  <c r="BC135" i="4"/>
  <c r="AM98" i="4"/>
  <c r="BC98" i="4"/>
  <c r="BH347" i="4"/>
  <c r="BC384" i="4"/>
  <c r="AM384" i="4"/>
  <c r="AM432" i="4"/>
  <c r="BC432" i="4"/>
  <c r="BC547" i="4"/>
  <c r="AM547" i="4"/>
  <c r="BH542" i="4"/>
  <c r="AM5" i="4"/>
  <c r="BC5" i="4"/>
  <c r="BH38" i="4"/>
  <c r="BH139" i="4"/>
  <c r="BH312" i="4"/>
  <c r="BH377" i="4"/>
  <c r="AM461" i="4"/>
  <c r="BC461" i="4"/>
  <c r="BC569" i="4"/>
  <c r="AM569" i="4"/>
  <c r="BH84" i="4"/>
  <c r="BH321" i="4"/>
  <c r="BC362" i="4"/>
  <c r="AM362" i="4"/>
  <c r="BC505" i="4"/>
  <c r="AM505" i="4"/>
  <c r="BF583" i="4"/>
  <c r="BH583" i="4" s="1"/>
  <c r="AK583" i="4"/>
  <c r="AQ192" i="4"/>
  <c r="AP192" i="4"/>
  <c r="BE192" i="4" s="1"/>
  <c r="AR192" i="4" s="1"/>
  <c r="AS192" i="4" s="1"/>
  <c r="AZ192" i="4" s="1"/>
  <c r="AM489" i="4"/>
  <c r="BC489" i="4"/>
  <c r="BC170" i="4"/>
  <c r="AM170" i="4"/>
  <c r="BH293" i="4"/>
  <c r="BC184" i="4"/>
  <c r="AM184" i="4"/>
  <c r="AM244" i="4"/>
  <c r="BC244" i="4"/>
  <c r="AQ474" i="4"/>
  <c r="AP474" i="4"/>
  <c r="BE474" i="4" s="1"/>
  <c r="AR474" i="4" s="1"/>
  <c r="AS474" i="4" s="1"/>
  <c r="AZ474" i="4" s="1"/>
  <c r="AM254" i="4"/>
  <c r="BC254" i="4"/>
  <c r="BC329" i="4"/>
  <c r="AM329" i="4"/>
  <c r="BH462" i="4"/>
  <c r="BH114" i="4"/>
  <c r="AQ566" i="4"/>
  <c r="AP566" i="4"/>
  <c r="BE566" i="4" s="1"/>
  <c r="AR566" i="4" s="1"/>
  <c r="AS566" i="4" s="1"/>
  <c r="AZ566" i="4" s="1"/>
  <c r="AM99" i="4"/>
  <c r="BC99" i="4"/>
  <c r="BH267" i="4"/>
  <c r="BH387" i="4"/>
  <c r="AM446" i="4"/>
  <c r="BC446" i="4"/>
  <c r="BH432" i="4"/>
  <c r="BH547" i="4"/>
  <c r="BC509" i="4"/>
  <c r="AM509" i="4"/>
  <c r="AM38" i="4"/>
  <c r="BC38" i="4"/>
  <c r="AQ222" i="4"/>
  <c r="AP222" i="4"/>
  <c r="BE222" i="4" s="1"/>
  <c r="AR222" i="4" s="1"/>
  <c r="AS222" i="4" s="1"/>
  <c r="AZ222" i="4" s="1"/>
  <c r="BC312" i="4"/>
  <c r="AM312" i="4"/>
  <c r="BC377" i="4"/>
  <c r="AM377" i="4"/>
  <c r="BH461" i="4"/>
  <c r="BC508" i="4"/>
  <c r="AM508" i="4"/>
  <c r="AM586" i="4"/>
  <c r="BC126" i="4"/>
  <c r="AM126" i="4"/>
  <c r="BH224" i="4"/>
  <c r="AM96" i="4"/>
  <c r="BC96" i="4"/>
  <c r="BH151" i="4"/>
  <c r="BC223" i="4"/>
  <c r="AM223" i="4"/>
  <c r="AM258" i="4"/>
  <c r="BC258" i="4"/>
  <c r="AM435" i="4"/>
  <c r="BC435" i="4"/>
  <c r="BC480" i="4"/>
  <c r="AM480" i="4"/>
  <c r="BH505" i="4"/>
  <c r="AM19" i="4"/>
  <c r="BC19" i="4"/>
  <c r="BH372" i="4"/>
  <c r="AM65" i="4"/>
  <c r="BC65" i="4"/>
  <c r="AQ375" i="4"/>
  <c r="AP375" i="4"/>
  <c r="AQ28" i="4"/>
  <c r="AP28" i="4"/>
  <c r="BE28" i="4" s="1"/>
  <c r="AR28" i="4" s="1"/>
  <c r="AS28" i="4" s="1"/>
  <c r="AZ28" i="4" s="1"/>
  <c r="BH397" i="4"/>
  <c r="BH284" i="4"/>
  <c r="AM439" i="4"/>
  <c r="BC493" i="4"/>
  <c r="AM493" i="4"/>
  <c r="BH46" i="4"/>
  <c r="BH115" i="4"/>
  <c r="AQ406" i="4"/>
  <c r="AP406" i="4"/>
  <c r="BE406" i="4" s="1"/>
  <c r="AR406" i="4" s="1"/>
  <c r="AS406" i="4" s="1"/>
  <c r="AZ406" i="4" s="1"/>
  <c r="BC499" i="4"/>
  <c r="AM499" i="4"/>
  <c r="AQ520" i="4"/>
  <c r="AP520" i="4"/>
  <c r="BE520" i="4" s="1"/>
  <c r="AR520" i="4" s="1"/>
  <c r="AS520" i="4" s="1"/>
  <c r="AZ520" i="4" s="1"/>
  <c r="BC164" i="4"/>
  <c r="AM164" i="4"/>
  <c r="BH174" i="4"/>
  <c r="AM267" i="4"/>
  <c r="BC267" i="4"/>
  <c r="BC387" i="4"/>
  <c r="AM387" i="4"/>
  <c r="AM534" i="4"/>
  <c r="BC534" i="4"/>
  <c r="BH509" i="4"/>
  <c r="AM143" i="4"/>
  <c r="BC143" i="4"/>
  <c r="BC175" i="4"/>
  <c r="AM175" i="4"/>
  <c r="BH370" i="4"/>
  <c r="BH508" i="4"/>
  <c r="BH586" i="4"/>
  <c r="AM451" i="4"/>
  <c r="BC451" i="4"/>
  <c r="AM97" i="4"/>
  <c r="BC97" i="4"/>
  <c r="BH126" i="4"/>
  <c r="AP246" i="4"/>
  <c r="BE246" i="4" s="1"/>
  <c r="AR246" i="4" s="1"/>
  <c r="AS246" i="4" s="1"/>
  <c r="AZ246" i="4" s="1"/>
  <c r="AQ246" i="4"/>
  <c r="BC26" i="4"/>
  <c r="AM26" i="4"/>
  <c r="BC151" i="4"/>
  <c r="AM151" i="4"/>
  <c r="BC204" i="4"/>
  <c r="AM204" i="4"/>
  <c r="BC351" i="4"/>
  <c r="AM351" i="4"/>
  <c r="BH396" i="4"/>
  <c r="BH435" i="4"/>
  <c r="AM437" i="4"/>
  <c r="BC437" i="4"/>
  <c r="BF533" i="4"/>
  <c r="BH533" i="4" s="1"/>
  <c r="AK533" i="4"/>
  <c r="AQ294" i="4"/>
  <c r="AP294" i="4"/>
  <c r="BE294" i="4" s="1"/>
  <c r="AR294" i="4" s="1"/>
  <c r="AS294" i="4" s="1"/>
  <c r="AZ294" i="4" s="1"/>
  <c r="BC357" i="4"/>
  <c r="AM357" i="4"/>
  <c r="AQ105" i="4"/>
  <c r="AP105" i="4"/>
  <c r="AP270" i="4"/>
  <c r="BE270" i="4" s="1"/>
  <c r="AR270" i="4" s="1"/>
  <c r="AS270" i="4" s="1"/>
  <c r="AZ270" i="4" s="1"/>
  <c r="AQ270" i="4"/>
  <c r="BC372" i="4"/>
  <c r="AM372" i="4"/>
  <c r="AQ189" i="4"/>
  <c r="AP189" i="4"/>
  <c r="BH400" i="4"/>
  <c r="AQ378" i="4"/>
  <c r="AP378" i="4"/>
  <c r="AM242" i="4"/>
  <c r="BC242" i="4"/>
  <c r="BC310" i="4"/>
  <c r="AM310" i="4"/>
  <c r="BC325" i="4"/>
  <c r="AM325" i="4"/>
  <c r="BC401" i="4"/>
  <c r="AM401" i="4"/>
  <c r="BH467" i="4"/>
  <c r="BC117" i="4"/>
  <c r="AM117" i="4"/>
  <c r="AM137" i="4"/>
  <c r="BC137" i="4"/>
  <c r="BC171" i="4"/>
  <c r="AM171" i="4"/>
  <c r="BC296" i="4"/>
  <c r="AM296" i="4"/>
  <c r="BH386" i="4"/>
  <c r="BC397" i="4"/>
  <c r="AM397" i="4"/>
  <c r="AM441" i="4"/>
  <c r="BC441" i="4"/>
  <c r="AM488" i="4"/>
  <c r="BC488" i="4"/>
  <c r="AM540" i="4"/>
  <c r="BC540" i="4"/>
  <c r="AM13" i="4"/>
  <c r="BC13" i="4"/>
  <c r="BC284" i="4"/>
  <c r="AM284" i="4"/>
  <c r="BH36" i="4"/>
  <c r="BC46" i="4"/>
  <c r="AM46" i="4"/>
  <c r="BC158" i="4"/>
  <c r="AM158" i="4"/>
  <c r="BC218" i="4"/>
  <c r="AM218" i="4"/>
  <c r="BC376" i="4"/>
  <c r="AM376" i="4"/>
  <c r="BC507" i="4"/>
  <c r="AM507" i="4"/>
  <c r="AM567" i="4"/>
  <c r="BC567" i="4"/>
  <c r="BH164" i="4"/>
  <c r="BC120" i="4"/>
  <c r="AM120" i="4"/>
  <c r="AM93" i="4"/>
  <c r="BC93" i="4"/>
  <c r="BC174" i="4"/>
  <c r="AM174" i="4"/>
  <c r="AM247" i="4"/>
  <c r="BC247" i="4"/>
  <c r="BC255" i="4"/>
  <c r="AM255" i="4"/>
  <c r="AM470" i="4"/>
  <c r="BC470" i="4"/>
  <c r="BH534" i="4"/>
  <c r="BC535" i="4"/>
  <c r="AM535" i="4"/>
  <c r="BH45" i="4"/>
  <c r="BH143" i="4"/>
  <c r="BC256" i="4"/>
  <c r="AM256" i="4"/>
  <c r="BC370" i="4"/>
  <c r="AM370" i="4"/>
  <c r="BH97" i="4"/>
  <c r="BC113" i="4"/>
  <c r="AM113" i="4"/>
  <c r="BC214" i="4"/>
  <c r="AM214" i="4"/>
  <c r="AM146" i="4"/>
  <c r="BC146" i="4"/>
  <c r="BH204" i="4"/>
  <c r="BH351" i="4"/>
  <c r="BC396" i="4"/>
  <c r="AM396" i="4"/>
  <c r="BH437" i="4"/>
  <c r="BH392" i="4"/>
  <c r="AQ31" i="4"/>
  <c r="AP31" i="4"/>
  <c r="BE31" i="4" s="1"/>
  <c r="AR31" i="4" s="1"/>
  <c r="AS31" i="4" s="1"/>
  <c r="AZ31" i="4" s="1"/>
  <c r="AQ368" i="4"/>
  <c r="AP368" i="4"/>
  <c r="AM149" i="4"/>
  <c r="BC149" i="4"/>
  <c r="BC400" i="4"/>
  <c r="AM400" i="4"/>
  <c r="AQ29" i="4"/>
  <c r="AP29" i="4"/>
  <c r="BE29" i="4" s="1"/>
  <c r="AR29" i="4" s="1"/>
  <c r="BH514" i="4"/>
  <c r="BH117" i="4"/>
  <c r="BH137" i="4"/>
  <c r="AM217" i="4"/>
  <c r="BH171" i="4"/>
  <c r="BC307" i="4"/>
  <c r="AM307" i="4"/>
  <c r="BC386" i="4"/>
  <c r="AM386" i="4"/>
  <c r="BF431" i="4"/>
  <c r="BH431" i="4" s="1"/>
  <c r="AK431" i="4"/>
  <c r="BC58" i="4"/>
  <c r="AM58" i="4"/>
  <c r="BC172" i="4"/>
  <c r="AM172" i="4"/>
  <c r="BC292" i="4"/>
  <c r="AM292" i="4"/>
  <c r="AM487" i="4"/>
  <c r="BC487" i="4"/>
  <c r="AM36" i="4"/>
  <c r="BC36" i="4"/>
  <c r="AM76" i="4"/>
  <c r="BC76" i="4"/>
  <c r="AM136" i="4"/>
  <c r="BC136" i="4"/>
  <c r="AQ219" i="4"/>
  <c r="AP219" i="4"/>
  <c r="BH218" i="4"/>
  <c r="AM266" i="4"/>
  <c r="BC266" i="4"/>
  <c r="AM443" i="4"/>
  <c r="BC443" i="4"/>
  <c r="BC471" i="4"/>
  <c r="AM471" i="4"/>
  <c r="BH507" i="4"/>
  <c r="BH120" i="4"/>
  <c r="BH93" i="4"/>
  <c r="BF183" i="4"/>
  <c r="BH183" i="4" s="1"/>
  <c r="AK183" i="4"/>
  <c r="AQ328" i="4"/>
  <c r="AP328" i="4"/>
  <c r="BH369" i="4"/>
  <c r="AM445" i="4"/>
  <c r="BC445" i="4"/>
  <c r="AM494" i="4"/>
  <c r="BC494" i="4"/>
  <c r="AM536" i="4"/>
  <c r="BC536" i="4"/>
  <c r="BC45" i="4"/>
  <c r="AM45" i="4"/>
  <c r="AQ412" i="4"/>
  <c r="AP412" i="4"/>
  <c r="BH391" i="4"/>
  <c r="AM593" i="4"/>
  <c r="BC593" i="4"/>
  <c r="AQ144" i="4"/>
  <c r="AP144" i="4"/>
  <c r="BH113" i="4"/>
  <c r="BH176" i="4"/>
  <c r="AM458" i="4"/>
  <c r="BC458" i="4"/>
  <c r="AM91" i="4"/>
  <c r="BC91" i="4"/>
  <c r="BH146" i="4"/>
  <c r="BC181" i="4"/>
  <c r="AM181" i="4"/>
  <c r="BH177" i="4"/>
  <c r="BC320" i="4"/>
  <c r="AM320" i="4"/>
  <c r="BH389" i="4"/>
  <c r="AQ413" i="4"/>
  <c r="AP413" i="4"/>
  <c r="BE413" i="4" s="1"/>
  <c r="AR413" i="4" s="1"/>
  <c r="AS413" i="4" s="1"/>
  <c r="AZ413" i="4" s="1"/>
  <c r="AM555" i="4"/>
  <c r="BC555" i="4"/>
  <c r="BH371" i="4"/>
  <c r="BC392" i="4"/>
  <c r="AM392" i="4"/>
  <c r="AM519" i="4"/>
  <c r="BC519" i="4"/>
  <c r="AQ485" i="4"/>
  <c r="AP485" i="4"/>
  <c r="BE485" i="4" s="1"/>
  <c r="AR485" i="4" s="1"/>
  <c r="AS485" i="4" s="1"/>
  <c r="AZ485" i="4" s="1"/>
  <c r="AS29" i="4"/>
  <c r="AZ29" i="4" s="1"/>
  <c r="BC403" i="4"/>
  <c r="AM403" i="4"/>
  <c r="BH399" i="4"/>
  <c r="AM514" i="4"/>
  <c r="BC514" i="4"/>
  <c r="AM556" i="4"/>
  <c r="BC556" i="4"/>
  <c r="AK30" i="4"/>
  <c r="BF30" i="4"/>
  <c r="BH30" i="4" s="1"/>
  <c r="BF343" i="4"/>
  <c r="BH343" i="4" s="1"/>
  <c r="AK343" i="4"/>
  <c r="BH364" i="4"/>
  <c r="BH359" i="4"/>
  <c r="AM465" i="4"/>
  <c r="BC465" i="4"/>
  <c r="BF77" i="4"/>
  <c r="BH77" i="4" s="1"/>
  <c r="AK77" i="4"/>
  <c r="BH161" i="4"/>
  <c r="BH172" i="4"/>
  <c r="BC405" i="4"/>
  <c r="AM405" i="4"/>
  <c r="BH42" i="4"/>
  <c r="BH136" i="4"/>
  <c r="BC352" i="4"/>
  <c r="AM352" i="4"/>
  <c r="BH471" i="4"/>
  <c r="BH516" i="4"/>
  <c r="BH289" i="4"/>
  <c r="BC369" i="4"/>
  <c r="AM369" i="4"/>
  <c r="BH445" i="4"/>
  <c r="AM582" i="4"/>
  <c r="BC582" i="4"/>
  <c r="AQ420" i="4"/>
  <c r="AP420" i="4"/>
  <c r="AM271" i="4"/>
  <c r="BC271" i="4"/>
  <c r="AM273" i="4"/>
  <c r="BC273" i="4"/>
  <c r="BC391" i="4"/>
  <c r="AM391" i="4"/>
  <c r="AM473" i="4"/>
  <c r="BC473" i="4"/>
  <c r="BC506" i="4"/>
  <c r="AM506" i="4"/>
  <c r="BC575" i="4"/>
  <c r="AM575" i="4"/>
  <c r="BH593" i="4"/>
  <c r="BC162" i="4"/>
  <c r="AM162" i="4"/>
  <c r="BC176" i="4"/>
  <c r="AM176" i="4"/>
  <c r="BH458" i="4"/>
  <c r="BH91" i="4"/>
  <c r="BC177" i="4"/>
  <c r="AM177" i="4"/>
  <c r="BH298" i="4"/>
  <c r="BH320" i="4"/>
  <c r="BC389" i="4"/>
  <c r="AM389" i="4"/>
  <c r="BH555" i="4"/>
  <c r="BC371" i="4"/>
  <c r="AM371" i="4"/>
  <c r="BH395" i="4"/>
  <c r="AQ327" i="4"/>
  <c r="AP327" i="4"/>
  <c r="BE327" i="4" s="1"/>
  <c r="AR327" i="4" s="1"/>
  <c r="BC108" i="4"/>
  <c r="AM108" i="4"/>
  <c r="BH519" i="4"/>
  <c r="AQ66" i="4"/>
  <c r="AP66" i="4"/>
  <c r="BH403" i="4"/>
  <c r="BC399" i="4"/>
  <c r="AM399" i="4"/>
  <c r="BC303" i="4"/>
  <c r="AM303" i="4"/>
  <c r="AM492" i="4"/>
  <c r="BC492" i="4"/>
  <c r="BH47" i="4"/>
  <c r="AM37" i="4"/>
  <c r="BC37" i="4"/>
  <c r="BC364" i="4"/>
  <c r="AM364" i="4"/>
  <c r="BC359" i="4"/>
  <c r="AM359" i="4"/>
  <c r="BC110" i="4"/>
  <c r="AM110" i="4"/>
  <c r="BC161" i="4"/>
  <c r="AM161" i="4"/>
  <c r="AM265" i="4"/>
  <c r="BC265" i="4"/>
  <c r="BH50" i="4"/>
  <c r="AM42" i="4"/>
  <c r="BC42" i="4"/>
  <c r="AM75" i="4"/>
  <c r="BC75" i="4"/>
  <c r="BC212" i="4"/>
  <c r="AM212" i="4"/>
  <c r="AP283" i="4"/>
  <c r="BE283" i="4" s="1"/>
  <c r="AR283" i="4" s="1"/>
  <c r="AS283" i="4" s="1"/>
  <c r="AZ283" i="4" s="1"/>
  <c r="AQ283" i="4"/>
  <c r="BH383" i="4"/>
  <c r="AM516" i="4"/>
  <c r="BC516" i="4"/>
  <c r="BC289" i="4"/>
  <c r="AM289" i="4"/>
  <c r="AQ279" i="4"/>
  <c r="AP279" i="4"/>
  <c r="BE279" i="4" s="1"/>
  <c r="AR279" i="4" s="1"/>
  <c r="AS279" i="4" s="1"/>
  <c r="AZ279" i="4" s="1"/>
  <c r="BH582" i="4"/>
  <c r="AM81" i="4"/>
  <c r="BC81" i="4"/>
  <c r="BC163" i="4"/>
  <c r="AM163" i="4"/>
  <c r="AQ417" i="4"/>
  <c r="AP417" i="4"/>
  <c r="BH358" i="4"/>
  <c r="BF433" i="4"/>
  <c r="BH433" i="4" s="1"/>
  <c r="AK433" i="4"/>
  <c r="BH506" i="4"/>
  <c r="BH575" i="4"/>
  <c r="BH22" i="4"/>
  <c r="AQ123" i="4"/>
  <c r="AP123" i="4"/>
  <c r="BE123" i="4" s="1"/>
  <c r="AR123" i="4" s="1"/>
  <c r="AS123" i="4" s="1"/>
  <c r="AZ123" i="4" s="1"/>
  <c r="BH162" i="4"/>
  <c r="BH280" i="4"/>
  <c r="BC220" i="4"/>
  <c r="AM220" i="4"/>
  <c r="BC298" i="4"/>
  <c r="AM298" i="4"/>
  <c r="AM453" i="4"/>
  <c r="BC453" i="4"/>
  <c r="AQ562" i="4"/>
  <c r="AP562" i="4"/>
  <c r="BC395" i="4"/>
  <c r="AM395" i="4"/>
  <c r="BH108" i="4"/>
  <c r="AM20" i="4"/>
  <c r="BC20" i="4"/>
  <c r="AQ231" i="4"/>
  <c r="AP231" i="4"/>
  <c r="AM464" i="4"/>
  <c r="BC464" i="4"/>
  <c r="BC122" i="4"/>
  <c r="AM122" i="4"/>
  <c r="BF155" i="4"/>
  <c r="BH155" i="4" s="1"/>
  <c r="AK155" i="4"/>
  <c r="AM460" i="4"/>
  <c r="BC460" i="4"/>
  <c r="BC40" i="4"/>
  <c r="AM40" i="4"/>
  <c r="BH186" i="4"/>
  <c r="BH232" i="4"/>
  <c r="AM240" i="4"/>
  <c r="BC240" i="4"/>
  <c r="BH481" i="4"/>
  <c r="BF559" i="4"/>
  <c r="BH559" i="4" s="1"/>
  <c r="AK559" i="4"/>
  <c r="BC299" i="4"/>
  <c r="AM299" i="4"/>
  <c r="BC198" i="4"/>
  <c r="AM198" i="4"/>
  <c r="BC326" i="4"/>
  <c r="AM326" i="4"/>
  <c r="BC483" i="4"/>
  <c r="AM483" i="4"/>
  <c r="BH492" i="4"/>
  <c r="BC47" i="4"/>
  <c r="AM47" i="4"/>
  <c r="BH388" i="4"/>
  <c r="AM551" i="4"/>
  <c r="BC551" i="4"/>
  <c r="BC250" i="4"/>
  <c r="AM250" i="4"/>
  <c r="BC50" i="4"/>
  <c r="AM50" i="4"/>
  <c r="AM140" i="4"/>
  <c r="BC140" i="4"/>
  <c r="BH212" i="4"/>
  <c r="BH290" i="4"/>
  <c r="BC331" i="4"/>
  <c r="AM331" i="4"/>
  <c r="BC383" i="4"/>
  <c r="AM383" i="4"/>
  <c r="BH15" i="4"/>
  <c r="BH276" i="4"/>
  <c r="AM594" i="4"/>
  <c r="BC594" i="4"/>
  <c r="AM90" i="4"/>
  <c r="BC90" i="4"/>
  <c r="BH81" i="4"/>
  <c r="BH163" i="4"/>
  <c r="AM332" i="4"/>
  <c r="BC358" i="4"/>
  <c r="AM358" i="4"/>
  <c r="BC479" i="4"/>
  <c r="AM479" i="4"/>
  <c r="AM12" i="4"/>
  <c r="BC12" i="4"/>
  <c r="BC22" i="4"/>
  <c r="AM22" i="4"/>
  <c r="BC280" i="4"/>
  <c r="AM280" i="4"/>
  <c r="BH517" i="4"/>
  <c r="BC119" i="4"/>
  <c r="AM119" i="4"/>
  <c r="BC187" i="4"/>
  <c r="AM187" i="4"/>
  <c r="BH220" i="4"/>
  <c r="BC314" i="4"/>
  <c r="AM314" i="4"/>
  <c r="BC502" i="4"/>
  <c r="AM502" i="4"/>
  <c r="AM577" i="4"/>
  <c r="BC577" i="4"/>
  <c r="AQ367" i="4"/>
  <c r="AP367" i="4"/>
  <c r="AM550" i="4"/>
  <c r="BC550" i="4"/>
  <c r="AM61" i="4"/>
  <c r="BC61" i="4"/>
  <c r="AM571" i="4"/>
  <c r="BC571" i="4"/>
  <c r="BH198" i="4"/>
  <c r="AM510" i="4"/>
  <c r="BC510" i="4"/>
  <c r="AQ11" i="4"/>
  <c r="AP11" i="4"/>
  <c r="BE11" i="4" s="1"/>
  <c r="AR11" i="4" s="1"/>
  <c r="AS11" i="4" s="1"/>
  <c r="AZ11" i="4" s="1"/>
  <c r="BC337" i="4"/>
  <c r="AM337" i="4"/>
  <c r="BC388" i="4"/>
  <c r="AM388" i="4"/>
  <c r="BC365" i="4"/>
  <c r="AM365" i="4"/>
  <c r="AM528" i="4"/>
  <c r="BC528" i="4"/>
  <c r="BC201" i="4"/>
  <c r="AM201" i="4"/>
  <c r="BF355" i="4"/>
  <c r="BH355" i="4" s="1"/>
  <c r="AK355" i="4"/>
  <c r="AQ428" i="4"/>
  <c r="AP428" i="4"/>
  <c r="AM459" i="4"/>
  <c r="BC459" i="4"/>
  <c r="AM532" i="4"/>
  <c r="BC532" i="4"/>
  <c r="BH140" i="4"/>
  <c r="BH166" i="4"/>
  <c r="BH173" i="4"/>
  <c r="AM290" i="4"/>
  <c r="BC290" i="4"/>
  <c r="AM15" i="4"/>
  <c r="BC15" i="4"/>
  <c r="BH49" i="4"/>
  <c r="BH278" i="4"/>
  <c r="BC276" i="4"/>
  <c r="AM276" i="4"/>
  <c r="BH594" i="4"/>
  <c r="BH90" i="4"/>
  <c r="AM234" i="4"/>
  <c r="BC234" i="4"/>
  <c r="BH308" i="4"/>
  <c r="BH309" i="4"/>
  <c r="BC341" i="4"/>
  <c r="AM341" i="4"/>
  <c r="BH479" i="4"/>
  <c r="AM595" i="4"/>
  <c r="BC595" i="4"/>
  <c r="AM578" i="4"/>
  <c r="BC578" i="4"/>
  <c r="BH153" i="4"/>
  <c r="BC209" i="4"/>
  <c r="AM209" i="4"/>
  <c r="AM517" i="4"/>
  <c r="BC517" i="4"/>
  <c r="BH119" i="4"/>
  <c r="BH187" i="4"/>
  <c r="BC213" i="4"/>
  <c r="AM213" i="4"/>
  <c r="BC398" i="4"/>
  <c r="AM398" i="4"/>
  <c r="BH577" i="4"/>
  <c r="AQ523" i="4"/>
  <c r="AP523" i="4"/>
  <c r="BE523" i="4" s="1"/>
  <c r="AR523" i="4" s="1"/>
  <c r="AS523" i="4" s="1"/>
  <c r="AZ523" i="4" s="1"/>
  <c r="BH571" i="4"/>
  <c r="AQ88" i="4"/>
  <c r="AP88" i="4"/>
  <c r="BE88" i="4" s="1"/>
  <c r="AR88" i="4" s="1"/>
  <c r="AS88" i="4" s="1"/>
  <c r="AZ88" i="4" s="1"/>
  <c r="AM531" i="4"/>
  <c r="BC531" i="4"/>
  <c r="BC546" i="4"/>
  <c r="AM546" i="4"/>
  <c r="AM100" i="4"/>
  <c r="BC100" i="4"/>
  <c r="BC274" i="4"/>
  <c r="AM274" i="4"/>
  <c r="BC306" i="4"/>
  <c r="AM306" i="4"/>
  <c r="BC373" i="4"/>
  <c r="AM373" i="4"/>
  <c r="AM457" i="4"/>
  <c r="BC457" i="4"/>
  <c r="AM584" i="4"/>
  <c r="BC584" i="4"/>
  <c r="AM565" i="4"/>
  <c r="BC565" i="4"/>
  <c r="BC257" i="4"/>
  <c r="AM257" i="4"/>
  <c r="BH39" i="4"/>
  <c r="BF196" i="4"/>
  <c r="BH196" i="4" s="1"/>
  <c r="AK196" i="4"/>
  <c r="AM264" i="4"/>
  <c r="BC264" i="4"/>
  <c r="BC342" i="4"/>
  <c r="AM342" i="4"/>
  <c r="AQ486" i="4"/>
  <c r="AP486" i="4"/>
  <c r="AM16" i="4"/>
  <c r="BC16" i="4"/>
  <c r="BC319" i="4"/>
  <c r="AM319" i="4"/>
  <c r="BH459" i="4"/>
  <c r="AM515" i="4"/>
  <c r="BC515" i="4"/>
  <c r="AM92" i="4"/>
  <c r="BC92" i="4"/>
  <c r="AM74" i="4"/>
  <c r="BC74" i="4"/>
  <c r="BC166" i="4"/>
  <c r="AM166" i="4"/>
  <c r="BC173" i="4"/>
  <c r="AM173" i="4"/>
  <c r="AQ415" i="4"/>
  <c r="AP415" i="4"/>
  <c r="BC548" i="4"/>
  <c r="AM548" i="4"/>
  <c r="BH48" i="4"/>
  <c r="AM49" i="4"/>
  <c r="BC49" i="4"/>
  <c r="AM195" i="4"/>
  <c r="BC195" i="4"/>
  <c r="BC278" i="4"/>
  <c r="AM278" i="4"/>
  <c r="BC407" i="4"/>
  <c r="AM407" i="4"/>
  <c r="AQ518" i="4"/>
  <c r="AP518" i="4"/>
  <c r="BE518" i="4" s="1"/>
  <c r="AR518" i="4" s="1"/>
  <c r="AS518" i="4" s="1"/>
  <c r="AZ518" i="4" s="1"/>
  <c r="AM553" i="4"/>
  <c r="BC553" i="4"/>
  <c r="AS14" i="4"/>
  <c r="AZ14" i="4" s="1"/>
  <c r="AK18" i="4"/>
  <c r="BF18" i="4"/>
  <c r="BH18" i="4" s="1"/>
  <c r="BH234" i="4"/>
  <c r="BC308" i="4"/>
  <c r="AM308" i="4"/>
  <c r="BC309" i="4"/>
  <c r="AM309" i="4"/>
  <c r="AM315" i="4"/>
  <c r="BC315" i="4"/>
  <c r="BC472" i="4"/>
  <c r="AM472" i="4"/>
  <c r="BH595" i="4"/>
  <c r="BC153" i="4"/>
  <c r="AM153" i="4"/>
  <c r="BH209" i="4"/>
  <c r="BH213" i="4"/>
  <c r="BH380" i="4"/>
  <c r="AM455" i="4"/>
  <c r="BC455" i="4"/>
  <c r="AQ17" i="4"/>
  <c r="AP17" i="4"/>
  <c r="AM570" i="4"/>
  <c r="BC570" i="4"/>
  <c r="AM62" i="4"/>
  <c r="BC62" i="4"/>
  <c r="BC361" i="4"/>
  <c r="AM361" i="4"/>
  <c r="AM563" i="4"/>
  <c r="BC563" i="4"/>
  <c r="AK6" i="2"/>
  <c r="BC6" i="2" s="1"/>
  <c r="BH5" i="2"/>
  <c r="BH6" i="3"/>
  <c r="BH6" i="2"/>
  <c r="AM7" i="3"/>
  <c r="BC7" i="3"/>
  <c r="AM8" i="3"/>
  <c r="BC8" i="3"/>
  <c r="BH10" i="2"/>
  <c r="AM6" i="3"/>
  <c r="BC6" i="3"/>
  <c r="AM4" i="3"/>
  <c r="BC4" i="3"/>
  <c r="AM5" i="3"/>
  <c r="BC5" i="3"/>
  <c r="BH4" i="3"/>
  <c r="AK10" i="2"/>
  <c r="AK5" i="2"/>
  <c r="BC5" i="2" s="1"/>
  <c r="AK9" i="2"/>
  <c r="BF9" i="2"/>
  <c r="BH9" i="2" s="1"/>
  <c r="AM7" i="2"/>
  <c r="BC7" i="2"/>
  <c r="AM8" i="2"/>
  <c r="BC8" i="2"/>
  <c r="BH8" i="2"/>
  <c r="BC147" i="4" l="1"/>
  <c r="AM138" i="4"/>
  <c r="BC138" i="4"/>
  <c r="AQ268" i="4"/>
  <c r="BC86" i="4"/>
  <c r="BC414" i="4"/>
  <c r="AM414" i="4"/>
  <c r="AS521" i="4"/>
  <c r="AZ521" i="4" s="1"/>
  <c r="BC410" i="4"/>
  <c r="AM410" i="4"/>
  <c r="AM503" i="4"/>
  <c r="BC503" i="4"/>
  <c r="BC568" i="4"/>
  <c r="BC491" i="4"/>
  <c r="AM491" i="4"/>
  <c r="BC323" i="4"/>
  <c r="AM323" i="4"/>
  <c r="AM224" i="4"/>
  <c r="BC440" i="4"/>
  <c r="AP424" i="4"/>
  <c r="AM504" i="4"/>
  <c r="BC504" i="4"/>
  <c r="AM327" i="4"/>
  <c r="AS327" i="4" s="1"/>
  <c r="AZ327" i="4" s="1"/>
  <c r="AS245" i="4"/>
  <c r="AZ245" i="4" s="1"/>
  <c r="AM272" i="4"/>
  <c r="BC272" i="4"/>
  <c r="BC229" i="4"/>
  <c r="AM229" i="4"/>
  <c r="AM281" i="4"/>
  <c r="BC281" i="4"/>
  <c r="BC421" i="4"/>
  <c r="AM421" i="4"/>
  <c r="AM115" i="4"/>
  <c r="AP585" i="4"/>
  <c r="BE585" i="4" s="1"/>
  <c r="AR585" i="4" s="1"/>
  <c r="AS585" i="4" s="1"/>
  <c r="BC269" i="4"/>
  <c r="AP269" i="4" s="1"/>
  <c r="BE269" i="4" s="1"/>
  <c r="AR269" i="4" s="1"/>
  <c r="AS269" i="4" s="1"/>
  <c r="AZ269" i="4" s="1"/>
  <c r="BC589" i="4"/>
  <c r="AQ589" i="4" s="1"/>
  <c r="BC287" i="4"/>
  <c r="AM287" i="4"/>
  <c r="AM366" i="4"/>
  <c r="BC374" i="4"/>
  <c r="AM374" i="4"/>
  <c r="BC418" i="4"/>
  <c r="AM418" i="4"/>
  <c r="BC221" i="4"/>
  <c r="AM221" i="4"/>
  <c r="AM6" i="2"/>
  <c r="BC482" i="4"/>
  <c r="AM482" i="4"/>
  <c r="BC4" i="2"/>
  <c r="AQ4" i="2" s="1"/>
  <c r="BC427" i="4"/>
  <c r="AM427" i="4"/>
  <c r="BC426" i="4"/>
  <c r="AM426" i="4"/>
  <c r="AM160" i="4"/>
  <c r="BC160" i="4"/>
  <c r="AM557" i="4"/>
  <c r="BC557" i="4"/>
  <c r="AM420" i="4"/>
  <c r="BC422" i="4"/>
  <c r="AM422" i="4"/>
  <c r="BC237" i="4"/>
  <c r="AM237" i="4"/>
  <c r="AM322" i="4"/>
  <c r="BC322" i="4"/>
  <c r="AM592" i="4"/>
  <c r="BC592" i="4"/>
  <c r="AM425" i="4"/>
  <c r="BC425" i="4"/>
  <c r="AQ239" i="4"/>
  <c r="AP239" i="4"/>
  <c r="BE239" i="4" s="1"/>
  <c r="AR239" i="4" s="1"/>
  <c r="AS239" i="4" s="1"/>
  <c r="AZ239" i="4" s="1"/>
  <c r="AP243" i="4"/>
  <c r="BE243" i="4" s="1"/>
  <c r="AR243" i="4" s="1"/>
  <c r="AS243" i="4" s="1"/>
  <c r="AZ243" i="4" s="1"/>
  <c r="AQ243" i="4"/>
  <c r="AM154" i="4"/>
  <c r="BC154" i="4"/>
  <c r="BC241" i="4"/>
  <c r="AM241" i="4"/>
  <c r="BC9" i="4"/>
  <c r="AM9" i="4"/>
  <c r="BC500" i="4"/>
  <c r="AM500" i="4"/>
  <c r="BC277" i="4"/>
  <c r="AM277" i="4"/>
  <c r="AM490" i="4"/>
  <c r="BC490" i="4"/>
  <c r="AM59" i="4"/>
  <c r="BC59" i="4"/>
  <c r="AQ457" i="4"/>
  <c r="AP457" i="4"/>
  <c r="BE457" i="4" s="1"/>
  <c r="AR457" i="4" s="1"/>
  <c r="AP531" i="4"/>
  <c r="BE531" i="4" s="1"/>
  <c r="AR531" i="4" s="1"/>
  <c r="AQ531" i="4"/>
  <c r="AQ550" i="4"/>
  <c r="AP550" i="4"/>
  <c r="AQ483" i="4"/>
  <c r="AP483" i="4"/>
  <c r="AQ240" i="4"/>
  <c r="AP240" i="4"/>
  <c r="BE240" i="4" s="1"/>
  <c r="AR240" i="4" s="1"/>
  <c r="AS240" i="4" s="1"/>
  <c r="AZ240" i="4" s="1"/>
  <c r="AQ298" i="4"/>
  <c r="AP298" i="4"/>
  <c r="BE298" i="4" s="1"/>
  <c r="AR298" i="4" s="1"/>
  <c r="AQ37" i="4"/>
  <c r="AP37" i="4"/>
  <c r="BE37" i="4" s="1"/>
  <c r="AR37" i="4" s="1"/>
  <c r="AQ371" i="4"/>
  <c r="AP371" i="4"/>
  <c r="AP391" i="4"/>
  <c r="AQ391" i="4"/>
  <c r="AQ403" i="4"/>
  <c r="AP403" i="4"/>
  <c r="AQ555" i="4"/>
  <c r="AP555" i="4"/>
  <c r="BE555" i="4" s="1"/>
  <c r="AR555" i="4" s="1"/>
  <c r="AS555" i="4" s="1"/>
  <c r="AZ555" i="4" s="1"/>
  <c r="AQ292" i="4"/>
  <c r="AP292" i="4"/>
  <c r="BE292" i="4" s="1"/>
  <c r="AR292" i="4" s="1"/>
  <c r="AQ396" i="4"/>
  <c r="AP396" i="4"/>
  <c r="AP370" i="4"/>
  <c r="AQ370" i="4"/>
  <c r="AQ158" i="4"/>
  <c r="AP158" i="4"/>
  <c r="AQ586" i="4"/>
  <c r="AP586" i="4"/>
  <c r="AQ38" i="4"/>
  <c r="AP38" i="4"/>
  <c r="BE38" i="4" s="1"/>
  <c r="AR38" i="4" s="1"/>
  <c r="AS38" i="4" s="1"/>
  <c r="AZ38" i="4" s="1"/>
  <c r="AP254" i="4"/>
  <c r="BE254" i="4" s="1"/>
  <c r="AR254" i="4" s="1"/>
  <c r="AS254" i="4" s="1"/>
  <c r="AZ254" i="4" s="1"/>
  <c r="AQ254" i="4"/>
  <c r="AQ489" i="4"/>
  <c r="AP489" i="4"/>
  <c r="BE489" i="4" s="1"/>
  <c r="AR489" i="4" s="1"/>
  <c r="AS489" i="4" s="1"/>
  <c r="AZ489" i="4" s="1"/>
  <c r="AM583" i="4"/>
  <c r="BC583" i="4"/>
  <c r="AQ461" i="4"/>
  <c r="AP461" i="4"/>
  <c r="BE461" i="4" s="1"/>
  <c r="AR461" i="4" s="1"/>
  <c r="AS461" i="4" s="1"/>
  <c r="AZ461" i="4" s="1"/>
  <c r="AQ432" i="4"/>
  <c r="AP432" i="4"/>
  <c r="AQ23" i="4"/>
  <c r="AP23" i="4"/>
  <c r="BE23" i="4" s="1"/>
  <c r="AR23" i="4" s="1"/>
  <c r="AS23" i="4" s="1"/>
  <c r="AZ23" i="4" s="1"/>
  <c r="AQ43" i="4"/>
  <c r="AP43" i="4"/>
  <c r="BE43" i="4" s="1"/>
  <c r="AR43" i="4" s="1"/>
  <c r="AQ313" i="4"/>
  <c r="AP313" i="4"/>
  <c r="BE313" i="4" s="1"/>
  <c r="AR313" i="4" s="1"/>
  <c r="AQ558" i="4"/>
  <c r="AP558" i="4"/>
  <c r="BE558" i="4" s="1"/>
  <c r="AR558" i="4" s="1"/>
  <c r="AQ340" i="4"/>
  <c r="AP340" i="4"/>
  <c r="BE340" i="4" s="1"/>
  <c r="AR340" i="4" s="1"/>
  <c r="AS340" i="4" s="1"/>
  <c r="AZ340" i="4" s="1"/>
  <c r="AQ25" i="4"/>
  <c r="AP25" i="4"/>
  <c r="AQ334" i="4"/>
  <c r="AP334" i="4"/>
  <c r="BE334" i="4" s="1"/>
  <c r="AR334" i="4" s="1"/>
  <c r="AS334" i="4" s="1"/>
  <c r="AZ334" i="4" s="1"/>
  <c r="AQ107" i="4"/>
  <c r="AP107" i="4"/>
  <c r="AQ467" i="4"/>
  <c r="AP467" i="4"/>
  <c r="AQ147" i="4"/>
  <c r="AP147" i="4"/>
  <c r="AQ227" i="4"/>
  <c r="AP227" i="4"/>
  <c r="AQ128" i="4"/>
  <c r="AP128" i="4"/>
  <c r="AQ543" i="4"/>
  <c r="AP543" i="4"/>
  <c r="BE543" i="4" s="1"/>
  <c r="AR543" i="4" s="1"/>
  <c r="AS543" i="4" s="1"/>
  <c r="AZ543" i="4" s="1"/>
  <c r="AQ191" i="4"/>
  <c r="AP191" i="4"/>
  <c r="BE191" i="4" s="1"/>
  <c r="AR191" i="4" s="1"/>
  <c r="AP259" i="4"/>
  <c r="BE259" i="4" s="1"/>
  <c r="AR259" i="4" s="1"/>
  <c r="AS259" i="4" s="1"/>
  <c r="AZ259" i="4" s="1"/>
  <c r="AQ259" i="4"/>
  <c r="AP169" i="4"/>
  <c r="AQ169" i="4"/>
  <c r="BE416" i="4"/>
  <c r="AR416" i="4" s="1"/>
  <c r="AS416" i="4" s="1"/>
  <c r="AY416" i="4"/>
  <c r="BC193" i="4"/>
  <c r="AM193" i="4"/>
  <c r="AQ72" i="4"/>
  <c r="AP72" i="4"/>
  <c r="BE72" i="4" s="1"/>
  <c r="AR72" i="4" s="1"/>
  <c r="AS72" i="4" s="1"/>
  <c r="AZ72" i="4" s="1"/>
  <c r="AQ33" i="4"/>
  <c r="AP33" i="4"/>
  <c r="BE33" i="4" s="1"/>
  <c r="AR33" i="4" s="1"/>
  <c r="AQ346" i="4"/>
  <c r="AP346" i="4"/>
  <c r="BE346" i="4" s="1"/>
  <c r="AR346" i="4" s="1"/>
  <c r="AQ153" i="4"/>
  <c r="AP153" i="4"/>
  <c r="AQ308" i="4"/>
  <c r="AP308" i="4"/>
  <c r="BE308" i="4" s="1"/>
  <c r="AR308" i="4" s="1"/>
  <c r="AS308" i="4" s="1"/>
  <c r="AZ308" i="4" s="1"/>
  <c r="BE415" i="4"/>
  <c r="AR415" i="4" s="1"/>
  <c r="AS415" i="4" s="1"/>
  <c r="AY415" i="4"/>
  <c r="AS457" i="4"/>
  <c r="AZ457" i="4" s="1"/>
  <c r="AS531" i="4"/>
  <c r="AZ531" i="4" s="1"/>
  <c r="AQ213" i="4"/>
  <c r="AP213" i="4"/>
  <c r="BE213" i="4" s="1"/>
  <c r="AR213" i="4" s="1"/>
  <c r="AS213" i="4" s="1"/>
  <c r="AZ213" i="4" s="1"/>
  <c r="AQ595" i="4"/>
  <c r="AP595" i="4"/>
  <c r="AQ532" i="4"/>
  <c r="AP532" i="4"/>
  <c r="BE532" i="4" s="1"/>
  <c r="AR532" i="4" s="1"/>
  <c r="AS532" i="4" s="1"/>
  <c r="AZ532" i="4" s="1"/>
  <c r="AQ479" i="4"/>
  <c r="AP479" i="4"/>
  <c r="AP250" i="4"/>
  <c r="BE250" i="4" s="1"/>
  <c r="AR250" i="4" s="1"/>
  <c r="AS250" i="4" s="1"/>
  <c r="AZ250" i="4" s="1"/>
  <c r="AQ250" i="4"/>
  <c r="AQ20" i="4"/>
  <c r="AP20" i="4"/>
  <c r="BE20" i="4" s="1"/>
  <c r="AR20" i="4" s="1"/>
  <c r="AS20" i="4" s="1"/>
  <c r="AZ20" i="4" s="1"/>
  <c r="BE417" i="4"/>
  <c r="AR417" i="4" s="1"/>
  <c r="AS417" i="4" s="1"/>
  <c r="AY417" i="4"/>
  <c r="AP516" i="4"/>
  <c r="BE516" i="4" s="1"/>
  <c r="AR516" i="4" s="1"/>
  <c r="AQ516" i="4"/>
  <c r="AP265" i="4"/>
  <c r="BE265" i="4" s="1"/>
  <c r="AR265" i="4" s="1"/>
  <c r="AQ265" i="4"/>
  <c r="AS37" i="4"/>
  <c r="AZ37" i="4" s="1"/>
  <c r="AP162" i="4"/>
  <c r="AQ162" i="4"/>
  <c r="AQ458" i="4"/>
  <c r="AP458" i="4"/>
  <c r="BE458" i="4" s="1"/>
  <c r="AR458" i="4" s="1"/>
  <c r="AS458" i="4" s="1"/>
  <c r="AZ458" i="4" s="1"/>
  <c r="BC183" i="4"/>
  <c r="AM183" i="4"/>
  <c r="BE219" i="4"/>
  <c r="AR219" i="4" s="1"/>
  <c r="AS219" i="4" s="1"/>
  <c r="AY219" i="4"/>
  <c r="AQ217" i="4"/>
  <c r="AP217" i="4"/>
  <c r="BE217" i="4" s="1"/>
  <c r="AR217" i="4" s="1"/>
  <c r="AS217" i="4" s="1"/>
  <c r="AZ217" i="4" s="1"/>
  <c r="AQ441" i="4"/>
  <c r="AP441" i="4"/>
  <c r="BE441" i="4" s="1"/>
  <c r="AR441" i="4" s="1"/>
  <c r="AQ117" i="4"/>
  <c r="AP117" i="4"/>
  <c r="AQ357" i="4"/>
  <c r="AP357" i="4"/>
  <c r="BE357" i="4" s="1"/>
  <c r="AR357" i="4" s="1"/>
  <c r="AS357" i="4" s="1"/>
  <c r="AZ357" i="4" s="1"/>
  <c r="AQ451" i="4"/>
  <c r="AP451" i="4"/>
  <c r="AQ534" i="4"/>
  <c r="AP534" i="4"/>
  <c r="BE534" i="4" s="1"/>
  <c r="AR534" i="4" s="1"/>
  <c r="AP258" i="4"/>
  <c r="BE258" i="4" s="1"/>
  <c r="AR258" i="4" s="1"/>
  <c r="AS258" i="4" s="1"/>
  <c r="AZ258" i="4" s="1"/>
  <c r="AQ258" i="4"/>
  <c r="AQ114" i="4"/>
  <c r="AP114" i="4"/>
  <c r="AQ466" i="4"/>
  <c r="AP466" i="4"/>
  <c r="BE466" i="4" s="1"/>
  <c r="AR466" i="4" s="1"/>
  <c r="AS466" i="4" s="1"/>
  <c r="AZ466" i="4" s="1"/>
  <c r="BE379" i="4"/>
  <c r="AR379" i="4" s="1"/>
  <c r="AS379" i="4" s="1"/>
  <c r="AY379" i="4"/>
  <c r="BE497" i="4"/>
  <c r="AR497" i="4" s="1"/>
  <c r="AS497" i="4" s="1"/>
  <c r="AY497" i="4"/>
  <c r="AQ101" i="4"/>
  <c r="AP101" i="4"/>
  <c r="AQ35" i="4"/>
  <c r="AP35" i="4"/>
  <c r="BE35" i="4" s="1"/>
  <c r="AR35" i="4" s="1"/>
  <c r="AS35" i="4" s="1"/>
  <c r="AZ35" i="4" s="1"/>
  <c r="AS43" i="4"/>
  <c r="AZ43" i="4" s="1"/>
  <c r="AS558" i="4"/>
  <c r="AZ558" i="4" s="1"/>
  <c r="AQ48" i="4"/>
  <c r="AP48" i="4"/>
  <c r="BE48" i="4" s="1"/>
  <c r="AR48" i="4" s="1"/>
  <c r="AS48" i="4" s="1"/>
  <c r="AZ48" i="4" s="1"/>
  <c r="AQ576" i="4"/>
  <c r="AP576" i="4"/>
  <c r="AQ41" i="4"/>
  <c r="AP41" i="4"/>
  <c r="BE41" i="4" s="1"/>
  <c r="AR41" i="4" s="1"/>
  <c r="AS41" i="4" s="1"/>
  <c r="AZ41" i="4" s="1"/>
  <c r="BC179" i="4"/>
  <c r="AM179" i="4"/>
  <c r="AQ408" i="4"/>
  <c r="AP408" i="4"/>
  <c r="AQ230" i="4"/>
  <c r="AP230" i="4"/>
  <c r="BE230" i="4" s="1"/>
  <c r="AR230" i="4" s="1"/>
  <c r="AS230" i="4" s="1"/>
  <c r="AZ230" i="4" s="1"/>
  <c r="AQ484" i="4"/>
  <c r="AP484" i="4"/>
  <c r="AQ537" i="4"/>
  <c r="AP537" i="4"/>
  <c r="BE537" i="4" s="1"/>
  <c r="AR537" i="4" s="1"/>
  <c r="AQ116" i="4"/>
  <c r="AP116" i="4"/>
  <c r="AQ206" i="4"/>
  <c r="AP206" i="4"/>
  <c r="BE206" i="4" s="1"/>
  <c r="AR206" i="4" s="1"/>
  <c r="AS206" i="4" s="1"/>
  <c r="AZ206" i="4" s="1"/>
  <c r="AP252" i="4"/>
  <c r="BE252" i="4" s="1"/>
  <c r="AR252" i="4" s="1"/>
  <c r="AS252" i="4" s="1"/>
  <c r="AZ252" i="4" s="1"/>
  <c r="AQ252" i="4"/>
  <c r="AQ561" i="4"/>
  <c r="AP561" i="4"/>
  <c r="AQ570" i="4"/>
  <c r="AP570" i="4"/>
  <c r="AM196" i="4"/>
  <c r="BC196" i="4"/>
  <c r="AQ276" i="4"/>
  <c r="AP276" i="4"/>
  <c r="BE276" i="4" s="1"/>
  <c r="AR276" i="4" s="1"/>
  <c r="AS276" i="4" s="1"/>
  <c r="AZ276" i="4" s="1"/>
  <c r="AP365" i="4"/>
  <c r="BE365" i="4" s="1"/>
  <c r="AR365" i="4" s="1"/>
  <c r="AS365" i="4" s="1"/>
  <c r="AZ365" i="4" s="1"/>
  <c r="AQ365" i="4"/>
  <c r="BE367" i="4"/>
  <c r="AR367" i="4" s="1"/>
  <c r="AS367" i="4" s="1"/>
  <c r="AY367" i="4"/>
  <c r="AQ187" i="4"/>
  <c r="AP187" i="4"/>
  <c r="BE187" i="4" s="1"/>
  <c r="AR187" i="4" s="1"/>
  <c r="AS187" i="4" s="1"/>
  <c r="AZ187" i="4" s="1"/>
  <c r="AQ551" i="4"/>
  <c r="AP551" i="4"/>
  <c r="AQ326" i="4"/>
  <c r="AP326" i="4"/>
  <c r="BE326" i="4" s="1"/>
  <c r="AR326" i="4" s="1"/>
  <c r="AS326" i="4" s="1"/>
  <c r="AZ326" i="4" s="1"/>
  <c r="AQ122" i="4"/>
  <c r="AP122" i="4"/>
  <c r="BE122" i="4" s="1"/>
  <c r="AR122" i="4" s="1"/>
  <c r="AS122" i="4" s="1"/>
  <c r="AZ122" i="4" s="1"/>
  <c r="AQ220" i="4"/>
  <c r="AP220" i="4"/>
  <c r="AS516" i="4"/>
  <c r="AZ516" i="4" s="1"/>
  <c r="AS265" i="4"/>
  <c r="AZ265" i="4" s="1"/>
  <c r="AQ369" i="4"/>
  <c r="AP369" i="4"/>
  <c r="BE369" i="4" s="1"/>
  <c r="AR369" i="4" s="1"/>
  <c r="AS369" i="4" s="1"/>
  <c r="AZ369" i="4" s="1"/>
  <c r="BC343" i="4"/>
  <c r="AM343" i="4"/>
  <c r="AP172" i="4"/>
  <c r="BE172" i="4" s="1"/>
  <c r="AR172" i="4" s="1"/>
  <c r="AS172" i="4" s="1"/>
  <c r="AZ172" i="4" s="1"/>
  <c r="AQ172" i="4"/>
  <c r="AQ567" i="4"/>
  <c r="AP567" i="4"/>
  <c r="BE567" i="4" s="1"/>
  <c r="AR567" i="4" s="1"/>
  <c r="AQ46" i="4"/>
  <c r="AP46" i="4"/>
  <c r="BE46" i="4" s="1"/>
  <c r="AR46" i="4" s="1"/>
  <c r="AS46" i="4" s="1"/>
  <c r="AZ46" i="4" s="1"/>
  <c r="AS441" i="4"/>
  <c r="AZ441" i="4" s="1"/>
  <c r="AS534" i="4"/>
  <c r="AZ534" i="4" s="1"/>
  <c r="BE501" i="4"/>
  <c r="AR501" i="4" s="1"/>
  <c r="AS501" i="4" s="1"/>
  <c r="AY501" i="4"/>
  <c r="AQ542" i="4"/>
  <c r="AP542" i="4"/>
  <c r="BE542" i="4" s="1"/>
  <c r="AR542" i="4" s="1"/>
  <c r="AS542" i="4" s="1"/>
  <c r="AZ542" i="4" s="1"/>
  <c r="AQ541" i="4"/>
  <c r="AP541" i="4"/>
  <c r="BE541" i="4" s="1"/>
  <c r="AR541" i="4" s="1"/>
  <c r="AS541" i="4" s="1"/>
  <c r="AZ541" i="4" s="1"/>
  <c r="AQ574" i="4"/>
  <c r="AP574" i="4"/>
  <c r="BE574" i="4" s="1"/>
  <c r="AR574" i="4" s="1"/>
  <c r="AS574" i="4" s="1"/>
  <c r="AZ574" i="4" s="1"/>
  <c r="AQ188" i="4"/>
  <c r="AP188" i="4"/>
  <c r="BE188" i="4" s="1"/>
  <c r="AR188" i="4" s="1"/>
  <c r="AS188" i="4" s="1"/>
  <c r="AZ188" i="4" s="1"/>
  <c r="AQ215" i="4"/>
  <c r="AP215" i="4"/>
  <c r="AQ112" i="4"/>
  <c r="AP112" i="4"/>
  <c r="BC159" i="4"/>
  <c r="AM159" i="4"/>
  <c r="AQ478" i="4"/>
  <c r="AP478" i="4"/>
  <c r="BE478" i="4" s="1"/>
  <c r="AR478" i="4" s="1"/>
  <c r="AS478" i="4" s="1"/>
  <c r="AZ478" i="4" s="1"/>
  <c r="AQ295" i="4"/>
  <c r="AP295" i="4"/>
  <c r="BE295" i="4" s="1"/>
  <c r="AR295" i="4" s="1"/>
  <c r="AQ293" i="4"/>
  <c r="AP293" i="4"/>
  <c r="BE293" i="4" s="1"/>
  <c r="AR293" i="4" s="1"/>
  <c r="AS293" i="4" s="1"/>
  <c r="AZ293" i="4" s="1"/>
  <c r="AQ53" i="4"/>
  <c r="AP53" i="4"/>
  <c r="BE53" i="4" s="1"/>
  <c r="AR53" i="4" s="1"/>
  <c r="AS53" i="4" s="1"/>
  <c r="AZ53" i="4" s="1"/>
  <c r="AQ288" i="4"/>
  <c r="AP288" i="4"/>
  <c r="BE288" i="4" s="1"/>
  <c r="AR288" i="4" s="1"/>
  <c r="AS288" i="4" s="1"/>
  <c r="AZ288" i="4" s="1"/>
  <c r="BE404" i="4"/>
  <c r="AR404" i="4" s="1"/>
  <c r="AS404" i="4" s="1"/>
  <c r="AZ404" i="4" s="1"/>
  <c r="AY404" i="4"/>
  <c r="AM70" i="4"/>
  <c r="BC70" i="4"/>
  <c r="AQ476" i="4"/>
  <c r="AP476" i="4"/>
  <c r="AQ335" i="4"/>
  <c r="AP335" i="4"/>
  <c r="BE335" i="4" s="1"/>
  <c r="AR335" i="4" s="1"/>
  <c r="AS335" i="4" s="1"/>
  <c r="AZ335" i="4" s="1"/>
  <c r="AQ318" i="4"/>
  <c r="AP318" i="4"/>
  <c r="BE318" i="4" s="1"/>
  <c r="AR318" i="4" s="1"/>
  <c r="AS318" i="4" s="1"/>
  <c r="AZ318" i="4" s="1"/>
  <c r="AQ133" i="4"/>
  <c r="AP133" i="4"/>
  <c r="AQ345" i="4"/>
  <c r="AP345" i="4"/>
  <c r="BE345" i="4" s="1"/>
  <c r="AR345" i="4" s="1"/>
  <c r="AS345" i="4" s="1"/>
  <c r="AZ345" i="4" s="1"/>
  <c r="AQ6" i="4"/>
  <c r="AP6" i="4"/>
  <c r="AS537" i="4"/>
  <c r="AZ537" i="4" s="1"/>
  <c r="AQ27" i="4"/>
  <c r="AP27" i="4"/>
  <c r="AQ68" i="4"/>
  <c r="AP68" i="4"/>
  <c r="BE68" i="4" s="1"/>
  <c r="AR68" i="4" s="1"/>
  <c r="AS68" i="4" s="1"/>
  <c r="AZ68" i="4" s="1"/>
  <c r="AQ278" i="4"/>
  <c r="AP278" i="4"/>
  <c r="BE278" i="4" s="1"/>
  <c r="AR278" i="4" s="1"/>
  <c r="AS278" i="4" s="1"/>
  <c r="AZ278" i="4" s="1"/>
  <c r="AQ373" i="4"/>
  <c r="AP373" i="4"/>
  <c r="AQ459" i="4"/>
  <c r="AP459" i="4"/>
  <c r="AQ358" i="4"/>
  <c r="AP358" i="4"/>
  <c r="BE358" i="4" s="1"/>
  <c r="AR358" i="4" s="1"/>
  <c r="AS358" i="4" s="1"/>
  <c r="AZ358" i="4" s="1"/>
  <c r="AQ383" i="4"/>
  <c r="AP383" i="4"/>
  <c r="AQ464" i="4"/>
  <c r="AP464" i="4"/>
  <c r="AQ492" i="4"/>
  <c r="AP492" i="4"/>
  <c r="BE492" i="4" s="1"/>
  <c r="AR492" i="4" s="1"/>
  <c r="AS492" i="4" s="1"/>
  <c r="AZ492" i="4" s="1"/>
  <c r="AQ389" i="4"/>
  <c r="AP389" i="4"/>
  <c r="AQ405" i="4"/>
  <c r="AP405" i="4"/>
  <c r="AQ45" i="4"/>
  <c r="AP45" i="4"/>
  <c r="BE45" i="4" s="1"/>
  <c r="AR45" i="4" s="1"/>
  <c r="AS45" i="4" s="1"/>
  <c r="AZ45" i="4" s="1"/>
  <c r="AQ136" i="4"/>
  <c r="AP136" i="4"/>
  <c r="BE368" i="4"/>
  <c r="AR368" i="4" s="1"/>
  <c r="AS368" i="4" s="1"/>
  <c r="AY368" i="4"/>
  <c r="AQ146" i="4"/>
  <c r="AP146" i="4"/>
  <c r="AP256" i="4"/>
  <c r="BE256" i="4" s="1"/>
  <c r="AR256" i="4" s="1"/>
  <c r="AS256" i="4" s="1"/>
  <c r="AZ256" i="4" s="1"/>
  <c r="AQ256" i="4"/>
  <c r="AP255" i="4"/>
  <c r="BE255" i="4" s="1"/>
  <c r="AR255" i="4" s="1"/>
  <c r="AS255" i="4" s="1"/>
  <c r="AZ255" i="4" s="1"/>
  <c r="AQ255" i="4"/>
  <c r="AS567" i="4"/>
  <c r="AZ567" i="4" s="1"/>
  <c r="BE189" i="4"/>
  <c r="AR189" i="4" s="1"/>
  <c r="AS189" i="4" s="1"/>
  <c r="AY189" i="4"/>
  <c r="AQ204" i="4"/>
  <c r="AP204" i="4"/>
  <c r="AQ568" i="4"/>
  <c r="AP568" i="4"/>
  <c r="AQ499" i="4"/>
  <c r="AP499" i="4"/>
  <c r="AQ19" i="4"/>
  <c r="AP19" i="4"/>
  <c r="BE19" i="4" s="1"/>
  <c r="AR19" i="4" s="1"/>
  <c r="AQ508" i="4"/>
  <c r="AP508" i="4"/>
  <c r="BE508" i="4" s="1"/>
  <c r="AR508" i="4" s="1"/>
  <c r="AS508" i="4" s="1"/>
  <c r="AZ508" i="4" s="1"/>
  <c r="AQ509" i="4"/>
  <c r="AP509" i="4"/>
  <c r="BE509" i="4" s="1"/>
  <c r="AR509" i="4" s="1"/>
  <c r="AS509" i="4" s="1"/>
  <c r="AZ509" i="4" s="1"/>
  <c r="AQ505" i="4"/>
  <c r="AP505" i="4"/>
  <c r="AQ384" i="4"/>
  <c r="AP384" i="4"/>
  <c r="AQ468" i="4"/>
  <c r="AP468" i="4"/>
  <c r="AQ513" i="4"/>
  <c r="AP513" i="4"/>
  <c r="BE513" i="4" s="1"/>
  <c r="AR513" i="4" s="1"/>
  <c r="AS513" i="4" s="1"/>
  <c r="AZ513" i="4" s="1"/>
  <c r="AQ444" i="4"/>
  <c r="AP444" i="4"/>
  <c r="AQ131" i="4"/>
  <c r="AP131" i="4"/>
  <c r="AQ103" i="4"/>
  <c r="AP103" i="4"/>
  <c r="BE103" i="4" s="1"/>
  <c r="AR103" i="4" s="1"/>
  <c r="AS103" i="4" s="1"/>
  <c r="AZ103" i="4" s="1"/>
  <c r="AQ141" i="4"/>
  <c r="AP141" i="4"/>
  <c r="AQ350" i="4"/>
  <c r="AP350" i="4"/>
  <c r="BE350" i="4" s="1"/>
  <c r="AR350" i="4" s="1"/>
  <c r="AS350" i="4" s="1"/>
  <c r="AZ350" i="4" s="1"/>
  <c r="AQ463" i="4"/>
  <c r="AP463" i="4"/>
  <c r="AQ305" i="4"/>
  <c r="AP305" i="4"/>
  <c r="BE305" i="4" s="1"/>
  <c r="AR305" i="4" s="1"/>
  <c r="AS305" i="4" s="1"/>
  <c r="AZ305" i="4" s="1"/>
  <c r="AS295" i="4"/>
  <c r="AZ295" i="4" s="1"/>
  <c r="AQ538" i="4"/>
  <c r="AP538" i="4"/>
  <c r="BE538" i="4" s="1"/>
  <c r="AR538" i="4" s="1"/>
  <c r="AS538" i="4" s="1"/>
  <c r="AZ538" i="4" s="1"/>
  <c r="AQ291" i="4"/>
  <c r="AP291" i="4"/>
  <c r="BE291" i="4" s="1"/>
  <c r="AR291" i="4" s="1"/>
  <c r="AS291" i="4" s="1"/>
  <c r="AZ291" i="4" s="1"/>
  <c r="AQ390" i="4"/>
  <c r="AP390" i="4"/>
  <c r="BE390" i="4" s="1"/>
  <c r="AR390" i="4" s="1"/>
  <c r="AS390" i="4" s="1"/>
  <c r="AZ390" i="4" s="1"/>
  <c r="AQ447" i="4"/>
  <c r="AP447" i="4"/>
  <c r="AQ207" i="4"/>
  <c r="AP207" i="4"/>
  <c r="AP260" i="4"/>
  <c r="BE260" i="4" s="1"/>
  <c r="AR260" i="4" s="1"/>
  <c r="AS260" i="4" s="1"/>
  <c r="AZ260" i="4" s="1"/>
  <c r="AQ260" i="4"/>
  <c r="AP156" i="4"/>
  <c r="AQ156" i="4"/>
  <c r="AQ145" i="4"/>
  <c r="AP145" i="4"/>
  <c r="AQ57" i="4"/>
  <c r="AP57" i="4"/>
  <c r="BE57" i="4" s="1"/>
  <c r="AR57" i="4" s="1"/>
  <c r="AS57" i="4" s="1"/>
  <c r="AZ57" i="4" s="1"/>
  <c r="AQ60" i="4"/>
  <c r="AP60" i="4"/>
  <c r="BE60" i="4" s="1"/>
  <c r="AR60" i="4" s="1"/>
  <c r="AS60" i="4" s="1"/>
  <c r="AZ60" i="4" s="1"/>
  <c r="AQ522" i="4"/>
  <c r="AP522" i="4"/>
  <c r="BE522" i="4" s="1"/>
  <c r="AR522" i="4" s="1"/>
  <c r="AS522" i="4" s="1"/>
  <c r="AZ522" i="4" s="1"/>
  <c r="AQ194" i="4"/>
  <c r="AP194" i="4"/>
  <c r="AP511" i="4"/>
  <c r="BE511" i="4" s="1"/>
  <c r="AR511" i="4" s="1"/>
  <c r="AS511" i="4" s="1"/>
  <c r="AZ511" i="4" s="1"/>
  <c r="AQ511" i="4"/>
  <c r="AP262" i="4"/>
  <c r="BE262" i="4" s="1"/>
  <c r="AR262" i="4" s="1"/>
  <c r="AS262" i="4" s="1"/>
  <c r="AZ262" i="4" s="1"/>
  <c r="AQ262" i="4"/>
  <c r="AP529" i="4"/>
  <c r="BE529" i="4" s="1"/>
  <c r="AR529" i="4" s="1"/>
  <c r="AS529" i="4" s="1"/>
  <c r="AZ529" i="4" s="1"/>
  <c r="AQ529" i="4"/>
  <c r="BE17" i="4"/>
  <c r="AR17" i="4" s="1"/>
  <c r="AS17" i="4" s="1"/>
  <c r="AY17" i="4"/>
  <c r="AM18" i="4"/>
  <c r="BC18" i="4"/>
  <c r="AQ195" i="4"/>
  <c r="AP195" i="4"/>
  <c r="BE195" i="4" s="1"/>
  <c r="AR195" i="4" s="1"/>
  <c r="AP173" i="4"/>
  <c r="AQ173" i="4"/>
  <c r="AQ319" i="4"/>
  <c r="AP319" i="4"/>
  <c r="BE319" i="4" s="1"/>
  <c r="AR319" i="4" s="1"/>
  <c r="AS319" i="4" s="1"/>
  <c r="AZ319" i="4" s="1"/>
  <c r="AQ517" i="4"/>
  <c r="AP517" i="4"/>
  <c r="BE517" i="4" s="1"/>
  <c r="AR517" i="4" s="1"/>
  <c r="AS517" i="4" s="1"/>
  <c r="AZ517" i="4" s="1"/>
  <c r="AQ388" i="4"/>
  <c r="AP388" i="4"/>
  <c r="AQ577" i="4"/>
  <c r="AP577" i="4"/>
  <c r="AQ119" i="4"/>
  <c r="AP119" i="4"/>
  <c r="AQ198" i="4"/>
  <c r="AP198" i="4"/>
  <c r="BE198" i="4" s="1"/>
  <c r="AR198" i="4" s="1"/>
  <c r="AS198" i="4" s="1"/>
  <c r="AZ198" i="4" s="1"/>
  <c r="AP163" i="4"/>
  <c r="AQ163" i="4"/>
  <c r="AP161" i="4"/>
  <c r="AQ161" i="4"/>
  <c r="AP273" i="4"/>
  <c r="BE273" i="4" s="1"/>
  <c r="AR273" i="4" s="1"/>
  <c r="AS273" i="4" s="1"/>
  <c r="AZ273" i="4" s="1"/>
  <c r="AQ273" i="4"/>
  <c r="AQ536" i="4"/>
  <c r="AP536" i="4"/>
  <c r="BE536" i="4" s="1"/>
  <c r="AR536" i="4" s="1"/>
  <c r="AS536" i="4" s="1"/>
  <c r="AZ536" i="4" s="1"/>
  <c r="AQ58" i="4"/>
  <c r="AP58" i="4"/>
  <c r="BE58" i="4" s="1"/>
  <c r="AR58" i="4" s="1"/>
  <c r="AS58" i="4" s="1"/>
  <c r="AZ58" i="4" s="1"/>
  <c r="AP247" i="4"/>
  <c r="BE247" i="4" s="1"/>
  <c r="AR247" i="4" s="1"/>
  <c r="AS247" i="4" s="1"/>
  <c r="AZ247" i="4" s="1"/>
  <c r="AQ247" i="4"/>
  <c r="AQ397" i="4"/>
  <c r="AP397" i="4"/>
  <c r="BE397" i="4" s="1"/>
  <c r="AR397" i="4" s="1"/>
  <c r="AS397" i="4" s="1"/>
  <c r="AZ397" i="4" s="1"/>
  <c r="AP401" i="4"/>
  <c r="BE401" i="4" s="1"/>
  <c r="AR401" i="4" s="1"/>
  <c r="AS401" i="4" s="1"/>
  <c r="AZ401" i="4" s="1"/>
  <c r="AQ401" i="4"/>
  <c r="AM533" i="4"/>
  <c r="BC533" i="4"/>
  <c r="AS19" i="4"/>
  <c r="AZ19" i="4" s="1"/>
  <c r="AQ462" i="4"/>
  <c r="AP462" i="4"/>
  <c r="BE462" i="4" s="1"/>
  <c r="AR462" i="4" s="1"/>
  <c r="AS462" i="4" s="1"/>
  <c r="AZ462" i="4" s="1"/>
  <c r="AP385" i="4"/>
  <c r="AQ385" i="4"/>
  <c r="AQ333" i="4"/>
  <c r="AP333" i="4"/>
  <c r="BE333" i="4" s="1"/>
  <c r="AR333" i="4" s="1"/>
  <c r="AS333" i="4" s="1"/>
  <c r="AZ333" i="4" s="1"/>
  <c r="AQ321" i="4"/>
  <c r="AP321" i="4"/>
  <c r="BE321" i="4" s="1"/>
  <c r="AR321" i="4" s="1"/>
  <c r="AS321" i="4" s="1"/>
  <c r="AZ321" i="4" s="1"/>
  <c r="AQ104" i="4"/>
  <c r="AP104" i="4"/>
  <c r="AQ452" i="4"/>
  <c r="AP452" i="4"/>
  <c r="AP263" i="4"/>
  <c r="BE263" i="4" s="1"/>
  <c r="AR263" i="4" s="1"/>
  <c r="AS263" i="4" s="1"/>
  <c r="AZ263" i="4" s="1"/>
  <c r="AQ263" i="4"/>
  <c r="AQ353" i="4"/>
  <c r="AP353" i="4"/>
  <c r="BE353" i="4" s="1"/>
  <c r="AR353" i="4" s="1"/>
  <c r="AS353" i="4" s="1"/>
  <c r="AZ353" i="4" s="1"/>
  <c r="AQ124" i="4"/>
  <c r="AP124" i="4"/>
  <c r="AQ590" i="4"/>
  <c r="AP590" i="4"/>
  <c r="BE590" i="4" s="1"/>
  <c r="AR590" i="4" s="1"/>
  <c r="AS590" i="4" s="1"/>
  <c r="AZ590" i="4" s="1"/>
  <c r="AQ34" i="4"/>
  <c r="AP34" i="4"/>
  <c r="BE34" i="4" s="1"/>
  <c r="AR34" i="4" s="1"/>
  <c r="AS34" i="4" s="1"/>
  <c r="AZ34" i="4" s="1"/>
  <c r="AQ180" i="4"/>
  <c r="AP180" i="4"/>
  <c r="BE180" i="4" s="1"/>
  <c r="AR180" i="4" s="1"/>
  <c r="AS180" i="4" s="1"/>
  <c r="AZ180" i="4" s="1"/>
  <c r="AQ89" i="4"/>
  <c r="AP89" i="4"/>
  <c r="AQ539" i="4"/>
  <c r="AP539" i="4"/>
  <c r="BE539" i="4" s="1"/>
  <c r="AR539" i="4" s="1"/>
  <c r="AS539" i="4" s="1"/>
  <c r="AZ539" i="4" s="1"/>
  <c r="AQ232" i="4"/>
  <c r="AP232" i="4"/>
  <c r="BE232" i="4" s="1"/>
  <c r="AR232" i="4" s="1"/>
  <c r="AS232" i="4" s="1"/>
  <c r="AZ232" i="4" s="1"/>
  <c r="AP182" i="4"/>
  <c r="AQ182" i="4"/>
  <c r="AQ324" i="4"/>
  <c r="AP324" i="4"/>
  <c r="BE324" i="4" s="1"/>
  <c r="AR324" i="4" s="1"/>
  <c r="AS324" i="4" s="1"/>
  <c r="AZ324" i="4" s="1"/>
  <c r="AP530" i="4"/>
  <c r="BE530" i="4" s="1"/>
  <c r="AR530" i="4" s="1"/>
  <c r="AQ530" i="4"/>
  <c r="AQ54" i="4"/>
  <c r="AP54" i="4"/>
  <c r="BE54" i="4" s="1"/>
  <c r="AR54" i="4" s="1"/>
  <c r="AS54" i="4" s="1"/>
  <c r="AZ54" i="4" s="1"/>
  <c r="AM286" i="4"/>
  <c r="BC286" i="4"/>
  <c r="AQ450" i="4"/>
  <c r="AP450" i="4"/>
  <c r="BE450" i="4" s="1"/>
  <c r="AR450" i="4" s="1"/>
  <c r="AS450" i="4" s="1"/>
  <c r="AZ450" i="4" s="1"/>
  <c r="AP167" i="4"/>
  <c r="BE167" i="4" s="1"/>
  <c r="AR167" i="4" s="1"/>
  <c r="AS167" i="4" s="1"/>
  <c r="AZ167" i="4" s="1"/>
  <c r="AQ167" i="4"/>
  <c r="AQ208" i="4"/>
  <c r="AP208" i="4"/>
  <c r="AQ563" i="4"/>
  <c r="AP563" i="4"/>
  <c r="AQ472" i="4"/>
  <c r="AP472" i="4"/>
  <c r="AS195" i="4"/>
  <c r="AZ195" i="4" s="1"/>
  <c r="AQ16" i="4"/>
  <c r="AP16" i="4"/>
  <c r="AQ306" i="4"/>
  <c r="AP306" i="4"/>
  <c r="BE306" i="4" s="1"/>
  <c r="AR306" i="4" s="1"/>
  <c r="AS306" i="4" s="1"/>
  <c r="AZ306" i="4" s="1"/>
  <c r="AQ15" i="4"/>
  <c r="AP15" i="4"/>
  <c r="BE15" i="4" s="1"/>
  <c r="AR15" i="4" s="1"/>
  <c r="AS15" i="4" s="1"/>
  <c r="AZ15" i="4" s="1"/>
  <c r="BE428" i="4"/>
  <c r="AR428" i="4" s="1"/>
  <c r="AS428" i="4" s="1"/>
  <c r="AY428" i="4"/>
  <c r="AQ332" i="4"/>
  <c r="AP332" i="4"/>
  <c r="BE332" i="4" s="1"/>
  <c r="AR332" i="4" s="1"/>
  <c r="AS332" i="4" s="1"/>
  <c r="AZ332" i="4" s="1"/>
  <c r="AQ331" i="4"/>
  <c r="AP331" i="4"/>
  <c r="BE331" i="4" s="1"/>
  <c r="AR331" i="4" s="1"/>
  <c r="AS331" i="4" s="1"/>
  <c r="AZ331" i="4" s="1"/>
  <c r="AQ86" i="4"/>
  <c r="AP86" i="4"/>
  <c r="AQ40" i="4"/>
  <c r="AP40" i="4"/>
  <c r="BE40" i="4" s="1"/>
  <c r="AR40" i="4" s="1"/>
  <c r="AS40" i="4" s="1"/>
  <c r="AZ40" i="4" s="1"/>
  <c r="AQ81" i="4"/>
  <c r="AP81" i="4"/>
  <c r="AM30" i="4"/>
  <c r="BC30" i="4"/>
  <c r="AQ519" i="4"/>
  <c r="AP519" i="4"/>
  <c r="BE519" i="4" s="1"/>
  <c r="AR519" i="4" s="1"/>
  <c r="AS519" i="4" s="1"/>
  <c r="AZ519" i="4" s="1"/>
  <c r="BE144" i="4"/>
  <c r="AR144" i="4" s="1"/>
  <c r="AS144" i="4" s="1"/>
  <c r="AY144" i="4"/>
  <c r="AQ76" i="4"/>
  <c r="AP76" i="4"/>
  <c r="BE76" i="4" s="1"/>
  <c r="AR76" i="4" s="1"/>
  <c r="AS76" i="4" s="1"/>
  <c r="AZ76" i="4" s="1"/>
  <c r="AM431" i="4"/>
  <c r="BC431" i="4"/>
  <c r="AQ507" i="4"/>
  <c r="AP507" i="4"/>
  <c r="BE507" i="4" s="1"/>
  <c r="AR507" i="4" s="1"/>
  <c r="AS507" i="4" s="1"/>
  <c r="AZ507" i="4" s="1"/>
  <c r="AQ151" i="4"/>
  <c r="AP151" i="4"/>
  <c r="AQ387" i="4"/>
  <c r="AP387" i="4"/>
  <c r="AQ223" i="4"/>
  <c r="AP223" i="4"/>
  <c r="AQ115" i="4"/>
  <c r="AP115" i="4"/>
  <c r="AQ244" i="4"/>
  <c r="AP244" i="4"/>
  <c r="BE244" i="4" s="1"/>
  <c r="AR244" i="4" s="1"/>
  <c r="AQ362" i="4"/>
  <c r="AP362" i="4"/>
  <c r="BE362" i="4" s="1"/>
  <c r="AR362" i="4" s="1"/>
  <c r="AS362" i="4" s="1"/>
  <c r="AZ362" i="4" s="1"/>
  <c r="AQ98" i="4"/>
  <c r="AP98" i="4"/>
  <c r="AP253" i="4"/>
  <c r="BE253" i="4" s="1"/>
  <c r="AR253" i="4" s="1"/>
  <c r="AS253" i="4" s="1"/>
  <c r="AZ253" i="4" s="1"/>
  <c r="AQ253" i="4"/>
  <c r="BE85" i="4"/>
  <c r="AR85" i="4" s="1"/>
  <c r="AS85" i="4" s="1"/>
  <c r="AY85" i="4"/>
  <c r="AQ454" i="4"/>
  <c r="AP454" i="4"/>
  <c r="BE454" i="4" s="1"/>
  <c r="AR454" i="4" s="1"/>
  <c r="AS454" i="4" s="1"/>
  <c r="AZ454" i="4" s="1"/>
  <c r="BE134" i="4"/>
  <c r="AR134" i="4" s="1"/>
  <c r="AS134" i="4" s="1"/>
  <c r="AY134" i="4"/>
  <c r="BC363" i="4"/>
  <c r="AM363" i="4"/>
  <c r="AP527" i="4"/>
  <c r="BE527" i="4" s="1"/>
  <c r="AR527" i="4" s="1"/>
  <c r="AS527" i="4" s="1"/>
  <c r="AZ527" i="4" s="1"/>
  <c r="AQ527" i="4"/>
  <c r="AQ39" i="4"/>
  <c r="AP39" i="4"/>
  <c r="BE39" i="4" s="1"/>
  <c r="AR39" i="4" s="1"/>
  <c r="AS39" i="4" s="1"/>
  <c r="AZ39" i="4" s="1"/>
  <c r="AQ4" i="4"/>
  <c r="AP4" i="4"/>
  <c r="AQ225" i="4"/>
  <c r="AP225" i="4"/>
  <c r="BE225" i="4" s="1"/>
  <c r="AR225" i="4" s="1"/>
  <c r="AS225" i="4" s="1"/>
  <c r="AZ225" i="4" s="1"/>
  <c r="AQ106" i="4"/>
  <c r="AP106" i="4"/>
  <c r="AP168" i="4"/>
  <c r="BE168" i="4" s="1"/>
  <c r="AR168" i="4" s="1"/>
  <c r="AS168" i="4" s="1"/>
  <c r="AZ168" i="4" s="1"/>
  <c r="AQ168" i="4"/>
  <c r="AQ132" i="4"/>
  <c r="AP132" i="4"/>
  <c r="AQ202" i="4"/>
  <c r="AP202" i="4"/>
  <c r="BE202" i="4" s="1"/>
  <c r="AR202" i="4" s="1"/>
  <c r="AS202" i="4" s="1"/>
  <c r="AZ202" i="4" s="1"/>
  <c r="BE498" i="4"/>
  <c r="AR498" i="4" s="1"/>
  <c r="AS498" i="4" s="1"/>
  <c r="AY498" i="4"/>
  <c r="AS530" i="4"/>
  <c r="AZ530" i="4" s="1"/>
  <c r="AQ73" i="4"/>
  <c r="AP73" i="4"/>
  <c r="AQ236" i="4"/>
  <c r="AP236" i="4"/>
  <c r="BE236" i="4" s="1"/>
  <c r="AR236" i="4" s="1"/>
  <c r="AQ316" i="4"/>
  <c r="AP316" i="4"/>
  <c r="BE316" i="4" s="1"/>
  <c r="AR316" i="4" s="1"/>
  <c r="AQ496" i="4"/>
  <c r="AP496" i="4"/>
  <c r="AQ442" i="4"/>
  <c r="AP442" i="4"/>
  <c r="BE442" i="4" s="1"/>
  <c r="AR442" i="4" s="1"/>
  <c r="AS442" i="4" s="1"/>
  <c r="AZ442" i="4" s="1"/>
  <c r="AQ129" i="4"/>
  <c r="AP129" i="4"/>
  <c r="AQ469" i="4"/>
  <c r="AP469" i="4"/>
  <c r="BE469" i="4" s="1"/>
  <c r="AR469" i="4" s="1"/>
  <c r="AQ311" i="4"/>
  <c r="AP311" i="4"/>
  <c r="BE311" i="4" s="1"/>
  <c r="AR311" i="4" s="1"/>
  <c r="AS311" i="4" s="1"/>
  <c r="AZ311" i="4" s="1"/>
  <c r="AQ83" i="4"/>
  <c r="AP83" i="4"/>
  <c r="BE83" i="4" s="1"/>
  <c r="AR83" i="4" s="1"/>
  <c r="AS83" i="4" s="1"/>
  <c r="AZ83" i="4" s="1"/>
  <c r="BE419" i="4"/>
  <c r="AR419" i="4" s="1"/>
  <c r="AS419" i="4" s="1"/>
  <c r="AY419" i="4"/>
  <c r="AQ553" i="4"/>
  <c r="AP553" i="4"/>
  <c r="BE553" i="4" s="1"/>
  <c r="AR553" i="4" s="1"/>
  <c r="AS553" i="4" s="1"/>
  <c r="AZ553" i="4" s="1"/>
  <c r="AQ49" i="4"/>
  <c r="AP49" i="4"/>
  <c r="BE49" i="4" s="1"/>
  <c r="AR49" i="4" s="1"/>
  <c r="AS49" i="4" s="1"/>
  <c r="AZ49" i="4" s="1"/>
  <c r="AP166" i="4"/>
  <c r="AQ166" i="4"/>
  <c r="AQ341" i="4"/>
  <c r="AP341" i="4"/>
  <c r="BE341" i="4" s="1"/>
  <c r="AR341" i="4" s="1"/>
  <c r="AS341" i="4" s="1"/>
  <c r="AZ341" i="4" s="1"/>
  <c r="AQ337" i="4"/>
  <c r="AP337" i="4"/>
  <c r="BE337" i="4" s="1"/>
  <c r="AR337" i="4" s="1"/>
  <c r="AS337" i="4" s="1"/>
  <c r="AZ337" i="4" s="1"/>
  <c r="AQ571" i="4"/>
  <c r="AP571" i="4"/>
  <c r="AQ366" i="4"/>
  <c r="AP366" i="4"/>
  <c r="AQ395" i="4"/>
  <c r="AP395" i="4"/>
  <c r="AQ110" i="4"/>
  <c r="AP110" i="4"/>
  <c r="AQ303" i="4"/>
  <c r="AP303" i="4"/>
  <c r="BE303" i="4" s="1"/>
  <c r="AR303" i="4" s="1"/>
  <c r="AS303" i="4" s="1"/>
  <c r="AZ303" i="4" s="1"/>
  <c r="AQ575" i="4"/>
  <c r="AP575" i="4"/>
  <c r="BE575" i="4" s="1"/>
  <c r="AR575" i="4" s="1"/>
  <c r="AS575" i="4" s="1"/>
  <c r="AZ575" i="4" s="1"/>
  <c r="AP271" i="4"/>
  <c r="BE271" i="4" s="1"/>
  <c r="AR271" i="4" s="1"/>
  <c r="AQ271" i="4"/>
  <c r="AM77" i="4"/>
  <c r="BC77" i="4"/>
  <c r="AQ556" i="4"/>
  <c r="AP556" i="4"/>
  <c r="BE556" i="4" s="1"/>
  <c r="AR556" i="4" s="1"/>
  <c r="AS556" i="4" s="1"/>
  <c r="AZ556" i="4" s="1"/>
  <c r="AQ320" i="4"/>
  <c r="AP320" i="4"/>
  <c r="BE320" i="4" s="1"/>
  <c r="AR320" i="4" s="1"/>
  <c r="AS320" i="4" s="1"/>
  <c r="AZ320" i="4" s="1"/>
  <c r="AQ494" i="4"/>
  <c r="AP494" i="4"/>
  <c r="BE494" i="4" s="1"/>
  <c r="AR494" i="4" s="1"/>
  <c r="AS494" i="4" s="1"/>
  <c r="AZ494" i="4" s="1"/>
  <c r="AQ214" i="4"/>
  <c r="AP214" i="4"/>
  <c r="BE214" i="4" s="1"/>
  <c r="AR214" i="4" s="1"/>
  <c r="AS214" i="4" s="1"/>
  <c r="AZ214" i="4" s="1"/>
  <c r="AQ284" i="4"/>
  <c r="AP284" i="4"/>
  <c r="BE284" i="4" s="1"/>
  <c r="AR284" i="4" s="1"/>
  <c r="AS284" i="4" s="1"/>
  <c r="AZ284" i="4" s="1"/>
  <c r="AQ325" i="4"/>
  <c r="AP325" i="4"/>
  <c r="BE325" i="4" s="1"/>
  <c r="AR325" i="4" s="1"/>
  <c r="AS325" i="4" s="1"/>
  <c r="AZ325" i="4" s="1"/>
  <c r="AQ372" i="4"/>
  <c r="AP372" i="4"/>
  <c r="AQ437" i="4"/>
  <c r="AP437" i="4"/>
  <c r="BE437" i="4" s="1"/>
  <c r="AR437" i="4" s="1"/>
  <c r="AS437" i="4" s="1"/>
  <c r="AZ437" i="4" s="1"/>
  <c r="AP267" i="4"/>
  <c r="BE267" i="4" s="1"/>
  <c r="AR267" i="4" s="1"/>
  <c r="AS267" i="4" s="1"/>
  <c r="AZ267" i="4" s="1"/>
  <c r="AQ267" i="4"/>
  <c r="AP377" i="4"/>
  <c r="AQ377" i="4"/>
  <c r="AQ446" i="4"/>
  <c r="AP446" i="4"/>
  <c r="BE446" i="4" s="1"/>
  <c r="AR446" i="4" s="1"/>
  <c r="AS446" i="4" s="1"/>
  <c r="AZ446" i="4" s="1"/>
  <c r="AS244" i="4"/>
  <c r="AZ244" i="4" s="1"/>
  <c r="AM429" i="4"/>
  <c r="BC429" i="4"/>
  <c r="AQ330" i="4"/>
  <c r="AP330" i="4"/>
  <c r="BE330" i="4" s="1"/>
  <c r="AR330" i="4" s="1"/>
  <c r="AS330" i="4" s="1"/>
  <c r="AZ330" i="4" s="1"/>
  <c r="BE178" i="4"/>
  <c r="AR178" i="4" s="1"/>
  <c r="AS178" i="4" s="1"/>
  <c r="AY178" i="4"/>
  <c r="AQ579" i="4"/>
  <c r="AP579" i="4"/>
  <c r="AP402" i="4"/>
  <c r="BE402" i="4" s="1"/>
  <c r="AR402" i="4" s="1"/>
  <c r="AS402" i="4" s="1"/>
  <c r="AZ402" i="4" s="1"/>
  <c r="AQ402" i="4"/>
  <c r="AQ51" i="4"/>
  <c r="AP51" i="4"/>
  <c r="BE51" i="4" s="1"/>
  <c r="AR51" i="4" s="1"/>
  <c r="AS51" i="4" s="1"/>
  <c r="AZ51" i="4" s="1"/>
  <c r="AQ148" i="4"/>
  <c r="AP148" i="4"/>
  <c r="AQ8" i="4"/>
  <c r="AP8" i="4"/>
  <c r="AQ127" i="4"/>
  <c r="AP127" i="4"/>
  <c r="AQ87" i="4"/>
  <c r="AP87" i="4"/>
  <c r="BE87" i="4" s="1"/>
  <c r="AR87" i="4" s="1"/>
  <c r="AS87" i="4" s="1"/>
  <c r="AZ87" i="4" s="1"/>
  <c r="AM157" i="4"/>
  <c r="BC157" i="4"/>
  <c r="AQ102" i="4"/>
  <c r="AP102" i="4"/>
  <c r="AQ301" i="4"/>
  <c r="AP301" i="4"/>
  <c r="BE301" i="4" s="1"/>
  <c r="AR301" i="4" s="1"/>
  <c r="AS301" i="4" s="1"/>
  <c r="AZ301" i="4" s="1"/>
  <c r="AQ186" i="4"/>
  <c r="AP186" i="4"/>
  <c r="AQ436" i="4"/>
  <c r="AP436" i="4"/>
  <c r="AQ475" i="4"/>
  <c r="AP475" i="4"/>
  <c r="AQ121" i="4"/>
  <c r="AP121" i="4"/>
  <c r="BE121" i="4" s="1"/>
  <c r="AR121" i="4" s="1"/>
  <c r="AS121" i="4" s="1"/>
  <c r="AZ121" i="4" s="1"/>
  <c r="AS236" i="4"/>
  <c r="AZ236" i="4" s="1"/>
  <c r="AS316" i="4"/>
  <c r="AZ316" i="4" s="1"/>
  <c r="AM434" i="4"/>
  <c r="BC434" i="4"/>
  <c r="AS469" i="4"/>
  <c r="AZ469" i="4" s="1"/>
  <c r="AM285" i="4"/>
  <c r="BC285" i="4"/>
  <c r="AQ7" i="4"/>
  <c r="AP7" i="4"/>
  <c r="AQ455" i="4"/>
  <c r="AP455" i="4"/>
  <c r="AQ74" i="4"/>
  <c r="AP74" i="4"/>
  <c r="BE486" i="4"/>
  <c r="AR486" i="4" s="1"/>
  <c r="AS486" i="4" s="1"/>
  <c r="AY486" i="4"/>
  <c r="AP257" i="4"/>
  <c r="BE257" i="4" s="1"/>
  <c r="AR257" i="4" s="1"/>
  <c r="AS257" i="4" s="1"/>
  <c r="AZ257" i="4" s="1"/>
  <c r="AQ257" i="4"/>
  <c r="AQ274" i="4"/>
  <c r="AP274" i="4"/>
  <c r="BE274" i="4" s="1"/>
  <c r="AR274" i="4" s="1"/>
  <c r="AS274" i="4" s="1"/>
  <c r="AZ274" i="4" s="1"/>
  <c r="AQ209" i="4"/>
  <c r="AP209" i="4"/>
  <c r="BE209" i="4" s="1"/>
  <c r="AR209" i="4" s="1"/>
  <c r="AS209" i="4" s="1"/>
  <c r="AZ209" i="4" s="1"/>
  <c r="AM355" i="4"/>
  <c r="BC355" i="4"/>
  <c r="AQ280" i="4"/>
  <c r="AP280" i="4"/>
  <c r="BE280" i="4" s="1"/>
  <c r="AR280" i="4" s="1"/>
  <c r="AS280" i="4" s="1"/>
  <c r="AZ280" i="4" s="1"/>
  <c r="BE562" i="4"/>
  <c r="AR562" i="4" s="1"/>
  <c r="AS562" i="4" s="1"/>
  <c r="AY562" i="4"/>
  <c r="AQ212" i="4"/>
  <c r="AP212" i="4"/>
  <c r="AQ108" i="4"/>
  <c r="AP108" i="4"/>
  <c r="AP177" i="4"/>
  <c r="AQ177" i="4"/>
  <c r="AS271" i="4"/>
  <c r="AZ271" i="4" s="1"/>
  <c r="AQ593" i="4"/>
  <c r="AP593" i="4"/>
  <c r="AQ471" i="4"/>
  <c r="AP471" i="4"/>
  <c r="AQ36" i="4"/>
  <c r="AP36" i="4"/>
  <c r="BE36" i="4" s="1"/>
  <c r="AR36" i="4" s="1"/>
  <c r="AS36" i="4" s="1"/>
  <c r="AZ36" i="4" s="1"/>
  <c r="AQ535" i="4"/>
  <c r="AP535" i="4"/>
  <c r="BE535" i="4" s="1"/>
  <c r="AR535" i="4" s="1"/>
  <c r="AS535" i="4" s="1"/>
  <c r="AZ535" i="4" s="1"/>
  <c r="AP174" i="4"/>
  <c r="AQ174" i="4"/>
  <c r="AQ376" i="4"/>
  <c r="AP376" i="4"/>
  <c r="AQ13" i="4"/>
  <c r="AP13" i="4"/>
  <c r="BE13" i="4" s="1"/>
  <c r="AR13" i="4" s="1"/>
  <c r="AS13" i="4" s="1"/>
  <c r="AZ13" i="4" s="1"/>
  <c r="AQ296" i="4"/>
  <c r="AP296" i="4"/>
  <c r="BE296" i="4" s="1"/>
  <c r="AR296" i="4" s="1"/>
  <c r="AS296" i="4" s="1"/>
  <c r="AZ296" i="4" s="1"/>
  <c r="AQ26" i="4"/>
  <c r="AP26" i="4"/>
  <c r="AQ96" i="4"/>
  <c r="AP96" i="4"/>
  <c r="BE96" i="4" s="1"/>
  <c r="AR96" i="4" s="1"/>
  <c r="AS96" i="4" s="1"/>
  <c r="AZ96" i="4" s="1"/>
  <c r="AQ5" i="4"/>
  <c r="AP5" i="4"/>
  <c r="AQ135" i="4"/>
  <c r="AP135" i="4"/>
  <c r="AQ300" i="4"/>
  <c r="AP300" i="4"/>
  <c r="BE300" i="4" s="1"/>
  <c r="AR300" i="4" s="1"/>
  <c r="AS300" i="4" s="1"/>
  <c r="AZ300" i="4" s="1"/>
  <c r="AQ347" i="4"/>
  <c r="AP347" i="4"/>
  <c r="AQ448" i="4"/>
  <c r="AP448" i="4"/>
  <c r="AQ495" i="4"/>
  <c r="AP495" i="4"/>
  <c r="BE495" i="4" s="1"/>
  <c r="AR495" i="4" s="1"/>
  <c r="AS495" i="4" s="1"/>
  <c r="AZ495" i="4" s="1"/>
  <c r="AQ440" i="4"/>
  <c r="AP440" i="4"/>
  <c r="AQ587" i="4"/>
  <c r="AP587" i="4"/>
  <c r="AQ449" i="4"/>
  <c r="AP449" i="4"/>
  <c r="BE449" i="4" s="1"/>
  <c r="AR449" i="4" s="1"/>
  <c r="AS449" i="4" s="1"/>
  <c r="AZ449" i="4" s="1"/>
  <c r="BE411" i="4"/>
  <c r="AR411" i="4" s="1"/>
  <c r="AS411" i="4" s="1"/>
  <c r="AY411" i="4"/>
  <c r="AQ336" i="4"/>
  <c r="AP336" i="4"/>
  <c r="BE336" i="4" s="1"/>
  <c r="AR336" i="4" s="1"/>
  <c r="AS336" i="4" s="1"/>
  <c r="AZ336" i="4" s="1"/>
  <c r="AQ69" i="4"/>
  <c r="AP69" i="4"/>
  <c r="AQ67" i="4"/>
  <c r="AP67" i="4"/>
  <c r="BE67" i="4" s="1"/>
  <c r="AR67" i="4" s="1"/>
  <c r="AS67" i="4" s="1"/>
  <c r="AZ67" i="4" s="1"/>
  <c r="AQ111" i="4"/>
  <c r="AP111" i="4"/>
  <c r="AQ78" i="4"/>
  <c r="AP78" i="4"/>
  <c r="AQ211" i="4"/>
  <c r="AP211" i="4"/>
  <c r="AQ233" i="4"/>
  <c r="AP233" i="4"/>
  <c r="BE233" i="4" s="1"/>
  <c r="AR233" i="4" s="1"/>
  <c r="AS233" i="4" s="1"/>
  <c r="AZ233" i="4" s="1"/>
  <c r="AQ361" i="4"/>
  <c r="AP361" i="4"/>
  <c r="AQ315" i="4"/>
  <c r="AP315" i="4"/>
  <c r="BE315" i="4" s="1"/>
  <c r="AR315" i="4" s="1"/>
  <c r="AS315" i="4" s="1"/>
  <c r="AZ315" i="4" s="1"/>
  <c r="AQ565" i="4"/>
  <c r="AP565" i="4"/>
  <c r="BE565" i="4" s="1"/>
  <c r="AR565" i="4" s="1"/>
  <c r="AS565" i="4" s="1"/>
  <c r="AZ565" i="4" s="1"/>
  <c r="AQ100" i="4"/>
  <c r="AP100" i="4"/>
  <c r="BE100" i="4" s="1"/>
  <c r="AR100" i="4" s="1"/>
  <c r="AS100" i="4" s="1"/>
  <c r="AZ100" i="4" s="1"/>
  <c r="AQ290" i="4"/>
  <c r="AP290" i="4"/>
  <c r="BE290" i="4" s="1"/>
  <c r="AR290" i="4" s="1"/>
  <c r="AS290" i="4" s="1"/>
  <c r="AZ290" i="4" s="1"/>
  <c r="AQ502" i="4"/>
  <c r="AP502" i="4"/>
  <c r="AQ90" i="4"/>
  <c r="AP90" i="4"/>
  <c r="AQ140" i="4"/>
  <c r="AP140" i="4"/>
  <c r="AQ47" i="4"/>
  <c r="AP47" i="4"/>
  <c r="BE47" i="4" s="1"/>
  <c r="AR47" i="4" s="1"/>
  <c r="AS47" i="4" s="1"/>
  <c r="AZ47" i="4" s="1"/>
  <c r="AQ299" i="4"/>
  <c r="AP299" i="4"/>
  <c r="BE299" i="4" s="1"/>
  <c r="AR299" i="4" s="1"/>
  <c r="AS299" i="4" s="1"/>
  <c r="AZ299" i="4" s="1"/>
  <c r="AQ460" i="4"/>
  <c r="AP460" i="4"/>
  <c r="BE231" i="4"/>
  <c r="AR231" i="4" s="1"/>
  <c r="AS231" i="4" s="1"/>
  <c r="AY231" i="4"/>
  <c r="AQ75" i="4"/>
  <c r="AP75" i="4"/>
  <c r="BE75" i="4" s="1"/>
  <c r="AR75" i="4" s="1"/>
  <c r="AS75" i="4" s="1"/>
  <c r="AZ75" i="4" s="1"/>
  <c r="AQ399" i="4"/>
  <c r="AP399" i="4"/>
  <c r="AQ506" i="4"/>
  <c r="AP506" i="4"/>
  <c r="BE506" i="4" s="1"/>
  <c r="AR506" i="4" s="1"/>
  <c r="AS506" i="4" s="1"/>
  <c r="AZ506" i="4" s="1"/>
  <c r="BE420" i="4"/>
  <c r="AR420" i="4" s="1"/>
  <c r="AY420" i="4"/>
  <c r="AP514" i="4"/>
  <c r="BE514" i="4" s="1"/>
  <c r="AR514" i="4" s="1"/>
  <c r="AS514" i="4" s="1"/>
  <c r="AZ514" i="4" s="1"/>
  <c r="AQ514" i="4"/>
  <c r="AQ445" i="4"/>
  <c r="AP445" i="4"/>
  <c r="BE445" i="4" s="1"/>
  <c r="AR445" i="4" s="1"/>
  <c r="AS445" i="4" s="1"/>
  <c r="AZ445" i="4" s="1"/>
  <c r="AQ443" i="4"/>
  <c r="AP443" i="4"/>
  <c r="AQ386" i="4"/>
  <c r="AP386" i="4"/>
  <c r="AQ93" i="4"/>
  <c r="AP93" i="4"/>
  <c r="AQ310" i="4"/>
  <c r="AP310" i="4"/>
  <c r="BE310" i="4" s="1"/>
  <c r="AR310" i="4" s="1"/>
  <c r="AS310" i="4" s="1"/>
  <c r="AZ310" i="4" s="1"/>
  <c r="BE375" i="4"/>
  <c r="AR375" i="4" s="1"/>
  <c r="AS375" i="4" s="1"/>
  <c r="AY375" i="4"/>
  <c r="AQ312" i="4"/>
  <c r="AP312" i="4"/>
  <c r="BE312" i="4" s="1"/>
  <c r="AR312" i="4" s="1"/>
  <c r="AS312" i="4" s="1"/>
  <c r="AZ312" i="4" s="1"/>
  <c r="AQ184" i="4"/>
  <c r="AP184" i="4"/>
  <c r="BE184" i="4" s="1"/>
  <c r="AR184" i="4" s="1"/>
  <c r="AS184" i="4" s="1"/>
  <c r="AZ184" i="4" s="1"/>
  <c r="AQ297" i="4"/>
  <c r="AP297" i="4"/>
  <c r="BE297" i="4" s="1"/>
  <c r="AR297" i="4" s="1"/>
  <c r="AS297" i="4" s="1"/>
  <c r="AZ297" i="4" s="1"/>
  <c r="AQ394" i="4"/>
  <c r="AP394" i="4"/>
  <c r="BE394" i="4" s="1"/>
  <c r="AR394" i="4" s="1"/>
  <c r="AS394" i="4" s="1"/>
  <c r="AZ394" i="4" s="1"/>
  <c r="AQ142" i="4"/>
  <c r="AP142" i="4"/>
  <c r="AQ197" i="4"/>
  <c r="AP197" i="4"/>
  <c r="BE197" i="4" s="1"/>
  <c r="AR197" i="4" s="1"/>
  <c r="AS197" i="4" s="1"/>
  <c r="AZ197" i="4" s="1"/>
  <c r="AQ238" i="4"/>
  <c r="AP238" i="4"/>
  <c r="BE238" i="4" s="1"/>
  <c r="AR238" i="4" s="1"/>
  <c r="AS238" i="4" s="1"/>
  <c r="AZ238" i="4" s="1"/>
  <c r="AQ338" i="4"/>
  <c r="AP338" i="4"/>
  <c r="AQ438" i="4"/>
  <c r="AP438" i="4"/>
  <c r="BE438" i="4" s="1"/>
  <c r="AR438" i="4" s="1"/>
  <c r="AS438" i="4" s="1"/>
  <c r="AZ438" i="4" s="1"/>
  <c r="AQ21" i="4"/>
  <c r="AP21" i="4"/>
  <c r="BE21" i="4" s="1"/>
  <c r="AR21" i="4" s="1"/>
  <c r="AS21" i="4" s="1"/>
  <c r="AZ21" i="4" s="1"/>
  <c r="AM572" i="4"/>
  <c r="BC572" i="4"/>
  <c r="AQ456" i="4"/>
  <c r="AP456" i="4"/>
  <c r="AQ44" i="4"/>
  <c r="AP44" i="4"/>
  <c r="BE44" i="4" s="1"/>
  <c r="AR44" i="4" s="1"/>
  <c r="AS44" i="4" s="1"/>
  <c r="AZ44" i="4" s="1"/>
  <c r="AQ80" i="4"/>
  <c r="AP80" i="4"/>
  <c r="BE80" i="4" s="1"/>
  <c r="AR80" i="4" s="1"/>
  <c r="AS80" i="4" s="1"/>
  <c r="AZ80" i="4" s="1"/>
  <c r="AQ581" i="4"/>
  <c r="AP581" i="4"/>
  <c r="BE581" i="4" s="1"/>
  <c r="AR581" i="4" s="1"/>
  <c r="AS581" i="4" s="1"/>
  <c r="AZ581" i="4" s="1"/>
  <c r="AQ591" i="4"/>
  <c r="AP591" i="4"/>
  <c r="BE591" i="4" s="1"/>
  <c r="AR591" i="4" s="1"/>
  <c r="AS591" i="4" s="1"/>
  <c r="AZ591" i="4" s="1"/>
  <c r="AQ282" i="4"/>
  <c r="AP282" i="4"/>
  <c r="BE282" i="4" s="1"/>
  <c r="AR282" i="4" s="1"/>
  <c r="AS282" i="4" s="1"/>
  <c r="AZ282" i="4" s="1"/>
  <c r="AM354" i="4"/>
  <c r="BC354" i="4"/>
  <c r="BE424" i="4"/>
  <c r="AR424" i="4" s="1"/>
  <c r="AS424" i="4" s="1"/>
  <c r="AY424" i="4"/>
  <c r="AQ52" i="4"/>
  <c r="AP52" i="4"/>
  <c r="BE52" i="4" s="1"/>
  <c r="AR52" i="4" s="1"/>
  <c r="AS52" i="4" s="1"/>
  <c r="AZ52" i="4" s="1"/>
  <c r="AQ564" i="4"/>
  <c r="AP564" i="4"/>
  <c r="BE564" i="4" s="1"/>
  <c r="AR564" i="4" s="1"/>
  <c r="AS564" i="4" s="1"/>
  <c r="AZ564" i="4" s="1"/>
  <c r="AQ109" i="4"/>
  <c r="AP109" i="4"/>
  <c r="AQ382" i="4"/>
  <c r="AP382" i="4"/>
  <c r="AQ62" i="4"/>
  <c r="AP62" i="4"/>
  <c r="BE62" i="4" s="1"/>
  <c r="AR62" i="4" s="1"/>
  <c r="AS62" i="4" s="1"/>
  <c r="AZ62" i="4" s="1"/>
  <c r="AQ92" i="4"/>
  <c r="AP92" i="4"/>
  <c r="BE92" i="4" s="1"/>
  <c r="AR92" i="4" s="1"/>
  <c r="AS92" i="4" s="1"/>
  <c r="AZ92" i="4" s="1"/>
  <c r="AQ234" i="4"/>
  <c r="AP234" i="4"/>
  <c r="BE234" i="4" s="1"/>
  <c r="AR234" i="4" s="1"/>
  <c r="AS234" i="4" s="1"/>
  <c r="AZ234" i="4" s="1"/>
  <c r="AP510" i="4"/>
  <c r="BE510" i="4" s="1"/>
  <c r="AR510" i="4" s="1"/>
  <c r="AS510" i="4" s="1"/>
  <c r="AZ510" i="4" s="1"/>
  <c r="AQ510" i="4"/>
  <c r="AQ22" i="4"/>
  <c r="AP22" i="4"/>
  <c r="BE22" i="4" s="1"/>
  <c r="AR22" i="4" s="1"/>
  <c r="AS22" i="4" s="1"/>
  <c r="AZ22" i="4" s="1"/>
  <c r="AM559" i="4"/>
  <c r="BC559" i="4"/>
  <c r="AQ453" i="4"/>
  <c r="AP453" i="4"/>
  <c r="BE453" i="4" s="1"/>
  <c r="AR453" i="4" s="1"/>
  <c r="AS453" i="4" s="1"/>
  <c r="AZ453" i="4" s="1"/>
  <c r="AQ359" i="4"/>
  <c r="AP359" i="4"/>
  <c r="AQ473" i="4"/>
  <c r="AP473" i="4"/>
  <c r="BE473" i="4" s="1"/>
  <c r="AR473" i="4" s="1"/>
  <c r="AS473" i="4" s="1"/>
  <c r="AZ473" i="4" s="1"/>
  <c r="AQ181" i="4"/>
  <c r="AP181" i="4"/>
  <c r="AQ487" i="4"/>
  <c r="AP487" i="4"/>
  <c r="BE487" i="4" s="1"/>
  <c r="AR487" i="4" s="1"/>
  <c r="AS487" i="4" s="1"/>
  <c r="AZ487" i="4" s="1"/>
  <c r="AQ113" i="4"/>
  <c r="AP113" i="4"/>
  <c r="AQ218" i="4"/>
  <c r="AP218" i="4"/>
  <c r="BE218" i="4" s="1"/>
  <c r="AR218" i="4" s="1"/>
  <c r="AS218" i="4" s="1"/>
  <c r="AZ218" i="4" s="1"/>
  <c r="AQ540" i="4"/>
  <c r="AP540" i="4"/>
  <c r="BE540" i="4" s="1"/>
  <c r="AR540" i="4" s="1"/>
  <c r="AS540" i="4" s="1"/>
  <c r="AZ540" i="4" s="1"/>
  <c r="AP171" i="4"/>
  <c r="BE171" i="4" s="1"/>
  <c r="AR171" i="4" s="1"/>
  <c r="AS171" i="4" s="1"/>
  <c r="AZ171" i="4" s="1"/>
  <c r="AQ171" i="4"/>
  <c r="AQ242" i="4"/>
  <c r="AP242" i="4"/>
  <c r="BE242" i="4" s="1"/>
  <c r="AR242" i="4" s="1"/>
  <c r="AS242" i="4" s="1"/>
  <c r="AZ242" i="4" s="1"/>
  <c r="AP175" i="4"/>
  <c r="BE175" i="4" s="1"/>
  <c r="AR175" i="4" s="1"/>
  <c r="AS175" i="4" s="1"/>
  <c r="AZ175" i="4" s="1"/>
  <c r="AQ175" i="4"/>
  <c r="AQ224" i="4"/>
  <c r="AP224" i="4"/>
  <c r="AM152" i="4"/>
  <c r="BC152" i="4"/>
  <c r="AQ525" i="4"/>
  <c r="AP525" i="4"/>
  <c r="BE525" i="4" s="1"/>
  <c r="AR525" i="4" s="1"/>
  <c r="AS525" i="4" s="1"/>
  <c r="AZ525" i="4" s="1"/>
  <c r="AP380" i="4"/>
  <c r="AQ380" i="4"/>
  <c r="AQ349" i="4"/>
  <c r="AP349" i="4"/>
  <c r="AQ481" i="4"/>
  <c r="AP481" i="4"/>
  <c r="BE481" i="4" s="1"/>
  <c r="AR481" i="4" s="1"/>
  <c r="AS481" i="4" s="1"/>
  <c r="AZ481" i="4" s="1"/>
  <c r="AQ82" i="4"/>
  <c r="AP82" i="4"/>
  <c r="AQ226" i="4"/>
  <c r="AP226" i="4"/>
  <c r="BE226" i="4" s="1"/>
  <c r="AR226" i="4" s="1"/>
  <c r="AS226" i="4" s="1"/>
  <c r="AZ226" i="4" s="1"/>
  <c r="BC190" i="4"/>
  <c r="AM190" i="4"/>
  <c r="AQ228" i="4"/>
  <c r="AP228" i="4"/>
  <c r="AQ339" i="4"/>
  <c r="AP339" i="4"/>
  <c r="AQ55" i="4"/>
  <c r="AP55" i="4"/>
  <c r="BE55" i="4" s="1"/>
  <c r="AR55" i="4" s="1"/>
  <c r="AS55" i="4" s="1"/>
  <c r="AZ55" i="4" s="1"/>
  <c r="AQ524" i="4"/>
  <c r="AP524" i="4"/>
  <c r="BE524" i="4" s="1"/>
  <c r="AR524" i="4" s="1"/>
  <c r="AS524" i="4" s="1"/>
  <c r="AZ524" i="4" s="1"/>
  <c r="AQ430" i="4"/>
  <c r="AP430" i="4"/>
  <c r="BE430" i="4" s="1"/>
  <c r="AR430" i="4" s="1"/>
  <c r="AS430" i="4" s="1"/>
  <c r="AZ430" i="4" s="1"/>
  <c r="AQ125" i="4"/>
  <c r="AP125" i="4"/>
  <c r="AP10" i="4"/>
  <c r="BE10" i="4" s="1"/>
  <c r="AR10" i="4" s="1"/>
  <c r="AS10" i="4" s="1"/>
  <c r="AZ10" i="4" s="1"/>
  <c r="AQ10" i="4"/>
  <c r="AQ203" i="4"/>
  <c r="AP203" i="4"/>
  <c r="BE203" i="4" s="1"/>
  <c r="AR203" i="4" s="1"/>
  <c r="AS203" i="4" s="1"/>
  <c r="AZ203" i="4" s="1"/>
  <c r="AQ548" i="4"/>
  <c r="AP548" i="4"/>
  <c r="AQ342" i="4"/>
  <c r="AP342" i="4"/>
  <c r="BE342" i="4" s="1"/>
  <c r="AR342" i="4" s="1"/>
  <c r="AS342" i="4" s="1"/>
  <c r="AZ342" i="4" s="1"/>
  <c r="AQ584" i="4"/>
  <c r="AP584" i="4"/>
  <c r="AQ201" i="4"/>
  <c r="AP201" i="4"/>
  <c r="BE201" i="4" s="1"/>
  <c r="AR201" i="4" s="1"/>
  <c r="AS201" i="4" s="1"/>
  <c r="AZ201" i="4" s="1"/>
  <c r="AQ61" i="4"/>
  <c r="AP61" i="4"/>
  <c r="BE61" i="4" s="1"/>
  <c r="AR61" i="4" s="1"/>
  <c r="AS61" i="4" s="1"/>
  <c r="AZ61" i="4" s="1"/>
  <c r="AQ12" i="4"/>
  <c r="AP12" i="4"/>
  <c r="BE12" i="4" s="1"/>
  <c r="AR12" i="4" s="1"/>
  <c r="AS12" i="4" s="1"/>
  <c r="AZ12" i="4" s="1"/>
  <c r="AQ594" i="4"/>
  <c r="AP594" i="4"/>
  <c r="AM433" i="4"/>
  <c r="BC433" i="4"/>
  <c r="AQ42" i="4"/>
  <c r="AP42" i="4"/>
  <c r="BE42" i="4" s="1"/>
  <c r="AR42" i="4" s="1"/>
  <c r="AS42" i="4" s="1"/>
  <c r="AZ42" i="4" s="1"/>
  <c r="BE66" i="4"/>
  <c r="AR66" i="4" s="1"/>
  <c r="AS66" i="4" s="1"/>
  <c r="AY66" i="4"/>
  <c r="AQ582" i="4"/>
  <c r="AP582" i="4"/>
  <c r="BE582" i="4" s="1"/>
  <c r="AR582" i="4" s="1"/>
  <c r="AS582" i="4" s="1"/>
  <c r="AZ582" i="4" s="1"/>
  <c r="AQ352" i="4"/>
  <c r="AP352" i="4"/>
  <c r="AQ465" i="4"/>
  <c r="AP465" i="4"/>
  <c r="BE465" i="4" s="1"/>
  <c r="AR465" i="4" s="1"/>
  <c r="AS465" i="4" s="1"/>
  <c r="AZ465" i="4" s="1"/>
  <c r="AQ392" i="4"/>
  <c r="AP392" i="4"/>
  <c r="BE412" i="4"/>
  <c r="AR412" i="4" s="1"/>
  <c r="AS412" i="4" s="1"/>
  <c r="AY412" i="4"/>
  <c r="AP266" i="4"/>
  <c r="BE266" i="4" s="1"/>
  <c r="AR266" i="4" s="1"/>
  <c r="AS266" i="4" s="1"/>
  <c r="AZ266" i="4" s="1"/>
  <c r="AQ266" i="4"/>
  <c r="AQ307" i="4"/>
  <c r="AP307" i="4"/>
  <c r="BE307" i="4" s="1"/>
  <c r="AR307" i="4" s="1"/>
  <c r="AS307" i="4" s="1"/>
  <c r="AZ307" i="4" s="1"/>
  <c r="AQ400" i="4"/>
  <c r="AP400" i="4"/>
  <c r="AQ137" i="4"/>
  <c r="AP137" i="4"/>
  <c r="BE105" i="4"/>
  <c r="AR105" i="4" s="1"/>
  <c r="AS105" i="4" s="1"/>
  <c r="AY105" i="4"/>
  <c r="AQ143" i="4"/>
  <c r="AP143" i="4"/>
  <c r="AP164" i="4"/>
  <c r="BE164" i="4" s="1"/>
  <c r="AR164" i="4" s="1"/>
  <c r="AS164" i="4" s="1"/>
  <c r="AZ164" i="4" s="1"/>
  <c r="AQ164" i="4"/>
  <c r="AQ493" i="4"/>
  <c r="AP493" i="4"/>
  <c r="BE493" i="4" s="1"/>
  <c r="AR493" i="4" s="1"/>
  <c r="AS493" i="4" s="1"/>
  <c r="AZ493" i="4" s="1"/>
  <c r="AQ65" i="4"/>
  <c r="AP65" i="4"/>
  <c r="AQ480" i="4"/>
  <c r="AP480" i="4"/>
  <c r="AQ99" i="4"/>
  <c r="AP99" i="4"/>
  <c r="BE99" i="4" s="1"/>
  <c r="AR99" i="4" s="1"/>
  <c r="AS99" i="4" s="1"/>
  <c r="AZ99" i="4" s="1"/>
  <c r="AQ150" i="4"/>
  <c r="AP150" i="4"/>
  <c r="AQ84" i="4"/>
  <c r="AP84" i="4"/>
  <c r="BE84" i="4" s="1"/>
  <c r="AR84" i="4" s="1"/>
  <c r="AS84" i="4" s="1"/>
  <c r="AZ84" i="4" s="1"/>
  <c r="AQ139" i="4"/>
  <c r="AP139" i="4"/>
  <c r="AM71" i="4"/>
  <c r="BC71" i="4"/>
  <c r="BE423" i="4"/>
  <c r="AR423" i="4" s="1"/>
  <c r="AS423" i="4" s="1"/>
  <c r="AY423" i="4"/>
  <c r="AP251" i="4"/>
  <c r="BE251" i="4" s="1"/>
  <c r="AR251" i="4" s="1"/>
  <c r="AS251" i="4" s="1"/>
  <c r="AZ251" i="4" s="1"/>
  <c r="AQ251" i="4"/>
  <c r="AQ302" i="4"/>
  <c r="AP302" i="4"/>
  <c r="BE302" i="4" s="1"/>
  <c r="AR302" i="4" s="1"/>
  <c r="AS302" i="4" s="1"/>
  <c r="AZ302" i="4" s="1"/>
  <c r="AQ544" i="4"/>
  <c r="AP544" i="4"/>
  <c r="BE544" i="4" s="1"/>
  <c r="AR544" i="4" s="1"/>
  <c r="AS544" i="4" s="1"/>
  <c r="AZ544" i="4" s="1"/>
  <c r="AQ381" i="4"/>
  <c r="AP381" i="4"/>
  <c r="AQ56" i="4"/>
  <c r="AP56" i="4"/>
  <c r="BE56" i="4" s="1"/>
  <c r="AR56" i="4" s="1"/>
  <c r="AS56" i="4" s="1"/>
  <c r="AZ56" i="4" s="1"/>
  <c r="AP165" i="4"/>
  <c r="AQ165" i="4"/>
  <c r="BE549" i="4"/>
  <c r="AR549" i="4" s="1"/>
  <c r="AS549" i="4" s="1"/>
  <c r="AY549" i="4"/>
  <c r="AQ560" i="4"/>
  <c r="AP560" i="4"/>
  <c r="AQ32" i="4"/>
  <c r="AP32" i="4"/>
  <c r="BE32" i="4" s="1"/>
  <c r="AR32" i="4" s="1"/>
  <c r="AS32" i="4" s="1"/>
  <c r="AZ32" i="4" s="1"/>
  <c r="AQ94" i="4"/>
  <c r="AP94" i="4"/>
  <c r="AQ200" i="4"/>
  <c r="AP200" i="4"/>
  <c r="BE200" i="4" s="1"/>
  <c r="AR200" i="4" s="1"/>
  <c r="AS200" i="4" s="1"/>
  <c r="AZ200" i="4" s="1"/>
  <c r="AQ348" i="4"/>
  <c r="AP348" i="4"/>
  <c r="AQ344" i="4"/>
  <c r="AP344" i="4"/>
  <c r="BE344" i="4" s="1"/>
  <c r="AR344" i="4" s="1"/>
  <c r="AS344" i="4" s="1"/>
  <c r="AZ344" i="4" s="1"/>
  <c r="AQ309" i="4"/>
  <c r="AP309" i="4"/>
  <c r="BE309" i="4" s="1"/>
  <c r="AR309" i="4" s="1"/>
  <c r="AS309" i="4" s="1"/>
  <c r="AZ309" i="4" s="1"/>
  <c r="AQ407" i="4"/>
  <c r="AP407" i="4"/>
  <c r="AP515" i="4"/>
  <c r="BE515" i="4" s="1"/>
  <c r="AR515" i="4" s="1"/>
  <c r="AS515" i="4" s="1"/>
  <c r="AZ515" i="4" s="1"/>
  <c r="AQ515" i="4"/>
  <c r="AP264" i="4"/>
  <c r="BE264" i="4" s="1"/>
  <c r="AR264" i="4" s="1"/>
  <c r="AS264" i="4" s="1"/>
  <c r="AZ264" i="4" s="1"/>
  <c r="AQ264" i="4"/>
  <c r="AQ546" i="4"/>
  <c r="AP546" i="4"/>
  <c r="AQ398" i="4"/>
  <c r="AP398" i="4"/>
  <c r="AQ578" i="4"/>
  <c r="AP578" i="4"/>
  <c r="AP528" i="4"/>
  <c r="BE528" i="4" s="1"/>
  <c r="AR528" i="4" s="1"/>
  <c r="AS528" i="4" s="1"/>
  <c r="AZ528" i="4" s="1"/>
  <c r="AQ528" i="4"/>
  <c r="AQ314" i="4"/>
  <c r="AP314" i="4"/>
  <c r="BE314" i="4" s="1"/>
  <c r="AR314" i="4" s="1"/>
  <c r="AS314" i="4" s="1"/>
  <c r="AZ314" i="4" s="1"/>
  <c r="AQ50" i="4"/>
  <c r="AP50" i="4"/>
  <c r="BE50" i="4" s="1"/>
  <c r="AR50" i="4" s="1"/>
  <c r="AS50" i="4" s="1"/>
  <c r="AZ50" i="4" s="1"/>
  <c r="BC155" i="4"/>
  <c r="AM155" i="4"/>
  <c r="AS298" i="4"/>
  <c r="AZ298" i="4" s="1"/>
  <c r="AQ289" i="4"/>
  <c r="AP289" i="4"/>
  <c r="BE289" i="4" s="1"/>
  <c r="AR289" i="4" s="1"/>
  <c r="AS289" i="4" s="1"/>
  <c r="AZ289" i="4" s="1"/>
  <c r="AQ364" i="4"/>
  <c r="AP364" i="4"/>
  <c r="AP176" i="4"/>
  <c r="BE176" i="4" s="1"/>
  <c r="AR176" i="4" s="1"/>
  <c r="AS176" i="4" s="1"/>
  <c r="AZ176" i="4" s="1"/>
  <c r="AQ176" i="4"/>
  <c r="AQ91" i="4"/>
  <c r="AP91" i="4"/>
  <c r="BE91" i="4" s="1"/>
  <c r="AR91" i="4" s="1"/>
  <c r="AS91" i="4" s="1"/>
  <c r="AZ91" i="4" s="1"/>
  <c r="BE328" i="4"/>
  <c r="AR328" i="4" s="1"/>
  <c r="AS328" i="4" s="1"/>
  <c r="AY328" i="4"/>
  <c r="AS292" i="4"/>
  <c r="AZ292" i="4" s="1"/>
  <c r="AQ149" i="4"/>
  <c r="AP149" i="4"/>
  <c r="AQ470" i="4"/>
  <c r="AP470" i="4"/>
  <c r="BE470" i="4" s="1"/>
  <c r="AR470" i="4" s="1"/>
  <c r="AS470" i="4" s="1"/>
  <c r="AZ470" i="4" s="1"/>
  <c r="AQ120" i="4"/>
  <c r="AP120" i="4"/>
  <c r="BE120" i="4" s="1"/>
  <c r="AR120" i="4" s="1"/>
  <c r="AS120" i="4" s="1"/>
  <c r="AZ120" i="4" s="1"/>
  <c r="AQ488" i="4"/>
  <c r="AP488" i="4"/>
  <c r="BE488" i="4" s="1"/>
  <c r="AR488" i="4" s="1"/>
  <c r="AS488" i="4" s="1"/>
  <c r="AZ488" i="4" s="1"/>
  <c r="BE378" i="4"/>
  <c r="AR378" i="4" s="1"/>
  <c r="AS378" i="4" s="1"/>
  <c r="AY378" i="4"/>
  <c r="AQ351" i="4"/>
  <c r="AP351" i="4"/>
  <c r="AQ97" i="4"/>
  <c r="AP97" i="4"/>
  <c r="AQ439" i="4"/>
  <c r="AP439" i="4"/>
  <c r="AQ435" i="4"/>
  <c r="AP435" i="4"/>
  <c r="AQ126" i="4"/>
  <c r="AP126" i="4"/>
  <c r="AQ329" i="4"/>
  <c r="AP329" i="4"/>
  <c r="AP170" i="4"/>
  <c r="AQ170" i="4"/>
  <c r="AQ569" i="4"/>
  <c r="AP569" i="4"/>
  <c r="AQ547" i="4"/>
  <c r="AP547" i="4"/>
  <c r="AQ95" i="4"/>
  <c r="AP95" i="4"/>
  <c r="BE95" i="4" s="1"/>
  <c r="AR95" i="4" s="1"/>
  <c r="AS95" i="4" s="1"/>
  <c r="AZ95" i="4" s="1"/>
  <c r="AQ552" i="4"/>
  <c r="AP552" i="4"/>
  <c r="BE552" i="4" s="1"/>
  <c r="AR552" i="4" s="1"/>
  <c r="AS552" i="4" s="1"/>
  <c r="AZ552" i="4" s="1"/>
  <c r="AQ216" i="4"/>
  <c r="AP216" i="4"/>
  <c r="AQ360" i="4"/>
  <c r="AP360" i="4"/>
  <c r="AS313" i="4"/>
  <c r="AZ313" i="4" s="1"/>
  <c r="AP249" i="4"/>
  <c r="BE249" i="4" s="1"/>
  <c r="AR249" i="4" s="1"/>
  <c r="AS249" i="4" s="1"/>
  <c r="AZ249" i="4" s="1"/>
  <c r="AQ249" i="4"/>
  <c r="AQ205" i="4"/>
  <c r="AP205" i="4"/>
  <c r="BE205" i="4" s="1"/>
  <c r="AR205" i="4" s="1"/>
  <c r="AS205" i="4" s="1"/>
  <c r="AZ205" i="4" s="1"/>
  <c r="AQ573" i="4"/>
  <c r="AP573" i="4"/>
  <c r="BE573" i="4" s="1"/>
  <c r="AR573" i="4" s="1"/>
  <c r="AS573" i="4" s="1"/>
  <c r="AZ573" i="4" s="1"/>
  <c r="AQ588" i="4"/>
  <c r="AP588" i="4"/>
  <c r="BE588" i="4" s="1"/>
  <c r="AR588" i="4" s="1"/>
  <c r="AS588" i="4" s="1"/>
  <c r="AZ588" i="4" s="1"/>
  <c r="AQ393" i="4"/>
  <c r="AP393" i="4"/>
  <c r="AQ185" i="4"/>
  <c r="AP185" i="4"/>
  <c r="AQ304" i="4"/>
  <c r="AP304" i="4"/>
  <c r="BE304" i="4" s="1"/>
  <c r="AR304" i="4" s="1"/>
  <c r="AS304" i="4" s="1"/>
  <c r="AZ304" i="4" s="1"/>
  <c r="AQ24" i="4"/>
  <c r="AP24" i="4"/>
  <c r="AS191" i="4"/>
  <c r="AZ191" i="4" s="1"/>
  <c r="AP261" i="4"/>
  <c r="BE261" i="4" s="1"/>
  <c r="AR261" i="4" s="1"/>
  <c r="AS261" i="4" s="1"/>
  <c r="AZ261" i="4" s="1"/>
  <c r="AQ261" i="4"/>
  <c r="BC356" i="4"/>
  <c r="AM356" i="4"/>
  <c r="AQ118" i="4"/>
  <c r="AP118" i="4"/>
  <c r="AQ545" i="4"/>
  <c r="AP545" i="4"/>
  <c r="BE545" i="4" s="1"/>
  <c r="AR545" i="4" s="1"/>
  <c r="AS545" i="4" s="1"/>
  <c r="AZ545" i="4" s="1"/>
  <c r="AS33" i="4"/>
  <c r="AZ33" i="4" s="1"/>
  <c r="AS346" i="4"/>
  <c r="AZ346" i="4" s="1"/>
  <c r="AQ130" i="4"/>
  <c r="AP130" i="4"/>
  <c r="AQ5" i="3"/>
  <c r="AP5" i="3"/>
  <c r="BE5" i="3" s="1"/>
  <c r="AR5" i="3" s="1"/>
  <c r="AS5" i="3" s="1"/>
  <c r="AQ8" i="3"/>
  <c r="AP8" i="3"/>
  <c r="AM5" i="2"/>
  <c r="AQ6" i="3"/>
  <c r="AP6" i="3"/>
  <c r="AM10" i="2"/>
  <c r="BC10" i="2"/>
  <c r="AQ7" i="3"/>
  <c r="AP7" i="3"/>
  <c r="AQ4" i="3"/>
  <c r="AP4" i="3"/>
  <c r="BE4" i="3" s="1"/>
  <c r="AR4" i="3" s="1"/>
  <c r="AS4" i="3" s="1"/>
  <c r="AM9" i="2"/>
  <c r="BC9" i="2"/>
  <c r="AQ5" i="2"/>
  <c r="AP5" i="2"/>
  <c r="BE5" i="2" s="1"/>
  <c r="AR5" i="2" s="1"/>
  <c r="AS5" i="2" s="1"/>
  <c r="AQ8" i="2"/>
  <c r="AP8" i="2"/>
  <c r="AQ7" i="2"/>
  <c r="AP7" i="2"/>
  <c r="AQ6" i="2"/>
  <c r="AP6" i="2"/>
  <c r="BE6" i="2" s="1"/>
  <c r="AR6" i="2" s="1"/>
  <c r="AQ503" i="4" l="1"/>
  <c r="AP503" i="4"/>
  <c r="AZ134" i="4"/>
  <c r="AQ410" i="4"/>
  <c r="AP410" i="4"/>
  <c r="AP589" i="4"/>
  <c r="BE589" i="4" s="1"/>
  <c r="AR589" i="4" s="1"/>
  <c r="AS589" i="4" s="1"/>
  <c r="AZ589" i="4" s="1"/>
  <c r="AQ414" i="4"/>
  <c r="AP414" i="4"/>
  <c r="BE414" i="4" s="1"/>
  <c r="AR414" i="4" s="1"/>
  <c r="AS414" i="4" s="1"/>
  <c r="AZ414" i="4" s="1"/>
  <c r="AQ138" i="4"/>
  <c r="AP138" i="4"/>
  <c r="AP504" i="4"/>
  <c r="AQ504" i="4"/>
  <c r="AQ269" i="4"/>
  <c r="AP323" i="4"/>
  <c r="BE323" i="4" s="1"/>
  <c r="AR323" i="4" s="1"/>
  <c r="AS323" i="4" s="1"/>
  <c r="AZ323" i="4" s="1"/>
  <c r="AQ323" i="4"/>
  <c r="AS6" i="2"/>
  <c r="AP272" i="4"/>
  <c r="BE272" i="4" s="1"/>
  <c r="AR272" i="4" s="1"/>
  <c r="AS272" i="4" s="1"/>
  <c r="AZ272" i="4" s="1"/>
  <c r="AQ272" i="4"/>
  <c r="AS420" i="4"/>
  <c r="AY585" i="4"/>
  <c r="AZ585" i="4" s="1"/>
  <c r="AQ491" i="4"/>
  <c r="AP491" i="4"/>
  <c r="BE491" i="4" s="1"/>
  <c r="AR491" i="4" s="1"/>
  <c r="AS491" i="4" s="1"/>
  <c r="AZ491" i="4" s="1"/>
  <c r="AQ287" i="4"/>
  <c r="AP287" i="4"/>
  <c r="BE287" i="4" s="1"/>
  <c r="AR287" i="4" s="1"/>
  <c r="AS287" i="4" s="1"/>
  <c r="AZ287" i="4" s="1"/>
  <c r="AZ17" i="4"/>
  <c r="AQ421" i="4"/>
  <c r="AP421" i="4"/>
  <c r="BE421" i="4" s="1"/>
  <c r="AR421" i="4" s="1"/>
  <c r="AS421" i="4" s="1"/>
  <c r="AZ421" i="4" s="1"/>
  <c r="AQ281" i="4"/>
  <c r="AP281" i="4"/>
  <c r="BE281" i="4" s="1"/>
  <c r="AR281" i="4" s="1"/>
  <c r="AS281" i="4" s="1"/>
  <c r="AZ281" i="4" s="1"/>
  <c r="AP4" i="2"/>
  <c r="BE4" i="2" s="1"/>
  <c r="AR4" i="2" s="1"/>
  <c r="AS4" i="2" s="1"/>
  <c r="AQ229" i="4"/>
  <c r="AP229" i="4"/>
  <c r="BE229" i="4" s="1"/>
  <c r="AR229" i="4" s="1"/>
  <c r="AS229" i="4" s="1"/>
  <c r="AZ229" i="4" s="1"/>
  <c r="AZ178" i="4"/>
  <c r="AQ221" i="4"/>
  <c r="AP221" i="4"/>
  <c r="BE221" i="4" s="1"/>
  <c r="AR221" i="4" s="1"/>
  <c r="AS221" i="4" s="1"/>
  <c r="AZ221" i="4" s="1"/>
  <c r="AQ418" i="4"/>
  <c r="AP418" i="4"/>
  <c r="BE418" i="4" s="1"/>
  <c r="AR418" i="4" s="1"/>
  <c r="AS418" i="4" s="1"/>
  <c r="AZ418" i="4" s="1"/>
  <c r="AZ412" i="4"/>
  <c r="AQ374" i="4"/>
  <c r="AP374" i="4"/>
  <c r="AZ498" i="4"/>
  <c r="AQ557" i="4"/>
  <c r="AP557" i="4"/>
  <c r="BE557" i="4" s="1"/>
  <c r="AR557" i="4" s="1"/>
  <c r="AS557" i="4" s="1"/>
  <c r="AZ557" i="4" s="1"/>
  <c r="AP160" i="4"/>
  <c r="AQ160" i="4"/>
  <c r="AZ144" i="4"/>
  <c r="AP426" i="4"/>
  <c r="BE426" i="4" s="1"/>
  <c r="AR426" i="4" s="1"/>
  <c r="AS426" i="4" s="1"/>
  <c r="AZ426" i="4" s="1"/>
  <c r="AQ426" i="4"/>
  <c r="AQ427" i="4"/>
  <c r="AP427" i="4"/>
  <c r="AP482" i="4"/>
  <c r="BE482" i="4" s="1"/>
  <c r="AR482" i="4" s="1"/>
  <c r="AS482" i="4" s="1"/>
  <c r="AZ482" i="4" s="1"/>
  <c r="AQ482" i="4"/>
  <c r="AZ378" i="4"/>
  <c r="AQ490" i="4"/>
  <c r="AP490" i="4"/>
  <c r="BE490" i="4" s="1"/>
  <c r="AR490" i="4" s="1"/>
  <c r="AS490" i="4" s="1"/>
  <c r="AZ490" i="4" s="1"/>
  <c r="AZ66" i="4"/>
  <c r="AZ189" i="4"/>
  <c r="AZ415" i="4"/>
  <c r="AQ277" i="4"/>
  <c r="AP277" i="4"/>
  <c r="BE277" i="4" s="1"/>
  <c r="AR277" i="4" s="1"/>
  <c r="AS277" i="4" s="1"/>
  <c r="AZ277" i="4" s="1"/>
  <c r="AQ154" i="4"/>
  <c r="AP154" i="4"/>
  <c r="AP425" i="4"/>
  <c r="BE425" i="4" s="1"/>
  <c r="AR425" i="4" s="1"/>
  <c r="AS425" i="4" s="1"/>
  <c r="AZ425" i="4" s="1"/>
  <c r="AQ425" i="4"/>
  <c r="AQ322" i="4"/>
  <c r="AP322" i="4"/>
  <c r="BE322" i="4" s="1"/>
  <c r="AR322" i="4" s="1"/>
  <c r="AS322" i="4" s="1"/>
  <c r="AZ322" i="4" s="1"/>
  <c r="AZ419" i="4"/>
  <c r="AQ592" i="4"/>
  <c r="AP592" i="4"/>
  <c r="AQ237" i="4"/>
  <c r="AP237" i="4"/>
  <c r="BE237" i="4" s="1"/>
  <c r="AR237" i="4" s="1"/>
  <c r="AS237" i="4" s="1"/>
  <c r="AZ237" i="4" s="1"/>
  <c r="AP241" i="4"/>
  <c r="BE241" i="4" s="1"/>
  <c r="AR241" i="4" s="1"/>
  <c r="AS241" i="4" s="1"/>
  <c r="AZ241" i="4" s="1"/>
  <c r="AQ241" i="4"/>
  <c r="AZ562" i="4"/>
  <c r="AZ417" i="4"/>
  <c r="AQ500" i="4"/>
  <c r="AP500" i="4"/>
  <c r="AZ423" i="4"/>
  <c r="AZ486" i="4"/>
  <c r="AZ368" i="4"/>
  <c r="AQ59" i="4"/>
  <c r="AP59" i="4"/>
  <c r="BE59" i="4" s="1"/>
  <c r="AR59" i="4" s="1"/>
  <c r="AS59" i="4" s="1"/>
  <c r="AZ59" i="4" s="1"/>
  <c r="AQ9" i="4"/>
  <c r="AP9" i="4"/>
  <c r="AQ422" i="4"/>
  <c r="AP422" i="4"/>
  <c r="BE130" i="4"/>
  <c r="AR130" i="4" s="1"/>
  <c r="AS130" i="4" s="1"/>
  <c r="AY130" i="4"/>
  <c r="AQ190" i="4"/>
  <c r="AP190" i="4"/>
  <c r="AQ354" i="4"/>
  <c r="AP354" i="4"/>
  <c r="AQ572" i="4"/>
  <c r="AP572" i="4"/>
  <c r="BE572" i="4" s="1"/>
  <c r="AR572" i="4" s="1"/>
  <c r="AS572" i="4" s="1"/>
  <c r="AZ572" i="4" s="1"/>
  <c r="BE338" i="4"/>
  <c r="AR338" i="4" s="1"/>
  <c r="AS338" i="4" s="1"/>
  <c r="AY338" i="4"/>
  <c r="BE140" i="4"/>
  <c r="AR140" i="4" s="1"/>
  <c r="AS140" i="4" s="1"/>
  <c r="AY140" i="4"/>
  <c r="BE212" i="4"/>
  <c r="AR212" i="4" s="1"/>
  <c r="AS212" i="4" s="1"/>
  <c r="AY212" i="4"/>
  <c r="BE455" i="4"/>
  <c r="AR455" i="4" s="1"/>
  <c r="AS455" i="4" s="1"/>
  <c r="AY455" i="4"/>
  <c r="BE127" i="4"/>
  <c r="AR127" i="4" s="1"/>
  <c r="AS127" i="4" s="1"/>
  <c r="AY127" i="4"/>
  <c r="BE4" i="4"/>
  <c r="AR4" i="4" s="1"/>
  <c r="AS4" i="4" s="1"/>
  <c r="AY4" i="4"/>
  <c r="BE151" i="4"/>
  <c r="AR151" i="4" s="1"/>
  <c r="AS151" i="4" s="1"/>
  <c r="AY151" i="4"/>
  <c r="BE141" i="4"/>
  <c r="AR141" i="4" s="1"/>
  <c r="AS141" i="4" s="1"/>
  <c r="AY141" i="4"/>
  <c r="BE459" i="4"/>
  <c r="AR459" i="4" s="1"/>
  <c r="AS459" i="4" s="1"/>
  <c r="AY459" i="4"/>
  <c r="BE162" i="4"/>
  <c r="AR162" i="4" s="1"/>
  <c r="AS162" i="4" s="1"/>
  <c r="AY162" i="4"/>
  <c r="BE595" i="4"/>
  <c r="AR595" i="4" s="1"/>
  <c r="AS595" i="4" s="1"/>
  <c r="AY595" i="4"/>
  <c r="AY4" i="2"/>
  <c r="AQ356" i="4"/>
  <c r="AP356" i="4"/>
  <c r="BE170" i="4"/>
  <c r="AR170" i="4" s="1"/>
  <c r="AS170" i="4" s="1"/>
  <c r="AY170" i="4"/>
  <c r="BE97" i="4"/>
  <c r="AR97" i="4" s="1"/>
  <c r="AS97" i="4" s="1"/>
  <c r="AY97" i="4"/>
  <c r="BE594" i="4"/>
  <c r="AR594" i="4" s="1"/>
  <c r="AS594" i="4" s="1"/>
  <c r="AY594" i="4"/>
  <c r="BE349" i="4"/>
  <c r="AR349" i="4" s="1"/>
  <c r="AS349" i="4" s="1"/>
  <c r="AY349" i="4"/>
  <c r="BE224" i="4"/>
  <c r="AR224" i="4" s="1"/>
  <c r="AS224" i="4" s="1"/>
  <c r="AY224" i="4"/>
  <c r="BE579" i="4"/>
  <c r="AR579" i="4" s="1"/>
  <c r="AS579" i="4" s="1"/>
  <c r="AY579" i="4"/>
  <c r="BE395" i="4"/>
  <c r="AR395" i="4" s="1"/>
  <c r="AS395" i="4" s="1"/>
  <c r="AY395" i="4"/>
  <c r="BE73" i="4"/>
  <c r="AR73" i="4" s="1"/>
  <c r="AS73" i="4" s="1"/>
  <c r="AY73" i="4"/>
  <c r="BE16" i="4"/>
  <c r="AR16" i="4" s="1"/>
  <c r="AS16" i="4" s="1"/>
  <c r="AY16" i="4"/>
  <c r="AQ533" i="4"/>
  <c r="AP533" i="4"/>
  <c r="BE533" i="4" s="1"/>
  <c r="AR533" i="4" s="1"/>
  <c r="AS533" i="4" s="1"/>
  <c r="AZ533" i="4" s="1"/>
  <c r="BE156" i="4"/>
  <c r="AR156" i="4" s="1"/>
  <c r="AS156" i="4" s="1"/>
  <c r="AY156" i="4"/>
  <c r="AQ179" i="4"/>
  <c r="AP179" i="4"/>
  <c r="BE179" i="4" s="1"/>
  <c r="AR179" i="4" s="1"/>
  <c r="AS179" i="4" s="1"/>
  <c r="AZ179" i="4" s="1"/>
  <c r="BE114" i="4"/>
  <c r="AR114" i="4" s="1"/>
  <c r="AS114" i="4" s="1"/>
  <c r="AY114" i="4"/>
  <c r="BE169" i="4"/>
  <c r="AR169" i="4" s="1"/>
  <c r="AS169" i="4" s="1"/>
  <c r="AY169" i="4"/>
  <c r="BE227" i="4"/>
  <c r="AR227" i="4" s="1"/>
  <c r="AS227" i="4" s="1"/>
  <c r="AY227" i="4"/>
  <c r="BE185" i="4"/>
  <c r="AR185" i="4" s="1"/>
  <c r="AS185" i="4" s="1"/>
  <c r="AY185" i="4"/>
  <c r="BE329" i="4"/>
  <c r="AR329" i="4" s="1"/>
  <c r="AS329" i="4" s="1"/>
  <c r="AY329" i="4"/>
  <c r="BE381" i="4"/>
  <c r="AR381" i="4" s="1"/>
  <c r="AS381" i="4" s="1"/>
  <c r="AY381" i="4"/>
  <c r="BE480" i="4"/>
  <c r="AR480" i="4" s="1"/>
  <c r="AS480" i="4" s="1"/>
  <c r="AY480" i="4"/>
  <c r="AZ105" i="4"/>
  <c r="BE584" i="4"/>
  <c r="AR584" i="4" s="1"/>
  <c r="AS584" i="4" s="1"/>
  <c r="AY584" i="4"/>
  <c r="BE382" i="4"/>
  <c r="AR382" i="4" s="1"/>
  <c r="AS382" i="4" s="1"/>
  <c r="AY382" i="4"/>
  <c r="BE90" i="4"/>
  <c r="AR90" i="4" s="1"/>
  <c r="AS90" i="4" s="1"/>
  <c r="AY90" i="4"/>
  <c r="BE211" i="4"/>
  <c r="AR211" i="4" s="1"/>
  <c r="AS211" i="4" s="1"/>
  <c r="AY211" i="4"/>
  <c r="BE347" i="4"/>
  <c r="AR347" i="4" s="1"/>
  <c r="AS347" i="4" s="1"/>
  <c r="AY347" i="4"/>
  <c r="BE376" i="4"/>
  <c r="AR376" i="4" s="1"/>
  <c r="AS376" i="4" s="1"/>
  <c r="AY376" i="4"/>
  <c r="BE593" i="4"/>
  <c r="AR593" i="4" s="1"/>
  <c r="AS593" i="4" s="1"/>
  <c r="AY593" i="4"/>
  <c r="BE186" i="4"/>
  <c r="AR186" i="4" s="1"/>
  <c r="AS186" i="4" s="1"/>
  <c r="AY186" i="4"/>
  <c r="BE372" i="4"/>
  <c r="AR372" i="4" s="1"/>
  <c r="AS372" i="4" s="1"/>
  <c r="AY372" i="4"/>
  <c r="BE468" i="4"/>
  <c r="AR468" i="4" s="1"/>
  <c r="AS468" i="4" s="1"/>
  <c r="AY468" i="4"/>
  <c r="BE136" i="4"/>
  <c r="AR136" i="4" s="1"/>
  <c r="AS136" i="4" s="1"/>
  <c r="AY136" i="4"/>
  <c r="BE464" i="4"/>
  <c r="AR464" i="4" s="1"/>
  <c r="AS464" i="4" s="1"/>
  <c r="AY464" i="4"/>
  <c r="BE373" i="4"/>
  <c r="AR373" i="4" s="1"/>
  <c r="AS373" i="4" s="1"/>
  <c r="AY373" i="4"/>
  <c r="BE484" i="4"/>
  <c r="AR484" i="4" s="1"/>
  <c r="AS484" i="4" s="1"/>
  <c r="AY484" i="4"/>
  <c r="BE25" i="4"/>
  <c r="AR25" i="4" s="1"/>
  <c r="AS25" i="4" s="1"/>
  <c r="AY25" i="4"/>
  <c r="BE158" i="4"/>
  <c r="AR158" i="4" s="1"/>
  <c r="AS158" i="4" s="1"/>
  <c r="AY158" i="4"/>
  <c r="BE351" i="4"/>
  <c r="AR351" i="4" s="1"/>
  <c r="AS351" i="4" s="1"/>
  <c r="AY351" i="4"/>
  <c r="AQ155" i="4"/>
  <c r="AP155" i="4"/>
  <c r="BE348" i="4"/>
  <c r="AR348" i="4" s="1"/>
  <c r="AS348" i="4" s="1"/>
  <c r="AY348" i="4"/>
  <c r="BE150" i="4"/>
  <c r="AR150" i="4" s="1"/>
  <c r="AS150" i="4" s="1"/>
  <c r="AY150" i="4"/>
  <c r="BE181" i="4"/>
  <c r="AR181" i="4" s="1"/>
  <c r="AS181" i="4" s="1"/>
  <c r="AY181" i="4"/>
  <c r="BE587" i="4"/>
  <c r="AR587" i="4" s="1"/>
  <c r="AS587" i="4" s="1"/>
  <c r="AY587" i="4"/>
  <c r="BE8" i="4"/>
  <c r="AR8" i="4" s="1"/>
  <c r="AS8" i="4" s="1"/>
  <c r="AY8" i="4"/>
  <c r="BE132" i="4"/>
  <c r="AR132" i="4" s="1"/>
  <c r="AS132" i="4" s="1"/>
  <c r="AY132" i="4"/>
  <c r="BE81" i="4"/>
  <c r="AR81" i="4" s="1"/>
  <c r="AS81" i="4" s="1"/>
  <c r="AY81" i="4"/>
  <c r="BE385" i="4"/>
  <c r="AR385" i="4" s="1"/>
  <c r="AS385" i="4" s="1"/>
  <c r="AY385" i="4"/>
  <c r="BE27" i="4"/>
  <c r="AR27" i="4" s="1"/>
  <c r="AS27" i="4" s="1"/>
  <c r="AY27" i="4"/>
  <c r="AQ159" i="4"/>
  <c r="AP159" i="4"/>
  <c r="BE451" i="4"/>
  <c r="AR451" i="4" s="1"/>
  <c r="AS451" i="4" s="1"/>
  <c r="AY451" i="4"/>
  <c r="BE147" i="4"/>
  <c r="AR147" i="4" s="1"/>
  <c r="AS147" i="4" s="1"/>
  <c r="AY147" i="4"/>
  <c r="BE578" i="4"/>
  <c r="AR578" i="4" s="1"/>
  <c r="AS578" i="4" s="1"/>
  <c r="AY578" i="4"/>
  <c r="AY65" i="4"/>
  <c r="BE65" i="4"/>
  <c r="AR65" i="4" s="1"/>
  <c r="AS65" i="4" s="1"/>
  <c r="BE137" i="4"/>
  <c r="AR137" i="4" s="1"/>
  <c r="AS137" i="4" s="1"/>
  <c r="AY137" i="4"/>
  <c r="AQ559" i="4"/>
  <c r="AP559" i="4"/>
  <c r="BE559" i="4" s="1"/>
  <c r="AR559" i="4" s="1"/>
  <c r="BE109" i="4"/>
  <c r="AR109" i="4" s="1"/>
  <c r="AS109" i="4" s="1"/>
  <c r="AY109" i="4"/>
  <c r="BE78" i="4"/>
  <c r="AR78" i="4" s="1"/>
  <c r="AS78" i="4" s="1"/>
  <c r="AY78" i="4"/>
  <c r="BE7" i="4"/>
  <c r="AR7" i="4" s="1"/>
  <c r="AS7" i="4" s="1"/>
  <c r="AY7" i="4"/>
  <c r="BE496" i="4"/>
  <c r="AR496" i="4" s="1"/>
  <c r="AS496" i="4" s="1"/>
  <c r="AY496" i="4"/>
  <c r="BE207" i="4"/>
  <c r="AR207" i="4" s="1"/>
  <c r="AS207" i="4" s="1"/>
  <c r="AY207" i="4"/>
  <c r="BE476" i="4"/>
  <c r="AR476" i="4" s="1"/>
  <c r="AS476" i="4" s="1"/>
  <c r="AY476" i="4"/>
  <c r="BE112" i="4"/>
  <c r="AR112" i="4" s="1"/>
  <c r="AS112" i="4" s="1"/>
  <c r="AY112" i="4"/>
  <c r="BE220" i="4"/>
  <c r="AR220" i="4" s="1"/>
  <c r="AS220" i="4" s="1"/>
  <c r="AY220" i="4"/>
  <c r="AQ196" i="4"/>
  <c r="AP196" i="4"/>
  <c r="BE196" i="4" s="1"/>
  <c r="AR196" i="4" s="1"/>
  <c r="AS196" i="4" s="1"/>
  <c r="AZ196" i="4" s="1"/>
  <c r="BE116" i="4"/>
  <c r="AR116" i="4" s="1"/>
  <c r="AS116" i="4" s="1"/>
  <c r="AY116" i="4"/>
  <c r="BE576" i="4"/>
  <c r="AR576" i="4" s="1"/>
  <c r="AS576" i="4" s="1"/>
  <c r="AY576" i="4"/>
  <c r="AZ219" i="4"/>
  <c r="BE479" i="4"/>
  <c r="AR479" i="4" s="1"/>
  <c r="AS479" i="4" s="1"/>
  <c r="AY479" i="4"/>
  <c r="BE403" i="4"/>
  <c r="AR403" i="4" s="1"/>
  <c r="AS403" i="4" s="1"/>
  <c r="AY403" i="4"/>
  <c r="BE393" i="4"/>
  <c r="AR393" i="4" s="1"/>
  <c r="AS393" i="4" s="1"/>
  <c r="AY393" i="4"/>
  <c r="BE126" i="4"/>
  <c r="AR126" i="4" s="1"/>
  <c r="AS126" i="4" s="1"/>
  <c r="AY126" i="4"/>
  <c r="BE149" i="4"/>
  <c r="AR149" i="4" s="1"/>
  <c r="AS149" i="4" s="1"/>
  <c r="AY149" i="4"/>
  <c r="BE407" i="4"/>
  <c r="AR407" i="4" s="1"/>
  <c r="AS407" i="4" s="1"/>
  <c r="AY407" i="4"/>
  <c r="AZ549" i="4"/>
  <c r="BE392" i="4"/>
  <c r="AR392" i="4" s="1"/>
  <c r="AS392" i="4" s="1"/>
  <c r="AY392" i="4"/>
  <c r="BE380" i="4"/>
  <c r="AR380" i="4" s="1"/>
  <c r="AS380" i="4" s="1"/>
  <c r="AY380" i="4"/>
  <c r="AS559" i="4"/>
  <c r="AZ559" i="4" s="1"/>
  <c r="BE93" i="4"/>
  <c r="AR93" i="4" s="1"/>
  <c r="AS93" i="4" s="1"/>
  <c r="AY93" i="4"/>
  <c r="AZ231" i="4"/>
  <c r="BE502" i="4"/>
  <c r="AR502" i="4" s="1"/>
  <c r="AS502" i="4" s="1"/>
  <c r="AY502" i="4"/>
  <c r="BE361" i="4"/>
  <c r="AR361" i="4" s="1"/>
  <c r="AS361" i="4" s="1"/>
  <c r="AY361" i="4"/>
  <c r="BE69" i="4"/>
  <c r="AR69" i="4" s="1"/>
  <c r="AS69" i="4" s="1"/>
  <c r="AY69" i="4"/>
  <c r="BE440" i="4"/>
  <c r="AR440" i="4" s="1"/>
  <c r="AS440" i="4" s="1"/>
  <c r="AY440" i="4"/>
  <c r="BE174" i="4"/>
  <c r="AR174" i="4" s="1"/>
  <c r="AS174" i="4" s="1"/>
  <c r="AY174" i="4"/>
  <c r="BE148" i="4"/>
  <c r="AR148" i="4" s="1"/>
  <c r="AS148" i="4" s="1"/>
  <c r="AY148" i="4"/>
  <c r="BE115" i="4"/>
  <c r="AR115" i="4" s="1"/>
  <c r="AS115" i="4" s="1"/>
  <c r="AY115" i="4"/>
  <c r="BE472" i="4"/>
  <c r="AR472" i="4" s="1"/>
  <c r="AS472" i="4" s="1"/>
  <c r="AY472" i="4"/>
  <c r="BE89" i="4"/>
  <c r="AR89" i="4" s="1"/>
  <c r="AS89" i="4" s="1"/>
  <c r="AY89" i="4"/>
  <c r="BE119" i="4"/>
  <c r="AR119" i="4" s="1"/>
  <c r="AS119" i="4" s="1"/>
  <c r="AY119" i="4"/>
  <c r="BE131" i="4"/>
  <c r="AR131" i="4" s="1"/>
  <c r="AS131" i="4" s="1"/>
  <c r="AY131" i="4"/>
  <c r="BE101" i="4"/>
  <c r="AR101" i="4" s="1"/>
  <c r="AS101" i="4" s="1"/>
  <c r="AY101" i="4"/>
  <c r="BE467" i="4"/>
  <c r="AR467" i="4" s="1"/>
  <c r="AS467" i="4" s="1"/>
  <c r="AY467" i="4"/>
  <c r="BE483" i="4"/>
  <c r="AR483" i="4" s="1"/>
  <c r="AS483" i="4" s="1"/>
  <c r="AY483" i="4"/>
  <c r="BE398" i="4"/>
  <c r="AR398" i="4" s="1"/>
  <c r="AS398" i="4" s="1"/>
  <c r="AY398" i="4"/>
  <c r="AQ71" i="4"/>
  <c r="AP71" i="4"/>
  <c r="BE71" i="4" s="1"/>
  <c r="AR71" i="4" s="1"/>
  <c r="AS71" i="4" s="1"/>
  <c r="AZ71" i="4" s="1"/>
  <c r="BE82" i="4"/>
  <c r="AR82" i="4" s="1"/>
  <c r="AS82" i="4" s="1"/>
  <c r="AY82" i="4"/>
  <c r="BE460" i="4"/>
  <c r="AR460" i="4" s="1"/>
  <c r="AS460" i="4" s="1"/>
  <c r="AY460" i="4"/>
  <c r="BE26" i="4"/>
  <c r="AR26" i="4" s="1"/>
  <c r="AS26" i="4" s="1"/>
  <c r="AY26" i="4"/>
  <c r="AQ285" i="4"/>
  <c r="AP285" i="4"/>
  <c r="BE285" i="4" s="1"/>
  <c r="AR285" i="4" s="1"/>
  <c r="BE102" i="4"/>
  <c r="AR102" i="4" s="1"/>
  <c r="AS102" i="4" s="1"/>
  <c r="AY102" i="4"/>
  <c r="BE366" i="4"/>
  <c r="AR366" i="4" s="1"/>
  <c r="AS366" i="4" s="1"/>
  <c r="AY366" i="4"/>
  <c r="AZ85" i="4"/>
  <c r="AZ428" i="4"/>
  <c r="BE452" i="4"/>
  <c r="AR452" i="4" s="1"/>
  <c r="AS452" i="4" s="1"/>
  <c r="AY452" i="4"/>
  <c r="BE173" i="4"/>
  <c r="AR173" i="4" s="1"/>
  <c r="AS173" i="4" s="1"/>
  <c r="AY173" i="4"/>
  <c r="BE499" i="4"/>
  <c r="AR499" i="4" s="1"/>
  <c r="AS499" i="4" s="1"/>
  <c r="AY499" i="4"/>
  <c r="BE405" i="4"/>
  <c r="AR405" i="4" s="1"/>
  <c r="AS405" i="4" s="1"/>
  <c r="AY405" i="4"/>
  <c r="BE383" i="4"/>
  <c r="AR383" i="4" s="1"/>
  <c r="AS383" i="4" s="1"/>
  <c r="AY383" i="4"/>
  <c r="BE6" i="4"/>
  <c r="AR6" i="4" s="1"/>
  <c r="AS6" i="4" s="1"/>
  <c r="AY6" i="4"/>
  <c r="AQ70" i="4"/>
  <c r="AP70" i="4"/>
  <c r="AZ367" i="4"/>
  <c r="AQ183" i="4"/>
  <c r="AP183" i="4"/>
  <c r="BE183" i="4" s="1"/>
  <c r="AR183" i="4" s="1"/>
  <c r="AS183" i="4" s="1"/>
  <c r="AZ183" i="4" s="1"/>
  <c r="BE432" i="4"/>
  <c r="AR432" i="4" s="1"/>
  <c r="AS432" i="4" s="1"/>
  <c r="AY432" i="4"/>
  <c r="BE586" i="4"/>
  <c r="AR586" i="4" s="1"/>
  <c r="AS586" i="4" s="1"/>
  <c r="AY586" i="4"/>
  <c r="BE370" i="4"/>
  <c r="AR370" i="4" s="1"/>
  <c r="AS370" i="4" s="1"/>
  <c r="AY370" i="4"/>
  <c r="BE435" i="4"/>
  <c r="AR435" i="4" s="1"/>
  <c r="AS435" i="4" s="1"/>
  <c r="AY435" i="4"/>
  <c r="BE94" i="4"/>
  <c r="AR94" i="4" s="1"/>
  <c r="AS94" i="4" s="1"/>
  <c r="AY94" i="4"/>
  <c r="BE548" i="4"/>
  <c r="AR548" i="4" s="1"/>
  <c r="AS548" i="4" s="1"/>
  <c r="AY548" i="4"/>
  <c r="BE339" i="4"/>
  <c r="AR339" i="4" s="1"/>
  <c r="AS339" i="4" s="1"/>
  <c r="AY339" i="4"/>
  <c r="BE113" i="4"/>
  <c r="AR113" i="4" s="1"/>
  <c r="AS113" i="4" s="1"/>
  <c r="AY113" i="4"/>
  <c r="BE142" i="4"/>
  <c r="AR142" i="4" s="1"/>
  <c r="AS142" i="4" s="1"/>
  <c r="AY142" i="4"/>
  <c r="AS285" i="4"/>
  <c r="AZ285" i="4" s="1"/>
  <c r="BE106" i="4"/>
  <c r="AR106" i="4" s="1"/>
  <c r="AS106" i="4" s="1"/>
  <c r="AY106" i="4"/>
  <c r="AQ30" i="4"/>
  <c r="AP30" i="4"/>
  <c r="BE30" i="4" s="1"/>
  <c r="AR30" i="4" s="1"/>
  <c r="AS30" i="4" s="1"/>
  <c r="AZ30" i="4" s="1"/>
  <c r="BE563" i="4"/>
  <c r="AR563" i="4" s="1"/>
  <c r="AS563" i="4" s="1"/>
  <c r="AY563" i="4"/>
  <c r="BE577" i="4"/>
  <c r="AR577" i="4" s="1"/>
  <c r="AS577" i="4" s="1"/>
  <c r="AY577" i="4"/>
  <c r="BE447" i="4"/>
  <c r="AR447" i="4" s="1"/>
  <c r="AS447" i="4" s="1"/>
  <c r="AY447" i="4"/>
  <c r="BE570" i="4"/>
  <c r="AR570" i="4" s="1"/>
  <c r="AS570" i="4" s="1"/>
  <c r="AY570" i="4"/>
  <c r="BE117" i="4"/>
  <c r="AR117" i="4" s="1"/>
  <c r="AS117" i="4" s="1"/>
  <c r="AY117" i="4"/>
  <c r="AQ193" i="4"/>
  <c r="AP193" i="4"/>
  <c r="BE396" i="4"/>
  <c r="AR396" i="4" s="1"/>
  <c r="AS396" i="4" s="1"/>
  <c r="AY396" i="4"/>
  <c r="BE391" i="4"/>
  <c r="AR391" i="4" s="1"/>
  <c r="AS391" i="4" s="1"/>
  <c r="AY391" i="4"/>
  <c r="BE24" i="4"/>
  <c r="AR24" i="4" s="1"/>
  <c r="AS24" i="4" s="1"/>
  <c r="AY24" i="4"/>
  <c r="BE547" i="4"/>
  <c r="AR547" i="4" s="1"/>
  <c r="AS547" i="4" s="1"/>
  <c r="AY547" i="4"/>
  <c r="BE364" i="4"/>
  <c r="AR364" i="4" s="1"/>
  <c r="AS364" i="4" s="1"/>
  <c r="AY364" i="4"/>
  <c r="BE546" i="4"/>
  <c r="AR546" i="4" s="1"/>
  <c r="AS546" i="4" s="1"/>
  <c r="AY546" i="4"/>
  <c r="BE400" i="4"/>
  <c r="AR400" i="4" s="1"/>
  <c r="AS400" i="4" s="1"/>
  <c r="AY400" i="4"/>
  <c r="BE386" i="4"/>
  <c r="AR386" i="4" s="1"/>
  <c r="AS386" i="4" s="1"/>
  <c r="AY386" i="4"/>
  <c r="AZ420" i="4"/>
  <c r="BE111" i="4"/>
  <c r="AR111" i="4" s="1"/>
  <c r="AS111" i="4" s="1"/>
  <c r="AY111" i="4"/>
  <c r="BE135" i="4"/>
  <c r="AR135" i="4" s="1"/>
  <c r="AS135" i="4" s="1"/>
  <c r="AY135" i="4"/>
  <c r="BE177" i="4"/>
  <c r="AR177" i="4" s="1"/>
  <c r="AS177" i="4" s="1"/>
  <c r="AY177" i="4"/>
  <c r="BE74" i="4"/>
  <c r="AR74" i="4" s="1"/>
  <c r="AS74" i="4" s="1"/>
  <c r="AY74" i="4"/>
  <c r="BE475" i="4"/>
  <c r="AR475" i="4" s="1"/>
  <c r="AS475" i="4" s="1"/>
  <c r="AY475" i="4"/>
  <c r="AQ157" i="4"/>
  <c r="AP157" i="4"/>
  <c r="BE377" i="4"/>
  <c r="AR377" i="4" s="1"/>
  <c r="AS377" i="4" s="1"/>
  <c r="AY377" i="4"/>
  <c r="BE223" i="4"/>
  <c r="AR223" i="4" s="1"/>
  <c r="AS223" i="4" s="1"/>
  <c r="AY223" i="4"/>
  <c r="BE86" i="4"/>
  <c r="AR86" i="4" s="1"/>
  <c r="AS86" i="4" s="1"/>
  <c r="AY86" i="4"/>
  <c r="BE104" i="4"/>
  <c r="AR104" i="4" s="1"/>
  <c r="AS104" i="4" s="1"/>
  <c r="AY104" i="4"/>
  <c r="BE161" i="4"/>
  <c r="AR161" i="4" s="1"/>
  <c r="AS161" i="4" s="1"/>
  <c r="AY161" i="4"/>
  <c r="BE463" i="4"/>
  <c r="AR463" i="4" s="1"/>
  <c r="AS463" i="4" s="1"/>
  <c r="AY463" i="4"/>
  <c r="BE444" i="4"/>
  <c r="AR444" i="4" s="1"/>
  <c r="AS444" i="4" s="1"/>
  <c r="AY444" i="4"/>
  <c r="BE384" i="4"/>
  <c r="AR384" i="4" s="1"/>
  <c r="AS384" i="4" s="1"/>
  <c r="AY384" i="4"/>
  <c r="BE568" i="4"/>
  <c r="AR568" i="4" s="1"/>
  <c r="AS568" i="4" s="1"/>
  <c r="AY568" i="4"/>
  <c r="BE389" i="4"/>
  <c r="AR389" i="4" s="1"/>
  <c r="AS389" i="4" s="1"/>
  <c r="AY389" i="4"/>
  <c r="BE215" i="4"/>
  <c r="AR215" i="4" s="1"/>
  <c r="AS215" i="4" s="1"/>
  <c r="AY215" i="4"/>
  <c r="AZ497" i="4"/>
  <c r="BE118" i="4"/>
  <c r="AR118" i="4" s="1"/>
  <c r="AS118" i="4" s="1"/>
  <c r="AY118" i="4"/>
  <c r="BE360" i="4"/>
  <c r="AR360" i="4" s="1"/>
  <c r="AS360" i="4" s="1"/>
  <c r="AY360" i="4"/>
  <c r="BE165" i="4"/>
  <c r="AR165" i="4" s="1"/>
  <c r="AS165" i="4" s="1"/>
  <c r="AY165" i="4"/>
  <c r="BE352" i="4"/>
  <c r="AR352" i="4" s="1"/>
  <c r="AS352" i="4" s="1"/>
  <c r="AY352" i="4"/>
  <c r="AQ433" i="4"/>
  <c r="AP433" i="4"/>
  <c r="BE433" i="4" s="1"/>
  <c r="AR433" i="4" s="1"/>
  <c r="AS433" i="4" s="1"/>
  <c r="AZ433" i="4" s="1"/>
  <c r="BE125" i="4"/>
  <c r="AR125" i="4" s="1"/>
  <c r="AS125" i="4" s="1"/>
  <c r="AY125" i="4"/>
  <c r="BE228" i="4"/>
  <c r="AR228" i="4" s="1"/>
  <c r="AS228" i="4" s="1"/>
  <c r="AY228" i="4"/>
  <c r="BE108" i="4"/>
  <c r="AR108" i="4" s="1"/>
  <c r="AS108" i="4" s="1"/>
  <c r="AY108" i="4"/>
  <c r="AQ434" i="4"/>
  <c r="AP434" i="4"/>
  <c r="BE110" i="4"/>
  <c r="AR110" i="4" s="1"/>
  <c r="AS110" i="4" s="1"/>
  <c r="AY110" i="4"/>
  <c r="BE571" i="4"/>
  <c r="AR571" i="4" s="1"/>
  <c r="AS571" i="4" s="1"/>
  <c r="AY571" i="4"/>
  <c r="BE166" i="4"/>
  <c r="AR166" i="4" s="1"/>
  <c r="AS166" i="4" s="1"/>
  <c r="AY166" i="4"/>
  <c r="AP363" i="4"/>
  <c r="AQ363" i="4"/>
  <c r="AQ431" i="4"/>
  <c r="AP431" i="4"/>
  <c r="BE208" i="4"/>
  <c r="AR208" i="4" s="1"/>
  <c r="AS208" i="4" s="1"/>
  <c r="AY208" i="4"/>
  <c r="AQ286" i="4"/>
  <c r="AP286" i="4"/>
  <c r="BE286" i="4" s="1"/>
  <c r="AR286" i="4" s="1"/>
  <c r="AS286" i="4" s="1"/>
  <c r="AZ286" i="4" s="1"/>
  <c r="BE388" i="4"/>
  <c r="AR388" i="4" s="1"/>
  <c r="AS388" i="4" s="1"/>
  <c r="AY388" i="4"/>
  <c r="AQ18" i="4"/>
  <c r="AP18" i="4"/>
  <c r="BE18" i="4" s="1"/>
  <c r="AR18" i="4" s="1"/>
  <c r="AS18" i="4" s="1"/>
  <c r="AZ18" i="4" s="1"/>
  <c r="BE145" i="4"/>
  <c r="AR145" i="4" s="1"/>
  <c r="AS145" i="4" s="1"/>
  <c r="AY145" i="4"/>
  <c r="BE146" i="4"/>
  <c r="AR146" i="4" s="1"/>
  <c r="AS146" i="4" s="1"/>
  <c r="AY146" i="4"/>
  <c r="AQ343" i="4"/>
  <c r="AP343" i="4"/>
  <c r="BE343" i="4" s="1"/>
  <c r="AR343" i="4" s="1"/>
  <c r="AS343" i="4" s="1"/>
  <c r="AZ343" i="4" s="1"/>
  <c r="BE561" i="4"/>
  <c r="AR561" i="4" s="1"/>
  <c r="AS561" i="4" s="1"/>
  <c r="AY561" i="4"/>
  <c r="BE107" i="4"/>
  <c r="AR107" i="4" s="1"/>
  <c r="AS107" i="4" s="1"/>
  <c r="AY107" i="4"/>
  <c r="BE371" i="4"/>
  <c r="AR371" i="4" s="1"/>
  <c r="AS371" i="4" s="1"/>
  <c r="AY371" i="4"/>
  <c r="BE550" i="4"/>
  <c r="AR550" i="4" s="1"/>
  <c r="AS550" i="4" s="1"/>
  <c r="AY550" i="4"/>
  <c r="BE569" i="4"/>
  <c r="AR569" i="4" s="1"/>
  <c r="AS569" i="4" s="1"/>
  <c r="AY569" i="4"/>
  <c r="BE439" i="4"/>
  <c r="AR439" i="4" s="1"/>
  <c r="AS439" i="4" s="1"/>
  <c r="AY439" i="4"/>
  <c r="AZ328" i="4"/>
  <c r="BE139" i="4"/>
  <c r="AR139" i="4" s="1"/>
  <c r="AS139" i="4" s="1"/>
  <c r="AY139" i="4"/>
  <c r="BE143" i="4"/>
  <c r="AR143" i="4" s="1"/>
  <c r="AS143" i="4" s="1"/>
  <c r="AY143" i="4"/>
  <c r="BE359" i="4"/>
  <c r="AR359" i="4" s="1"/>
  <c r="AS359" i="4" s="1"/>
  <c r="AY359" i="4"/>
  <c r="BE456" i="4"/>
  <c r="AR456" i="4" s="1"/>
  <c r="AS456" i="4" s="1"/>
  <c r="AY456" i="4"/>
  <c r="AZ375" i="4"/>
  <c r="BE448" i="4"/>
  <c r="AR448" i="4" s="1"/>
  <c r="AS448" i="4" s="1"/>
  <c r="AY448" i="4"/>
  <c r="BE5" i="4"/>
  <c r="AR5" i="4" s="1"/>
  <c r="AS5" i="4" s="1"/>
  <c r="AY5" i="4"/>
  <c r="AQ355" i="4"/>
  <c r="AP355" i="4"/>
  <c r="BE436" i="4"/>
  <c r="AR436" i="4" s="1"/>
  <c r="AS436" i="4" s="1"/>
  <c r="AY436" i="4"/>
  <c r="BE387" i="4"/>
  <c r="AR387" i="4" s="1"/>
  <c r="AS387" i="4" s="1"/>
  <c r="AY387" i="4"/>
  <c r="BE124" i="4"/>
  <c r="AR124" i="4" s="1"/>
  <c r="AS124" i="4" s="1"/>
  <c r="AY124" i="4"/>
  <c r="BE163" i="4"/>
  <c r="AR163" i="4" s="1"/>
  <c r="AS163" i="4" s="1"/>
  <c r="AY163" i="4"/>
  <c r="BE505" i="4"/>
  <c r="AR505" i="4" s="1"/>
  <c r="AS505" i="4" s="1"/>
  <c r="AY505" i="4"/>
  <c r="BE204" i="4"/>
  <c r="AR204" i="4" s="1"/>
  <c r="AS204" i="4" s="1"/>
  <c r="AY204" i="4"/>
  <c r="BE133" i="4"/>
  <c r="AR133" i="4" s="1"/>
  <c r="AS133" i="4" s="1"/>
  <c r="AY133" i="4"/>
  <c r="BE408" i="4"/>
  <c r="AR408" i="4" s="1"/>
  <c r="AS408" i="4" s="1"/>
  <c r="AY408" i="4"/>
  <c r="AZ379" i="4"/>
  <c r="BE153" i="4"/>
  <c r="AR153" i="4" s="1"/>
  <c r="AS153" i="4" s="1"/>
  <c r="AY153" i="4"/>
  <c r="AQ583" i="4"/>
  <c r="AP583" i="4"/>
  <c r="BE583" i="4" s="1"/>
  <c r="AR583" i="4" s="1"/>
  <c r="AS583" i="4" s="1"/>
  <c r="AZ583" i="4" s="1"/>
  <c r="BE216" i="4"/>
  <c r="AR216" i="4" s="1"/>
  <c r="AS216" i="4" s="1"/>
  <c r="AY216" i="4"/>
  <c r="BE560" i="4"/>
  <c r="AR560" i="4" s="1"/>
  <c r="AS560" i="4" s="1"/>
  <c r="AY560" i="4"/>
  <c r="AQ152" i="4"/>
  <c r="AP152" i="4"/>
  <c r="AZ424" i="4"/>
  <c r="BE443" i="4"/>
  <c r="AR443" i="4" s="1"/>
  <c r="AS443" i="4" s="1"/>
  <c r="AY443" i="4"/>
  <c r="BE399" i="4"/>
  <c r="AR399" i="4" s="1"/>
  <c r="AS399" i="4" s="1"/>
  <c r="AY399" i="4"/>
  <c r="AZ411" i="4"/>
  <c r="BE471" i="4"/>
  <c r="AR471" i="4" s="1"/>
  <c r="AS471" i="4" s="1"/>
  <c r="AY471" i="4"/>
  <c r="AQ429" i="4"/>
  <c r="AP429" i="4"/>
  <c r="AQ77" i="4"/>
  <c r="AP77" i="4"/>
  <c r="BE129" i="4"/>
  <c r="AR129" i="4" s="1"/>
  <c r="AS129" i="4" s="1"/>
  <c r="AY129" i="4"/>
  <c r="BE98" i="4"/>
  <c r="AR98" i="4" s="1"/>
  <c r="AS98" i="4" s="1"/>
  <c r="AY98" i="4"/>
  <c r="BE182" i="4"/>
  <c r="AR182" i="4" s="1"/>
  <c r="AS182" i="4" s="1"/>
  <c r="AY182" i="4"/>
  <c r="BE194" i="4"/>
  <c r="AR194" i="4" s="1"/>
  <c r="AS194" i="4" s="1"/>
  <c r="AY194" i="4"/>
  <c r="AZ501" i="4"/>
  <c r="BE551" i="4"/>
  <c r="AR551" i="4" s="1"/>
  <c r="AS551" i="4" s="1"/>
  <c r="AY551" i="4"/>
  <c r="AZ416" i="4"/>
  <c r="BE128" i="4"/>
  <c r="AR128" i="4" s="1"/>
  <c r="AS128" i="4" s="1"/>
  <c r="AY128" i="4"/>
  <c r="BE8" i="3"/>
  <c r="AR8" i="3" s="1"/>
  <c r="AS8" i="3" s="1"/>
  <c r="AY8" i="3"/>
  <c r="BE6" i="3"/>
  <c r="AR6" i="3" s="1"/>
  <c r="AS6" i="3" s="1"/>
  <c r="AY6" i="3"/>
  <c r="BE7" i="3"/>
  <c r="AR7" i="3" s="1"/>
  <c r="AS7" i="3" s="1"/>
  <c r="AY7" i="3"/>
  <c r="AQ10" i="2"/>
  <c r="AP10" i="2"/>
  <c r="AQ9" i="2"/>
  <c r="AP9" i="2"/>
  <c r="BE8" i="2"/>
  <c r="AR8" i="2" s="1"/>
  <c r="AS8" i="2" s="1"/>
  <c r="AY8" i="2"/>
  <c r="BE7" i="2"/>
  <c r="AR7" i="2" s="1"/>
  <c r="AS7" i="2" s="1"/>
  <c r="AY7" i="2"/>
  <c r="AY138" i="4" l="1"/>
  <c r="BE138" i="4"/>
  <c r="AR138" i="4" s="1"/>
  <c r="AS138" i="4" s="1"/>
  <c r="AZ138" i="4" s="1"/>
  <c r="BE410" i="4"/>
  <c r="AR410" i="4" s="1"/>
  <c r="AS410" i="4" s="1"/>
  <c r="AY410" i="4"/>
  <c r="BE503" i="4"/>
  <c r="AR503" i="4" s="1"/>
  <c r="AS503" i="4" s="1"/>
  <c r="AZ503" i="4" s="1"/>
  <c r="AY503" i="4"/>
  <c r="AZ387" i="4"/>
  <c r="BE504" i="4"/>
  <c r="AR504" i="4" s="1"/>
  <c r="AS504" i="4" s="1"/>
  <c r="AY504" i="4"/>
  <c r="AZ452" i="4"/>
  <c r="AZ186" i="4"/>
  <c r="AZ128" i="4"/>
  <c r="AZ435" i="4"/>
  <c r="AZ212" i="4"/>
  <c r="AZ135" i="4"/>
  <c r="AZ460" i="4"/>
  <c r="AZ129" i="4"/>
  <c r="AZ382" i="4"/>
  <c r="BE374" i="4"/>
  <c r="AR374" i="4" s="1"/>
  <c r="AS374" i="4" s="1"/>
  <c r="AY374" i="4"/>
  <c r="AZ182" i="4"/>
  <c r="AZ185" i="4"/>
  <c r="AZ204" i="4"/>
  <c r="AZ444" i="4"/>
  <c r="AZ371" i="4"/>
  <c r="AZ166" i="4"/>
  <c r="AZ383" i="4"/>
  <c r="AZ366" i="4"/>
  <c r="AZ153" i="4"/>
  <c r="AZ579" i="4"/>
  <c r="BE160" i="4"/>
  <c r="AR160" i="4" s="1"/>
  <c r="AS160" i="4" s="1"/>
  <c r="AY160" i="4"/>
  <c r="AZ468" i="4"/>
  <c r="BE427" i="4"/>
  <c r="AR427" i="4" s="1"/>
  <c r="AS427" i="4" s="1"/>
  <c r="AY427" i="4"/>
  <c r="AZ149" i="4"/>
  <c r="BE500" i="4"/>
  <c r="AR500" i="4" s="1"/>
  <c r="AS500" i="4" s="1"/>
  <c r="AY500" i="4"/>
  <c r="AZ443" i="4"/>
  <c r="AZ131" i="4"/>
  <c r="AZ174" i="4"/>
  <c r="AZ7" i="4"/>
  <c r="AZ578" i="4"/>
  <c r="AZ81" i="4"/>
  <c r="AZ348" i="4"/>
  <c r="AZ373" i="4"/>
  <c r="AZ227" i="4"/>
  <c r="AZ594" i="4"/>
  <c r="AZ577" i="4"/>
  <c r="BE422" i="4"/>
  <c r="AR422" i="4" s="1"/>
  <c r="AS422" i="4" s="1"/>
  <c r="AY422" i="4"/>
  <c r="AZ400" i="4"/>
  <c r="AZ480" i="4"/>
  <c r="AZ141" i="4"/>
  <c r="AZ169" i="4"/>
  <c r="AZ456" i="4"/>
  <c r="AZ165" i="4"/>
  <c r="AZ136" i="4"/>
  <c r="AZ114" i="4"/>
  <c r="AZ170" i="4"/>
  <c r="BE9" i="4"/>
  <c r="AR9" i="4" s="1"/>
  <c r="AS9" i="4" s="1"/>
  <c r="AY9" i="4"/>
  <c r="BE592" i="4"/>
  <c r="AR592" i="4" s="1"/>
  <c r="AS592" i="4" s="1"/>
  <c r="AY592" i="4"/>
  <c r="AY154" i="4"/>
  <c r="BE154" i="4"/>
  <c r="AR154" i="4" s="1"/>
  <c r="AS154" i="4" s="1"/>
  <c r="AZ479" i="4"/>
  <c r="AZ381" i="4"/>
  <c r="AZ151" i="4"/>
  <c r="AZ338" i="4"/>
  <c r="AZ464" i="4"/>
  <c r="AZ471" i="4"/>
  <c r="AZ216" i="4"/>
  <c r="AZ407" i="4"/>
  <c r="AZ4" i="4"/>
  <c r="AZ586" i="4"/>
  <c r="AZ364" i="4"/>
  <c r="AZ117" i="4"/>
  <c r="AZ106" i="4"/>
  <c r="AZ94" i="4"/>
  <c r="AZ329" i="4"/>
  <c r="AZ156" i="4"/>
  <c r="AZ224" i="4"/>
  <c r="AZ73" i="4"/>
  <c r="AZ65" i="4"/>
  <c r="AZ127" i="4"/>
  <c r="BE431" i="4"/>
  <c r="AR431" i="4" s="1"/>
  <c r="AS431" i="4" s="1"/>
  <c r="AY431" i="4"/>
  <c r="AZ505" i="4"/>
  <c r="AZ436" i="4"/>
  <c r="AZ359" i="4"/>
  <c r="AZ146" i="4"/>
  <c r="AZ568" i="4"/>
  <c r="AZ86" i="4"/>
  <c r="AZ74" i="4"/>
  <c r="AZ396" i="4"/>
  <c r="AZ339" i="4"/>
  <c r="AZ393" i="4"/>
  <c r="BE155" i="4"/>
  <c r="AR155" i="4" s="1"/>
  <c r="AS155" i="4" s="1"/>
  <c r="AY155" i="4"/>
  <c r="AZ98" i="4"/>
  <c r="AZ399" i="4"/>
  <c r="AZ108" i="4"/>
  <c r="AZ360" i="4"/>
  <c r="BE193" i="4"/>
  <c r="AR193" i="4" s="1"/>
  <c r="AS193" i="4" s="1"/>
  <c r="AY193" i="4"/>
  <c r="AZ563" i="4"/>
  <c r="AZ432" i="4"/>
  <c r="AZ405" i="4"/>
  <c r="AZ102" i="4"/>
  <c r="AZ398" i="4"/>
  <c r="AZ119" i="4"/>
  <c r="AZ440" i="4"/>
  <c r="AZ380" i="4"/>
  <c r="AZ220" i="4"/>
  <c r="AZ78" i="4"/>
  <c r="AZ147" i="4"/>
  <c r="AZ132" i="4"/>
  <c r="AZ593" i="4"/>
  <c r="AZ584" i="4"/>
  <c r="AZ595" i="4"/>
  <c r="BE355" i="4"/>
  <c r="AR355" i="4" s="1"/>
  <c r="AS355" i="4" s="1"/>
  <c r="AY355" i="4"/>
  <c r="AZ550" i="4"/>
  <c r="AZ145" i="4"/>
  <c r="BE363" i="4"/>
  <c r="AR363" i="4" s="1"/>
  <c r="AS363" i="4" s="1"/>
  <c r="AY363" i="4"/>
  <c r="AZ384" i="4"/>
  <c r="AZ177" i="4"/>
  <c r="AZ546" i="4"/>
  <c r="AZ548" i="4"/>
  <c r="AZ403" i="4"/>
  <c r="AZ16" i="4"/>
  <c r="AZ349" i="4"/>
  <c r="AZ163" i="4"/>
  <c r="AZ143" i="4"/>
  <c r="AZ228" i="4"/>
  <c r="AZ118" i="4"/>
  <c r="AZ223" i="4"/>
  <c r="AZ499" i="4"/>
  <c r="AZ483" i="4"/>
  <c r="AZ89" i="4"/>
  <c r="AZ69" i="4"/>
  <c r="AZ392" i="4"/>
  <c r="AZ112" i="4"/>
  <c r="AZ109" i="4"/>
  <c r="AZ451" i="4"/>
  <c r="AZ8" i="4"/>
  <c r="AZ351" i="4"/>
  <c r="AZ376" i="4"/>
  <c r="AZ162" i="4"/>
  <c r="BE354" i="4"/>
  <c r="AR354" i="4" s="1"/>
  <c r="AS354" i="4" s="1"/>
  <c r="AY354" i="4"/>
  <c r="BE77" i="4"/>
  <c r="AR77" i="4" s="1"/>
  <c r="AS77" i="4" s="1"/>
  <c r="AY77" i="4"/>
  <c r="BE159" i="4"/>
  <c r="AR159" i="4" s="1"/>
  <c r="AS159" i="4" s="1"/>
  <c r="AY159" i="4"/>
  <c r="BE152" i="4"/>
  <c r="AR152" i="4" s="1"/>
  <c r="AS152" i="4" s="1"/>
  <c r="AY152" i="4"/>
  <c r="AZ124" i="4"/>
  <c r="AZ5" i="4"/>
  <c r="AZ139" i="4"/>
  <c r="AZ125" i="4"/>
  <c r="AZ173" i="4"/>
  <c r="AZ26" i="4"/>
  <c r="AZ467" i="4"/>
  <c r="AZ472" i="4"/>
  <c r="AZ361" i="4"/>
  <c r="AZ476" i="4"/>
  <c r="AZ587" i="4"/>
  <c r="AZ158" i="4"/>
  <c r="AZ347" i="4"/>
  <c r="AZ551" i="4"/>
  <c r="BE429" i="4"/>
  <c r="AR429" i="4" s="1"/>
  <c r="AS429" i="4" s="1"/>
  <c r="AY429" i="4"/>
  <c r="AZ408" i="4"/>
  <c r="AZ107" i="4"/>
  <c r="AZ388" i="4"/>
  <c r="AZ571" i="4"/>
  <c r="AZ463" i="4"/>
  <c r="AZ377" i="4"/>
  <c r="AZ111" i="4"/>
  <c r="AZ547" i="4"/>
  <c r="AZ570" i="4"/>
  <c r="BE70" i="4"/>
  <c r="AR70" i="4" s="1"/>
  <c r="AS70" i="4" s="1"/>
  <c r="AZ70" i="4" s="1"/>
  <c r="AY70" i="4"/>
  <c r="AZ395" i="4"/>
  <c r="AZ97" i="4"/>
  <c r="AZ459" i="4"/>
  <c r="AZ455" i="4"/>
  <c r="BE190" i="4"/>
  <c r="AR190" i="4" s="1"/>
  <c r="AS190" i="4" s="1"/>
  <c r="AY190" i="4"/>
  <c r="AZ448" i="4"/>
  <c r="BE157" i="4"/>
  <c r="AR157" i="4" s="1"/>
  <c r="AS157" i="4" s="1"/>
  <c r="AY157" i="4"/>
  <c r="AZ115" i="4"/>
  <c r="AZ502" i="4"/>
  <c r="AZ576" i="4"/>
  <c r="AZ207" i="4"/>
  <c r="AZ137" i="4"/>
  <c r="AZ27" i="4"/>
  <c r="AZ181" i="4"/>
  <c r="AZ25" i="4"/>
  <c r="AZ211" i="4"/>
  <c r="AZ133" i="4"/>
  <c r="AZ439" i="4"/>
  <c r="AZ561" i="4"/>
  <c r="AZ110" i="4"/>
  <c r="AZ215" i="4"/>
  <c r="AZ161" i="4"/>
  <c r="AZ24" i="4"/>
  <c r="AZ142" i="4"/>
  <c r="AZ101" i="4"/>
  <c r="AZ194" i="4"/>
  <c r="AZ560" i="4"/>
  <c r="AZ352" i="4"/>
  <c r="AZ386" i="4"/>
  <c r="AZ447" i="4"/>
  <c r="AZ370" i="4"/>
  <c r="AZ6" i="4"/>
  <c r="AZ82" i="4"/>
  <c r="AZ148" i="4"/>
  <c r="AZ116" i="4"/>
  <c r="AZ496" i="4"/>
  <c r="AZ385" i="4"/>
  <c r="AZ150" i="4"/>
  <c r="AZ484" i="4"/>
  <c r="AZ372" i="4"/>
  <c r="AZ90" i="4"/>
  <c r="BE356" i="4"/>
  <c r="AR356" i="4" s="1"/>
  <c r="AS356" i="4" s="1"/>
  <c r="AY356" i="4"/>
  <c r="AZ569" i="4"/>
  <c r="AZ208" i="4"/>
  <c r="BE434" i="4"/>
  <c r="AR434" i="4" s="1"/>
  <c r="AS434" i="4" s="1"/>
  <c r="AY434" i="4"/>
  <c r="AZ389" i="4"/>
  <c r="AZ104" i="4"/>
  <c r="AZ475" i="4"/>
  <c r="AZ391" i="4"/>
  <c r="AZ113" i="4"/>
  <c r="AZ93" i="4"/>
  <c r="AZ126" i="4"/>
  <c r="AZ140" i="4"/>
  <c r="AZ130" i="4"/>
  <c r="BE10" i="2"/>
  <c r="AR10" i="2" s="1"/>
  <c r="AS10" i="2" s="1"/>
  <c r="AY10" i="2"/>
  <c r="BE9" i="2"/>
  <c r="AR9" i="2" s="1"/>
  <c r="AS9" i="2" s="1"/>
  <c r="AY9" i="2"/>
  <c r="AZ410" i="4" l="1"/>
  <c r="AZ504" i="4"/>
  <c r="AZ155" i="4"/>
  <c r="AZ431" i="4"/>
  <c r="AZ160" i="4"/>
  <c r="AZ9" i="4"/>
  <c r="AZ500" i="4"/>
  <c r="AZ154" i="4"/>
  <c r="AZ374" i="4"/>
  <c r="AZ427" i="4"/>
  <c r="AZ356" i="4"/>
  <c r="AZ157" i="4"/>
  <c r="AZ152" i="4"/>
  <c r="AZ355" i="4"/>
  <c r="AZ592" i="4"/>
  <c r="AZ422" i="4"/>
  <c r="AZ193" i="4"/>
  <c r="AZ159" i="4"/>
  <c r="AZ190" i="4"/>
  <c r="AZ77" i="4"/>
  <c r="AZ354" i="4"/>
  <c r="AZ434" i="4"/>
  <c r="AZ429" i="4"/>
  <c r="AZ363" i="4"/>
  <c r="AZ4" i="3" l="1"/>
  <c r="AZ9" i="2" l="1"/>
  <c r="AZ4" i="2" l="1"/>
  <c r="AZ5" i="2"/>
  <c r="AZ10" i="2"/>
  <c r="AZ8" i="3"/>
  <c r="AZ7" i="2"/>
  <c r="AZ7" i="3"/>
  <c r="AZ6" i="2"/>
  <c r="AZ6" i="3"/>
  <c r="AZ8" i="2"/>
  <c r="AZ5" i="3"/>
</calcChain>
</file>

<file path=xl/sharedStrings.xml><?xml version="1.0" encoding="utf-8"?>
<sst xmlns="http://schemas.openxmlformats.org/spreadsheetml/2006/main" count="1397" uniqueCount="80">
  <si>
    <t xml:space="preserve">Diseño de vigas  vigas de Carga </t>
  </si>
  <si>
    <t>Grupo</t>
  </si>
  <si>
    <t>Frame</t>
  </si>
  <si>
    <t>N vigas</t>
  </si>
  <si>
    <t>Ln adopt. mín (m)</t>
  </si>
  <si>
    <t>Ln adopt. máx (m)</t>
  </si>
  <si>
    <t>b modelo (mm)</t>
  </si>
  <si>
    <t>h modelo (mm)</t>
  </si>
  <si>
    <t>b adopt. (mm)</t>
  </si>
  <si>
    <t>h adopt. (mm)</t>
  </si>
  <si>
    <t>Mu− ENVFLEX (kN·m)</t>
  </si>
  <si>
    <t>Frame Mu−</t>
  </si>
  <si>
    <t>Mu+ ENVFLEX (kN·m)</t>
  </si>
  <si>
    <t>Frame Mu+</t>
  </si>
  <si>
    <t>Vu ENVFLEX (kN)</t>
  </si>
  <si>
    <t>Vu ENVCORT (kN)</t>
  </si>
  <si>
    <t>Frame Vu</t>
  </si>
  <si>
    <t>Tu diseño compat. (kN·m)</t>
  </si>
  <si>
    <t>As req. sup (mm²)</t>
  </si>
  <si>
    <t>Nº5 sup</t>
  </si>
  <si>
    <t>Capas sup</t>
  </si>
  <si>
    <t>d sup (mm)</t>
  </si>
  <si>
    <t>As prov. sup (mm²)</t>
  </si>
  <si>
    <t>φMn− (kN·m)</t>
  </si>
  <si>
    <t>Flexión −</t>
  </si>
  <si>
    <t>As req. inf (mm²)</t>
  </si>
  <si>
    <t>Nº5 inf</t>
  </si>
  <si>
    <t>Capas inf</t>
  </si>
  <si>
    <t>d inf (mm)</t>
  </si>
  <si>
    <t>As prov. inf (mm²)</t>
  </si>
  <si>
    <t>φMn+ (kN·m)</t>
  </si>
  <si>
    <t>Flexión +</t>
  </si>
  <si>
    <t>Mpr− (kN·m)</t>
  </si>
  <si>
    <t>Mpr+ (kN·m)</t>
  </si>
  <si>
    <t>Vcap (kN)</t>
  </si>
  <si>
    <t>Vu diseño (kN)</t>
  </si>
  <si>
    <t>Vc (kN)</t>
  </si>
  <si>
    <t>Vs req. (kN)</t>
  </si>
  <si>
    <t>Vs máx. (kN)</t>
  </si>
  <si>
    <t>Sección cortante</t>
  </si>
  <si>
    <t>Estribo</t>
  </si>
  <si>
    <t>Ramas</t>
  </si>
  <si>
    <t>s extremo DMO (mm; zona 2h)</t>
  </si>
  <si>
    <t>s centro (mm)</t>
  </si>
  <si>
    <t>φVn (kN)</t>
  </si>
  <si>
    <t>Cortante</t>
  </si>
  <si>
    <t>φTth (kN·m)</t>
  </si>
  <si>
    <t>Torsión</t>
  </si>
  <si>
    <t>At/s (mm²/mm)</t>
  </si>
  <si>
    <t>Al adicional req. (mm²)</t>
  </si>
  <si>
    <t>Nº5 torsión dedicadas</t>
  </si>
  <si>
    <t>Chequeo torsión</t>
  </si>
  <si>
    <t>ESTADO</t>
  </si>
  <si>
    <t>db estribo (mm)</t>
  </si>
  <si>
    <t>Área rama (mm²)</t>
  </si>
  <si>
    <t>Av/s req. cortante incl. mín.</t>
  </si>
  <si>
    <t>2At/s req. torsión</t>
  </si>
  <si>
    <t>Av/s prov. extremo</t>
  </si>
  <si>
    <t>Interacción V-T</t>
  </si>
  <si>
    <t>Límite V-T</t>
  </si>
  <si>
    <t>Chequeo V-T</t>
  </si>
  <si>
    <t>Al provisto (mm²)</t>
  </si>
  <si>
    <t>Chequeo Al</t>
  </si>
  <si>
    <t>VC1</t>
  </si>
  <si>
    <t>Nº3 cerrado</t>
  </si>
  <si>
    <t>VC2</t>
  </si>
  <si>
    <t>VC3</t>
  </si>
  <si>
    <t>VC4</t>
  </si>
  <si>
    <t>Nº4 cerrado</t>
  </si>
  <si>
    <t>VC5</t>
  </si>
  <si>
    <t>Nº4 cerrado (referencia)</t>
  </si>
  <si>
    <t>VC6</t>
  </si>
  <si>
    <t>VC7</t>
  </si>
  <si>
    <t xml:space="preserve">Diseño de vigas  vigas de rigidez </t>
  </si>
  <si>
    <t>VR1</t>
  </si>
  <si>
    <t>VR N1</t>
  </si>
  <si>
    <t>VR2</t>
  </si>
  <si>
    <t>VR3</t>
  </si>
  <si>
    <t>VRAUX</t>
  </si>
  <si>
    <t xml:space="preserve">Diseño de vigas  todas las Vigas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</si>
</sst>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262626"/>
      <name val="Arial"/>
    </font>
    <font>
      <b/>
      <sz val="9"/>
      <color rgb="FF262626"/>
      <name val="Arial"/>
    </font>
    <font>
      <sz val="11"/>
      <color rgb="FF26262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4B183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5B9BD5"/>
      </patternFill>
    </fill>
    <fill>
      <patternFill patternType="solid">
        <fgColor rgb="FFA9D18E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606cacf8e4e55dc/Documentos/Dise&#241;o%20E/Proyecto%20SAP/VIgas/Dise&#241;o%20de%20vigas%20proyecto%20dise&#241;o.xlsx" TargetMode="External"/><Relationship Id="rId1" Type="http://schemas.openxmlformats.org/officeDocument/2006/relationships/externalLinkPath" Target="Dise&#241;o%20de%20vigas%20proyecto%20dise&#24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os"/>
      <sheetName val="Justificacion DMO"/>
      <sheetName val="Vigas de Carga (7)"/>
      <sheetName val="Vigas de Rigidez (5)"/>
      <sheetName val="Todas las Vigas (592)"/>
      <sheetName val="Torsion demanda bruta"/>
      <sheetName val="Trazabilidad frames"/>
    </sheetNames>
    <sheetDataSet>
      <sheetData sheetId="0">
        <row r="2">
          <cell r="B2">
            <v>28</v>
          </cell>
        </row>
        <row r="3">
          <cell r="B3">
            <v>420</v>
          </cell>
        </row>
        <row r="4">
          <cell r="B4">
            <v>420</v>
          </cell>
        </row>
        <row r="5">
          <cell r="B5">
            <v>0.9</v>
          </cell>
        </row>
        <row r="6">
          <cell r="B6">
            <v>0.75</v>
          </cell>
        </row>
        <row r="7">
          <cell r="B7">
            <v>40</v>
          </cell>
        </row>
        <row r="8">
          <cell r="B8">
            <v>199</v>
          </cell>
        </row>
        <row r="9">
          <cell r="B9">
            <v>12.7</v>
          </cell>
        </row>
        <row r="10">
          <cell r="B10">
            <v>25</v>
          </cell>
        </row>
        <row r="12">
          <cell r="B12">
            <v>15.9</v>
          </cell>
        </row>
      </sheetData>
      <sheetData sheetId="1" refreshError="1"/>
      <sheetData sheetId="2" refreshError="1"/>
      <sheetData sheetId="3" refreshError="1"/>
      <sheetData sheetId="4">
        <row r="4">
          <cell r="A4" t="str">
            <v>VC1</v>
          </cell>
          <cell r="AZ4" t="str">
            <v>CUMPLE</v>
          </cell>
        </row>
        <row r="5">
          <cell r="A5" t="str">
            <v>VC1</v>
          </cell>
          <cell r="AZ5" t="str">
            <v>CUMPLE</v>
          </cell>
        </row>
        <row r="6">
          <cell r="A6" t="str">
            <v>VC1</v>
          </cell>
          <cell r="AZ6" t="str">
            <v>CUMPLE</v>
          </cell>
        </row>
        <row r="7">
          <cell r="A7" t="str">
            <v>VC1</v>
          </cell>
          <cell r="AZ7" t="str">
            <v>CUMPLE</v>
          </cell>
        </row>
        <row r="8">
          <cell r="A8" t="str">
            <v>VC1</v>
          </cell>
          <cell r="AZ8" t="str">
            <v>CUMPLE</v>
          </cell>
        </row>
        <row r="9">
          <cell r="A9" t="str">
            <v>VC1</v>
          </cell>
          <cell r="AZ9" t="str">
            <v>CUMPLE</v>
          </cell>
        </row>
        <row r="10">
          <cell r="A10" t="str">
            <v>VC1</v>
          </cell>
          <cell r="AZ10" t="str">
            <v>CUMPLE</v>
          </cell>
        </row>
        <row r="11">
          <cell r="A11" t="str">
            <v>VC1</v>
          </cell>
          <cell r="AZ11" t="str">
            <v>CUMPLE</v>
          </cell>
        </row>
        <row r="12">
          <cell r="A12" t="str">
            <v>VC1</v>
          </cell>
          <cell r="AZ12" t="str">
            <v>CUMPLE</v>
          </cell>
        </row>
        <row r="13">
          <cell r="A13" t="str">
            <v>VC1</v>
          </cell>
          <cell r="AZ13" t="str">
            <v>CUMPLE</v>
          </cell>
        </row>
        <row r="14">
          <cell r="A14" t="str">
            <v>VC1</v>
          </cell>
          <cell r="AZ14" t="str">
            <v>CUMPLE</v>
          </cell>
        </row>
        <row r="15">
          <cell r="A15" t="str">
            <v>VC1</v>
          </cell>
          <cell r="AZ15" t="str">
            <v>CUMPLE</v>
          </cell>
        </row>
        <row r="16">
          <cell r="A16" t="str">
            <v>VC1</v>
          </cell>
          <cell r="AZ16" t="str">
            <v>CUMPLE</v>
          </cell>
        </row>
        <row r="17">
          <cell r="A17" t="str">
            <v>VC1</v>
          </cell>
          <cell r="AZ17" t="str">
            <v>CUMPLE</v>
          </cell>
        </row>
        <row r="18">
          <cell r="A18" t="str">
            <v>VC1</v>
          </cell>
          <cell r="AZ18" t="str">
            <v>CUMPLE</v>
          </cell>
        </row>
        <row r="19">
          <cell r="A19" t="str">
            <v>VC1</v>
          </cell>
          <cell r="AZ19" t="str">
            <v>CUMPLE</v>
          </cell>
        </row>
        <row r="20">
          <cell r="A20" t="str">
            <v>VC1</v>
          </cell>
          <cell r="AZ20" t="str">
            <v>CUMPLE</v>
          </cell>
        </row>
        <row r="21">
          <cell r="A21" t="str">
            <v>VC1</v>
          </cell>
          <cell r="AZ21" t="str">
            <v>CUMPLE</v>
          </cell>
        </row>
        <row r="22">
          <cell r="A22" t="str">
            <v>VC1</v>
          </cell>
          <cell r="AZ22" t="str">
            <v>CUMPLE</v>
          </cell>
        </row>
        <row r="23">
          <cell r="A23" t="str">
            <v>VC1</v>
          </cell>
          <cell r="AZ23" t="str">
            <v>CUMPLE</v>
          </cell>
        </row>
        <row r="24">
          <cell r="A24" t="str">
            <v>VC2</v>
          </cell>
          <cell r="AZ24" t="str">
            <v>CUMPLE</v>
          </cell>
        </row>
        <row r="25">
          <cell r="A25" t="str">
            <v>VC2</v>
          </cell>
          <cell r="AZ25" t="str">
            <v>CUMPLE</v>
          </cell>
        </row>
        <row r="26">
          <cell r="A26" t="str">
            <v>VC2</v>
          </cell>
          <cell r="AZ26" t="str">
            <v>CUMPLE</v>
          </cell>
        </row>
        <row r="27">
          <cell r="A27" t="str">
            <v>VC2</v>
          </cell>
          <cell r="AZ27" t="str">
            <v>CUMPLE</v>
          </cell>
        </row>
        <row r="28">
          <cell r="A28" t="str">
            <v>VC2</v>
          </cell>
          <cell r="AZ28" t="str">
            <v>CUMPLE</v>
          </cell>
        </row>
        <row r="29">
          <cell r="A29" t="str">
            <v>VC2</v>
          </cell>
          <cell r="AZ29" t="str">
            <v>CUMPLE</v>
          </cell>
        </row>
        <row r="30">
          <cell r="A30" t="str">
            <v>VC2</v>
          </cell>
          <cell r="AZ30" t="str">
            <v>CUMPLE</v>
          </cell>
        </row>
        <row r="31">
          <cell r="A31" t="str">
            <v>VC2</v>
          </cell>
          <cell r="AZ31" t="str">
            <v>CUMPLE</v>
          </cell>
        </row>
        <row r="32">
          <cell r="A32" t="str">
            <v>VC2</v>
          </cell>
          <cell r="AZ32" t="str">
            <v>CUMPLE</v>
          </cell>
        </row>
        <row r="33">
          <cell r="A33" t="str">
            <v>VC2</v>
          </cell>
          <cell r="AZ33" t="str">
            <v>CUMPLE</v>
          </cell>
        </row>
        <row r="34">
          <cell r="A34" t="str">
            <v>VC2</v>
          </cell>
          <cell r="AZ34" t="str">
            <v>CUMPLE</v>
          </cell>
        </row>
        <row r="35">
          <cell r="A35" t="str">
            <v>VC2</v>
          </cell>
          <cell r="AZ35" t="str">
            <v>CUMPLE</v>
          </cell>
        </row>
        <row r="36">
          <cell r="A36" t="str">
            <v>VC2</v>
          </cell>
          <cell r="AZ36" t="str">
            <v>CUMPLE</v>
          </cell>
        </row>
        <row r="37">
          <cell r="A37" t="str">
            <v>VC2</v>
          </cell>
          <cell r="AZ37" t="str">
            <v>CUMPLE</v>
          </cell>
        </row>
        <row r="38">
          <cell r="A38" t="str">
            <v>VC2</v>
          </cell>
          <cell r="AZ38" t="str">
            <v>CUMPLE</v>
          </cell>
        </row>
        <row r="39">
          <cell r="A39" t="str">
            <v>VC2</v>
          </cell>
          <cell r="AZ39" t="str">
            <v>CUMPLE</v>
          </cell>
        </row>
        <row r="40">
          <cell r="A40" t="str">
            <v>VC2</v>
          </cell>
          <cell r="AZ40" t="str">
            <v>CUMPLE</v>
          </cell>
        </row>
        <row r="41">
          <cell r="A41" t="str">
            <v>VC2</v>
          </cell>
          <cell r="AZ41" t="str">
            <v>CUMPLE</v>
          </cell>
        </row>
        <row r="42">
          <cell r="A42" t="str">
            <v>VC2</v>
          </cell>
          <cell r="AZ42" t="str">
            <v>CUMPLE</v>
          </cell>
        </row>
        <row r="43">
          <cell r="A43" t="str">
            <v>VC2</v>
          </cell>
          <cell r="AZ43" t="str">
            <v>CUMPLE</v>
          </cell>
        </row>
        <row r="44">
          <cell r="A44" t="str">
            <v>VC2</v>
          </cell>
          <cell r="AZ44" t="str">
            <v>CUMPLE</v>
          </cell>
        </row>
        <row r="45">
          <cell r="A45" t="str">
            <v>VC2</v>
          </cell>
          <cell r="AZ45" t="str">
            <v>CUMPLE</v>
          </cell>
        </row>
        <row r="46">
          <cell r="A46" t="str">
            <v>VC2</v>
          </cell>
          <cell r="AZ46" t="str">
            <v>CUMPLE</v>
          </cell>
        </row>
        <row r="47">
          <cell r="A47" t="str">
            <v>VC2</v>
          </cell>
          <cell r="AZ47" t="str">
            <v>CUMPLE</v>
          </cell>
        </row>
        <row r="48">
          <cell r="A48" t="str">
            <v>VC2</v>
          </cell>
          <cell r="AZ48" t="str">
            <v>CUMPLE</v>
          </cell>
        </row>
        <row r="49">
          <cell r="A49" t="str">
            <v>VC2</v>
          </cell>
          <cell r="AZ49" t="str">
            <v>CUMPLE</v>
          </cell>
        </row>
        <row r="50">
          <cell r="A50" t="str">
            <v>VC2</v>
          </cell>
          <cell r="AZ50" t="str">
            <v>CUMPLE</v>
          </cell>
        </row>
        <row r="51">
          <cell r="A51" t="str">
            <v>VC2</v>
          </cell>
          <cell r="AZ51" t="str">
            <v>CUMPLE</v>
          </cell>
        </row>
        <row r="52">
          <cell r="A52" t="str">
            <v>VC2</v>
          </cell>
          <cell r="AZ52" t="str">
            <v>CUMPLE</v>
          </cell>
        </row>
        <row r="53">
          <cell r="A53" t="str">
            <v>VC2</v>
          </cell>
          <cell r="AZ53" t="str">
            <v>CUMPLE</v>
          </cell>
        </row>
        <row r="54">
          <cell r="A54" t="str">
            <v>VC2</v>
          </cell>
          <cell r="AZ54" t="str">
            <v>CUMPLE</v>
          </cell>
        </row>
        <row r="55">
          <cell r="A55" t="str">
            <v>VC2</v>
          </cell>
          <cell r="AZ55" t="str">
            <v>CUMPLE</v>
          </cell>
        </row>
        <row r="56">
          <cell r="A56" t="str">
            <v>VC2</v>
          </cell>
          <cell r="AZ56" t="str">
            <v>CUMPLE</v>
          </cell>
        </row>
        <row r="57">
          <cell r="A57" t="str">
            <v>VC2</v>
          </cell>
          <cell r="AZ57" t="str">
            <v>CUMPLE</v>
          </cell>
        </row>
        <row r="58">
          <cell r="A58" t="str">
            <v>VC2</v>
          </cell>
          <cell r="AZ58" t="str">
            <v>CUMPLE</v>
          </cell>
        </row>
        <row r="59">
          <cell r="A59" t="str">
            <v>VC2</v>
          </cell>
          <cell r="AZ59" t="str">
            <v>CUMPLE</v>
          </cell>
        </row>
        <row r="60">
          <cell r="A60" t="str">
            <v>VC2</v>
          </cell>
          <cell r="AZ60" t="str">
            <v>CUMPLE</v>
          </cell>
        </row>
        <row r="61">
          <cell r="A61" t="str">
            <v>VC2</v>
          </cell>
          <cell r="AZ61" t="str">
            <v>CUMPLE</v>
          </cell>
        </row>
        <row r="62">
          <cell r="A62" t="str">
            <v>VC2</v>
          </cell>
          <cell r="AZ62" t="str">
            <v>CUMPLE</v>
          </cell>
        </row>
        <row r="63">
          <cell r="A63" t="str">
            <v>VC2</v>
          </cell>
          <cell r="AZ63" t="str">
            <v>CUMPLE</v>
          </cell>
        </row>
        <row r="64">
          <cell r="A64" t="str">
            <v>VC3</v>
          </cell>
          <cell r="AZ64" t="str">
            <v>CUMPLE</v>
          </cell>
        </row>
        <row r="65">
          <cell r="A65" t="str">
            <v>VC3</v>
          </cell>
          <cell r="AZ65" t="str">
            <v>CUMPLE</v>
          </cell>
        </row>
        <row r="66">
          <cell r="A66" t="str">
            <v>VC3</v>
          </cell>
          <cell r="AZ66" t="str">
            <v>CUMPLE</v>
          </cell>
        </row>
        <row r="67">
          <cell r="A67" t="str">
            <v>VC3</v>
          </cell>
          <cell r="AZ67" t="str">
            <v>CUMPLE</v>
          </cell>
        </row>
        <row r="68">
          <cell r="A68" t="str">
            <v>VC3</v>
          </cell>
          <cell r="AZ68" t="str">
            <v>CUMPLE</v>
          </cell>
        </row>
        <row r="69">
          <cell r="A69" t="str">
            <v>VC3</v>
          </cell>
          <cell r="AZ69" t="str">
            <v>CUMPLE</v>
          </cell>
        </row>
        <row r="70">
          <cell r="A70" t="str">
            <v>VC3</v>
          </cell>
          <cell r="AZ70" t="str">
            <v>CUMPLE</v>
          </cell>
        </row>
        <row r="71">
          <cell r="A71" t="str">
            <v>VC3</v>
          </cell>
          <cell r="AZ71" t="str">
            <v>CUMPLE</v>
          </cell>
        </row>
        <row r="72">
          <cell r="A72" t="str">
            <v>VC3</v>
          </cell>
          <cell r="AZ72" t="str">
            <v>CUMPLE</v>
          </cell>
        </row>
        <row r="73">
          <cell r="A73" t="str">
            <v>VC3</v>
          </cell>
          <cell r="AZ73" t="str">
            <v>CUMPLE</v>
          </cell>
        </row>
        <row r="74">
          <cell r="A74" t="str">
            <v>VC3</v>
          </cell>
          <cell r="AZ74" t="str">
            <v>CUMPLE</v>
          </cell>
        </row>
        <row r="75">
          <cell r="A75" t="str">
            <v>VC3</v>
          </cell>
          <cell r="AZ75" t="str">
            <v>CUMPLE</v>
          </cell>
        </row>
        <row r="76">
          <cell r="A76" t="str">
            <v>VC3</v>
          </cell>
          <cell r="AZ76" t="str">
            <v>CUMPLE</v>
          </cell>
        </row>
        <row r="77">
          <cell r="A77" t="str">
            <v>VC3</v>
          </cell>
          <cell r="AZ77" t="str">
            <v>CUMPLE</v>
          </cell>
        </row>
        <row r="78">
          <cell r="A78" t="str">
            <v>VC3</v>
          </cell>
          <cell r="AZ78" t="str">
            <v>CUMPLE</v>
          </cell>
        </row>
        <row r="79">
          <cell r="A79" t="str">
            <v>VC3</v>
          </cell>
          <cell r="AZ79" t="str">
            <v>CUMPLE</v>
          </cell>
        </row>
        <row r="80">
          <cell r="A80" t="str">
            <v>VC3</v>
          </cell>
          <cell r="AZ80" t="str">
            <v>CUMPLE</v>
          </cell>
        </row>
        <row r="81">
          <cell r="A81" t="str">
            <v>VC3</v>
          </cell>
          <cell r="AZ81" t="str">
            <v>CUMPLE</v>
          </cell>
        </row>
        <row r="82">
          <cell r="A82" t="str">
            <v>VC3</v>
          </cell>
          <cell r="AZ82" t="str">
            <v>CUMPLE</v>
          </cell>
        </row>
        <row r="83">
          <cell r="A83" t="str">
            <v>VC3</v>
          </cell>
          <cell r="AZ83" t="str">
            <v>CUMPLE</v>
          </cell>
        </row>
        <row r="84">
          <cell r="A84" t="str">
            <v>VC3</v>
          </cell>
          <cell r="AZ84" t="str">
            <v>CUMPLE</v>
          </cell>
        </row>
        <row r="85">
          <cell r="A85" t="str">
            <v>VC3</v>
          </cell>
          <cell r="AZ85" t="str">
            <v>CUMPLE</v>
          </cell>
        </row>
        <row r="86">
          <cell r="A86" t="str">
            <v>VC3</v>
          </cell>
          <cell r="AZ86" t="str">
            <v>CUMPLE</v>
          </cell>
        </row>
        <row r="87">
          <cell r="A87" t="str">
            <v>VC3</v>
          </cell>
          <cell r="AZ87" t="str">
            <v>CUMPLE</v>
          </cell>
        </row>
        <row r="88">
          <cell r="A88" t="str">
            <v>VC3</v>
          </cell>
          <cell r="AZ88" t="str">
            <v>CUMPLE</v>
          </cell>
        </row>
        <row r="89">
          <cell r="A89" t="str">
            <v>VC3</v>
          </cell>
          <cell r="AZ89" t="str">
            <v>CUMPLE</v>
          </cell>
        </row>
        <row r="90">
          <cell r="A90" t="str">
            <v>VC3</v>
          </cell>
          <cell r="AZ90" t="str">
            <v>CUMPLE</v>
          </cell>
        </row>
        <row r="91">
          <cell r="A91" t="str">
            <v>VC3</v>
          </cell>
          <cell r="AZ91" t="str">
            <v>CUMPLE</v>
          </cell>
        </row>
        <row r="92">
          <cell r="A92" t="str">
            <v>VC3</v>
          </cell>
          <cell r="AZ92" t="str">
            <v>CUMPLE</v>
          </cell>
        </row>
        <row r="93">
          <cell r="A93" t="str">
            <v>VC3</v>
          </cell>
          <cell r="AZ93" t="str">
            <v>CUMPLE</v>
          </cell>
        </row>
        <row r="94">
          <cell r="A94" t="str">
            <v>VC3</v>
          </cell>
          <cell r="AZ94" t="str">
            <v>CUMPLE</v>
          </cell>
        </row>
        <row r="95">
          <cell r="A95" t="str">
            <v>VC3</v>
          </cell>
          <cell r="AZ95" t="str">
            <v>CUMPLE</v>
          </cell>
        </row>
        <row r="96">
          <cell r="A96" t="str">
            <v>VC3</v>
          </cell>
          <cell r="AZ96" t="str">
            <v>CUMPLE</v>
          </cell>
        </row>
        <row r="97">
          <cell r="A97" t="str">
            <v>VC3</v>
          </cell>
          <cell r="AZ97" t="str">
            <v>CUMPLE</v>
          </cell>
        </row>
        <row r="98">
          <cell r="A98" t="str">
            <v>VC3</v>
          </cell>
          <cell r="AZ98" t="str">
            <v>CUMPLE</v>
          </cell>
        </row>
        <row r="99">
          <cell r="A99" t="str">
            <v>VC3</v>
          </cell>
          <cell r="AZ99" t="str">
            <v>CUMPLE</v>
          </cell>
        </row>
        <row r="100">
          <cell r="A100" t="str">
            <v>VC3</v>
          </cell>
          <cell r="AZ100" t="str">
            <v>CUMPLE</v>
          </cell>
        </row>
        <row r="101">
          <cell r="A101" t="str">
            <v>VC3</v>
          </cell>
          <cell r="AZ101" t="str">
            <v>CUMPLE</v>
          </cell>
        </row>
        <row r="102">
          <cell r="A102" t="str">
            <v>VC3</v>
          </cell>
          <cell r="AZ102" t="str">
            <v>CUMPLE</v>
          </cell>
        </row>
        <row r="103">
          <cell r="A103" t="str">
            <v>VC3</v>
          </cell>
          <cell r="AZ103" t="str">
            <v>CUMPLE</v>
          </cell>
        </row>
        <row r="104">
          <cell r="A104" t="str">
            <v>VC4</v>
          </cell>
          <cell r="AZ104" t="str">
            <v>NO CUMPLE</v>
          </cell>
        </row>
        <row r="105">
          <cell r="A105" t="str">
            <v>VC4</v>
          </cell>
          <cell r="AZ105" t="str">
            <v>NO CUMPLE</v>
          </cell>
        </row>
        <row r="106">
          <cell r="A106" t="str">
            <v>VC4</v>
          </cell>
          <cell r="AZ106" t="str">
            <v>NO CUMPLE</v>
          </cell>
        </row>
        <row r="107">
          <cell r="A107" t="str">
            <v>VC4</v>
          </cell>
          <cell r="AZ107" t="str">
            <v>NO CUMPLE</v>
          </cell>
        </row>
        <row r="108">
          <cell r="A108" t="str">
            <v>VC4</v>
          </cell>
          <cell r="AZ108" t="str">
            <v>CUMPLE</v>
          </cell>
        </row>
        <row r="109">
          <cell r="A109" t="str">
            <v>VC4</v>
          </cell>
          <cell r="AZ109" t="str">
            <v>CUMPLE</v>
          </cell>
        </row>
        <row r="110">
          <cell r="A110" t="str">
            <v>VC4</v>
          </cell>
          <cell r="AZ110" t="str">
            <v>CUMPLE</v>
          </cell>
        </row>
        <row r="111">
          <cell r="A111" t="str">
            <v>VC4</v>
          </cell>
          <cell r="AZ111" t="str">
            <v>CUMPLE</v>
          </cell>
        </row>
        <row r="112">
          <cell r="A112" t="str">
            <v>VC4</v>
          </cell>
          <cell r="AZ112" t="str">
            <v>CUMPLE</v>
          </cell>
        </row>
        <row r="113">
          <cell r="A113" t="str">
            <v>VC4</v>
          </cell>
          <cell r="AZ113" t="str">
            <v>CUMPLE</v>
          </cell>
        </row>
        <row r="114">
          <cell r="A114" t="str">
            <v>VC4</v>
          </cell>
          <cell r="AZ114" t="str">
            <v>CUMPLE</v>
          </cell>
        </row>
        <row r="115">
          <cell r="A115" t="str">
            <v>VC4</v>
          </cell>
          <cell r="AZ115" t="str">
            <v>CUMPLE</v>
          </cell>
        </row>
        <row r="116">
          <cell r="A116" t="str">
            <v>VC4</v>
          </cell>
          <cell r="AZ116" t="str">
            <v>CUMPLE</v>
          </cell>
        </row>
        <row r="117">
          <cell r="A117" t="str">
            <v>VC4</v>
          </cell>
          <cell r="AZ117" t="str">
            <v>CUMPLE</v>
          </cell>
        </row>
        <row r="118">
          <cell r="A118" t="str">
            <v>VC4</v>
          </cell>
          <cell r="AZ118" t="str">
            <v>CUMPLE</v>
          </cell>
        </row>
        <row r="119">
          <cell r="A119" t="str">
            <v>VC4</v>
          </cell>
          <cell r="AZ119" t="str">
            <v>CUMPLE</v>
          </cell>
        </row>
        <row r="120">
          <cell r="A120" t="str">
            <v>VC4</v>
          </cell>
          <cell r="AZ120" t="str">
            <v>CUMPLE</v>
          </cell>
        </row>
        <row r="121">
          <cell r="A121" t="str">
            <v>VC4</v>
          </cell>
          <cell r="AZ121" t="str">
            <v>CUMPLE</v>
          </cell>
        </row>
        <row r="122">
          <cell r="A122" t="str">
            <v>VC4</v>
          </cell>
          <cell r="AZ122" t="str">
            <v>CUMPLE</v>
          </cell>
        </row>
        <row r="123">
          <cell r="A123" t="str">
            <v>VC4</v>
          </cell>
          <cell r="AZ123" t="str">
            <v>CUMPLE</v>
          </cell>
        </row>
        <row r="124">
          <cell r="A124" t="str">
            <v>VC5</v>
          </cell>
          <cell r="AZ124" t="str">
            <v>NO CUMPLE</v>
          </cell>
        </row>
        <row r="125">
          <cell r="A125" t="str">
            <v>VC5</v>
          </cell>
          <cell r="AZ125" t="str">
            <v>NO CUMPLE</v>
          </cell>
        </row>
        <row r="126">
          <cell r="A126" t="str">
            <v>VC5</v>
          </cell>
          <cell r="AZ126" t="str">
            <v>NO CUMPLE</v>
          </cell>
        </row>
        <row r="127">
          <cell r="A127" t="str">
            <v>VC5</v>
          </cell>
          <cell r="AZ127" t="str">
            <v>NO CUMPLE</v>
          </cell>
        </row>
        <row r="128">
          <cell r="A128" t="str">
            <v>VC5</v>
          </cell>
          <cell r="AZ128" t="str">
            <v>NO CUMPLE</v>
          </cell>
        </row>
        <row r="129">
          <cell r="A129" t="str">
            <v>VC5</v>
          </cell>
          <cell r="AZ129" t="str">
            <v>NO CUMPLE</v>
          </cell>
        </row>
        <row r="130">
          <cell r="A130" t="str">
            <v>VC5</v>
          </cell>
          <cell r="AZ130" t="str">
            <v>NO CUMPLE</v>
          </cell>
        </row>
        <row r="131">
          <cell r="A131" t="str">
            <v>VC5</v>
          </cell>
          <cell r="AZ131" t="str">
            <v>NO CUMPLE</v>
          </cell>
        </row>
        <row r="132">
          <cell r="A132" t="str">
            <v>VC5</v>
          </cell>
          <cell r="AZ132" t="str">
            <v>CUMPLE</v>
          </cell>
        </row>
        <row r="133">
          <cell r="A133" t="str">
            <v>VC5</v>
          </cell>
          <cell r="AZ133" t="str">
            <v>NO CUMPLE</v>
          </cell>
        </row>
        <row r="134">
          <cell r="A134" t="str">
            <v>VC5</v>
          </cell>
          <cell r="AZ134" t="str">
            <v>NO CUMPLE</v>
          </cell>
        </row>
        <row r="135">
          <cell r="A135" t="str">
            <v>VC5</v>
          </cell>
          <cell r="AZ135" t="str">
            <v>CUMPLE</v>
          </cell>
        </row>
        <row r="136">
          <cell r="A136" t="str">
            <v>VC5</v>
          </cell>
          <cell r="AZ136" t="str">
            <v>CUMPLE</v>
          </cell>
        </row>
        <row r="137">
          <cell r="A137" t="str">
            <v>VC5</v>
          </cell>
          <cell r="AZ137" t="str">
            <v>NO CUMPLE</v>
          </cell>
        </row>
        <row r="138">
          <cell r="A138" t="str">
            <v>VC5</v>
          </cell>
          <cell r="AZ138" t="str">
            <v>NO CUMPLE</v>
          </cell>
        </row>
        <row r="139">
          <cell r="A139" t="str">
            <v>VC5</v>
          </cell>
          <cell r="AZ139" t="str">
            <v>CUMPLE</v>
          </cell>
        </row>
        <row r="140">
          <cell r="A140" t="str">
            <v>VC5</v>
          </cell>
          <cell r="AZ140" t="str">
            <v>CUMPLE</v>
          </cell>
        </row>
        <row r="141">
          <cell r="A141" t="str">
            <v>VC5</v>
          </cell>
          <cell r="AZ141" t="str">
            <v>NO CUMPLE</v>
          </cell>
        </row>
        <row r="142">
          <cell r="A142" t="str">
            <v>VC5</v>
          </cell>
          <cell r="AZ142" t="str">
            <v>NO CUMPLE</v>
          </cell>
        </row>
        <row r="143">
          <cell r="A143" t="str">
            <v>VC5</v>
          </cell>
          <cell r="AZ143" t="str">
            <v>CUMPLE</v>
          </cell>
        </row>
        <row r="144">
          <cell r="A144" t="str">
            <v>VC5</v>
          </cell>
          <cell r="AZ144" t="str">
            <v>CUMPLE</v>
          </cell>
        </row>
        <row r="145">
          <cell r="A145" t="str">
            <v>VC5</v>
          </cell>
          <cell r="AZ145" t="str">
            <v>NO CUMPLE</v>
          </cell>
        </row>
        <row r="146">
          <cell r="A146" t="str">
            <v>VC5</v>
          </cell>
          <cell r="AZ146" t="str">
            <v>NO CUMPLE</v>
          </cell>
        </row>
        <row r="147">
          <cell r="A147" t="str">
            <v>VC5</v>
          </cell>
          <cell r="AZ147" t="str">
            <v>CUMPLE</v>
          </cell>
        </row>
        <row r="148">
          <cell r="A148" t="str">
            <v>VC5</v>
          </cell>
          <cell r="AZ148" t="str">
            <v>CUMPLE</v>
          </cell>
        </row>
        <row r="149">
          <cell r="A149" t="str">
            <v>VC5</v>
          </cell>
          <cell r="AZ149" t="str">
            <v>CUMPLE</v>
          </cell>
        </row>
        <row r="150">
          <cell r="A150" t="str">
            <v>VC5</v>
          </cell>
          <cell r="AZ150" t="str">
            <v>CUMPLE</v>
          </cell>
        </row>
        <row r="151">
          <cell r="A151" t="str">
            <v>VC5</v>
          </cell>
          <cell r="AZ151" t="str">
            <v>CUMPLE</v>
          </cell>
        </row>
        <row r="152">
          <cell r="A152" t="str">
            <v>VC5</v>
          </cell>
          <cell r="AZ152" t="str">
            <v>CUMPLE</v>
          </cell>
        </row>
        <row r="153">
          <cell r="A153" t="str">
            <v>VC5</v>
          </cell>
          <cell r="AZ153" t="str">
            <v>CUMPLE</v>
          </cell>
        </row>
        <row r="154">
          <cell r="A154" t="str">
            <v>VC5</v>
          </cell>
          <cell r="AZ154" t="str">
            <v>CUMPLE</v>
          </cell>
        </row>
        <row r="155">
          <cell r="A155" t="str">
            <v>VC5</v>
          </cell>
          <cell r="AZ155" t="str">
            <v>CUMPLE</v>
          </cell>
        </row>
        <row r="156">
          <cell r="A156" t="str">
            <v>VC5</v>
          </cell>
          <cell r="AZ156" t="str">
            <v>CUMPLE</v>
          </cell>
        </row>
        <row r="157">
          <cell r="A157" t="str">
            <v>VC5</v>
          </cell>
          <cell r="AZ157" t="str">
            <v>CUMPLE</v>
          </cell>
        </row>
        <row r="158">
          <cell r="A158" t="str">
            <v>VC5</v>
          </cell>
          <cell r="AZ158" t="str">
            <v>CUMPLE</v>
          </cell>
        </row>
        <row r="159">
          <cell r="A159" t="str">
            <v>VC5</v>
          </cell>
          <cell r="AZ159" t="str">
            <v>CUMPLE</v>
          </cell>
        </row>
        <row r="160">
          <cell r="A160" t="str">
            <v>VC5</v>
          </cell>
          <cell r="AZ160" t="str">
            <v>CUMPLE</v>
          </cell>
        </row>
        <row r="161">
          <cell r="A161" t="str">
            <v>VC5</v>
          </cell>
          <cell r="AZ161" t="str">
            <v>CUMPLE</v>
          </cell>
        </row>
        <row r="162">
          <cell r="A162" t="str">
            <v>VC5</v>
          </cell>
          <cell r="AZ162" t="str">
            <v>CUMPLE</v>
          </cell>
        </row>
        <row r="163">
          <cell r="A163" t="str">
            <v>VC5</v>
          </cell>
          <cell r="AZ163" t="str">
            <v>CUMPLE</v>
          </cell>
        </row>
        <row r="164">
          <cell r="A164" t="str">
            <v>VC6</v>
          </cell>
          <cell r="AZ164" t="str">
            <v>CUMPLE</v>
          </cell>
        </row>
        <row r="165">
          <cell r="A165" t="str">
            <v>VC6</v>
          </cell>
          <cell r="AZ165" t="str">
            <v>NO CUMPLE</v>
          </cell>
        </row>
        <row r="166">
          <cell r="A166" t="str">
            <v>VC6</v>
          </cell>
          <cell r="AZ166" t="str">
            <v>NO CUMPLE</v>
          </cell>
        </row>
        <row r="167">
          <cell r="A167" t="str">
            <v>VC6</v>
          </cell>
          <cell r="AZ167" t="str">
            <v>CUMPLE</v>
          </cell>
        </row>
        <row r="168">
          <cell r="A168" t="str">
            <v>VC6</v>
          </cell>
          <cell r="AZ168" t="str">
            <v>CUMPLE</v>
          </cell>
        </row>
        <row r="169">
          <cell r="A169" t="str">
            <v>VC6</v>
          </cell>
          <cell r="AZ169" t="str">
            <v>NO CUMPLE</v>
          </cell>
        </row>
        <row r="170">
          <cell r="A170" t="str">
            <v>VC6</v>
          </cell>
          <cell r="AZ170" t="str">
            <v>NO CUMPLE</v>
          </cell>
        </row>
        <row r="171">
          <cell r="A171" t="str">
            <v>VC6</v>
          </cell>
          <cell r="AZ171" t="str">
            <v>CUMPLE</v>
          </cell>
        </row>
        <row r="172">
          <cell r="A172" t="str">
            <v>VC6</v>
          </cell>
          <cell r="AZ172" t="str">
            <v>CUMPLE</v>
          </cell>
        </row>
        <row r="173">
          <cell r="A173" t="str">
            <v>VC6</v>
          </cell>
          <cell r="AZ173" t="str">
            <v>NO CUMPLE</v>
          </cell>
        </row>
        <row r="174">
          <cell r="A174" t="str">
            <v>VC6</v>
          </cell>
          <cell r="AZ174" t="str">
            <v>NO CUMPLE</v>
          </cell>
        </row>
        <row r="175">
          <cell r="A175" t="str">
            <v>VC6</v>
          </cell>
          <cell r="AZ175" t="str">
            <v>CUMPLE</v>
          </cell>
        </row>
        <row r="176">
          <cell r="A176" t="str">
            <v>VC6</v>
          </cell>
          <cell r="AZ176" t="str">
            <v>CUMPLE</v>
          </cell>
        </row>
        <row r="177">
          <cell r="A177" t="str">
            <v>VC6</v>
          </cell>
          <cell r="AZ177" t="str">
            <v>NO CUMPLE</v>
          </cell>
        </row>
        <row r="178">
          <cell r="A178" t="str">
            <v>VC6</v>
          </cell>
          <cell r="AZ178" t="str">
            <v>NO CUMPLE</v>
          </cell>
        </row>
        <row r="179">
          <cell r="A179" t="str">
            <v>VC6</v>
          </cell>
          <cell r="AZ179" t="str">
            <v>CUMPLE</v>
          </cell>
        </row>
        <row r="180">
          <cell r="A180" t="str">
            <v>VC6</v>
          </cell>
          <cell r="AZ180" t="str">
            <v>CUMPLE</v>
          </cell>
        </row>
        <row r="181">
          <cell r="A181" t="str">
            <v>VC6</v>
          </cell>
          <cell r="AZ181" t="str">
            <v>CUMPLE</v>
          </cell>
        </row>
        <row r="182">
          <cell r="A182" t="str">
            <v>VC6</v>
          </cell>
          <cell r="AZ182" t="str">
            <v>CUMPLE</v>
          </cell>
        </row>
        <row r="183">
          <cell r="A183" t="str">
            <v>VC6</v>
          </cell>
          <cell r="AZ183" t="str">
            <v>CUMPLE</v>
          </cell>
        </row>
        <row r="184">
          <cell r="A184" t="str">
            <v>VC6</v>
          </cell>
          <cell r="AZ184" t="str">
            <v>CUMPLE</v>
          </cell>
        </row>
        <row r="185">
          <cell r="A185" t="str">
            <v>VC6</v>
          </cell>
          <cell r="AZ185" t="str">
            <v>CUMPLE</v>
          </cell>
        </row>
        <row r="186">
          <cell r="A186" t="str">
            <v>VC6</v>
          </cell>
          <cell r="AZ186" t="str">
            <v>CUMPLE</v>
          </cell>
        </row>
        <row r="187">
          <cell r="A187" t="str">
            <v>VC6</v>
          </cell>
          <cell r="AZ187" t="str">
            <v>CUMPLE</v>
          </cell>
        </row>
        <row r="188">
          <cell r="A188" t="str">
            <v>VC6</v>
          </cell>
          <cell r="AZ188" t="str">
            <v>CUMPLE</v>
          </cell>
        </row>
        <row r="189">
          <cell r="A189" t="str">
            <v>VC6</v>
          </cell>
          <cell r="AZ189" t="str">
            <v>CUMPLE</v>
          </cell>
        </row>
        <row r="190">
          <cell r="A190" t="str">
            <v>VC6</v>
          </cell>
          <cell r="AZ190" t="str">
            <v>CUMPLE</v>
          </cell>
        </row>
        <row r="191">
          <cell r="A191" t="str">
            <v>VC6</v>
          </cell>
          <cell r="AZ191" t="str">
            <v>CUMPLE</v>
          </cell>
        </row>
        <row r="192">
          <cell r="A192" t="str">
            <v>VC6</v>
          </cell>
          <cell r="AZ192" t="str">
            <v>CUMPLE</v>
          </cell>
        </row>
        <row r="193">
          <cell r="A193" t="str">
            <v>VC6</v>
          </cell>
          <cell r="AZ193" t="str">
            <v>CUMPLE</v>
          </cell>
        </row>
        <row r="194">
          <cell r="A194" t="str">
            <v>VC6</v>
          </cell>
          <cell r="AZ194" t="str">
            <v>CUMPLE</v>
          </cell>
        </row>
        <row r="195">
          <cell r="A195" t="str">
            <v>VC6</v>
          </cell>
          <cell r="AZ195" t="str">
            <v>CUMPLE</v>
          </cell>
        </row>
        <row r="196">
          <cell r="A196" t="str">
            <v>VC6</v>
          </cell>
          <cell r="AZ196" t="str">
            <v>CUMPLE</v>
          </cell>
        </row>
        <row r="197">
          <cell r="A197" t="str">
            <v>VC6</v>
          </cell>
          <cell r="AZ197" t="str">
            <v>CUMPLE</v>
          </cell>
        </row>
        <row r="198">
          <cell r="A198" t="str">
            <v>VC6</v>
          </cell>
          <cell r="AZ198" t="str">
            <v>CUMPLE</v>
          </cell>
        </row>
        <row r="199">
          <cell r="A199" t="str">
            <v>VC6</v>
          </cell>
          <cell r="AZ199" t="str">
            <v>CUMPLE</v>
          </cell>
        </row>
        <row r="200">
          <cell r="A200" t="str">
            <v>VC6</v>
          </cell>
          <cell r="AZ200" t="str">
            <v>CUMPLE</v>
          </cell>
        </row>
        <row r="201">
          <cell r="A201" t="str">
            <v>VC6</v>
          </cell>
          <cell r="AZ201" t="str">
            <v>CUMPLE</v>
          </cell>
        </row>
        <row r="202">
          <cell r="A202" t="str">
            <v>VC6</v>
          </cell>
          <cell r="AZ202" t="str">
            <v>CUMPLE</v>
          </cell>
        </row>
        <row r="203">
          <cell r="A203" t="str">
            <v>VC6</v>
          </cell>
          <cell r="AZ203" t="str">
            <v>CUMPLE</v>
          </cell>
        </row>
        <row r="204">
          <cell r="A204" t="str">
            <v>VC7</v>
          </cell>
          <cell r="AZ204" t="str">
            <v>NO CUMPLE</v>
          </cell>
        </row>
        <row r="205">
          <cell r="A205" t="str">
            <v>VC7</v>
          </cell>
          <cell r="AZ205" t="str">
            <v>CUMPLE</v>
          </cell>
        </row>
        <row r="206">
          <cell r="A206" t="str">
            <v>VC7</v>
          </cell>
          <cell r="AZ206" t="str">
            <v>CUMPLE</v>
          </cell>
        </row>
        <row r="207">
          <cell r="A207" t="str">
            <v>VC7</v>
          </cell>
          <cell r="AZ207" t="str">
            <v>NO CUMPLE</v>
          </cell>
        </row>
        <row r="208">
          <cell r="A208" t="str">
            <v>VC7</v>
          </cell>
          <cell r="AZ208" t="str">
            <v>NO CUMPLE</v>
          </cell>
        </row>
        <row r="209">
          <cell r="A209" t="str">
            <v>VC7</v>
          </cell>
          <cell r="AZ209" t="str">
            <v>CUMPLE</v>
          </cell>
        </row>
        <row r="210">
          <cell r="A210" t="str">
            <v>VC7</v>
          </cell>
          <cell r="AZ210" t="str">
            <v>CUMPLE</v>
          </cell>
        </row>
        <row r="211">
          <cell r="A211" t="str">
            <v>VC7</v>
          </cell>
          <cell r="AZ211" t="str">
            <v>NO CUMPLE</v>
          </cell>
        </row>
        <row r="212">
          <cell r="A212" t="str">
            <v>VC7</v>
          </cell>
          <cell r="AZ212" t="str">
            <v>CUMPLE</v>
          </cell>
        </row>
        <row r="213">
          <cell r="A213" t="str">
            <v>VC7</v>
          </cell>
          <cell r="AZ213" t="str">
            <v>CUMPLE</v>
          </cell>
        </row>
        <row r="214">
          <cell r="A214" t="str">
            <v>VC7</v>
          </cell>
          <cell r="AZ214" t="str">
            <v>CUMPLE</v>
          </cell>
        </row>
        <row r="215">
          <cell r="A215" t="str">
            <v>VC7</v>
          </cell>
          <cell r="AZ215" t="str">
            <v>CUMPLE</v>
          </cell>
        </row>
        <row r="216">
          <cell r="A216" t="str">
            <v>VC7</v>
          </cell>
          <cell r="AZ216" t="str">
            <v>CUMPLE</v>
          </cell>
        </row>
        <row r="217">
          <cell r="A217" t="str">
            <v>VC7</v>
          </cell>
          <cell r="AZ217" t="str">
            <v>CUMPLE</v>
          </cell>
        </row>
        <row r="218">
          <cell r="A218" t="str">
            <v>VC7</v>
          </cell>
          <cell r="AZ218" t="str">
            <v>CUMPLE</v>
          </cell>
        </row>
        <row r="219">
          <cell r="A219" t="str">
            <v>VC7</v>
          </cell>
          <cell r="AZ219" t="str">
            <v>CUMPLE</v>
          </cell>
        </row>
        <row r="220">
          <cell r="A220" t="str">
            <v>VC7</v>
          </cell>
          <cell r="AZ220" t="str">
            <v>CUMPLE</v>
          </cell>
        </row>
        <row r="221">
          <cell r="A221" t="str">
            <v>VC7</v>
          </cell>
          <cell r="AZ221" t="str">
            <v>CUMPLE</v>
          </cell>
        </row>
        <row r="222">
          <cell r="A222" t="str">
            <v>VC7</v>
          </cell>
          <cell r="AZ222" t="str">
            <v>CUMPLE</v>
          </cell>
        </row>
        <row r="223">
          <cell r="A223" t="str">
            <v>VC7</v>
          </cell>
          <cell r="AZ223" t="str">
            <v>CUMPLE</v>
          </cell>
        </row>
        <row r="224">
          <cell r="A224" t="str">
            <v>VC7</v>
          </cell>
          <cell r="AZ224" t="str">
            <v>CUMPLE</v>
          </cell>
        </row>
        <row r="225">
          <cell r="A225" t="str">
            <v>VC7</v>
          </cell>
          <cell r="AZ225" t="str">
            <v>CUMPLE</v>
          </cell>
        </row>
        <row r="226">
          <cell r="A226" t="str">
            <v>VC7</v>
          </cell>
          <cell r="AZ226" t="str">
            <v>CUMPLE</v>
          </cell>
        </row>
        <row r="227">
          <cell r="A227" t="str">
            <v>VC7</v>
          </cell>
          <cell r="AZ227" t="str">
            <v>CUMPLE</v>
          </cell>
        </row>
        <row r="228">
          <cell r="A228" t="str">
            <v>VC7</v>
          </cell>
          <cell r="AZ228" t="str">
            <v>CUMPLE</v>
          </cell>
        </row>
        <row r="229">
          <cell r="A229" t="str">
            <v>VC7</v>
          </cell>
          <cell r="AZ229" t="str">
            <v>CUMPLE</v>
          </cell>
        </row>
        <row r="230">
          <cell r="A230" t="str">
            <v>VC7</v>
          </cell>
          <cell r="AZ230" t="str">
            <v>CUMPLE</v>
          </cell>
        </row>
        <row r="231">
          <cell r="A231" t="str">
            <v>VC7</v>
          </cell>
          <cell r="AZ231" t="str">
            <v>CUMPLE</v>
          </cell>
        </row>
        <row r="232">
          <cell r="A232" t="str">
            <v>VC7</v>
          </cell>
          <cell r="AZ232" t="str">
            <v>CUMPLE</v>
          </cell>
        </row>
        <row r="233">
          <cell r="A233" t="str">
            <v>VC7</v>
          </cell>
          <cell r="AZ233" t="str">
            <v>CUMPLE</v>
          </cell>
        </row>
        <row r="234">
          <cell r="A234" t="str">
            <v>VC7</v>
          </cell>
          <cell r="AZ234" t="str">
            <v>CUMPLE</v>
          </cell>
        </row>
        <row r="235">
          <cell r="A235" t="str">
            <v>VC7</v>
          </cell>
          <cell r="AZ235" t="str">
            <v>CUMPLE</v>
          </cell>
        </row>
        <row r="236">
          <cell r="A236" t="str">
            <v>VC7</v>
          </cell>
          <cell r="AZ236" t="str">
            <v>CUMPLE</v>
          </cell>
        </row>
        <row r="237">
          <cell r="A237" t="str">
            <v>VC7</v>
          </cell>
          <cell r="AZ237" t="str">
            <v>CUMPLE</v>
          </cell>
        </row>
        <row r="238">
          <cell r="A238" t="str">
            <v>VC7</v>
          </cell>
          <cell r="AZ238" t="str">
            <v>CUMPLE</v>
          </cell>
        </row>
        <row r="239">
          <cell r="A239" t="str">
            <v>VC7</v>
          </cell>
          <cell r="AZ239" t="str">
            <v>CUMPLE</v>
          </cell>
        </row>
        <row r="240">
          <cell r="A240" t="str">
            <v>VC7</v>
          </cell>
          <cell r="AZ240" t="str">
            <v>CUMPLE</v>
          </cell>
        </row>
        <row r="241">
          <cell r="A241" t="str">
            <v>VC7</v>
          </cell>
          <cell r="AZ241" t="str">
            <v>CUMPLE</v>
          </cell>
        </row>
        <row r="242">
          <cell r="A242" t="str">
            <v>VC7</v>
          </cell>
          <cell r="AZ242" t="str">
            <v>CUMPLE</v>
          </cell>
        </row>
        <row r="243">
          <cell r="A243" t="str">
            <v>VC7</v>
          </cell>
          <cell r="AZ243" t="str">
            <v>CUMPLE</v>
          </cell>
        </row>
        <row r="244">
          <cell r="A244" t="str">
            <v>VR1</v>
          </cell>
          <cell r="AZ244" t="str">
            <v>CUMPLE</v>
          </cell>
        </row>
        <row r="245">
          <cell r="A245" t="str">
            <v>VR1</v>
          </cell>
          <cell r="AZ245" t="str">
            <v>CUMPLE</v>
          </cell>
        </row>
        <row r="246">
          <cell r="A246" t="str">
            <v>VR1</v>
          </cell>
          <cell r="AZ246" t="str">
            <v>CUMPLE</v>
          </cell>
        </row>
        <row r="247">
          <cell r="A247" t="str">
            <v>VR1</v>
          </cell>
          <cell r="AZ247" t="str">
            <v>CUMPLE</v>
          </cell>
        </row>
        <row r="248">
          <cell r="A248" t="str">
            <v>VR1</v>
          </cell>
          <cell r="AZ248" t="str">
            <v>CUMPLE</v>
          </cell>
        </row>
        <row r="249">
          <cell r="A249" t="str">
            <v>VR1</v>
          </cell>
          <cell r="AZ249" t="str">
            <v>CUMPLE</v>
          </cell>
        </row>
        <row r="250">
          <cell r="A250" t="str">
            <v>VR1</v>
          </cell>
          <cell r="AZ250" t="str">
            <v>CUMPLE</v>
          </cell>
        </row>
        <row r="251">
          <cell r="A251" t="str">
            <v>VR1</v>
          </cell>
          <cell r="AZ251" t="str">
            <v>CUMPLE</v>
          </cell>
        </row>
        <row r="252">
          <cell r="A252" t="str">
            <v>VR1</v>
          </cell>
          <cell r="AZ252" t="str">
            <v>CUMPLE</v>
          </cell>
        </row>
        <row r="253">
          <cell r="A253" t="str">
            <v>VR1</v>
          </cell>
          <cell r="AZ253" t="str">
            <v>CUMPLE</v>
          </cell>
        </row>
        <row r="254">
          <cell r="A254" t="str">
            <v>VR1</v>
          </cell>
          <cell r="AZ254" t="str">
            <v>CUMPLE</v>
          </cell>
        </row>
        <row r="255">
          <cell r="A255" t="str">
            <v>VR1</v>
          </cell>
          <cell r="AZ255" t="str">
            <v>CUMPLE</v>
          </cell>
        </row>
        <row r="256">
          <cell r="A256" t="str">
            <v>VR1</v>
          </cell>
          <cell r="AZ256" t="str">
            <v>CUMPLE</v>
          </cell>
        </row>
        <row r="257">
          <cell r="A257" t="str">
            <v>VR1</v>
          </cell>
          <cell r="AZ257" t="str">
            <v>CUMPLE</v>
          </cell>
        </row>
        <row r="258">
          <cell r="A258" t="str">
            <v>VR1</v>
          </cell>
          <cell r="AZ258" t="str">
            <v>CUMPLE</v>
          </cell>
        </row>
        <row r="259">
          <cell r="A259" t="str">
            <v>VR1</v>
          </cell>
          <cell r="AZ259" t="str">
            <v>CUMPLE</v>
          </cell>
        </row>
        <row r="260">
          <cell r="A260" t="str">
            <v>VR1</v>
          </cell>
          <cell r="AZ260" t="str">
            <v>CUMPLE</v>
          </cell>
        </row>
        <row r="261">
          <cell r="A261" t="str">
            <v>VR1</v>
          </cell>
          <cell r="AZ261" t="str">
            <v>CUMPLE</v>
          </cell>
        </row>
        <row r="262">
          <cell r="A262" t="str">
            <v>VR1</v>
          </cell>
          <cell r="AZ262" t="str">
            <v>CUMPLE</v>
          </cell>
        </row>
        <row r="263">
          <cell r="A263" t="str">
            <v>VR1</v>
          </cell>
          <cell r="AZ263" t="str">
            <v>CUMPLE</v>
          </cell>
        </row>
        <row r="264">
          <cell r="A264" t="str">
            <v>VR1</v>
          </cell>
          <cell r="AZ264" t="str">
            <v>CUMPLE</v>
          </cell>
        </row>
        <row r="265">
          <cell r="A265" t="str">
            <v>VR1</v>
          </cell>
          <cell r="AZ265" t="str">
            <v>CUMPLE</v>
          </cell>
        </row>
        <row r="266">
          <cell r="A266" t="str">
            <v>VR1</v>
          </cell>
          <cell r="AZ266" t="str">
            <v>CUMPLE</v>
          </cell>
        </row>
        <row r="267">
          <cell r="A267" t="str">
            <v>VR1</v>
          </cell>
          <cell r="AZ267" t="str">
            <v>CUMPLE</v>
          </cell>
        </row>
        <row r="268">
          <cell r="A268" t="str">
            <v>VR1</v>
          </cell>
          <cell r="AZ268" t="str">
            <v>CUMPLE</v>
          </cell>
        </row>
        <row r="269">
          <cell r="A269" t="str">
            <v>VR1</v>
          </cell>
          <cell r="AZ269" t="str">
            <v>CUMPLE</v>
          </cell>
        </row>
        <row r="270">
          <cell r="A270" t="str">
            <v>VR1</v>
          </cell>
          <cell r="AZ270" t="str">
            <v>CUMPLE</v>
          </cell>
        </row>
        <row r="271">
          <cell r="A271" t="str">
            <v>VR1</v>
          </cell>
          <cell r="AZ271" t="str">
            <v>CUMPLE</v>
          </cell>
        </row>
        <row r="272">
          <cell r="A272" t="str">
            <v>VR1</v>
          </cell>
          <cell r="AZ272" t="str">
            <v>CUMPLE</v>
          </cell>
        </row>
        <row r="273">
          <cell r="A273" t="str">
            <v>VR1</v>
          </cell>
          <cell r="AZ273" t="str">
            <v>CUMPLE</v>
          </cell>
        </row>
        <row r="274">
          <cell r="A274" t="str">
            <v>VR1</v>
          </cell>
          <cell r="AZ274" t="str">
            <v>CUMPLE</v>
          </cell>
        </row>
        <row r="275">
          <cell r="A275" t="str">
            <v>VR1</v>
          </cell>
          <cell r="AZ275" t="str">
            <v>CUMPLE</v>
          </cell>
        </row>
        <row r="276">
          <cell r="A276" t="str">
            <v>VR1</v>
          </cell>
          <cell r="AZ276" t="str">
            <v>CUMPLE</v>
          </cell>
        </row>
        <row r="277">
          <cell r="A277" t="str">
            <v>VR1</v>
          </cell>
          <cell r="AZ277" t="str">
            <v>CUMPLE</v>
          </cell>
        </row>
        <row r="278">
          <cell r="A278" t="str">
            <v>VR1</v>
          </cell>
          <cell r="AZ278" t="str">
            <v>CUMPLE</v>
          </cell>
        </row>
        <row r="279">
          <cell r="A279" t="str">
            <v>VR1</v>
          </cell>
          <cell r="AZ279" t="str">
            <v>CUMPLE</v>
          </cell>
        </row>
        <row r="280">
          <cell r="A280" t="str">
            <v>VR1</v>
          </cell>
          <cell r="AZ280" t="str">
            <v>CUMPLE</v>
          </cell>
        </row>
        <row r="281">
          <cell r="A281" t="str">
            <v>VR1</v>
          </cell>
          <cell r="AZ281" t="str">
            <v>CUMPLE</v>
          </cell>
        </row>
        <row r="282">
          <cell r="A282" t="str">
            <v>VR1</v>
          </cell>
          <cell r="AZ282" t="str">
            <v>CUMPLE</v>
          </cell>
        </row>
        <row r="283">
          <cell r="A283" t="str">
            <v>VR1</v>
          </cell>
          <cell r="AZ283" t="str">
            <v>CUMPLE</v>
          </cell>
        </row>
        <row r="284">
          <cell r="A284" t="str">
            <v>VR1</v>
          </cell>
          <cell r="AZ284" t="str">
            <v>CUMPLE</v>
          </cell>
        </row>
        <row r="285">
          <cell r="A285" t="str">
            <v>VR1</v>
          </cell>
          <cell r="AZ285" t="str">
            <v>CUMPLE</v>
          </cell>
        </row>
        <row r="286">
          <cell r="A286" t="str">
            <v>VR1</v>
          </cell>
          <cell r="AZ286" t="str">
            <v>CUMPLE</v>
          </cell>
        </row>
        <row r="287">
          <cell r="A287" t="str">
            <v>VR1</v>
          </cell>
          <cell r="AZ287" t="str">
            <v>CUMPLE</v>
          </cell>
        </row>
        <row r="288">
          <cell r="A288" t="str">
            <v>VR1</v>
          </cell>
          <cell r="AZ288" t="str">
            <v>CUMPLE</v>
          </cell>
        </row>
        <row r="289">
          <cell r="A289" t="str">
            <v>VR1</v>
          </cell>
          <cell r="AZ289" t="str">
            <v>CUMPLE</v>
          </cell>
        </row>
        <row r="290">
          <cell r="A290" t="str">
            <v>VR1</v>
          </cell>
          <cell r="AZ290" t="str">
            <v>CUMPLE</v>
          </cell>
        </row>
        <row r="291">
          <cell r="A291" t="str">
            <v>VR1</v>
          </cell>
          <cell r="AZ291" t="str">
            <v>CUMPLE</v>
          </cell>
        </row>
        <row r="292">
          <cell r="A292" t="str">
            <v>VR1</v>
          </cell>
          <cell r="AZ292" t="str">
            <v>CUMPLE</v>
          </cell>
        </row>
        <row r="293">
          <cell r="A293" t="str">
            <v>VR1</v>
          </cell>
          <cell r="AZ293" t="str">
            <v>CUMPLE</v>
          </cell>
        </row>
        <row r="294">
          <cell r="A294" t="str">
            <v>VR1</v>
          </cell>
          <cell r="AZ294" t="str">
            <v>CUMPLE</v>
          </cell>
        </row>
        <row r="295">
          <cell r="A295" t="str">
            <v>VR1</v>
          </cell>
          <cell r="AZ295" t="str">
            <v>CUMPLE</v>
          </cell>
        </row>
        <row r="296">
          <cell r="A296" t="str">
            <v>VR1</v>
          </cell>
          <cell r="AZ296" t="str">
            <v>CUMPLE</v>
          </cell>
        </row>
        <row r="297">
          <cell r="A297" t="str">
            <v>VR1</v>
          </cell>
          <cell r="AZ297" t="str">
            <v>CUMPLE</v>
          </cell>
        </row>
        <row r="298">
          <cell r="A298" t="str">
            <v>VR1</v>
          </cell>
          <cell r="AZ298" t="str">
            <v>CUMPLE</v>
          </cell>
        </row>
        <row r="299">
          <cell r="A299" t="str">
            <v>VR1</v>
          </cell>
          <cell r="AZ299" t="str">
            <v>CUMPLE</v>
          </cell>
        </row>
        <row r="300">
          <cell r="A300" t="str">
            <v>VR1</v>
          </cell>
          <cell r="AZ300" t="str">
            <v>CUMPLE</v>
          </cell>
        </row>
        <row r="301">
          <cell r="A301" t="str">
            <v>VR1</v>
          </cell>
          <cell r="AZ301" t="str">
            <v>CUMPLE</v>
          </cell>
        </row>
        <row r="302">
          <cell r="A302" t="str">
            <v>VR1</v>
          </cell>
          <cell r="AZ302" t="str">
            <v>CUMPLE</v>
          </cell>
        </row>
        <row r="303">
          <cell r="A303" t="str">
            <v>VR1</v>
          </cell>
          <cell r="AZ303" t="str">
            <v>CUMPLE</v>
          </cell>
        </row>
        <row r="304">
          <cell r="A304" t="str">
            <v>VR1</v>
          </cell>
          <cell r="AZ304" t="str">
            <v>CUMPLE</v>
          </cell>
        </row>
        <row r="305">
          <cell r="A305" t="str">
            <v>VR1</v>
          </cell>
          <cell r="AZ305" t="str">
            <v>CUMPLE</v>
          </cell>
        </row>
        <row r="306">
          <cell r="A306" t="str">
            <v>VR1</v>
          </cell>
          <cell r="AZ306" t="str">
            <v>CUMPLE</v>
          </cell>
        </row>
        <row r="307">
          <cell r="A307" t="str">
            <v>VR1</v>
          </cell>
          <cell r="AZ307" t="str">
            <v>CUMPLE</v>
          </cell>
        </row>
        <row r="308">
          <cell r="A308" t="str">
            <v>VR1</v>
          </cell>
          <cell r="AZ308" t="str">
            <v>CUMPLE</v>
          </cell>
        </row>
        <row r="309">
          <cell r="A309" t="str">
            <v>VR1</v>
          </cell>
          <cell r="AZ309" t="str">
            <v>CUMPLE</v>
          </cell>
        </row>
        <row r="310">
          <cell r="A310" t="str">
            <v>VR1</v>
          </cell>
          <cell r="AZ310" t="str">
            <v>CUMPLE</v>
          </cell>
        </row>
        <row r="311">
          <cell r="A311" t="str">
            <v>VR1</v>
          </cell>
          <cell r="AZ311" t="str">
            <v>CUMPLE</v>
          </cell>
        </row>
        <row r="312">
          <cell r="A312" t="str">
            <v>VR1</v>
          </cell>
          <cell r="AZ312" t="str">
            <v>CUMPLE</v>
          </cell>
        </row>
        <row r="313">
          <cell r="A313" t="str">
            <v>VR1</v>
          </cell>
          <cell r="AZ313" t="str">
            <v>CUMPLE</v>
          </cell>
        </row>
        <row r="314">
          <cell r="A314" t="str">
            <v>VR1</v>
          </cell>
          <cell r="AZ314" t="str">
            <v>CUMPLE</v>
          </cell>
        </row>
        <row r="315">
          <cell r="A315" t="str">
            <v>VR1</v>
          </cell>
          <cell r="AZ315" t="str">
            <v>CUMPLE</v>
          </cell>
        </row>
        <row r="316">
          <cell r="A316" t="str">
            <v>VR1</v>
          </cell>
          <cell r="AZ316" t="str">
            <v>CUMPLE</v>
          </cell>
        </row>
        <row r="317">
          <cell r="A317" t="str">
            <v>VR1</v>
          </cell>
          <cell r="AZ317" t="str">
            <v>CUMPLE</v>
          </cell>
        </row>
        <row r="318">
          <cell r="A318" t="str">
            <v>VR1</v>
          </cell>
          <cell r="AZ318" t="str">
            <v>CUMPLE</v>
          </cell>
        </row>
        <row r="319">
          <cell r="A319" t="str">
            <v>VR1</v>
          </cell>
          <cell r="AZ319" t="str">
            <v>CUMPLE</v>
          </cell>
        </row>
        <row r="320">
          <cell r="A320" t="str">
            <v>VR1</v>
          </cell>
          <cell r="AZ320" t="str">
            <v>CUMPLE</v>
          </cell>
        </row>
        <row r="321">
          <cell r="A321" t="str">
            <v>VR1</v>
          </cell>
          <cell r="AZ321" t="str">
            <v>CUMPLE</v>
          </cell>
        </row>
        <row r="322">
          <cell r="A322" t="str">
            <v>VR1</v>
          </cell>
          <cell r="AZ322" t="str">
            <v>CUMPLE</v>
          </cell>
        </row>
        <row r="323">
          <cell r="A323" t="str">
            <v>VR1</v>
          </cell>
          <cell r="AZ323" t="str">
            <v>CUMPLE</v>
          </cell>
        </row>
        <row r="324">
          <cell r="A324" t="str">
            <v>VR N1</v>
          </cell>
          <cell r="AZ324" t="str">
            <v>CUMPLE</v>
          </cell>
        </row>
        <row r="325">
          <cell r="A325" t="str">
            <v>VR N1</v>
          </cell>
          <cell r="AZ325" t="str">
            <v>CUMPLE</v>
          </cell>
        </row>
        <row r="326">
          <cell r="A326" t="str">
            <v>VR N1</v>
          </cell>
          <cell r="AZ326" t="str">
            <v>CUMPLE</v>
          </cell>
        </row>
        <row r="327">
          <cell r="A327" t="str">
            <v>VR N1</v>
          </cell>
          <cell r="AZ327" t="str">
            <v>CUMPLE</v>
          </cell>
        </row>
        <row r="328">
          <cell r="A328" t="str">
            <v>VR N1</v>
          </cell>
          <cell r="AZ328" t="str">
            <v>CUMPLE</v>
          </cell>
        </row>
        <row r="329">
          <cell r="A329" t="str">
            <v>VR N1</v>
          </cell>
          <cell r="AZ329" t="str">
            <v>CUMPLE</v>
          </cell>
        </row>
        <row r="330">
          <cell r="A330" t="str">
            <v>VR N1</v>
          </cell>
          <cell r="AZ330" t="str">
            <v>CUMPLE</v>
          </cell>
        </row>
        <row r="331">
          <cell r="A331" t="str">
            <v>VR N1</v>
          </cell>
          <cell r="AZ331" t="str">
            <v>CUMPLE</v>
          </cell>
        </row>
        <row r="332">
          <cell r="A332" t="str">
            <v>VR N1</v>
          </cell>
          <cell r="AZ332" t="str">
            <v>CUMPLE</v>
          </cell>
        </row>
        <row r="333">
          <cell r="A333" t="str">
            <v>VR N1</v>
          </cell>
          <cell r="AZ333" t="str">
            <v>CUMPLE</v>
          </cell>
        </row>
        <row r="334">
          <cell r="A334" t="str">
            <v>VR N1</v>
          </cell>
          <cell r="AZ334" t="str">
            <v>CUMPLE</v>
          </cell>
        </row>
        <row r="335">
          <cell r="A335" t="str">
            <v>VR N1</v>
          </cell>
          <cell r="AZ335" t="str">
            <v>CUMPLE</v>
          </cell>
        </row>
        <row r="336">
          <cell r="A336" t="str">
            <v>VR N1</v>
          </cell>
          <cell r="AZ336" t="str">
            <v>CUMPLE</v>
          </cell>
        </row>
        <row r="337">
          <cell r="A337" t="str">
            <v>VR N1</v>
          </cell>
          <cell r="AZ337" t="str">
            <v>CUMPLE</v>
          </cell>
        </row>
        <row r="338">
          <cell r="A338" t="str">
            <v>VR N1</v>
          </cell>
          <cell r="AZ338" t="str">
            <v>CUMPLE</v>
          </cell>
        </row>
        <row r="339">
          <cell r="A339" t="str">
            <v>VR N1</v>
          </cell>
          <cell r="AZ339" t="str">
            <v>CUMPLE</v>
          </cell>
        </row>
        <row r="340">
          <cell r="A340" t="str">
            <v>VR N1</v>
          </cell>
          <cell r="AZ340" t="str">
            <v>CUMPLE</v>
          </cell>
        </row>
        <row r="341">
          <cell r="A341" t="str">
            <v>VR N1</v>
          </cell>
          <cell r="AZ341" t="str">
            <v>CUMPLE</v>
          </cell>
        </row>
        <row r="342">
          <cell r="A342" t="str">
            <v>VR N1</v>
          </cell>
          <cell r="AZ342" t="str">
            <v>CUMPLE</v>
          </cell>
        </row>
        <row r="343">
          <cell r="A343" t="str">
            <v>VR N1</v>
          </cell>
          <cell r="AZ343" t="str">
            <v>CUMPLE</v>
          </cell>
        </row>
        <row r="344">
          <cell r="A344" t="str">
            <v>VR N1</v>
          </cell>
          <cell r="AZ344" t="str">
            <v>CUMPLE</v>
          </cell>
        </row>
        <row r="345">
          <cell r="A345" t="str">
            <v>VR N1</v>
          </cell>
          <cell r="AZ345" t="str">
            <v>CUMPLE</v>
          </cell>
        </row>
        <row r="346">
          <cell r="A346" t="str">
            <v>VR2</v>
          </cell>
          <cell r="AZ346" t="str">
            <v>CUMPLE</v>
          </cell>
        </row>
        <row r="347">
          <cell r="A347" t="str">
            <v>VR2</v>
          </cell>
          <cell r="AZ347" t="str">
            <v>CUMPLE</v>
          </cell>
        </row>
        <row r="348">
          <cell r="A348" t="str">
            <v>VR2</v>
          </cell>
          <cell r="AZ348" t="str">
            <v>CUMPLE</v>
          </cell>
        </row>
        <row r="349">
          <cell r="A349" t="str">
            <v>VR2</v>
          </cell>
          <cell r="AZ349" t="str">
            <v>CUMPLE</v>
          </cell>
        </row>
        <row r="350">
          <cell r="A350" t="str">
            <v>VR2</v>
          </cell>
          <cell r="AZ350" t="str">
            <v>CUMPLE</v>
          </cell>
        </row>
        <row r="351">
          <cell r="A351" t="str">
            <v>VR2</v>
          </cell>
          <cell r="AZ351" t="str">
            <v>NO CUMPLE</v>
          </cell>
        </row>
        <row r="352">
          <cell r="A352" t="str">
            <v>VR2</v>
          </cell>
          <cell r="AZ352" t="str">
            <v>NO CUMPLE</v>
          </cell>
        </row>
        <row r="353">
          <cell r="A353" t="str">
            <v>VR2</v>
          </cell>
          <cell r="AZ353" t="str">
            <v>CUMPLE</v>
          </cell>
        </row>
        <row r="354">
          <cell r="A354" t="str">
            <v>VR2</v>
          </cell>
          <cell r="AZ354" t="str">
            <v>CUMPLE</v>
          </cell>
        </row>
        <row r="355">
          <cell r="A355" t="str">
            <v>VR2</v>
          </cell>
          <cell r="AZ355" t="str">
            <v>CUMPLE</v>
          </cell>
        </row>
        <row r="356">
          <cell r="A356" t="str">
            <v>VR2</v>
          </cell>
          <cell r="AZ356" t="str">
            <v>CUMPLE</v>
          </cell>
        </row>
        <row r="357">
          <cell r="A357" t="str">
            <v>VR2</v>
          </cell>
          <cell r="AZ357" t="str">
            <v>CUMPLE</v>
          </cell>
        </row>
        <row r="358">
          <cell r="A358" t="str">
            <v>VR2</v>
          </cell>
          <cell r="AZ358" t="str">
            <v>CUMPLE</v>
          </cell>
        </row>
        <row r="359">
          <cell r="A359" t="str">
            <v>VR2</v>
          </cell>
          <cell r="AZ359" t="str">
            <v>CUMPLE</v>
          </cell>
        </row>
        <row r="360">
          <cell r="A360" t="str">
            <v>VR2</v>
          </cell>
          <cell r="AZ360" t="str">
            <v>CUMPLE</v>
          </cell>
        </row>
        <row r="361">
          <cell r="A361" t="str">
            <v>VR2</v>
          </cell>
          <cell r="AZ361" t="str">
            <v>CUMPLE</v>
          </cell>
        </row>
        <row r="362">
          <cell r="A362" t="str">
            <v>VR2</v>
          </cell>
          <cell r="AZ362" t="str">
            <v>CUMPLE</v>
          </cell>
        </row>
        <row r="363">
          <cell r="A363" t="str">
            <v>VR2</v>
          </cell>
          <cell r="AZ363" t="str">
            <v>NO CUMPLE</v>
          </cell>
        </row>
        <row r="364">
          <cell r="A364" t="str">
            <v>VR2</v>
          </cell>
          <cell r="AZ364" t="str">
            <v>NO CUMPLE</v>
          </cell>
        </row>
        <row r="365">
          <cell r="A365" t="str">
            <v>VR2</v>
          </cell>
          <cell r="AZ365" t="str">
            <v>CUMPLE</v>
          </cell>
        </row>
        <row r="366">
          <cell r="A366" t="str">
            <v>VR2</v>
          </cell>
          <cell r="AZ366" t="str">
            <v>CUMPLE</v>
          </cell>
        </row>
        <row r="367">
          <cell r="A367" t="str">
            <v>VR2</v>
          </cell>
          <cell r="AZ367" t="str">
            <v>CUMPLE</v>
          </cell>
        </row>
        <row r="368">
          <cell r="A368" t="str">
            <v>VR2</v>
          </cell>
          <cell r="AZ368" t="str">
            <v>CUMPLE</v>
          </cell>
        </row>
        <row r="369">
          <cell r="A369" t="str">
            <v>VR2</v>
          </cell>
          <cell r="AZ369" t="str">
            <v>CUMPLE</v>
          </cell>
        </row>
        <row r="370">
          <cell r="A370" t="str">
            <v>VR2</v>
          </cell>
          <cell r="AZ370" t="str">
            <v>NO CUMPLE</v>
          </cell>
        </row>
        <row r="371">
          <cell r="A371" t="str">
            <v>VR2</v>
          </cell>
          <cell r="AZ371" t="str">
            <v>NO CUMPLE</v>
          </cell>
        </row>
        <row r="372">
          <cell r="A372" t="str">
            <v>VR2</v>
          </cell>
          <cell r="AZ372" t="str">
            <v>NO CUMPLE</v>
          </cell>
        </row>
        <row r="373">
          <cell r="A373" t="str">
            <v>VR2</v>
          </cell>
          <cell r="AZ373" t="str">
            <v>NO CUMPLE</v>
          </cell>
        </row>
        <row r="374">
          <cell r="A374" t="str">
            <v>VR2</v>
          </cell>
          <cell r="AZ374" t="str">
            <v>NO CUMPLE</v>
          </cell>
        </row>
        <row r="375">
          <cell r="A375" t="str">
            <v>VR2</v>
          </cell>
          <cell r="AZ375" t="str">
            <v>NO CUMPLE</v>
          </cell>
        </row>
        <row r="376">
          <cell r="A376" t="str">
            <v>VR2</v>
          </cell>
          <cell r="AZ376" t="str">
            <v>NO CUMPLE</v>
          </cell>
        </row>
        <row r="377">
          <cell r="A377" t="str">
            <v>VR2</v>
          </cell>
          <cell r="AZ377" t="str">
            <v>NO CUMPLE</v>
          </cell>
        </row>
        <row r="378">
          <cell r="A378" t="str">
            <v>VR2</v>
          </cell>
          <cell r="AZ378" t="str">
            <v>CUMPLE</v>
          </cell>
        </row>
        <row r="379">
          <cell r="A379" t="str">
            <v>VR2</v>
          </cell>
          <cell r="AZ379" t="str">
            <v>CUMPLE</v>
          </cell>
        </row>
        <row r="380">
          <cell r="A380" t="str">
            <v>VR2</v>
          </cell>
          <cell r="AZ380" t="str">
            <v>CUMPLE</v>
          </cell>
        </row>
        <row r="381">
          <cell r="A381" t="str">
            <v>VR2</v>
          </cell>
          <cell r="AZ381" t="str">
            <v>CUMPLE</v>
          </cell>
        </row>
        <row r="382">
          <cell r="A382" t="str">
            <v>VR2</v>
          </cell>
          <cell r="AZ382" t="str">
            <v>NO CUMPLE</v>
          </cell>
        </row>
        <row r="383">
          <cell r="A383" t="str">
            <v>VR2</v>
          </cell>
          <cell r="AZ383" t="str">
            <v>NO CUMPLE</v>
          </cell>
        </row>
        <row r="384">
          <cell r="A384" t="str">
            <v>VR2</v>
          </cell>
          <cell r="AZ384" t="str">
            <v>NO CUMPLE</v>
          </cell>
        </row>
        <row r="385">
          <cell r="A385" t="str">
            <v>VR2</v>
          </cell>
          <cell r="AZ385" t="str">
            <v>NO CUMPLE</v>
          </cell>
        </row>
        <row r="386">
          <cell r="A386" t="str">
            <v>VR2</v>
          </cell>
          <cell r="AZ386" t="str">
            <v>CUMPLE</v>
          </cell>
        </row>
        <row r="387">
          <cell r="A387" t="str">
            <v>VR2</v>
          </cell>
          <cell r="AZ387" t="str">
            <v>CUMPLE</v>
          </cell>
        </row>
        <row r="388">
          <cell r="A388" t="str">
            <v>VR2</v>
          </cell>
          <cell r="AZ388" t="str">
            <v>CUMPLE</v>
          </cell>
        </row>
        <row r="389">
          <cell r="A389" t="str">
            <v>VR2</v>
          </cell>
          <cell r="AZ389" t="str">
            <v>CUMPLE</v>
          </cell>
        </row>
        <row r="390">
          <cell r="A390" t="str">
            <v>VR2</v>
          </cell>
          <cell r="AZ390" t="str">
            <v>CUMPLE</v>
          </cell>
        </row>
        <row r="391">
          <cell r="A391" t="str">
            <v>VR2</v>
          </cell>
          <cell r="AZ391" t="str">
            <v>CUMPLE</v>
          </cell>
        </row>
        <row r="392">
          <cell r="A392" t="str">
            <v>VR2</v>
          </cell>
          <cell r="AZ392" t="str">
            <v>CUMPLE</v>
          </cell>
        </row>
        <row r="393">
          <cell r="A393" t="str">
            <v>VR2</v>
          </cell>
          <cell r="AZ393" t="str">
            <v>CUMPLE</v>
          </cell>
        </row>
        <row r="394">
          <cell r="A394" t="str">
            <v>VR2</v>
          </cell>
          <cell r="AZ394" t="str">
            <v>CUMPLE</v>
          </cell>
        </row>
        <row r="395">
          <cell r="A395" t="str">
            <v>VR2</v>
          </cell>
          <cell r="AZ395" t="str">
            <v>CUMPLE</v>
          </cell>
        </row>
        <row r="396">
          <cell r="A396" t="str">
            <v>VR2</v>
          </cell>
          <cell r="AZ396" t="str">
            <v>CUMPLE</v>
          </cell>
        </row>
        <row r="397">
          <cell r="A397" t="str">
            <v>VR2</v>
          </cell>
          <cell r="AZ397" t="str">
            <v>CUMPLE</v>
          </cell>
        </row>
        <row r="398">
          <cell r="A398" t="str">
            <v>VR2</v>
          </cell>
          <cell r="AZ398" t="str">
            <v>CUMPLE</v>
          </cell>
        </row>
        <row r="399">
          <cell r="A399" t="str">
            <v>VR2</v>
          </cell>
          <cell r="AZ399" t="str">
            <v>CUMPLE</v>
          </cell>
        </row>
        <row r="400">
          <cell r="A400" t="str">
            <v>VR2</v>
          </cell>
          <cell r="AZ400" t="str">
            <v>CUMPLE</v>
          </cell>
        </row>
        <row r="401">
          <cell r="A401" t="str">
            <v>VR2</v>
          </cell>
          <cell r="AZ401" t="str">
            <v>CUMPLE</v>
          </cell>
        </row>
        <row r="402">
          <cell r="A402" t="str">
            <v>VR2</v>
          </cell>
          <cell r="AZ402" t="str">
            <v>CUMPLE</v>
          </cell>
        </row>
        <row r="403">
          <cell r="A403" t="str">
            <v>VR2</v>
          </cell>
          <cell r="AZ403" t="str">
            <v>CUMPLE</v>
          </cell>
        </row>
        <row r="404">
          <cell r="A404" t="str">
            <v>VR2</v>
          </cell>
          <cell r="AZ404" t="str">
            <v>CUMPLE</v>
          </cell>
        </row>
        <row r="405">
          <cell r="A405" t="str">
            <v>VR2</v>
          </cell>
          <cell r="AZ405" t="str">
            <v>CUMPLE</v>
          </cell>
        </row>
        <row r="406">
          <cell r="A406" t="str">
            <v>VR2</v>
          </cell>
          <cell r="AZ406" t="str">
            <v>CUMPLE</v>
          </cell>
        </row>
        <row r="407">
          <cell r="A407" t="str">
            <v>VR2</v>
          </cell>
          <cell r="AZ407" t="str">
            <v>CUMPLE</v>
          </cell>
        </row>
        <row r="408">
          <cell r="A408" t="str">
            <v>VR2</v>
          </cell>
          <cell r="AZ408" t="str">
            <v>CUMPLE</v>
          </cell>
        </row>
        <row r="409">
          <cell r="A409" t="str">
            <v>VR2</v>
          </cell>
          <cell r="AZ409" t="str">
            <v>CUMPLE</v>
          </cell>
        </row>
        <row r="410">
          <cell r="A410" t="str">
            <v>VR2</v>
          </cell>
          <cell r="AZ410" t="str">
            <v>CUMPLE</v>
          </cell>
        </row>
        <row r="411">
          <cell r="A411" t="str">
            <v>VR2</v>
          </cell>
          <cell r="AZ411" t="str">
            <v>CUMPLE</v>
          </cell>
        </row>
        <row r="412">
          <cell r="A412" t="str">
            <v>VR2</v>
          </cell>
          <cell r="AZ412" t="str">
            <v>CUMPLE</v>
          </cell>
        </row>
        <row r="413">
          <cell r="A413" t="str">
            <v>VR2</v>
          </cell>
          <cell r="AZ413" t="str">
            <v>CUMPLE</v>
          </cell>
        </row>
        <row r="414">
          <cell r="A414" t="str">
            <v>VR2</v>
          </cell>
          <cell r="AZ414" t="str">
            <v>CUMPLE</v>
          </cell>
        </row>
        <row r="415">
          <cell r="A415" t="str">
            <v>VR2</v>
          </cell>
          <cell r="AZ415" t="str">
            <v>CUMPLE</v>
          </cell>
        </row>
        <row r="416">
          <cell r="A416" t="str">
            <v>VR2</v>
          </cell>
          <cell r="AZ416" t="str">
            <v>CUMPLE</v>
          </cell>
        </row>
        <row r="417">
          <cell r="A417" t="str">
            <v>VR2</v>
          </cell>
          <cell r="AZ417" t="str">
            <v>CUMPLE</v>
          </cell>
        </row>
        <row r="418">
          <cell r="A418" t="str">
            <v>VR2</v>
          </cell>
          <cell r="AZ418" t="str">
            <v>CUMPLE</v>
          </cell>
        </row>
        <row r="419">
          <cell r="A419" t="str">
            <v>VR2</v>
          </cell>
          <cell r="AZ419" t="str">
            <v>CUMPLE</v>
          </cell>
        </row>
        <row r="420">
          <cell r="A420" t="str">
            <v>VR2</v>
          </cell>
          <cell r="AZ420" t="str">
            <v>CUMPLE</v>
          </cell>
        </row>
        <row r="421">
          <cell r="A421" t="str">
            <v>VR2</v>
          </cell>
          <cell r="AZ421" t="str">
            <v>CUMPLE</v>
          </cell>
        </row>
        <row r="422">
          <cell r="A422" t="str">
            <v>VR2</v>
          </cell>
          <cell r="AZ422" t="str">
            <v>CUMPLE</v>
          </cell>
        </row>
        <row r="423">
          <cell r="A423" t="str">
            <v>VR2</v>
          </cell>
          <cell r="AZ423" t="str">
            <v>CUMPLE</v>
          </cell>
        </row>
        <row r="424">
          <cell r="A424" t="str">
            <v>VR2</v>
          </cell>
          <cell r="AZ424" t="str">
            <v>CUMPLE</v>
          </cell>
        </row>
        <row r="425">
          <cell r="A425" t="str">
            <v>VR2</v>
          </cell>
          <cell r="AZ425" t="str">
            <v>CUMPLE</v>
          </cell>
        </row>
        <row r="426">
          <cell r="A426" t="str">
            <v>VR2</v>
          </cell>
          <cell r="AZ426" t="str">
            <v>CUMPLE</v>
          </cell>
        </row>
        <row r="427">
          <cell r="A427" t="str">
            <v>VR2</v>
          </cell>
          <cell r="AZ427" t="str">
            <v>CUMPLE</v>
          </cell>
        </row>
        <row r="428">
          <cell r="A428" t="str">
            <v>VR2</v>
          </cell>
          <cell r="AZ428" t="str">
            <v>CUMPLE</v>
          </cell>
        </row>
        <row r="429">
          <cell r="A429" t="str">
            <v>VR2</v>
          </cell>
          <cell r="AZ429" t="str">
            <v>CUMPLE</v>
          </cell>
        </row>
        <row r="430">
          <cell r="A430" t="str">
            <v>VR2</v>
          </cell>
          <cell r="AZ430" t="str">
            <v>CUMPLE</v>
          </cell>
        </row>
        <row r="431">
          <cell r="A431" t="str">
            <v>VR2</v>
          </cell>
          <cell r="AZ431" t="str">
            <v>CUMPLE</v>
          </cell>
        </row>
        <row r="432">
          <cell r="A432" t="str">
            <v>VR2</v>
          </cell>
          <cell r="AZ432" t="str">
            <v>CUMPLE</v>
          </cell>
        </row>
        <row r="433">
          <cell r="A433" t="str">
            <v>VR2</v>
          </cell>
          <cell r="AZ433" t="str">
            <v>CUMPLE</v>
          </cell>
        </row>
        <row r="434">
          <cell r="A434" t="str">
            <v>VR2</v>
          </cell>
          <cell r="AZ434" t="str">
            <v>CUMPLE</v>
          </cell>
        </row>
        <row r="435">
          <cell r="A435" t="str">
            <v>VR2</v>
          </cell>
          <cell r="AZ435" t="str">
            <v>CUMPLE</v>
          </cell>
        </row>
        <row r="436">
          <cell r="A436" t="str">
            <v>VR2</v>
          </cell>
          <cell r="AZ436" t="str">
            <v>CUMPLE</v>
          </cell>
        </row>
        <row r="437">
          <cell r="A437" t="str">
            <v>VR2</v>
          </cell>
          <cell r="AZ437" t="str">
            <v>CUMPLE</v>
          </cell>
        </row>
        <row r="438">
          <cell r="A438" t="str">
            <v>VR2</v>
          </cell>
          <cell r="AZ438" t="str">
            <v>CUMPLE</v>
          </cell>
        </row>
        <row r="439">
          <cell r="A439" t="str">
            <v>VR2</v>
          </cell>
          <cell r="AZ439" t="str">
            <v>CUMPLE</v>
          </cell>
        </row>
        <row r="440">
          <cell r="A440" t="str">
            <v>VR2</v>
          </cell>
          <cell r="AZ440" t="str">
            <v>CUMPLE</v>
          </cell>
        </row>
        <row r="441">
          <cell r="A441" t="str">
            <v>VR2</v>
          </cell>
          <cell r="AZ441" t="str">
            <v>CUMPLE</v>
          </cell>
        </row>
        <row r="442">
          <cell r="A442" t="str">
            <v>VR2</v>
          </cell>
          <cell r="AZ442" t="str">
            <v>CUMPLE</v>
          </cell>
        </row>
        <row r="443">
          <cell r="A443" t="str">
            <v>VR2</v>
          </cell>
          <cell r="AZ443" t="str">
            <v>CUMPLE</v>
          </cell>
        </row>
        <row r="444">
          <cell r="A444" t="str">
            <v>VR2</v>
          </cell>
          <cell r="AZ444" t="str">
            <v>CUMPLE</v>
          </cell>
        </row>
        <row r="445">
          <cell r="A445" t="str">
            <v>VR2</v>
          </cell>
          <cell r="AZ445" t="str">
            <v>CUMPLE</v>
          </cell>
        </row>
        <row r="446">
          <cell r="A446" t="str">
            <v>VR2</v>
          </cell>
          <cell r="AZ446" t="str">
            <v>CUMPLE</v>
          </cell>
        </row>
        <row r="447">
          <cell r="A447" t="str">
            <v>VR2</v>
          </cell>
          <cell r="AZ447" t="str">
            <v>CUMPLE</v>
          </cell>
        </row>
        <row r="448">
          <cell r="A448" t="str">
            <v>VR2</v>
          </cell>
          <cell r="AZ448" t="str">
            <v>CUMPLE</v>
          </cell>
        </row>
        <row r="449">
          <cell r="A449" t="str">
            <v>VR2</v>
          </cell>
          <cell r="AZ449" t="str">
            <v>CUMPLE</v>
          </cell>
        </row>
        <row r="450">
          <cell r="A450" t="str">
            <v>VR2</v>
          </cell>
          <cell r="AZ450" t="str">
            <v>CUMPLE</v>
          </cell>
        </row>
        <row r="451">
          <cell r="A451" t="str">
            <v>VR2</v>
          </cell>
          <cell r="AZ451" t="str">
            <v>CUMPLE</v>
          </cell>
        </row>
        <row r="452">
          <cell r="A452" t="str">
            <v>VR2</v>
          </cell>
          <cell r="AZ452" t="str">
            <v>CUMPLE</v>
          </cell>
        </row>
        <row r="453">
          <cell r="A453" t="str">
            <v>VR2</v>
          </cell>
          <cell r="AZ453" t="str">
            <v>CUMPLE</v>
          </cell>
        </row>
        <row r="454">
          <cell r="A454" t="str">
            <v>VR2</v>
          </cell>
          <cell r="AZ454" t="str">
            <v>CUMPLE</v>
          </cell>
        </row>
        <row r="455">
          <cell r="A455" t="str">
            <v>VR2</v>
          </cell>
          <cell r="AZ455" t="str">
            <v>CUMPLE</v>
          </cell>
        </row>
        <row r="456">
          <cell r="A456" t="str">
            <v>VR2</v>
          </cell>
          <cell r="AZ456" t="str">
            <v>CUMPLE</v>
          </cell>
        </row>
        <row r="457">
          <cell r="A457" t="str">
            <v>VR2</v>
          </cell>
          <cell r="AZ457" t="str">
            <v>CUMPLE</v>
          </cell>
        </row>
        <row r="458">
          <cell r="A458" t="str">
            <v>VR2</v>
          </cell>
          <cell r="AZ458" t="str">
            <v>CUMPLE</v>
          </cell>
        </row>
        <row r="459">
          <cell r="A459" t="str">
            <v>VR2</v>
          </cell>
          <cell r="AZ459" t="str">
            <v>CUMPLE</v>
          </cell>
        </row>
        <row r="460">
          <cell r="A460" t="str">
            <v>VR2</v>
          </cell>
          <cell r="AZ460" t="str">
            <v>CUMPLE</v>
          </cell>
        </row>
        <row r="461">
          <cell r="A461" t="str">
            <v>VR2</v>
          </cell>
          <cell r="AZ461" t="str">
            <v>CUMPLE</v>
          </cell>
        </row>
        <row r="462">
          <cell r="A462" t="str">
            <v>VR2</v>
          </cell>
          <cell r="AZ462" t="str">
            <v>CUMPLE</v>
          </cell>
        </row>
        <row r="463">
          <cell r="A463" t="str">
            <v>VR2</v>
          </cell>
          <cell r="AZ463" t="str">
            <v>CUMPLE</v>
          </cell>
        </row>
        <row r="464">
          <cell r="A464" t="str">
            <v>VR2</v>
          </cell>
          <cell r="AZ464" t="str">
            <v>CUMPLE</v>
          </cell>
        </row>
        <row r="465">
          <cell r="A465" t="str">
            <v>VR2</v>
          </cell>
          <cell r="AZ465" t="str">
            <v>CUMPLE</v>
          </cell>
        </row>
        <row r="466">
          <cell r="A466" t="str">
            <v>VR2</v>
          </cell>
          <cell r="AZ466" t="str">
            <v>CUMPLE</v>
          </cell>
        </row>
        <row r="467">
          <cell r="A467" t="str">
            <v>VR2</v>
          </cell>
          <cell r="AZ467" t="str">
            <v>CUMPLE</v>
          </cell>
        </row>
        <row r="468">
          <cell r="A468" t="str">
            <v>VR2</v>
          </cell>
          <cell r="AZ468" t="str">
            <v>CUMPLE</v>
          </cell>
        </row>
        <row r="469">
          <cell r="A469" t="str">
            <v>VR2</v>
          </cell>
          <cell r="AZ469" t="str">
            <v>CUMPLE</v>
          </cell>
        </row>
        <row r="470">
          <cell r="A470" t="str">
            <v>VR2</v>
          </cell>
          <cell r="AZ470" t="str">
            <v>CUMPLE</v>
          </cell>
        </row>
        <row r="471">
          <cell r="A471" t="str">
            <v>VR2</v>
          </cell>
          <cell r="AZ471" t="str">
            <v>CUMPLE</v>
          </cell>
        </row>
        <row r="472">
          <cell r="A472" t="str">
            <v>VR2</v>
          </cell>
          <cell r="AZ472" t="str">
            <v>CUMPLE</v>
          </cell>
        </row>
        <row r="473">
          <cell r="A473" t="str">
            <v>VR2</v>
          </cell>
          <cell r="AZ473" t="str">
            <v>CUMPLE</v>
          </cell>
        </row>
        <row r="474">
          <cell r="A474" t="str">
            <v>VR2</v>
          </cell>
          <cell r="AZ474" t="str">
            <v>CUMPLE</v>
          </cell>
        </row>
        <row r="475">
          <cell r="A475" t="str">
            <v>VR2</v>
          </cell>
          <cell r="AZ475" t="str">
            <v>CUMPLE</v>
          </cell>
        </row>
        <row r="476">
          <cell r="A476" t="str">
            <v>VR2</v>
          </cell>
          <cell r="AZ476" t="str">
            <v>CUMPLE</v>
          </cell>
        </row>
        <row r="477">
          <cell r="A477" t="str">
            <v>VR2</v>
          </cell>
          <cell r="AZ477" t="str">
            <v>CUMPLE</v>
          </cell>
        </row>
        <row r="478">
          <cell r="A478" t="str">
            <v>VR2</v>
          </cell>
          <cell r="AZ478" t="str">
            <v>CUMPLE</v>
          </cell>
        </row>
        <row r="479">
          <cell r="A479" t="str">
            <v>VR2</v>
          </cell>
          <cell r="AZ479" t="str">
            <v>CUMPLE</v>
          </cell>
        </row>
        <row r="480">
          <cell r="A480" t="str">
            <v>VR2</v>
          </cell>
          <cell r="AZ480" t="str">
            <v>CUMPLE</v>
          </cell>
        </row>
        <row r="481">
          <cell r="A481" t="str">
            <v>VR2</v>
          </cell>
          <cell r="AZ481" t="str">
            <v>CUMPLE</v>
          </cell>
        </row>
        <row r="482">
          <cell r="A482" t="str">
            <v>VR2</v>
          </cell>
          <cell r="AZ482" t="str">
            <v>CUMPLE</v>
          </cell>
        </row>
        <row r="483">
          <cell r="A483" t="str">
            <v>VR2</v>
          </cell>
          <cell r="AZ483" t="str">
            <v>CUMPLE</v>
          </cell>
        </row>
        <row r="484">
          <cell r="A484" t="str">
            <v>VR2</v>
          </cell>
          <cell r="AZ484" t="str">
            <v>CUMPLE</v>
          </cell>
        </row>
        <row r="485">
          <cell r="A485" t="str">
            <v>VR2</v>
          </cell>
          <cell r="AZ485" t="str">
            <v>CUMPLE</v>
          </cell>
        </row>
        <row r="486">
          <cell r="A486" t="str">
            <v>VR3</v>
          </cell>
          <cell r="AZ486" t="str">
            <v>CUMPLE</v>
          </cell>
        </row>
        <row r="487">
          <cell r="A487" t="str">
            <v>VR3</v>
          </cell>
          <cell r="AZ487" t="str">
            <v>CUMPLE</v>
          </cell>
        </row>
        <row r="488">
          <cell r="A488" t="str">
            <v>VR3</v>
          </cell>
          <cell r="AZ488" t="str">
            <v>CUMPLE</v>
          </cell>
        </row>
        <row r="489">
          <cell r="A489" t="str">
            <v>VR3</v>
          </cell>
          <cell r="AZ489" t="str">
            <v>CUMPLE</v>
          </cell>
        </row>
        <row r="490">
          <cell r="A490" t="str">
            <v>VR3</v>
          </cell>
          <cell r="AZ490" t="str">
            <v>CUMPLE</v>
          </cell>
        </row>
        <row r="491">
          <cell r="A491" t="str">
            <v>VR3</v>
          </cell>
          <cell r="AZ491" t="str">
            <v>CUMPLE</v>
          </cell>
        </row>
        <row r="492">
          <cell r="A492" t="str">
            <v>VR3</v>
          </cell>
          <cell r="AZ492" t="str">
            <v>CUMPLE</v>
          </cell>
        </row>
        <row r="493">
          <cell r="A493" t="str">
            <v>VR3</v>
          </cell>
          <cell r="AZ493" t="str">
            <v>CUMPLE</v>
          </cell>
        </row>
        <row r="494">
          <cell r="A494" t="str">
            <v>VR3</v>
          </cell>
          <cell r="AZ494" t="str">
            <v>CUMPLE</v>
          </cell>
        </row>
        <row r="495">
          <cell r="A495" t="str">
            <v>VR3</v>
          </cell>
          <cell r="AZ495" t="str">
            <v>CUMPLE</v>
          </cell>
        </row>
        <row r="496">
          <cell r="A496" t="str">
            <v>VR3</v>
          </cell>
          <cell r="AZ496" t="str">
            <v>NO CUMPLE</v>
          </cell>
        </row>
        <row r="497">
          <cell r="A497" t="str">
            <v>VR3</v>
          </cell>
          <cell r="AZ497" t="str">
            <v>NO CUMPLE</v>
          </cell>
        </row>
        <row r="498">
          <cell r="A498" t="str">
            <v>VR3</v>
          </cell>
          <cell r="AZ498" t="str">
            <v>NO CUMPLE</v>
          </cell>
        </row>
        <row r="499">
          <cell r="A499" t="str">
            <v>VR3</v>
          </cell>
          <cell r="AZ499" t="str">
            <v>NO CUMPLE</v>
          </cell>
        </row>
        <row r="500">
          <cell r="A500" t="str">
            <v>VR3</v>
          </cell>
          <cell r="AZ500" t="str">
            <v>NO CUMPLE</v>
          </cell>
        </row>
        <row r="501">
          <cell r="A501" t="str">
            <v>VR3</v>
          </cell>
          <cell r="AZ501" t="str">
            <v>CUMPLE</v>
          </cell>
        </row>
        <row r="502">
          <cell r="A502" t="str">
            <v>VR3</v>
          </cell>
          <cell r="AZ502" t="str">
            <v>NO CUMPLE</v>
          </cell>
        </row>
        <row r="503">
          <cell r="A503" t="str">
            <v>VR3</v>
          </cell>
          <cell r="AZ503" t="str">
            <v>NO CUMPLE</v>
          </cell>
        </row>
        <row r="504">
          <cell r="A504" t="str">
            <v>VR3</v>
          </cell>
          <cell r="AZ504" t="str">
            <v>NO CUMPLE</v>
          </cell>
        </row>
        <row r="505">
          <cell r="A505" t="str">
            <v>VR3</v>
          </cell>
          <cell r="AZ505" t="str">
            <v>CUMPLE</v>
          </cell>
        </row>
        <row r="506">
          <cell r="A506" t="str">
            <v>VR3</v>
          </cell>
          <cell r="AZ506" t="str">
            <v>CUMPLE</v>
          </cell>
        </row>
        <row r="507">
          <cell r="A507" t="str">
            <v>VR3</v>
          </cell>
          <cell r="AZ507" t="str">
            <v>CUMPLE</v>
          </cell>
        </row>
        <row r="508">
          <cell r="A508" t="str">
            <v>VR3</v>
          </cell>
          <cell r="AZ508" t="str">
            <v>CUMPLE</v>
          </cell>
        </row>
        <row r="509">
          <cell r="A509" t="str">
            <v>VR3</v>
          </cell>
          <cell r="AZ509" t="str">
            <v>CUMPLE</v>
          </cell>
        </row>
        <row r="510">
          <cell r="A510" t="str">
            <v>VR3</v>
          </cell>
          <cell r="AZ510" t="str">
            <v>CUMPLE</v>
          </cell>
        </row>
        <row r="511">
          <cell r="A511" t="str">
            <v>VR3</v>
          </cell>
          <cell r="AZ511" t="str">
            <v>CUMPLE</v>
          </cell>
        </row>
        <row r="512">
          <cell r="A512" t="str">
            <v>VR3</v>
          </cell>
          <cell r="AZ512" t="str">
            <v>CUMPLE</v>
          </cell>
        </row>
        <row r="513">
          <cell r="A513" t="str">
            <v>VR3</v>
          </cell>
          <cell r="AZ513" t="str">
            <v>CUMPLE</v>
          </cell>
        </row>
        <row r="514">
          <cell r="A514" t="str">
            <v>VR3</v>
          </cell>
          <cell r="AZ514" t="str">
            <v>CUMPLE</v>
          </cell>
        </row>
        <row r="515">
          <cell r="A515" t="str">
            <v>VR3</v>
          </cell>
          <cell r="AZ515" t="str">
            <v>CUMPLE</v>
          </cell>
        </row>
        <row r="516">
          <cell r="A516" t="str">
            <v>VR3</v>
          </cell>
          <cell r="AZ516" t="str">
            <v>CUMPLE</v>
          </cell>
        </row>
        <row r="517">
          <cell r="A517" t="str">
            <v>VR3</v>
          </cell>
          <cell r="AZ517" t="str">
            <v>CUMPLE</v>
          </cell>
        </row>
        <row r="518">
          <cell r="A518" t="str">
            <v>VR3</v>
          </cell>
          <cell r="AZ518" t="str">
            <v>CUMPLE</v>
          </cell>
        </row>
        <row r="519">
          <cell r="A519" t="str">
            <v>VR3</v>
          </cell>
          <cell r="AZ519" t="str">
            <v>CUMPLE</v>
          </cell>
        </row>
        <row r="520">
          <cell r="A520" t="str">
            <v>VR3</v>
          </cell>
          <cell r="AZ520" t="str">
            <v>CUMPLE</v>
          </cell>
        </row>
        <row r="521">
          <cell r="A521" t="str">
            <v>VR3</v>
          </cell>
          <cell r="AZ521" t="str">
            <v>CUMPLE</v>
          </cell>
        </row>
        <row r="522">
          <cell r="A522" t="str">
            <v>VR3</v>
          </cell>
          <cell r="AZ522" t="str">
            <v>CUMPLE</v>
          </cell>
        </row>
        <row r="523">
          <cell r="A523" t="str">
            <v>VR3</v>
          </cell>
          <cell r="AZ523" t="str">
            <v>CUMPLE</v>
          </cell>
        </row>
        <row r="524">
          <cell r="A524" t="str">
            <v>VR3</v>
          </cell>
          <cell r="AZ524" t="str">
            <v>CUMPLE</v>
          </cell>
        </row>
        <row r="525">
          <cell r="A525" t="str">
            <v>VR3</v>
          </cell>
          <cell r="AZ525" t="str">
            <v>CUMPLE</v>
          </cell>
        </row>
        <row r="526">
          <cell r="A526" t="str">
            <v>VR3</v>
          </cell>
          <cell r="AZ526" t="str">
            <v>CUMPLE</v>
          </cell>
        </row>
        <row r="527">
          <cell r="A527" t="str">
            <v>VR3</v>
          </cell>
          <cell r="AZ527" t="str">
            <v>CUMPLE</v>
          </cell>
        </row>
        <row r="528">
          <cell r="A528" t="str">
            <v>VR3</v>
          </cell>
          <cell r="AZ528" t="str">
            <v>CUMPLE</v>
          </cell>
        </row>
        <row r="529">
          <cell r="A529" t="str">
            <v>VR3</v>
          </cell>
          <cell r="AZ529" t="str">
            <v>CUMPLE</v>
          </cell>
        </row>
        <row r="530">
          <cell r="A530" t="str">
            <v>VR3</v>
          </cell>
          <cell r="AZ530" t="str">
            <v>CUMPLE</v>
          </cell>
        </row>
        <row r="531">
          <cell r="A531" t="str">
            <v>VR3</v>
          </cell>
          <cell r="AZ531" t="str">
            <v>CUMPLE</v>
          </cell>
        </row>
        <row r="532">
          <cell r="A532" t="str">
            <v>VR3</v>
          </cell>
          <cell r="AZ532" t="str">
            <v>CUMPLE</v>
          </cell>
        </row>
        <row r="533">
          <cell r="A533" t="str">
            <v>VR3</v>
          </cell>
          <cell r="AZ533" t="str">
            <v>CUMPLE</v>
          </cell>
        </row>
        <row r="534">
          <cell r="A534" t="str">
            <v>VR3</v>
          </cell>
          <cell r="AZ534" t="str">
            <v>CUMPLE</v>
          </cell>
        </row>
        <row r="535">
          <cell r="A535" t="str">
            <v>VR3</v>
          </cell>
          <cell r="AZ535" t="str">
            <v>CUMPLE</v>
          </cell>
        </row>
        <row r="536">
          <cell r="A536" t="str">
            <v>VR3</v>
          </cell>
          <cell r="AZ536" t="str">
            <v>CUMPLE</v>
          </cell>
        </row>
        <row r="537">
          <cell r="A537" t="str">
            <v>VR3</v>
          </cell>
          <cell r="AZ537" t="str">
            <v>CUMPLE</v>
          </cell>
        </row>
        <row r="538">
          <cell r="A538" t="str">
            <v>VR3</v>
          </cell>
          <cell r="AZ538" t="str">
            <v>CUMPLE</v>
          </cell>
        </row>
        <row r="539">
          <cell r="A539" t="str">
            <v>VR3</v>
          </cell>
          <cell r="AZ539" t="str">
            <v>CUMPLE</v>
          </cell>
        </row>
        <row r="540">
          <cell r="A540" t="str">
            <v>VR3</v>
          </cell>
          <cell r="AZ540" t="str">
            <v>CUMPLE</v>
          </cell>
        </row>
        <row r="541">
          <cell r="A541" t="str">
            <v>VR3</v>
          </cell>
          <cell r="AZ541" t="str">
            <v>CUMPLE</v>
          </cell>
        </row>
        <row r="542">
          <cell r="A542" t="str">
            <v>VR3</v>
          </cell>
          <cell r="AZ542" t="str">
            <v>CUMPLE</v>
          </cell>
        </row>
        <row r="543">
          <cell r="A543" t="str">
            <v>VR3</v>
          </cell>
          <cell r="AZ543" t="str">
            <v>CUMPLE</v>
          </cell>
        </row>
        <row r="544">
          <cell r="A544" t="str">
            <v>VR3</v>
          </cell>
          <cell r="AZ544" t="str">
            <v>CUMPLE</v>
          </cell>
        </row>
        <row r="545">
          <cell r="A545" t="str">
            <v>VR3</v>
          </cell>
          <cell r="AZ545" t="str">
            <v>CUMPLE</v>
          </cell>
        </row>
        <row r="546">
          <cell r="A546" t="str">
            <v>VR3</v>
          </cell>
          <cell r="AZ546" t="str">
            <v>CUMPLE</v>
          </cell>
        </row>
        <row r="547">
          <cell r="A547" t="str">
            <v>VR3</v>
          </cell>
          <cell r="AZ547" t="str">
            <v>CUMPLE</v>
          </cell>
        </row>
        <row r="548">
          <cell r="A548" t="str">
            <v>VR3</v>
          </cell>
          <cell r="AZ548" t="str">
            <v>CUMPLE</v>
          </cell>
        </row>
        <row r="549">
          <cell r="A549" t="str">
            <v>VR3</v>
          </cell>
          <cell r="AZ549" t="str">
            <v>CUMPLE</v>
          </cell>
        </row>
        <row r="550">
          <cell r="A550" t="str">
            <v>VR3</v>
          </cell>
          <cell r="AZ550" t="str">
            <v>CUMPLE</v>
          </cell>
        </row>
        <row r="551">
          <cell r="A551" t="str">
            <v>VR3</v>
          </cell>
          <cell r="AZ551" t="str">
            <v>CUMPLE</v>
          </cell>
        </row>
        <row r="552">
          <cell r="A552" t="str">
            <v>VR3</v>
          </cell>
          <cell r="AZ552" t="str">
            <v>CUMPLE</v>
          </cell>
        </row>
        <row r="553">
          <cell r="A553" t="str">
            <v>VR3</v>
          </cell>
          <cell r="AZ553" t="str">
            <v>CUMPLE</v>
          </cell>
        </row>
        <row r="554">
          <cell r="A554" t="str">
            <v>VR3</v>
          </cell>
          <cell r="AZ554" t="str">
            <v>CUMPLE</v>
          </cell>
        </row>
        <row r="555">
          <cell r="A555" t="str">
            <v>VR3</v>
          </cell>
          <cell r="AZ555" t="str">
            <v>CUMPLE</v>
          </cell>
        </row>
        <row r="556">
          <cell r="A556" t="str">
            <v>VRAUX</v>
          </cell>
          <cell r="AZ556" t="str">
            <v>CUMPLE</v>
          </cell>
        </row>
        <row r="557">
          <cell r="A557" t="str">
            <v>VRAUX</v>
          </cell>
          <cell r="AZ557" t="str">
            <v>CUMPLE</v>
          </cell>
        </row>
        <row r="558">
          <cell r="A558" t="str">
            <v>VRAUX</v>
          </cell>
          <cell r="AZ558" t="str">
            <v>CUMPLE</v>
          </cell>
        </row>
        <row r="559">
          <cell r="A559" t="str">
            <v>VRAUX</v>
          </cell>
          <cell r="AZ559" t="str">
            <v>CUMPLE</v>
          </cell>
        </row>
        <row r="560">
          <cell r="A560" t="str">
            <v>VRAUX</v>
          </cell>
          <cell r="AZ560" t="str">
            <v>CUMPLE</v>
          </cell>
        </row>
        <row r="561">
          <cell r="A561" t="str">
            <v>VRAUX</v>
          </cell>
          <cell r="AZ561" t="str">
            <v>CUMPLE</v>
          </cell>
        </row>
        <row r="562">
          <cell r="A562" t="str">
            <v>VRAUX</v>
          </cell>
          <cell r="AZ562" t="str">
            <v>CUMPLE</v>
          </cell>
        </row>
        <row r="563">
          <cell r="A563" t="str">
            <v>VRAUX</v>
          </cell>
          <cell r="AZ563" t="str">
            <v>CUMPLE</v>
          </cell>
        </row>
        <row r="564">
          <cell r="A564" t="str">
            <v>VRAUX</v>
          </cell>
          <cell r="AZ564" t="str">
            <v>CUMPLE</v>
          </cell>
        </row>
        <row r="565">
          <cell r="A565" t="str">
            <v>VRAUX</v>
          </cell>
          <cell r="AZ565" t="str">
            <v>CUMPLE</v>
          </cell>
        </row>
        <row r="566">
          <cell r="A566" t="str">
            <v>VRAUX</v>
          </cell>
          <cell r="AZ566" t="str">
            <v>CUMPLE</v>
          </cell>
        </row>
        <row r="567">
          <cell r="A567" t="str">
            <v>VRAUX</v>
          </cell>
          <cell r="AZ567" t="str">
            <v>CUMPLE</v>
          </cell>
        </row>
        <row r="568">
          <cell r="A568" t="str">
            <v>VRAUX</v>
          </cell>
          <cell r="AZ568" t="str">
            <v>CUMPLE</v>
          </cell>
        </row>
        <row r="569">
          <cell r="A569" t="str">
            <v>VRAUX</v>
          </cell>
          <cell r="AZ569" t="str">
            <v>CUMPLE</v>
          </cell>
        </row>
        <row r="570">
          <cell r="A570" t="str">
            <v>VRAUX</v>
          </cell>
          <cell r="AZ570" t="str">
            <v>CUMPLE</v>
          </cell>
        </row>
        <row r="571">
          <cell r="A571" t="str">
            <v>VRAUX</v>
          </cell>
          <cell r="AZ571" t="str">
            <v>CUMPLE</v>
          </cell>
        </row>
        <row r="572">
          <cell r="A572" t="str">
            <v>VRAUX</v>
          </cell>
          <cell r="AZ572" t="str">
            <v>CUMPLE</v>
          </cell>
        </row>
        <row r="573">
          <cell r="A573" t="str">
            <v>VRAUX</v>
          </cell>
          <cell r="AZ573" t="str">
            <v>CUMPLE</v>
          </cell>
        </row>
        <row r="574">
          <cell r="A574" t="str">
            <v>VRAUX</v>
          </cell>
          <cell r="AZ574" t="str">
            <v>CUMPLE</v>
          </cell>
        </row>
        <row r="575">
          <cell r="A575" t="str">
            <v>VRAUX</v>
          </cell>
          <cell r="AZ575" t="str">
            <v>CUMPLE</v>
          </cell>
        </row>
        <row r="576">
          <cell r="A576" t="str">
            <v>VRAUX</v>
          </cell>
          <cell r="AZ576" t="str">
            <v>CUMPLE</v>
          </cell>
        </row>
        <row r="577">
          <cell r="A577" t="str">
            <v>VRAUX</v>
          </cell>
          <cell r="AZ577" t="str">
            <v>CUMPLE</v>
          </cell>
        </row>
        <row r="578">
          <cell r="A578" t="str">
            <v>VRAUX</v>
          </cell>
          <cell r="AZ578" t="str">
            <v>CUMPLE</v>
          </cell>
        </row>
        <row r="579">
          <cell r="A579" t="str">
            <v>VRAUX</v>
          </cell>
          <cell r="AZ579" t="str">
            <v>CUMPLE</v>
          </cell>
        </row>
        <row r="580">
          <cell r="A580" t="str">
            <v>VRAUX</v>
          </cell>
          <cell r="AZ580" t="str">
            <v>CUMPLE</v>
          </cell>
        </row>
        <row r="581">
          <cell r="A581" t="str">
            <v>VRAUX</v>
          </cell>
          <cell r="AZ581" t="str">
            <v>CUMPLE</v>
          </cell>
        </row>
        <row r="582">
          <cell r="A582" t="str">
            <v>VRAUX</v>
          </cell>
          <cell r="AZ582" t="str">
            <v>CUMPLE</v>
          </cell>
        </row>
        <row r="583">
          <cell r="A583" t="str">
            <v>VRAUX</v>
          </cell>
          <cell r="AZ583" t="str">
            <v>CUMPLE</v>
          </cell>
        </row>
        <row r="584">
          <cell r="A584" t="str">
            <v>VRAUX</v>
          </cell>
          <cell r="AZ584" t="str">
            <v>CUMPLE</v>
          </cell>
        </row>
        <row r="585">
          <cell r="A585" t="str">
            <v>VRAUX</v>
          </cell>
          <cell r="AZ585" t="str">
            <v>CUMPLE</v>
          </cell>
        </row>
        <row r="586">
          <cell r="A586" t="str">
            <v>VRAUX</v>
          </cell>
          <cell r="AZ586" t="str">
            <v>CUMPLE</v>
          </cell>
        </row>
        <row r="587">
          <cell r="A587" t="str">
            <v>VRAUX</v>
          </cell>
          <cell r="AZ587" t="str">
            <v>CUMPLE</v>
          </cell>
        </row>
        <row r="588">
          <cell r="A588" t="str">
            <v>VRAUX</v>
          </cell>
          <cell r="AZ588" t="str">
            <v>CUMPLE</v>
          </cell>
        </row>
        <row r="589">
          <cell r="A589" t="str">
            <v>VRAUX</v>
          </cell>
          <cell r="AZ589" t="str">
            <v>CUMPLE</v>
          </cell>
        </row>
        <row r="590">
          <cell r="A590" t="str">
            <v>VRAUX</v>
          </cell>
          <cell r="AZ590" t="str">
            <v>CUMPLE</v>
          </cell>
        </row>
        <row r="591">
          <cell r="A591" t="str">
            <v>VRAUX</v>
          </cell>
          <cell r="AZ591" t="str">
            <v>CUMPLE</v>
          </cell>
        </row>
        <row r="592">
          <cell r="A592" t="str">
            <v>VRAUX</v>
          </cell>
          <cell r="AZ592" t="str">
            <v>CUMPLE</v>
          </cell>
        </row>
        <row r="593">
          <cell r="A593" t="str">
            <v>VRAUX</v>
          </cell>
          <cell r="AZ593" t="str">
            <v>CUMPLE</v>
          </cell>
        </row>
        <row r="594">
          <cell r="A594" t="str">
            <v>VRAUX</v>
          </cell>
          <cell r="AZ594" t="str">
            <v>CUMPLE</v>
          </cell>
        </row>
        <row r="595">
          <cell r="A595" t="str">
            <v>VRAUX</v>
          </cell>
          <cell r="AZ595" t="str">
            <v>CUMPLE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08D2-6B61-40D0-B0F9-A29C86E1117F}">
  <dimension ref="A1:BJ10"/>
  <sheetViews>
    <sheetView topLeftCell="A2" zoomScale="90" zoomScaleNormal="100" workbookViewId="0">
      <selection activeCell="N15" sqref="N15"/>
    </sheetView>
  </sheetViews>
  <sheetFormatPr baseColWidth="10" defaultColWidth="8.88671875" defaultRowHeight="14.4" x14ac:dyDescent="0.3"/>
  <cols>
    <col min="1" max="2" width="12" customWidth="1"/>
    <col min="3" max="3" width="10" customWidth="1"/>
    <col min="4" max="5" width="11" customWidth="1"/>
    <col min="6" max="9" width="12" customWidth="1"/>
    <col min="10" max="62" width="14" customWidth="1"/>
  </cols>
  <sheetData>
    <row r="1" spans="1:62" ht="24" customHeight="1" x14ac:dyDescent="0.3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30" customHeight="1" thickBot="1" x14ac:dyDescent="0.35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ht="52.05" customHeight="1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4" t="s">
        <v>41</v>
      </c>
      <c r="AP3" s="4" t="s">
        <v>42</v>
      </c>
      <c r="AQ3" s="4" t="s">
        <v>43</v>
      </c>
      <c r="AR3" s="4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4" t="s">
        <v>57</v>
      </c>
      <c r="BF3" s="4" t="s">
        <v>58</v>
      </c>
      <c r="BG3" s="4" t="s">
        <v>59</v>
      </c>
      <c r="BH3" s="4" t="s">
        <v>60</v>
      </c>
      <c r="BI3" s="4" t="s">
        <v>61</v>
      </c>
      <c r="BJ3" s="5" t="s">
        <v>62</v>
      </c>
    </row>
    <row r="4" spans="1:62" x14ac:dyDescent="0.3">
      <c r="A4" s="6" t="s">
        <v>63</v>
      </c>
      <c r="B4" s="7">
        <v>154</v>
      </c>
      <c r="C4" s="8">
        <v>20</v>
      </c>
      <c r="D4" s="8">
        <v>3.15</v>
      </c>
      <c r="E4" s="8">
        <v>3.15</v>
      </c>
      <c r="F4" s="8">
        <v>450</v>
      </c>
      <c r="G4" s="8">
        <v>550</v>
      </c>
      <c r="H4" s="8">
        <v>450</v>
      </c>
      <c r="I4" s="8">
        <v>550</v>
      </c>
      <c r="J4" s="9">
        <v>33.429200000000002</v>
      </c>
      <c r="K4" s="8">
        <v>154</v>
      </c>
      <c r="L4" s="9">
        <v>21.621099999999998</v>
      </c>
      <c r="M4" s="8">
        <v>153</v>
      </c>
      <c r="N4" s="9">
        <v>26.942</v>
      </c>
      <c r="O4" s="9">
        <v>74.045000000000002</v>
      </c>
      <c r="P4" s="8">
        <v>154</v>
      </c>
      <c r="Q4" s="9">
        <v>13.2234</v>
      </c>
      <c r="R4" s="8">
        <f>MAX(MAX(1.4/[1]Parametros!$B$3,0.25*SQRT([1]Parametros!$B$2)/[1]Parametros!$B$3)*H4*U4,(0.85*[1]Parametros!$B$2/[1]Parametros!$B$3)*(1-SQRT(1-2*(J4*1000000/([1]Parametros!$B$5*H4*U4^2))/(0.85*[1]Parametros!$B$2)))*H4*U4)</f>
        <v>734.02500000000009</v>
      </c>
      <c r="S4" s="9">
        <v>4</v>
      </c>
      <c r="T4" s="9">
        <v>1</v>
      </c>
      <c r="U4" s="8">
        <f>IF(T4=1,I4-([1]Parametros!$B$7+[1]Parametros!$B$9+[1]Parametros!$B$12/2),I4-(ROUNDUP(S4/2,0)*([1]Parametros!$B$7+[1]Parametros!$B$9+[1]Parametros!$B$12/2)+ROUNDDOWN(S4/2,0)*([1]Parametros!$B$7+[1]Parametros!$B$9+[1]Parametros!$B$12/2+[1]Parametros!$B$12+[1]Parametros!$B$10))/S4)</f>
        <v>489.35</v>
      </c>
      <c r="V4" s="8">
        <f>S4*[1]Parametros!$B$8</f>
        <v>796</v>
      </c>
      <c r="W4" s="8">
        <f>[1]Parametros!$B$5*V4*[1]Parametros!$B$3*(U4-(V4*[1]Parametros!$B$3/(0.85*[1]Parametros!$B$2*H4))/2)/1000000</f>
        <v>142.54333009411764</v>
      </c>
      <c r="X4" s="8" t="str">
        <f t="shared" ref="X4:X10" si="0">IF(W4&gt;=J4,"CUMPLE","NO CUMPLE")</f>
        <v>CUMPLE</v>
      </c>
      <c r="Y4" s="8">
        <f>MAX(MAX(1.4/[1]Parametros!$B$3,0.25*SQRT([1]Parametros!$B$2)/[1]Parametros!$B$3)*H4*AB4,(0.85*[1]Parametros!$B$2/[1]Parametros!$B$3)*(1-SQRT(1-2*(L4*1000000/([1]Parametros!$B$5*H4*AB4^2))/(0.85*[1]Parametros!$B$2)))*H4*AB4)</f>
        <v>734.02500000000009</v>
      </c>
      <c r="Z4" s="9">
        <v>4</v>
      </c>
      <c r="AA4" s="9">
        <v>1</v>
      </c>
      <c r="AB4" s="8">
        <f>IF(AA4=1,I4-([1]Parametros!$B$7+[1]Parametros!$B$9+[1]Parametros!$B$12/2),I4-(ROUNDUP(Z4/2,0)*([1]Parametros!$B$7+[1]Parametros!$B$9+[1]Parametros!$B$12/2)+ROUNDDOWN(Z4/2,0)*([1]Parametros!$B$7+[1]Parametros!$B$9+[1]Parametros!$B$12/2+[1]Parametros!$B$12+[1]Parametros!$B$10))/Z4)</f>
        <v>489.35</v>
      </c>
      <c r="AC4" s="8">
        <f>Z4*[1]Parametros!$B$8</f>
        <v>796</v>
      </c>
      <c r="AD4" s="8">
        <f>[1]Parametros!$B$5*AC4*[1]Parametros!$B$3*(AB4-(AC4*[1]Parametros!$B$3/(0.85*[1]Parametros!$B$2*H4))/2)/1000000</f>
        <v>142.54333009411764</v>
      </c>
      <c r="AE4" s="8" t="str">
        <f t="shared" ref="AE4:AE10" si="1">IF(AD4&gt;=L4,"CUMPLE","NO CUMPLE")</f>
        <v>CUMPLE</v>
      </c>
      <c r="AF4" s="8">
        <f>V4*1.25*[1]Parametros!$B$3*(U4-(V4*1.25*[1]Parametros!$B$3/(0.85*[1]Parametros!$B$2*H4))/2)/1000000</f>
        <v>196.34621794117646</v>
      </c>
      <c r="AG4" s="8">
        <f>AC4*1.25*[1]Parametros!$B$3*(AB4-(AC4*1.25*[1]Parametros!$B$3/(0.85*[1]Parametros!$B$2*H4))/2)/1000000</f>
        <v>196.34621794117646</v>
      </c>
      <c r="AH4" s="8">
        <f t="shared" ref="AH4:AH10" si="2">N4+(AF4+AG4)/D4</f>
        <v>151.60626535947713</v>
      </c>
      <c r="AI4" s="8">
        <f t="shared" ref="AI4:AI10" si="3">MAX(O4,AH4)</f>
        <v>151.60626535947713</v>
      </c>
      <c r="AJ4" s="8">
        <f>0.17*SQRT([1]Parametros!$B$2)*H4*MIN(U4,AB4)/1000</f>
        <v>198.08885582262698</v>
      </c>
      <c r="AK4" s="8">
        <f>MAX(AI4/[1]Parametros!$B$6-AJ4,0)</f>
        <v>4.0528313233425308</v>
      </c>
      <c r="AL4" s="8">
        <f>0.66*SQRT([1]Parametros!$B$2)*H4*MIN(U4,AB4)/1000</f>
        <v>769.05085201725785</v>
      </c>
      <c r="AM4" s="8" t="str">
        <f t="shared" ref="AM4:AM10" si="4">IF(AK4&lt;=AL4,"CUMPLE","NO CUMPLE")</f>
        <v>CUMPLE</v>
      </c>
      <c r="AN4" s="8" t="s">
        <v>64</v>
      </c>
      <c r="AO4" s="9">
        <v>2</v>
      </c>
      <c r="AP4" s="8">
        <f>ROUNDDOWN(MIN(IF(BC4+BD4=0,1000000000,AO4*BB4/(BC4+BD4)),MIN(U4,AB4)/4,8*[1]Parametros!$B$12,24*BA4,300,IF(AV4=0,1000000000,2*((H4-2*([1]Parametros!$B$7+[1]Parametros!$B$9/2))+(I4-2*([1]Parametros!$B$7+[1]Parametros!$B$9/2)))/8))/10,0)*10</f>
        <v>120</v>
      </c>
      <c r="AQ4" s="8">
        <f>ROUNDDOWN(MIN(IF(BC4+BD4=0,1000000000,AO4*BB4/(BC4+BD4)),IF(AK4&gt;0.33*SQRT([1]Parametros!$B$2)*H4*MIN(U4,AB4)/1000,MIN(U4,AB4)/4,MIN(U4,AB4)/2),600,IF(AV4=0,1000000000,2*((H4-2*([1]Parametros!$B$7+[1]Parametros!$B$9/2))+(I4-2*([1]Parametros!$B$7+[1]Parametros!$B$9/2)))/8))/10,0)*10</f>
        <v>200</v>
      </c>
      <c r="AR4" s="8">
        <f>[1]Parametros!$B$6*(AJ4+MAX(BE4-BD4,0)*[1]Parametros!$B$4*MIN(U4,AB4)/1000)</f>
        <v>284.38004411144584</v>
      </c>
      <c r="AS4" s="8" t="str">
        <f t="shared" ref="AS4:AS10" si="5">IF(AND(ISERROR(SEARCH("referencia",AN4)),AM4="CUMPLE",AR4&gt;=AI4),"CUMPLE","NO CUMPLE")</f>
        <v>CUMPLE</v>
      </c>
      <c r="AT4" s="8">
        <f>[1]Parametros!$B$6*0.083*SQRT([1]Parametros!$B$2)*(H4*I4)^2/(2*(H4+I4))/1000000</f>
        <v>10.08878303333792</v>
      </c>
      <c r="AU4" s="8" t="str">
        <f t="shared" ref="AU4:AU10" si="6">IF(Q4&lt;=AT4,"DESPRECIABLE","DISEÑAR")</f>
        <v>DISEÑAR</v>
      </c>
      <c r="AV4" s="8">
        <f>IF(Q4&lt;=AT4,0,Q4*1000000/([1]Parametros!$B$6*2*0.85*(H4-2*([1]Parametros!$B$7+[1]Parametros!$B$9/2))*(I4-2*([1]Parametros!$B$7+[1]Parametros!$B$9/2))*[1]Parametros!$B$4))</f>
        <v>0.15112956855798171</v>
      </c>
      <c r="AW4" s="8">
        <f>AV4*2*((H4-2*([1]Parametros!$B$7+[1]Parametros!$B$9/2))+(I4-2*([1]Parametros!$B$7+[1]Parametros!$B$9/2)))*[1]Parametros!$B$4/[1]Parametros!$B$3</f>
        <v>246.22029309466382</v>
      </c>
      <c r="AX4" s="9">
        <v>8</v>
      </c>
      <c r="AY4" s="8" t="str">
        <f t="shared" ref="AY4:AY10" si="7">IF(AV4=0,"DESPRECIABLE",IF(AND(ISERROR(SEARCH("referencia",AN4)),BB4/AP4&gt;=AV4,BI4&gt;=AW4,BH4="CUMPLE"),"CUMPLE","NO CUMPLE"))</f>
        <v>CUMPLE</v>
      </c>
      <c r="AZ4" s="8" t="e">
        <f>IF(AND(X4="CUMPLE",AE4="CUMPLE",AS4="CUMPLE",OR(AY4="CUMPLE",AY4="DESPRECIABLE"),BH4="CUMPLE",BJ4="CUMPLE",COUNTIF('[1]Todas las Vigas (592)'!$A$4:$A$595,A4)=COUNTIFS('[1]Todas las Vigas (592)'!$A$4:$A$595,A4,'[1]Todas las Vigas (592)'!$AZ$4:$AZ$595,"CUMPLE")),"CUMPLE","NO CUMPLE")</f>
        <v>#VALUE!</v>
      </c>
      <c r="BA4" s="9">
        <v>9.5</v>
      </c>
      <c r="BB4" s="9">
        <v>71</v>
      </c>
      <c r="BC4" s="8">
        <f>MAX(IF(AK4=0,0,AK4*1000/([1]Parametros!$B$4*MIN(U4,AB4))),MAX(0.062*SQRT([1]Parametros!$B$2)*H4/[1]Parametros!$B$4,0.35*H4/[1]Parametros!$B$4))</f>
        <v>0.375</v>
      </c>
      <c r="BD4" s="8">
        <f t="shared" ref="BD4:BD10" si="8">2*AV4</f>
        <v>0.30225913711596342</v>
      </c>
      <c r="BE4" s="8">
        <f t="shared" ref="BE4:BE10" si="9">AO4*BB4/AP4</f>
        <v>1.1833333333333333</v>
      </c>
      <c r="BF4" s="8">
        <f>SQRT((AI4*1000/(H4*MIN(U4,AB4)))^2+(Q4*1000000*2*((H4-2*([1]Parametros!$B$7+[1]Parametros!$B$9/2))+(I4-2*([1]Parametros!$B$7+[1]Parametros!$B$9/2)))/(1.7*((H4-2*([1]Parametros!$B$7+[1]Parametros!$B$9/2))*(I4-2*([1]Parametros!$B$7+[1]Parametros!$B$9/2)))^2))^2)</f>
        <v>0.8362483544895376</v>
      </c>
      <c r="BG4" s="8">
        <f>[1]Parametros!$B$6*(AJ4*1000/(H4*MIN(U4,AB4))+0.66*SQRT([1]Parametros!$B$2))</f>
        <v>3.2939603822754151</v>
      </c>
      <c r="BH4" s="8" t="str">
        <f t="shared" ref="BH4:BH10" si="10">IF(BF4&lt;=BG4,"CUMPLE","NO CUMPLE")</f>
        <v>CUMPLE</v>
      </c>
      <c r="BI4" s="8">
        <f>AX4*[1]Parametros!$B$8</f>
        <v>1592</v>
      </c>
      <c r="BJ4" s="10" t="str">
        <f t="shared" ref="BJ4:BJ10" si="11">IF(BI4&gt;=AW4,"CUMPLE","NO CUMPLE")</f>
        <v>CUMPLE</v>
      </c>
    </row>
    <row r="5" spans="1:62" x14ac:dyDescent="0.3">
      <c r="A5" s="11" t="s">
        <v>65</v>
      </c>
      <c r="B5" s="12">
        <v>96</v>
      </c>
      <c r="C5" s="13">
        <v>40</v>
      </c>
      <c r="D5" s="13">
        <v>3.15</v>
      </c>
      <c r="E5" s="13">
        <v>3.4</v>
      </c>
      <c r="F5" s="13">
        <v>450</v>
      </c>
      <c r="G5" s="13">
        <v>550</v>
      </c>
      <c r="H5" s="13">
        <v>450</v>
      </c>
      <c r="I5" s="13">
        <v>550</v>
      </c>
      <c r="J5" s="14">
        <v>140.36580000000001</v>
      </c>
      <c r="K5" s="13">
        <v>56</v>
      </c>
      <c r="L5" s="14">
        <v>127.2041</v>
      </c>
      <c r="M5" s="13">
        <v>55</v>
      </c>
      <c r="N5" s="14">
        <v>84.474000000000004</v>
      </c>
      <c r="O5" s="14">
        <v>359.24400000000003</v>
      </c>
      <c r="P5" s="13">
        <v>56</v>
      </c>
      <c r="Q5" s="14">
        <v>5.4386000000000001</v>
      </c>
      <c r="R5" s="13">
        <f>MAX(MAX(1.4/[1]Parametros!$B$3,0.25*SQRT([1]Parametros!$B$2)/[1]Parametros!$B$3)*H5*U5,(0.85*[1]Parametros!$B$2/[1]Parametros!$B$3)*(1-SQRT(1-2*(J5*1000000/([1]Parametros!$B$5*H5*U5^2))/(0.85*[1]Parametros!$B$2)))*H5*U5)</f>
        <v>783.43258343631328</v>
      </c>
      <c r="S5" s="14">
        <v>4</v>
      </c>
      <c r="T5" s="14">
        <v>1</v>
      </c>
      <c r="U5" s="13">
        <f>IF(T5=1,I5-([1]Parametros!$B$7+[1]Parametros!$B$9+[1]Parametros!$B$12/2),I5-(ROUNDUP(S5/2,0)*([1]Parametros!$B$7+[1]Parametros!$B$9+[1]Parametros!$B$12/2)+ROUNDDOWN(S5/2,0)*([1]Parametros!$B$7+[1]Parametros!$B$9+[1]Parametros!$B$12/2+[1]Parametros!$B$12+[1]Parametros!$B$10))/S5)</f>
        <v>489.35</v>
      </c>
      <c r="V5" s="13">
        <f>S5*[1]Parametros!$B$8</f>
        <v>796</v>
      </c>
      <c r="W5" s="13">
        <f>[1]Parametros!$B$5*V5*[1]Parametros!$B$3*(U5-(V5*[1]Parametros!$B$3/(0.85*[1]Parametros!$B$2*H5))/2)/1000000</f>
        <v>142.54333009411764</v>
      </c>
      <c r="X5" s="13" t="str">
        <f t="shared" si="0"/>
        <v>CUMPLE</v>
      </c>
      <c r="Y5" s="13">
        <f>MAX(MAX(1.4/[1]Parametros!$B$3,0.25*SQRT([1]Parametros!$B$2)/[1]Parametros!$B$3)*H5*AB5,(0.85*[1]Parametros!$B$2/[1]Parametros!$B$3)*(1-SQRT(1-2*(L5*1000000/([1]Parametros!$B$5*H5*AB5^2))/(0.85*[1]Parametros!$B$2)))*H5*AB5)</f>
        <v>734.02500000000009</v>
      </c>
      <c r="Z5" s="14">
        <v>4</v>
      </c>
      <c r="AA5" s="14">
        <v>1</v>
      </c>
      <c r="AB5" s="13">
        <f>IF(AA5=1,I5-([1]Parametros!$B$7+[1]Parametros!$B$9+[1]Parametros!$B$12/2),I5-(ROUNDUP(Z5/2,0)*([1]Parametros!$B$7+[1]Parametros!$B$9+[1]Parametros!$B$12/2)+ROUNDDOWN(Z5/2,0)*([1]Parametros!$B$7+[1]Parametros!$B$9+[1]Parametros!$B$12/2+[1]Parametros!$B$12+[1]Parametros!$B$10))/Z5)</f>
        <v>489.35</v>
      </c>
      <c r="AC5" s="13">
        <f>Z5*[1]Parametros!$B$8</f>
        <v>796</v>
      </c>
      <c r="AD5" s="13">
        <f>[1]Parametros!$B$5*AC5*[1]Parametros!$B$3*(AB5-(AC5*[1]Parametros!$B$3/(0.85*[1]Parametros!$B$2*H5))/2)/1000000</f>
        <v>142.54333009411764</v>
      </c>
      <c r="AE5" s="13" t="str">
        <f t="shared" si="1"/>
        <v>CUMPLE</v>
      </c>
      <c r="AF5" s="13">
        <f>V5*1.25*[1]Parametros!$B$3*(U5-(V5*1.25*[1]Parametros!$B$3/(0.85*[1]Parametros!$B$2*H5))/2)/1000000</f>
        <v>196.34621794117646</v>
      </c>
      <c r="AG5" s="13">
        <f>AC5*1.25*[1]Parametros!$B$3*(AB5-(AC5*1.25*[1]Parametros!$B$3/(0.85*[1]Parametros!$B$2*H5))/2)/1000000</f>
        <v>196.34621794117646</v>
      </c>
      <c r="AH5" s="13">
        <f t="shared" si="2"/>
        <v>209.13826535947715</v>
      </c>
      <c r="AI5" s="13">
        <f t="shared" si="3"/>
        <v>359.24400000000003</v>
      </c>
      <c r="AJ5" s="13">
        <f>0.17*SQRT([1]Parametros!$B$2)*H5*MIN(U5,AB5)/1000</f>
        <v>198.08885582262698</v>
      </c>
      <c r="AK5" s="13">
        <f>MAX(AI5/[1]Parametros!$B$6-AJ5,0)</f>
        <v>280.90314417737306</v>
      </c>
      <c r="AL5" s="13">
        <f>0.66*SQRT([1]Parametros!$B$2)*H5*MIN(U5,AB5)/1000</f>
        <v>769.05085201725785</v>
      </c>
      <c r="AM5" s="13" t="str">
        <f t="shared" si="4"/>
        <v>CUMPLE</v>
      </c>
      <c r="AN5" s="13" t="s">
        <v>64</v>
      </c>
      <c r="AO5" s="14">
        <v>2</v>
      </c>
      <c r="AP5" s="13">
        <f>ROUNDDOWN(MIN(IF(BC5+BD5=0,1000000000,AO5*BB5/(BC5+BD5)),MIN(U5,AB5)/4,8*[1]Parametros!$B$12,24*BA5,300,IF(AV5=0,1000000000,2*((H5-2*([1]Parametros!$B$7+[1]Parametros!$B$9/2))+(I5-2*([1]Parametros!$B$7+[1]Parametros!$B$9/2)))/8))/10,0)*10</f>
        <v>100</v>
      </c>
      <c r="AQ5" s="13">
        <f>ROUNDDOWN(MIN(IF(BC5+BD5=0,1000000000,AO5*BB5/(BC5+BD5)),IF(AK5&gt;0.33*SQRT([1]Parametros!$B$2)*H5*MIN(U5,AB5)/1000,MIN(U5,AB5)/4,MIN(U5,AB5)/2),600,IF(AV5=0,1000000000,2*((H5-2*([1]Parametros!$B$7+[1]Parametros!$B$9/2))+(I5-2*([1]Parametros!$B$7+[1]Parametros!$B$9/2)))/8))/10,0)*10</f>
        <v>100</v>
      </c>
      <c r="AR5" s="13">
        <f>[1]Parametros!$B$6*(AJ5+MAX(BE5-BD5,0)*[1]Parametros!$B$4*MIN(U5,AB5)/1000)</f>
        <v>367.45289686697026</v>
      </c>
      <c r="AS5" s="13" t="str">
        <f t="shared" si="5"/>
        <v>CUMPLE</v>
      </c>
      <c r="AT5" s="13">
        <f>[1]Parametros!$B$6*0.083*SQRT([1]Parametros!$B$2)*(H5*I5)^2/(2*(H5+I5))/1000000</f>
        <v>10.08878303333792</v>
      </c>
      <c r="AU5" s="13" t="str">
        <f t="shared" si="6"/>
        <v>DESPRECIABLE</v>
      </c>
      <c r="AV5" s="13">
        <f>IF(Q5&lt;=AT5,0,Q5*1000000/([1]Parametros!$B$6*2*0.85*(H5-2*([1]Parametros!$B$7+[1]Parametros!$B$9/2))*(I5-2*([1]Parametros!$B$7+[1]Parametros!$B$9/2))*[1]Parametros!$B$4))</f>
        <v>0</v>
      </c>
      <c r="AW5" s="13">
        <f>AV5*2*((H5-2*([1]Parametros!$B$7+[1]Parametros!$B$9/2))+(I5-2*([1]Parametros!$B$7+[1]Parametros!$B$9/2)))*[1]Parametros!$B$4/[1]Parametros!$B$3</f>
        <v>0</v>
      </c>
      <c r="AX5" s="14">
        <v>0</v>
      </c>
      <c r="AY5" s="13" t="str">
        <f t="shared" si="7"/>
        <v>DESPRECIABLE</v>
      </c>
      <c r="AZ5" s="13" t="e">
        <f>IF(AND(X5="CUMPLE",AE5="CUMPLE",AS5="CUMPLE",OR(AY5="CUMPLE",AY5="DESPRECIABLE"),BH5="CUMPLE",BJ5="CUMPLE",COUNTIF('[1]Todas las Vigas (592)'!$A$4:$A$595,A5)=COUNTIFS('[1]Todas las Vigas (592)'!$A$4:$A$595,A5,'[1]Todas las Vigas (592)'!$AZ$4:$AZ$595,"CUMPLE")),"CUMPLE","NO CUMPLE")</f>
        <v>#VALUE!</v>
      </c>
      <c r="BA5" s="14">
        <v>9.5</v>
      </c>
      <c r="BB5" s="14">
        <v>71</v>
      </c>
      <c r="BC5" s="13">
        <f>MAX(IF(AK5=0,0,AK5*1000/([1]Parametros!$B$4*MIN(U5,AB5))),MAX(0.062*SQRT([1]Parametros!$B$2)*H5/[1]Parametros!$B$4,0.35*H5/[1]Parametros!$B$4))</f>
        <v>1.3667457033741217</v>
      </c>
      <c r="BD5" s="13">
        <f t="shared" si="8"/>
        <v>0</v>
      </c>
      <c r="BE5" s="13">
        <f t="shared" si="9"/>
        <v>1.42</v>
      </c>
      <c r="BF5" s="13">
        <f>SQRT((AI5*1000/(H5*MIN(U5,AB5)))^2+(Q5*1000000*2*((H5-2*([1]Parametros!$B$7+[1]Parametros!$B$9/2))+(I5-2*([1]Parametros!$B$7+[1]Parametros!$B$9/2)))/(1.7*((H5-2*([1]Parametros!$B$7+[1]Parametros!$B$9/2))*(I5-2*([1]Parametros!$B$7+[1]Parametros!$B$9/2)))^2))^2)</f>
        <v>1.6430286124546871</v>
      </c>
      <c r="BG5" s="13">
        <f>[1]Parametros!$B$6*(AJ5*1000/(H5*MIN(U5,AB5))+0.66*SQRT([1]Parametros!$B$2))</f>
        <v>3.2939603822754151</v>
      </c>
      <c r="BH5" s="13" t="str">
        <f t="shared" si="10"/>
        <v>CUMPLE</v>
      </c>
      <c r="BI5" s="13">
        <f>AX5*[1]Parametros!$B$8</f>
        <v>0</v>
      </c>
      <c r="BJ5" s="15" t="str">
        <f t="shared" si="11"/>
        <v>CUMPLE</v>
      </c>
    </row>
    <row r="6" spans="1:62" x14ac:dyDescent="0.3">
      <c r="A6" s="16" t="s">
        <v>66</v>
      </c>
      <c r="B6" s="17">
        <v>60</v>
      </c>
      <c r="C6" s="13">
        <v>40</v>
      </c>
      <c r="D6" s="13">
        <v>3.4</v>
      </c>
      <c r="E6" s="13">
        <v>3.4</v>
      </c>
      <c r="F6" s="13">
        <v>450</v>
      </c>
      <c r="G6" s="13">
        <v>550</v>
      </c>
      <c r="H6" s="13">
        <v>450</v>
      </c>
      <c r="I6" s="13">
        <v>550</v>
      </c>
      <c r="J6" s="14">
        <v>174.42359999999999</v>
      </c>
      <c r="K6" s="13">
        <v>60</v>
      </c>
      <c r="L6" s="14">
        <v>154.8853</v>
      </c>
      <c r="M6" s="13">
        <v>57</v>
      </c>
      <c r="N6" s="14">
        <v>90.89</v>
      </c>
      <c r="O6" s="14">
        <v>396.27499999999998</v>
      </c>
      <c r="P6" s="13">
        <v>58</v>
      </c>
      <c r="Q6" s="14">
        <v>2.7885</v>
      </c>
      <c r="R6" s="13">
        <f>MAX(MAX(1.4/[1]Parametros!$B$3,0.25*SQRT([1]Parametros!$B$2)/[1]Parametros!$B$3)*H6*U6,(0.85*[1]Parametros!$B$2/[1]Parametros!$B$3)*(1-SQRT(1-2*(J6*1000000/([1]Parametros!$B$5*H6*U6^2))/(0.85*[1]Parametros!$B$2)))*H6*U6)</f>
        <v>981.56683685463838</v>
      </c>
      <c r="S6" s="14">
        <v>5</v>
      </c>
      <c r="T6" s="14">
        <v>1</v>
      </c>
      <c r="U6" s="13">
        <f>IF(T6=1,I6-([1]Parametros!$B$7+[1]Parametros!$B$9+[1]Parametros!$B$12/2),I6-(ROUNDUP(S6/2,0)*([1]Parametros!$B$7+[1]Parametros!$B$9+[1]Parametros!$B$12/2)+ROUNDDOWN(S6/2,0)*([1]Parametros!$B$7+[1]Parametros!$B$9+[1]Parametros!$B$12/2+[1]Parametros!$B$12+[1]Parametros!$B$10))/S6)</f>
        <v>489.35</v>
      </c>
      <c r="V6" s="13">
        <f>S6*[1]Parametros!$B$8</f>
        <v>995</v>
      </c>
      <c r="W6" s="13">
        <f>[1]Parametros!$B$5*V6*[1]Parametros!$B$3*(U6-(V6*[1]Parametros!$B$3/(0.85*[1]Parametros!$B$2*H6))/2)/1000000</f>
        <v>176.71159614705886</v>
      </c>
      <c r="X6" s="13" t="str">
        <f t="shared" si="0"/>
        <v>CUMPLE</v>
      </c>
      <c r="Y6" s="13">
        <f>MAX(MAX(1.4/[1]Parametros!$B$3,0.25*SQRT([1]Parametros!$B$2)/[1]Parametros!$B$3)*H6*AB6,(0.85*[1]Parametros!$B$2/[1]Parametros!$B$3)*(1-SQRT(1-2*(L6*1000000/([1]Parametros!$B$5*H6*AB6^2))/(0.85*[1]Parametros!$B$2)))*H6*AB6)</f>
        <v>867.48759319463932</v>
      </c>
      <c r="Z6" s="14">
        <v>5</v>
      </c>
      <c r="AA6" s="14">
        <v>1</v>
      </c>
      <c r="AB6" s="13">
        <f>IF(AA6=1,I6-([1]Parametros!$B$7+[1]Parametros!$B$9+[1]Parametros!$B$12/2),I6-(ROUNDUP(Z6/2,0)*([1]Parametros!$B$7+[1]Parametros!$B$9+[1]Parametros!$B$12/2)+ROUNDDOWN(Z6/2,0)*([1]Parametros!$B$7+[1]Parametros!$B$9+[1]Parametros!$B$12/2+[1]Parametros!$B$12+[1]Parametros!$B$10))/Z6)</f>
        <v>489.35</v>
      </c>
      <c r="AC6" s="13">
        <f>Z6*[1]Parametros!$B$8</f>
        <v>995</v>
      </c>
      <c r="AD6" s="13">
        <f>[1]Parametros!$B$5*AC6*[1]Parametros!$B$3*(AB6-(AC6*[1]Parametros!$B$3/(0.85*[1]Parametros!$B$2*H6))/2)/1000000</f>
        <v>176.71159614705886</v>
      </c>
      <c r="AE6" s="13" t="str">
        <f t="shared" si="1"/>
        <v>CUMPLE</v>
      </c>
      <c r="AF6" s="13">
        <f>V6*1.25*[1]Parametros!$B$3*(U6-(V6*1.25*[1]Parametros!$B$3/(0.85*[1]Parametros!$B$2*H6))/2)/1000000</f>
        <v>242.88491397058826</v>
      </c>
      <c r="AG6" s="13">
        <f>AC6*1.25*[1]Parametros!$B$3*(AB6-(AC6*1.25*[1]Parametros!$B$3/(0.85*[1]Parametros!$B$2*H6))/2)/1000000</f>
        <v>242.88491397058826</v>
      </c>
      <c r="AH6" s="13">
        <f t="shared" si="2"/>
        <v>233.76347880622836</v>
      </c>
      <c r="AI6" s="13">
        <f t="shared" si="3"/>
        <v>396.27499999999998</v>
      </c>
      <c r="AJ6" s="13">
        <f>0.17*SQRT([1]Parametros!$B$2)*H6*MIN(U6,AB6)/1000</f>
        <v>198.08885582262698</v>
      </c>
      <c r="AK6" s="13">
        <f>MAX(AI6/[1]Parametros!$B$6-AJ6,0)</f>
        <v>330.27781084403966</v>
      </c>
      <c r="AL6" s="13">
        <f>0.66*SQRT([1]Parametros!$B$2)*H6*MIN(U6,AB6)/1000</f>
        <v>769.05085201725785</v>
      </c>
      <c r="AM6" s="13" t="str">
        <f t="shared" si="4"/>
        <v>CUMPLE</v>
      </c>
      <c r="AN6" s="13" t="s">
        <v>64</v>
      </c>
      <c r="AO6" s="14">
        <v>2</v>
      </c>
      <c r="AP6" s="13">
        <f>ROUNDDOWN(MIN(IF(BC6+BD6=0,1000000000,AO6*BB6/(BC6+BD6)),MIN(U6,AB6)/4,8*[1]Parametros!$B$12,24*BA6,300,IF(AV6=0,1000000000,2*((H6-2*([1]Parametros!$B$7+[1]Parametros!$B$9/2))+(I6-2*([1]Parametros!$B$7+[1]Parametros!$B$9/2)))/8))/10,0)*10</f>
        <v>80</v>
      </c>
      <c r="AQ6" s="13">
        <f>ROUNDDOWN(MIN(IF(BC6+BD6=0,1000000000,AO6*BB6/(BC6+BD6)),IF(AK6&gt;0.33*SQRT([1]Parametros!$B$2)*H6*MIN(U6,AB6)/1000,MIN(U6,AB6)/4,MIN(U6,AB6)/2),600,IF(AV6=0,1000000000,2*((H6-2*([1]Parametros!$B$7+[1]Parametros!$B$9/2))+(I6-2*([1]Parametros!$B$7+[1]Parametros!$B$9/2)))/8))/10,0)*10</f>
        <v>80</v>
      </c>
      <c r="AR6" s="13">
        <f>[1]Parametros!$B$6*(AJ6+MAX(BE6-BD6,0)*[1]Parametros!$B$4*MIN(U6,AB6)/1000)</f>
        <v>422.17446061697024</v>
      </c>
      <c r="AS6" s="13" t="str">
        <f t="shared" si="5"/>
        <v>CUMPLE</v>
      </c>
      <c r="AT6" s="13">
        <f>[1]Parametros!$B$6*0.083*SQRT([1]Parametros!$B$2)*(H6*I6)^2/(2*(H6+I6))/1000000</f>
        <v>10.08878303333792</v>
      </c>
      <c r="AU6" s="13" t="str">
        <f t="shared" si="6"/>
        <v>DESPRECIABLE</v>
      </c>
      <c r="AV6" s="13">
        <f>IF(Q6&lt;=AT6,0,Q6*1000000/([1]Parametros!$B$6*2*0.85*(H6-2*([1]Parametros!$B$7+[1]Parametros!$B$9/2))*(I6-2*([1]Parametros!$B$7+[1]Parametros!$B$9/2))*[1]Parametros!$B$4))</f>
        <v>0</v>
      </c>
      <c r="AW6" s="13">
        <f>AV6*2*((H6-2*([1]Parametros!$B$7+[1]Parametros!$B$9/2))+(I6-2*([1]Parametros!$B$7+[1]Parametros!$B$9/2)))*[1]Parametros!$B$4/[1]Parametros!$B$3</f>
        <v>0</v>
      </c>
      <c r="AX6" s="14">
        <v>0</v>
      </c>
      <c r="AY6" s="13" t="str">
        <f t="shared" si="7"/>
        <v>DESPRECIABLE</v>
      </c>
      <c r="AZ6" s="13" t="e">
        <f>IF(AND(X6="CUMPLE",AE6="CUMPLE",AS6="CUMPLE",OR(AY6="CUMPLE",AY6="DESPRECIABLE"),BH6="CUMPLE",BJ6="CUMPLE",COUNTIF('[1]Todas las Vigas (592)'!$A$4:$A$595,A6)=COUNTIFS('[1]Todas las Vigas (592)'!$A$4:$A$595,A6,'[1]Todas las Vigas (592)'!$AZ$4:$AZ$595,"CUMPLE")),"CUMPLE","NO CUMPLE")</f>
        <v>#VALUE!</v>
      </c>
      <c r="BA6" s="14">
        <v>9.5</v>
      </c>
      <c r="BB6" s="14">
        <v>71</v>
      </c>
      <c r="BC6" s="13">
        <f>MAX(IF(AK6=0,0,AK6*1000/([1]Parametros!$B$4*MIN(U6,AB6))),MAX(0.062*SQRT([1]Parametros!$B$2)*H6/[1]Parametros!$B$4,0.35*H6/[1]Parametros!$B$4))</f>
        <v>1.6069801575658655</v>
      </c>
      <c r="BD6" s="13">
        <f t="shared" si="8"/>
        <v>0</v>
      </c>
      <c r="BE6" s="13">
        <f t="shared" si="9"/>
        <v>1.7749999999999999</v>
      </c>
      <c r="BF6" s="13">
        <f>SQRT((AI6*1000/(H6*MIN(U6,AB6)))^2+(Q6*1000000*2*((H6-2*([1]Parametros!$B$7+[1]Parametros!$B$9/2))+(I6-2*([1]Parametros!$B$7+[1]Parametros!$B$9/2)))/(1.7*((H6-2*([1]Parametros!$B$7+[1]Parametros!$B$9/2))*(I6-2*([1]Parametros!$B$7+[1]Parametros!$B$9/2)))^2))^2)</f>
        <v>1.8023344906363552</v>
      </c>
      <c r="BG6" s="13">
        <f>[1]Parametros!$B$6*(AJ6*1000/(H6*MIN(U6,AB6))+0.66*SQRT([1]Parametros!$B$2))</f>
        <v>3.2939603822754151</v>
      </c>
      <c r="BH6" s="13" t="str">
        <f t="shared" si="10"/>
        <v>CUMPLE</v>
      </c>
      <c r="BI6" s="13">
        <f>AX6*[1]Parametros!$B$8</f>
        <v>0</v>
      </c>
      <c r="BJ6" s="15" t="str">
        <f t="shared" si="11"/>
        <v>CUMPLE</v>
      </c>
    </row>
    <row r="7" spans="1:62" x14ac:dyDescent="0.3">
      <c r="A7" s="18" t="s">
        <v>67</v>
      </c>
      <c r="B7" s="19">
        <v>88</v>
      </c>
      <c r="C7" s="13">
        <v>20</v>
      </c>
      <c r="D7" s="13">
        <v>3.25</v>
      </c>
      <c r="E7" s="13">
        <v>3.25</v>
      </c>
      <c r="F7" s="13">
        <v>450</v>
      </c>
      <c r="G7" s="13">
        <v>550</v>
      </c>
      <c r="H7" s="13">
        <v>450</v>
      </c>
      <c r="I7" s="13">
        <v>550</v>
      </c>
      <c r="J7" s="14">
        <v>204.95920000000001</v>
      </c>
      <c r="K7" s="13">
        <v>61</v>
      </c>
      <c r="L7" s="14">
        <v>173.58680000000001</v>
      </c>
      <c r="M7" s="13">
        <v>62</v>
      </c>
      <c r="N7" s="14">
        <v>118.968</v>
      </c>
      <c r="O7" s="14">
        <v>506.77</v>
      </c>
      <c r="P7" s="13">
        <v>61</v>
      </c>
      <c r="Q7" s="14">
        <v>74.8185</v>
      </c>
      <c r="R7" s="13">
        <f>MAX(MAX(1.4/[1]Parametros!$B$3,0.25*SQRT([1]Parametros!$B$2)/[1]Parametros!$B$3)*H7*U7,(0.85*[1]Parametros!$B$2/[1]Parametros!$B$3)*(1-SQRT(1-2*(J7*1000000/([1]Parametros!$B$5*H7*U7^2))/(0.85*[1]Parametros!$B$2)))*H7*U7)</f>
        <v>1162.1594903983632</v>
      </c>
      <c r="S7" s="14">
        <v>6</v>
      </c>
      <c r="T7" s="14">
        <v>1</v>
      </c>
      <c r="U7" s="13">
        <f>IF(T7=1,I7-([1]Parametros!$B$7+[1]Parametros!$B$9+[1]Parametros!$B$12/2),I7-(ROUNDUP(S7/2,0)*([1]Parametros!$B$7+[1]Parametros!$B$9+[1]Parametros!$B$12/2)+ROUNDDOWN(S7/2,0)*([1]Parametros!$B$7+[1]Parametros!$B$9+[1]Parametros!$B$12/2+[1]Parametros!$B$12+[1]Parametros!$B$10))/S7)</f>
        <v>489.35</v>
      </c>
      <c r="V7" s="13">
        <f>S7*[1]Parametros!$B$8</f>
        <v>1194</v>
      </c>
      <c r="W7" s="13">
        <f>[1]Parametros!$B$5*V7*[1]Parametros!$B$3*(U7-(V7*[1]Parametros!$B$3/(0.85*[1]Parametros!$B$2*H7))/2)/1000000</f>
        <v>210.29283561176473</v>
      </c>
      <c r="X7" s="13" t="str">
        <f t="shared" si="0"/>
        <v>CUMPLE</v>
      </c>
      <c r="Y7" s="13">
        <f>MAX(MAX(1.4/[1]Parametros!$B$3,0.25*SQRT([1]Parametros!$B$2)/[1]Parametros!$B$3)*H7*AB7,(0.85*[1]Parametros!$B$2/[1]Parametros!$B$3)*(1-SQRT(1-2*(L7*1000000/([1]Parametros!$B$5*H7*AB7^2))/(0.85*[1]Parametros!$B$2)))*H7*AB7)</f>
        <v>976.65777879508857</v>
      </c>
      <c r="Z7" s="14">
        <v>5</v>
      </c>
      <c r="AA7" s="14">
        <v>1</v>
      </c>
      <c r="AB7" s="13">
        <f>IF(AA7=1,I7-([1]Parametros!$B$7+[1]Parametros!$B$9+[1]Parametros!$B$12/2),I7-(ROUNDUP(Z7/2,0)*([1]Parametros!$B$7+[1]Parametros!$B$9+[1]Parametros!$B$12/2)+ROUNDDOWN(Z7/2,0)*([1]Parametros!$B$7+[1]Parametros!$B$9+[1]Parametros!$B$12/2+[1]Parametros!$B$12+[1]Parametros!$B$10))/Z7)</f>
        <v>489.35</v>
      </c>
      <c r="AC7" s="13">
        <f>Z7*[1]Parametros!$B$8</f>
        <v>995</v>
      </c>
      <c r="AD7" s="13">
        <f>[1]Parametros!$B$5*AC7*[1]Parametros!$B$3*(AB7-(AC7*[1]Parametros!$B$3/(0.85*[1]Parametros!$B$2*H7))/2)/1000000</f>
        <v>176.71159614705886</v>
      </c>
      <c r="AE7" s="13" t="str">
        <f t="shared" si="1"/>
        <v>CUMPLE</v>
      </c>
      <c r="AF7" s="13">
        <f>V7*1.25*[1]Parametros!$B$3*(U7-(V7*1.25*[1]Parametros!$B$3/(0.85*[1]Parametros!$B$2*H7))/2)/1000000</f>
        <v>288.40446661764707</v>
      </c>
      <c r="AG7" s="13">
        <f>AC7*1.25*[1]Parametros!$B$3*(AB7-(AC7*1.25*[1]Parametros!$B$3/(0.85*[1]Parametros!$B$2*H7))/2)/1000000</f>
        <v>242.88491397058826</v>
      </c>
      <c r="AH7" s="13">
        <f t="shared" si="2"/>
        <v>282.44165556561086</v>
      </c>
      <c r="AI7" s="13">
        <f t="shared" si="3"/>
        <v>506.77</v>
      </c>
      <c r="AJ7" s="13">
        <f>0.17*SQRT([1]Parametros!$B$2)*H7*MIN(U7,AB7)/1000</f>
        <v>198.08885582262698</v>
      </c>
      <c r="AK7" s="13">
        <f>MAX(AI7/[1]Parametros!$B$6-AJ7,0)</f>
        <v>477.60447751070626</v>
      </c>
      <c r="AL7" s="13">
        <f>0.66*SQRT([1]Parametros!$B$2)*H7*MIN(U7,AB7)/1000</f>
        <v>769.05085201725785</v>
      </c>
      <c r="AM7" s="13" t="str">
        <f t="shared" si="4"/>
        <v>CUMPLE</v>
      </c>
      <c r="AN7" s="13" t="s">
        <v>68</v>
      </c>
      <c r="AO7" s="14">
        <v>4</v>
      </c>
      <c r="AP7" s="13">
        <f>ROUNDDOWN(MIN(IF(BC7+BD7=0,1000000000,AO7*BB7/(BC7+BD7)),MIN(U7,AB7)/4,8*[1]Parametros!$B$12,24*BA7,300,IF(AV7=0,1000000000,2*((H7-2*([1]Parametros!$B$7+[1]Parametros!$B$9/2))+(I7-2*([1]Parametros!$B$7+[1]Parametros!$B$9/2)))/8))/10,0)*10</f>
        <v>120</v>
      </c>
      <c r="AQ7" s="13">
        <f>ROUNDDOWN(MIN(IF(BC7+BD7=0,1000000000,AO7*BB7/(BC7+BD7)),IF(AK7&gt;0.33*SQRT([1]Parametros!$B$2)*H7*MIN(U7,AB7)/1000,MIN(U7,AB7)/4,MIN(U7,AB7)/2),600,IF(AV7=0,1000000000,2*((H7-2*([1]Parametros!$B$7+[1]Parametros!$B$9/2))+(I7-2*([1]Parametros!$B$7+[1]Parametros!$B$9/2)))/8))/10,0)*10</f>
        <v>120</v>
      </c>
      <c r="AR7" s="13">
        <f>[1]Parametros!$B$6*(AJ7+MAX(BE7-BD7,0)*[1]Parametros!$B$4*MIN(U7,AB7)/1000)</f>
        <v>547.772982857339</v>
      </c>
      <c r="AS7" s="13" t="str">
        <f t="shared" si="5"/>
        <v>CUMPLE</v>
      </c>
      <c r="AT7" s="13">
        <f>[1]Parametros!$B$6*0.083*SQRT([1]Parametros!$B$2)*(H7*I7)^2/(2*(H7+I7))/1000000</f>
        <v>10.08878303333792</v>
      </c>
      <c r="AU7" s="13" t="str">
        <f t="shared" si="6"/>
        <v>DISEÑAR</v>
      </c>
      <c r="AV7" s="13">
        <f>IF(Q7&lt;=AT7,0,Q7*1000000/([1]Parametros!$B$6*2*0.85*(H7-2*([1]Parametros!$B$7+[1]Parametros!$B$9/2))*(I7-2*([1]Parametros!$B$7+[1]Parametros!$B$9/2))*[1]Parametros!$B$4))</f>
        <v>0.85509684537678321</v>
      </c>
      <c r="AW7" s="13">
        <f>AV7*2*((H7-2*([1]Parametros!$B$7+[1]Parametros!$B$9/2))+(I7-2*([1]Parametros!$B$7+[1]Parametros!$B$9/2)))*[1]Parametros!$B$4/[1]Parametros!$B$3</f>
        <v>1393.1237804878554</v>
      </c>
      <c r="AX7" s="14">
        <v>8</v>
      </c>
      <c r="AY7" s="13" t="str">
        <f t="shared" si="7"/>
        <v>NO CUMPLE</v>
      </c>
      <c r="AZ7" s="13" t="e">
        <f>IF(AND(X7="CUMPLE",AE7="CUMPLE",AS7="CUMPLE",OR(AY7="CUMPLE",AY7="DESPRECIABLE"),BH7="CUMPLE",BJ7="CUMPLE",COUNTIF('[1]Todas las Vigas (592)'!$A$4:$A$595,A7)=COUNTIFS('[1]Todas las Vigas (592)'!$A$4:$A$595,A7,'[1]Todas las Vigas (592)'!$AZ$4:$AZ$595,"CUMPLE")),"CUMPLE","NO CUMPLE")</f>
        <v>#VALUE!</v>
      </c>
      <c r="BA7" s="14">
        <v>12.7</v>
      </c>
      <c r="BB7" s="14">
        <v>129</v>
      </c>
      <c r="BC7" s="13">
        <f>MAX(IF(AK7=0,0,AK7*1000/([1]Parametros!$B$4*MIN(U7,AB7))),MAX(0.062*SQRT([1]Parametros!$B$2)*H7/[1]Parametros!$B$4,0.35*H7/[1]Parametros!$B$4))</f>
        <v>2.3238040622920897</v>
      </c>
      <c r="BD7" s="13">
        <f t="shared" si="8"/>
        <v>1.7101936907535664</v>
      </c>
      <c r="BE7" s="13">
        <f t="shared" si="9"/>
        <v>4.3</v>
      </c>
      <c r="BF7" s="13">
        <f>SQRT((AI7*1000/(H7*MIN(U7,AB7)))^2+(Q7*1000000*2*((H7-2*([1]Parametros!$B$7+[1]Parametros!$B$9/2))+(I7-2*([1]Parametros!$B$7+[1]Parametros!$B$9/2)))/(1.7*((H7-2*([1]Parametros!$B$7+[1]Parametros!$B$9/2))*(I7-2*([1]Parametros!$B$7+[1]Parametros!$B$9/2)))^2))^2)</f>
        <v>3.5368609520599219</v>
      </c>
      <c r="BG7" s="13">
        <f>[1]Parametros!$B$6*(AJ7*1000/(H7*MIN(U7,AB7))+0.66*SQRT([1]Parametros!$B$2))</f>
        <v>3.2939603822754151</v>
      </c>
      <c r="BH7" s="13" t="str">
        <f t="shared" si="10"/>
        <v>NO CUMPLE</v>
      </c>
      <c r="BI7" s="13">
        <f>AX7*[1]Parametros!$B$8</f>
        <v>1592</v>
      </c>
      <c r="BJ7" s="15" t="str">
        <f t="shared" si="11"/>
        <v>CUMPLE</v>
      </c>
    </row>
    <row r="8" spans="1:62" ht="28.8" x14ac:dyDescent="0.3">
      <c r="A8" s="20" t="s">
        <v>69</v>
      </c>
      <c r="B8" s="21">
        <v>84</v>
      </c>
      <c r="C8" s="13">
        <v>40</v>
      </c>
      <c r="D8" s="13">
        <v>3.3</v>
      </c>
      <c r="E8" s="13">
        <v>3.3</v>
      </c>
      <c r="F8" s="13">
        <v>450</v>
      </c>
      <c r="G8" s="13">
        <v>550</v>
      </c>
      <c r="H8" s="13">
        <v>450</v>
      </c>
      <c r="I8" s="13">
        <v>550</v>
      </c>
      <c r="J8" s="14">
        <v>199.483</v>
      </c>
      <c r="K8" s="13">
        <v>84</v>
      </c>
      <c r="L8" s="14">
        <v>139.66929999999999</v>
      </c>
      <c r="M8" s="13">
        <v>63</v>
      </c>
      <c r="N8" s="14">
        <v>140.953</v>
      </c>
      <c r="O8" s="14">
        <v>491.12900000000002</v>
      </c>
      <c r="P8" s="13">
        <v>84</v>
      </c>
      <c r="Q8" s="14">
        <v>124.26609999999999</v>
      </c>
      <c r="R8" s="13">
        <f>MAX(MAX(1.4/[1]Parametros!$B$3,0.25*SQRT([1]Parametros!$B$2)/[1]Parametros!$B$3)*H8*U8,(0.85*[1]Parametros!$B$2/[1]Parametros!$B$3)*(1-SQRT(1-2*(J8*1000000/([1]Parametros!$B$5*H8*U8^2))/(0.85*[1]Parametros!$B$2)))*H8*U8)</f>
        <v>1129.5608513394839</v>
      </c>
      <c r="S8" s="14">
        <v>6</v>
      </c>
      <c r="T8" s="14">
        <v>1</v>
      </c>
      <c r="U8" s="13">
        <f>IF(T8=1,I8-([1]Parametros!$B$7+[1]Parametros!$B$9+[1]Parametros!$B$12/2),I8-(ROUNDUP(S8/2,0)*([1]Parametros!$B$7+[1]Parametros!$B$9+[1]Parametros!$B$12/2)+ROUNDDOWN(S8/2,0)*([1]Parametros!$B$7+[1]Parametros!$B$9+[1]Parametros!$B$12/2+[1]Parametros!$B$12+[1]Parametros!$B$10))/S8)</f>
        <v>489.35</v>
      </c>
      <c r="V8" s="13">
        <f>S8*[1]Parametros!$B$8</f>
        <v>1194</v>
      </c>
      <c r="W8" s="13">
        <f>[1]Parametros!$B$5*V8*[1]Parametros!$B$3*(U8-(V8*[1]Parametros!$B$3/(0.85*[1]Parametros!$B$2*H8))/2)/1000000</f>
        <v>210.29283561176473</v>
      </c>
      <c r="X8" s="13" t="str">
        <f t="shared" si="0"/>
        <v>CUMPLE</v>
      </c>
      <c r="Y8" s="13">
        <f>MAX(MAX(1.4/[1]Parametros!$B$3,0.25*SQRT([1]Parametros!$B$2)/[1]Parametros!$B$3)*H8*AB8,(0.85*[1]Parametros!$B$2/[1]Parametros!$B$3)*(1-SQRT(1-2*(L8*1000000/([1]Parametros!$B$5*H8*AB8^2))/(0.85*[1]Parametros!$B$2)))*H8*AB8)</f>
        <v>779.41564682379351</v>
      </c>
      <c r="Z8" s="14">
        <v>4</v>
      </c>
      <c r="AA8" s="14">
        <v>1</v>
      </c>
      <c r="AB8" s="13">
        <f>IF(AA8=1,I8-([1]Parametros!$B$7+[1]Parametros!$B$9+[1]Parametros!$B$12/2),I8-(ROUNDUP(Z8/2,0)*([1]Parametros!$B$7+[1]Parametros!$B$9+[1]Parametros!$B$12/2)+ROUNDDOWN(Z8/2,0)*([1]Parametros!$B$7+[1]Parametros!$B$9+[1]Parametros!$B$12/2+[1]Parametros!$B$12+[1]Parametros!$B$10))/Z8)</f>
        <v>489.35</v>
      </c>
      <c r="AC8" s="13">
        <f>Z8*[1]Parametros!$B$8</f>
        <v>796</v>
      </c>
      <c r="AD8" s="13">
        <f>[1]Parametros!$B$5*AC8*[1]Parametros!$B$3*(AB8-(AC8*[1]Parametros!$B$3/(0.85*[1]Parametros!$B$2*H8))/2)/1000000</f>
        <v>142.54333009411764</v>
      </c>
      <c r="AE8" s="13" t="str">
        <f t="shared" si="1"/>
        <v>CUMPLE</v>
      </c>
      <c r="AF8" s="13">
        <f>V8*1.25*[1]Parametros!$B$3*(U8-(V8*1.25*[1]Parametros!$B$3/(0.85*[1]Parametros!$B$2*H8))/2)/1000000</f>
        <v>288.40446661764707</v>
      </c>
      <c r="AG8" s="13">
        <f>AC8*1.25*[1]Parametros!$B$3*(AB8-(AC8*1.25*[1]Parametros!$B$3/(0.85*[1]Parametros!$B$2*H8))/2)/1000000</f>
        <v>196.34621794117646</v>
      </c>
      <c r="AH8" s="13">
        <f t="shared" si="2"/>
        <v>287.84714683600714</v>
      </c>
      <c r="AI8" s="13">
        <f t="shared" si="3"/>
        <v>491.12900000000002</v>
      </c>
      <c r="AJ8" s="13">
        <f>0.17*SQRT([1]Parametros!$B$2)*H8*MIN(U8,AB8)/1000</f>
        <v>198.08885582262698</v>
      </c>
      <c r="AK8" s="13">
        <f>MAX(AI8/[1]Parametros!$B$6-AJ8,0)</f>
        <v>456.74981084403964</v>
      </c>
      <c r="AL8" s="13">
        <f>0.66*SQRT([1]Parametros!$B$2)*H8*MIN(U8,AB8)/1000</f>
        <v>769.05085201725785</v>
      </c>
      <c r="AM8" s="13" t="str">
        <f t="shared" si="4"/>
        <v>CUMPLE</v>
      </c>
      <c r="AN8" s="13" t="s">
        <v>70</v>
      </c>
      <c r="AO8" s="14">
        <v>4</v>
      </c>
      <c r="AP8" s="13">
        <f>ROUNDDOWN(MIN(IF(BC8+BD8=0,1000000000,AO8*BB8/(BC8+BD8)),MIN(U8,AB8)/4,8*[1]Parametros!$B$12,24*BA8,300,IF(AV8=0,1000000000,2*((H8-2*([1]Parametros!$B$7+[1]Parametros!$B$9/2))+(I8-2*([1]Parametros!$B$7+[1]Parametros!$B$9/2)))/8))/10,0)*10</f>
        <v>100</v>
      </c>
      <c r="AQ8" s="13">
        <f>ROUNDDOWN(MIN(IF(BC8+BD8=0,1000000000,AO8*BB8/(BC8+BD8)),IF(AK8&gt;0.33*SQRT([1]Parametros!$B$2)*H8*MIN(U8,AB8)/1000,MIN(U8,AB8)/4,MIN(U8,AB8)/2),600,IF(AV8=0,1000000000,2*((H8-2*([1]Parametros!$B$7+[1]Parametros!$B$9/2))+(I8-2*([1]Parametros!$B$7+[1]Parametros!$B$9/2)))/8))/10,0)*10</f>
        <v>100</v>
      </c>
      <c r="AR8" s="13">
        <f>[1]Parametros!$B$6*(AJ8+MAX(BE8-BD8,0)*[1]Parametros!$B$4*MIN(U8,AB8)/1000)</f>
        <v>506.11241902503639</v>
      </c>
      <c r="AS8" s="13" t="str">
        <f t="shared" si="5"/>
        <v>NO CUMPLE</v>
      </c>
      <c r="AT8" s="13">
        <f>[1]Parametros!$B$6*0.083*SQRT([1]Parametros!$B$2)*(H8*I8)^2/(2*(H8+I8))/1000000</f>
        <v>10.08878303333792</v>
      </c>
      <c r="AU8" s="13" t="str">
        <f t="shared" si="6"/>
        <v>DISEÑAR</v>
      </c>
      <c r="AV8" s="13">
        <f>IF(Q8&lt;=AT8,0,Q8*1000000/([1]Parametros!$B$6*2*0.85*(H8-2*([1]Parametros!$B$7+[1]Parametros!$B$9/2))*(I8-2*([1]Parametros!$B$7+[1]Parametros!$B$9/2))*[1]Parametros!$B$4))</f>
        <v>1.4202309602207459</v>
      </c>
      <c r="AW8" s="13">
        <f>AV8*2*((H8-2*([1]Parametros!$B$7+[1]Parametros!$B$9/2))+(I8-2*([1]Parametros!$B$7+[1]Parametros!$B$9/2)))*[1]Parametros!$B$4/[1]Parametros!$B$3</f>
        <v>2313.8402803916392</v>
      </c>
      <c r="AX8" s="14">
        <v>12</v>
      </c>
      <c r="AY8" s="13" t="str">
        <f t="shared" si="7"/>
        <v>NO CUMPLE</v>
      </c>
      <c r="AZ8" s="13" t="e">
        <f>IF(AND(X8="CUMPLE",AE8="CUMPLE",AS8="CUMPLE",OR(AY8="CUMPLE",AY8="DESPRECIABLE"),BH8="CUMPLE",BJ8="CUMPLE",COUNTIF('[1]Todas las Vigas (592)'!$A$4:$A$595,A8)=COUNTIFS('[1]Todas las Vigas (592)'!$A$4:$A$595,A8,'[1]Todas las Vigas (592)'!$AZ$4:$AZ$595,"CUMPLE")),"CUMPLE","NO CUMPLE")</f>
        <v>#VALUE!</v>
      </c>
      <c r="BA8" s="14">
        <v>12.7</v>
      </c>
      <c r="BB8" s="14">
        <v>129</v>
      </c>
      <c r="BC8" s="13">
        <f>MAX(IF(AK8=0,0,AK8*1000/([1]Parametros!$B$4*MIN(U8,AB8))),MAX(0.062*SQRT([1]Parametros!$B$2)*H8/[1]Parametros!$B$4,0.35*H8/[1]Parametros!$B$4))</f>
        <v>2.2223348311610622</v>
      </c>
      <c r="BD8" s="13">
        <f t="shared" si="8"/>
        <v>2.8404619204414918</v>
      </c>
      <c r="BE8" s="13">
        <f t="shared" si="9"/>
        <v>5.16</v>
      </c>
      <c r="BF8" s="13">
        <f>SQRT((AI8*1000/(H8*MIN(U8,AB8)))^2+(Q8*1000000*2*((H8-2*([1]Parametros!$B$7+[1]Parametros!$B$9/2))+(I8-2*([1]Parametros!$B$7+[1]Parametros!$B$9/2)))/(1.7*((H8-2*([1]Parametros!$B$7+[1]Parametros!$B$9/2))*(I8-2*([1]Parametros!$B$7+[1]Parametros!$B$9/2)))^2))^2)</f>
        <v>4.9872538120929502</v>
      </c>
      <c r="BG8" s="13">
        <f>[1]Parametros!$B$6*(AJ8*1000/(H8*MIN(U8,AB8))+0.66*SQRT([1]Parametros!$B$2))</f>
        <v>3.2939603822754151</v>
      </c>
      <c r="BH8" s="13" t="str">
        <f t="shared" si="10"/>
        <v>NO CUMPLE</v>
      </c>
      <c r="BI8" s="13">
        <f>AX8*[1]Parametros!$B$8</f>
        <v>2388</v>
      </c>
      <c r="BJ8" s="15" t="str">
        <f t="shared" si="11"/>
        <v>CUMPLE</v>
      </c>
    </row>
    <row r="9" spans="1:62" ht="28.8" x14ac:dyDescent="0.3">
      <c r="A9" s="22" t="s">
        <v>71</v>
      </c>
      <c r="B9" s="23">
        <v>81</v>
      </c>
      <c r="C9" s="13">
        <v>40</v>
      </c>
      <c r="D9" s="13">
        <v>3.3</v>
      </c>
      <c r="E9" s="13">
        <v>3.3</v>
      </c>
      <c r="F9" s="13">
        <v>450</v>
      </c>
      <c r="G9" s="13">
        <v>550</v>
      </c>
      <c r="H9" s="13">
        <v>450</v>
      </c>
      <c r="I9" s="13">
        <v>550</v>
      </c>
      <c r="J9" s="14">
        <v>171.0864</v>
      </c>
      <c r="K9" s="13">
        <v>70</v>
      </c>
      <c r="L9" s="14">
        <v>149.0401</v>
      </c>
      <c r="M9" s="13">
        <v>67</v>
      </c>
      <c r="N9" s="14">
        <v>98.239000000000004</v>
      </c>
      <c r="O9" s="14">
        <v>424.48</v>
      </c>
      <c r="P9" s="13">
        <v>70</v>
      </c>
      <c r="Q9" s="14">
        <v>123.143</v>
      </c>
      <c r="R9" s="13">
        <f>MAX(MAX(1.4/[1]Parametros!$B$3,0.25*SQRT([1]Parametros!$B$2)/[1]Parametros!$B$3)*H9*U9,(0.85*[1]Parametros!$B$2/[1]Parametros!$B$3)*(1-SQRT(1-2*(J9*1000000/([1]Parametros!$B$5*H9*U9^2))/(0.85*[1]Parametros!$B$2)))*H9*U9)</f>
        <v>962.00173727040874</v>
      </c>
      <c r="S9" s="14">
        <v>5</v>
      </c>
      <c r="T9" s="14">
        <v>1</v>
      </c>
      <c r="U9" s="13">
        <f>IF(T9=1,I9-([1]Parametros!$B$7+[1]Parametros!$B$9+[1]Parametros!$B$12/2),I9-(ROUNDUP(S9/2,0)*([1]Parametros!$B$7+[1]Parametros!$B$9+[1]Parametros!$B$12/2)+ROUNDDOWN(S9/2,0)*([1]Parametros!$B$7+[1]Parametros!$B$9+[1]Parametros!$B$12/2+[1]Parametros!$B$12+[1]Parametros!$B$10))/S9)</f>
        <v>489.35</v>
      </c>
      <c r="V9" s="13">
        <f>S9*[1]Parametros!$B$8</f>
        <v>995</v>
      </c>
      <c r="W9" s="13">
        <f>[1]Parametros!$B$5*V9*[1]Parametros!$B$3*(U9-(V9*[1]Parametros!$B$3/(0.85*[1]Parametros!$B$2*H9))/2)/1000000</f>
        <v>176.71159614705886</v>
      </c>
      <c r="X9" s="13" t="str">
        <f t="shared" si="0"/>
        <v>CUMPLE</v>
      </c>
      <c r="Y9" s="13">
        <f>MAX(MAX(1.4/[1]Parametros!$B$3,0.25*SQRT([1]Parametros!$B$2)/[1]Parametros!$B$3)*H9*AB9,(0.85*[1]Parametros!$B$2/[1]Parametros!$B$3)*(1-SQRT(1-2*(L9*1000000/([1]Parametros!$B$5*H9*AB9^2))/(0.85*[1]Parametros!$B$2)))*H9*AB9)</f>
        <v>833.57611476365832</v>
      </c>
      <c r="Z9" s="14">
        <v>5</v>
      </c>
      <c r="AA9" s="14">
        <v>1</v>
      </c>
      <c r="AB9" s="13">
        <f>IF(AA9=1,I9-([1]Parametros!$B$7+[1]Parametros!$B$9+[1]Parametros!$B$12/2),I9-(ROUNDUP(Z9/2,0)*([1]Parametros!$B$7+[1]Parametros!$B$9+[1]Parametros!$B$12/2)+ROUNDDOWN(Z9/2,0)*([1]Parametros!$B$7+[1]Parametros!$B$9+[1]Parametros!$B$12/2+[1]Parametros!$B$12+[1]Parametros!$B$10))/Z9)</f>
        <v>489.35</v>
      </c>
      <c r="AC9" s="13">
        <f>Z9*[1]Parametros!$B$8</f>
        <v>995</v>
      </c>
      <c r="AD9" s="13">
        <f>[1]Parametros!$B$5*AC9*[1]Parametros!$B$3*(AB9-(AC9*[1]Parametros!$B$3/(0.85*[1]Parametros!$B$2*H9))/2)/1000000</f>
        <v>176.71159614705886</v>
      </c>
      <c r="AE9" s="13" t="str">
        <f t="shared" si="1"/>
        <v>CUMPLE</v>
      </c>
      <c r="AF9" s="13">
        <f>V9*1.25*[1]Parametros!$B$3*(U9-(V9*1.25*[1]Parametros!$B$3/(0.85*[1]Parametros!$B$2*H9))/2)/1000000</f>
        <v>242.88491397058826</v>
      </c>
      <c r="AG9" s="13">
        <f>AC9*1.25*[1]Parametros!$B$3*(AB9-(AC9*1.25*[1]Parametros!$B$3/(0.85*[1]Parametros!$B$2*H9))/2)/1000000</f>
        <v>242.88491397058826</v>
      </c>
      <c r="AH9" s="13">
        <f t="shared" si="2"/>
        <v>245.4419781639929</v>
      </c>
      <c r="AI9" s="13">
        <f t="shared" si="3"/>
        <v>424.48</v>
      </c>
      <c r="AJ9" s="13">
        <f>0.17*SQRT([1]Parametros!$B$2)*H9*MIN(U9,AB9)/1000</f>
        <v>198.08885582262698</v>
      </c>
      <c r="AK9" s="13">
        <f>MAX(AI9/[1]Parametros!$B$6-AJ9,0)</f>
        <v>367.88447751070635</v>
      </c>
      <c r="AL9" s="13">
        <f>0.66*SQRT([1]Parametros!$B$2)*H9*MIN(U9,AB9)/1000</f>
        <v>769.05085201725785</v>
      </c>
      <c r="AM9" s="13" t="str">
        <f t="shared" si="4"/>
        <v>CUMPLE</v>
      </c>
      <c r="AN9" s="13" t="s">
        <v>70</v>
      </c>
      <c r="AO9" s="14">
        <v>4</v>
      </c>
      <c r="AP9" s="13">
        <f>ROUNDDOWN(MIN(IF(BC9+BD9=0,1000000000,AO9*BB9/(BC9+BD9)),MIN(U9,AB9)/4,8*[1]Parametros!$B$12,24*BA9,300,IF(AV9=0,1000000000,2*((H9-2*([1]Parametros!$B$7+[1]Parametros!$B$9/2))+(I9-2*([1]Parametros!$B$7+[1]Parametros!$B$9/2)))/8))/10,0)*10</f>
        <v>110</v>
      </c>
      <c r="AQ9" s="13">
        <f>ROUNDDOWN(MIN(IF(BC9+BD9=0,1000000000,AO9*BB9/(BC9+BD9)),IF(AK9&gt;0.33*SQRT([1]Parametros!$B$2)*H9*MIN(U9,AB9)/1000,MIN(U9,AB9)/4,MIN(U9,AB9)/2),600,IF(AV9=0,1000000000,2*((H9-2*([1]Parametros!$B$7+[1]Parametros!$B$9/2))+(I9-2*([1]Parametros!$B$7+[1]Parametros!$B$9/2)))/8))/10,0)*10</f>
        <v>110</v>
      </c>
      <c r="AR9" s="13">
        <f>[1]Parametros!$B$6*(AJ9+MAX(BE9-BD9,0)*[1]Parametros!$B$4*MIN(U9,AB9)/1000)</f>
        <v>437.76145510715924</v>
      </c>
      <c r="AS9" s="13" t="str">
        <f t="shared" si="5"/>
        <v>NO CUMPLE</v>
      </c>
      <c r="AT9" s="13">
        <f>[1]Parametros!$B$6*0.083*SQRT([1]Parametros!$B$2)*(H9*I9)^2/(2*(H9+I9))/1000000</f>
        <v>10.08878303333792</v>
      </c>
      <c r="AU9" s="13" t="str">
        <f t="shared" si="6"/>
        <v>DISEÑAR</v>
      </c>
      <c r="AV9" s="13">
        <f>IF(Q9&lt;=AT9,0,Q9*1000000/([1]Parametros!$B$6*2*0.85*(H9-2*([1]Parametros!$B$7+[1]Parametros!$B$9/2))*(I9-2*([1]Parametros!$B$7+[1]Parametros!$B$9/2))*[1]Parametros!$B$4))</f>
        <v>1.407395107229271</v>
      </c>
      <c r="AW9" s="13">
        <f>AV9*2*((H9-2*([1]Parametros!$B$7+[1]Parametros!$B$9/2))+(I9-2*([1]Parametros!$B$7+[1]Parametros!$B$9/2)))*[1]Parametros!$B$4/[1]Parametros!$B$3</f>
        <v>2292.9281086979281</v>
      </c>
      <c r="AX9" s="14">
        <v>12</v>
      </c>
      <c r="AY9" s="13" t="str">
        <f t="shared" si="7"/>
        <v>NO CUMPLE</v>
      </c>
      <c r="AZ9" s="13" t="e">
        <f>IF(AND(X9="CUMPLE",AE9="CUMPLE",AS9="CUMPLE",OR(AY9="CUMPLE",AY9="DESPRECIABLE"),BH9="CUMPLE",BJ9="CUMPLE",COUNTIF('[1]Todas las Vigas (592)'!$A$4:$A$595,A9)=COUNTIFS('[1]Todas las Vigas (592)'!$A$4:$A$595,A9,'[1]Todas las Vigas (592)'!$AZ$4:$AZ$595,"CUMPLE")),"CUMPLE","NO CUMPLE")</f>
        <v>#VALUE!</v>
      </c>
      <c r="BA9" s="14">
        <v>12.7</v>
      </c>
      <c r="BB9" s="14">
        <v>129</v>
      </c>
      <c r="BC9" s="13">
        <f>MAX(IF(AK9=0,0,AK9*1000/([1]Parametros!$B$4*MIN(U9,AB9))),MAX(0.062*SQRT([1]Parametros!$B$2)*H9/[1]Parametros!$B$4,0.35*H9/[1]Parametros!$B$4))</f>
        <v>1.7899569278523326</v>
      </c>
      <c r="BD9" s="13">
        <f t="shared" si="8"/>
        <v>2.8147902144585419</v>
      </c>
      <c r="BE9" s="13">
        <f t="shared" si="9"/>
        <v>4.6909090909090905</v>
      </c>
      <c r="BF9" s="13">
        <f>SQRT((AI9*1000/(H9*MIN(U9,AB9)))^2+(Q9*1000000*2*((H9-2*([1]Parametros!$B$7+[1]Parametros!$B$9/2))+(I9-2*([1]Parametros!$B$7+[1]Parametros!$B$9/2)))/(1.7*((H9-2*([1]Parametros!$B$7+[1]Parametros!$B$9/2))*(I9-2*([1]Parametros!$B$7+[1]Parametros!$B$9/2)))^2))^2)</f>
        <v>4.8224668677735156</v>
      </c>
      <c r="BG9" s="13">
        <f>[1]Parametros!$B$6*(AJ9*1000/(H9*MIN(U9,AB9))+0.66*SQRT([1]Parametros!$B$2))</f>
        <v>3.2939603822754151</v>
      </c>
      <c r="BH9" s="13" t="str">
        <f t="shared" si="10"/>
        <v>NO CUMPLE</v>
      </c>
      <c r="BI9" s="13">
        <f>AX9*[1]Parametros!$B$8</f>
        <v>2388</v>
      </c>
      <c r="BJ9" s="15" t="str">
        <f t="shared" si="11"/>
        <v>CUMPLE</v>
      </c>
    </row>
    <row r="10" spans="1:62" ht="15" thickBot="1" x14ac:dyDescent="0.35">
      <c r="A10" s="24" t="s">
        <v>72</v>
      </c>
      <c r="B10" s="25">
        <v>75</v>
      </c>
      <c r="C10" s="26">
        <v>40</v>
      </c>
      <c r="D10" s="26">
        <v>2.0499999999999998</v>
      </c>
      <c r="E10" s="26">
        <v>4.5</v>
      </c>
      <c r="F10" s="26">
        <v>450</v>
      </c>
      <c r="G10" s="26">
        <v>550</v>
      </c>
      <c r="H10" s="26">
        <v>450</v>
      </c>
      <c r="I10" s="26">
        <v>550</v>
      </c>
      <c r="J10" s="27">
        <v>210.2525</v>
      </c>
      <c r="K10" s="26">
        <v>74</v>
      </c>
      <c r="L10" s="27">
        <v>197.31010000000001</v>
      </c>
      <c r="M10" s="26">
        <v>75</v>
      </c>
      <c r="N10" s="27">
        <v>163.07</v>
      </c>
      <c r="O10" s="27">
        <v>754.70799999999997</v>
      </c>
      <c r="P10" s="26">
        <v>75</v>
      </c>
      <c r="Q10" s="27">
        <v>14.1874</v>
      </c>
      <c r="R10" s="26">
        <f>MAX(MAX(1.4/[1]Parametros!$B$3,0.25*SQRT([1]Parametros!$B$2)/[1]Parametros!$B$3)*H10*U10,(0.85*[1]Parametros!$B$2/[1]Parametros!$B$3)*(1-SQRT(1-2*(J10*1000000/([1]Parametros!$B$5*H10*U10^2))/(0.85*[1]Parametros!$B$2)))*H10*U10)</f>
        <v>1193.7588690515881</v>
      </c>
      <c r="S10" s="27">
        <v>6</v>
      </c>
      <c r="T10" s="27">
        <v>1</v>
      </c>
      <c r="U10" s="26">
        <f>IF(T10=1,I10-([1]Parametros!$B$7+[1]Parametros!$B$9+[1]Parametros!$B$12/2),I10-(ROUNDUP(S10/2,0)*([1]Parametros!$B$7+[1]Parametros!$B$9+[1]Parametros!$B$12/2)+ROUNDDOWN(S10/2,0)*([1]Parametros!$B$7+[1]Parametros!$B$9+[1]Parametros!$B$12/2+[1]Parametros!$B$12+[1]Parametros!$B$10))/S10)</f>
        <v>489.35</v>
      </c>
      <c r="V10" s="26">
        <f>S10*[1]Parametros!$B$8</f>
        <v>1194</v>
      </c>
      <c r="W10" s="26">
        <f>[1]Parametros!$B$5*V10*[1]Parametros!$B$3*(U10-(V10*[1]Parametros!$B$3/(0.85*[1]Parametros!$B$2*H10))/2)/1000000</f>
        <v>210.29283561176473</v>
      </c>
      <c r="X10" s="26" t="str">
        <f t="shared" si="0"/>
        <v>CUMPLE</v>
      </c>
      <c r="Y10" s="26">
        <f>MAX(MAX(1.4/[1]Parametros!$B$3,0.25*SQRT([1]Parametros!$B$2)/[1]Parametros!$B$3)*H10*AB10,(0.85*[1]Parametros!$B$2/[1]Parametros!$B$3)*(1-SQRT(1-2*(L10*1000000/([1]Parametros!$B$5*H10*AB10^2))/(0.85*[1]Parametros!$B$2)))*H10*AB10)</f>
        <v>1116.6519644051136</v>
      </c>
      <c r="Z10" s="27">
        <v>6</v>
      </c>
      <c r="AA10" s="27">
        <v>1</v>
      </c>
      <c r="AB10" s="26">
        <f>IF(AA10=1,I10-([1]Parametros!$B$7+[1]Parametros!$B$9+[1]Parametros!$B$12/2),I10-(ROUNDUP(Z10/2,0)*([1]Parametros!$B$7+[1]Parametros!$B$9+[1]Parametros!$B$12/2)+ROUNDDOWN(Z10/2,0)*([1]Parametros!$B$7+[1]Parametros!$B$9+[1]Parametros!$B$12/2+[1]Parametros!$B$12+[1]Parametros!$B$10))/Z10)</f>
        <v>489.35</v>
      </c>
      <c r="AC10" s="26">
        <f>Z10*[1]Parametros!$B$8</f>
        <v>1194</v>
      </c>
      <c r="AD10" s="26">
        <f>[1]Parametros!$B$5*AC10*[1]Parametros!$B$3*(AB10-(AC10*[1]Parametros!$B$3/(0.85*[1]Parametros!$B$2*H10))/2)/1000000</f>
        <v>210.29283561176473</v>
      </c>
      <c r="AE10" s="26" t="str">
        <f t="shared" si="1"/>
        <v>CUMPLE</v>
      </c>
      <c r="AF10" s="26">
        <f>V10*1.25*[1]Parametros!$B$3*(U10-(V10*1.25*[1]Parametros!$B$3/(0.85*[1]Parametros!$B$2*H10))/2)/1000000</f>
        <v>288.40446661764707</v>
      </c>
      <c r="AG10" s="26">
        <f>AC10*1.25*[1]Parametros!$B$3*(AB10-(AC10*1.25*[1]Parametros!$B$3/(0.85*[1]Parametros!$B$2*H10))/2)/1000000</f>
        <v>288.40446661764707</v>
      </c>
      <c r="AH10" s="26">
        <f t="shared" si="2"/>
        <v>444.44021133428987</v>
      </c>
      <c r="AI10" s="26">
        <f t="shared" si="3"/>
        <v>754.70799999999997</v>
      </c>
      <c r="AJ10" s="26">
        <f>0.17*SQRT([1]Parametros!$B$2)*H10*MIN(U10,AB10)/1000</f>
        <v>198.08885582262698</v>
      </c>
      <c r="AK10" s="26">
        <f>MAX(AI10/[1]Parametros!$B$6-AJ10,0)</f>
        <v>808.18847751070632</v>
      </c>
      <c r="AL10" s="26">
        <f>0.66*SQRT([1]Parametros!$B$2)*H10*MIN(U10,AB10)/1000</f>
        <v>769.05085201725785</v>
      </c>
      <c r="AM10" s="26" t="str">
        <f t="shared" si="4"/>
        <v>NO CUMPLE</v>
      </c>
      <c r="AN10" s="26" t="s">
        <v>68</v>
      </c>
      <c r="AO10" s="27">
        <v>4</v>
      </c>
      <c r="AP10" s="26">
        <f>ROUNDDOWN(MIN(IF(BC10+BD10=0,1000000000,AO10*BB10/(BC10+BD10)),MIN(U10,AB10)/4,8*[1]Parametros!$B$12,24*BA10,300,IF(AV10=0,1000000000,2*((H10-2*([1]Parametros!$B$7+[1]Parametros!$B$9/2))+(I10-2*([1]Parametros!$B$7+[1]Parametros!$B$9/2)))/8))/10,0)*10</f>
        <v>120</v>
      </c>
      <c r="AQ10" s="26">
        <f>ROUNDDOWN(MIN(IF(BC10+BD10=0,1000000000,AO10*BB10/(BC10+BD10)),IF(AK10&gt;0.33*SQRT([1]Parametros!$B$2)*H10*MIN(U10,AB10)/1000,MIN(U10,AB10)/4,MIN(U10,AB10)/2),600,IF(AV10=0,1000000000,2*((H10-2*([1]Parametros!$B$7+[1]Parametros!$B$9/2))+(I10-2*([1]Parametros!$B$7+[1]Parametros!$B$9/2)))/8))/10,0)*10</f>
        <v>120</v>
      </c>
      <c r="AR10" s="26">
        <f>[1]Parametros!$B$6*(AJ10+MAX(BE10-BD10,0)*[1]Parametros!$B$4*MIN(U10,AB10)/1000)</f>
        <v>761.40281382242597</v>
      </c>
      <c r="AS10" s="26" t="str">
        <f t="shared" si="5"/>
        <v>NO CUMPLE</v>
      </c>
      <c r="AT10" s="26">
        <f>[1]Parametros!$B$6*0.083*SQRT([1]Parametros!$B$2)*(H10*I10)^2/(2*(H10+I10))/1000000</f>
        <v>10.08878303333792</v>
      </c>
      <c r="AU10" s="26" t="str">
        <f t="shared" si="6"/>
        <v>DISEÑAR</v>
      </c>
      <c r="AV10" s="26">
        <f>IF(Q10&lt;=AT10,0,Q10*1000000/([1]Parametros!$B$6*2*0.85*(H10-2*([1]Parametros!$B$7+[1]Parametros!$B$9/2))*(I10-2*([1]Parametros!$B$7+[1]Parametros!$B$9/2))*[1]Parametros!$B$4))</f>
        <v>0.1621470757112021</v>
      </c>
      <c r="AW10" s="26">
        <f>AV10*2*((H10-2*([1]Parametros!$B$7+[1]Parametros!$B$9/2))+(I10-2*([1]Parametros!$B$7+[1]Parametros!$B$9/2)))*[1]Parametros!$B$4/[1]Parametros!$B$3</f>
        <v>264.17001574869045</v>
      </c>
      <c r="AX10" s="27">
        <v>8</v>
      </c>
      <c r="AY10" s="26" t="str">
        <f t="shared" si="7"/>
        <v>NO CUMPLE</v>
      </c>
      <c r="AZ10" s="26" t="e">
        <f>IF(AND(X10="CUMPLE",AE10="CUMPLE",AS10="CUMPLE",OR(AY10="CUMPLE",AY10="DESPRECIABLE"),BH10="CUMPLE",BJ10="CUMPLE",COUNTIF('[1]Todas las Vigas (592)'!$A$4:$A$595,A10)=COUNTIFS('[1]Todas las Vigas (592)'!$A$4:$A$595,A10,'[1]Todas las Vigas (592)'!$AZ$4:$AZ$595,"CUMPLE")),"CUMPLE","NO CUMPLE")</f>
        <v>#VALUE!</v>
      </c>
      <c r="BA10" s="27">
        <v>12.7</v>
      </c>
      <c r="BB10" s="27">
        <v>129</v>
      </c>
      <c r="BC10" s="26">
        <f>MAX(IF(AK10=0,0,AK10*1000/([1]Parametros!$B$4*MIN(U10,AB10))),MAX(0.062*SQRT([1]Parametros!$B$2)*H10/[1]Parametros!$B$4,0.35*H10/[1]Parametros!$B$4))</f>
        <v>3.9322739956828361</v>
      </c>
      <c r="BD10" s="26">
        <f t="shared" si="8"/>
        <v>0.3242941514224042</v>
      </c>
      <c r="BE10" s="26">
        <f t="shared" si="9"/>
        <v>4.3</v>
      </c>
      <c r="BF10" s="26">
        <f>SQRT((AI10*1000/(H10*MIN(U10,AB10)))^2+(Q10*1000000*2*((H10-2*([1]Parametros!$B$7+[1]Parametros!$B$9/2))+(I10-2*([1]Parametros!$B$7+[1]Parametros!$B$9/2)))/(1.7*((H10-2*([1]Parametros!$B$7+[1]Parametros!$B$9/2))*(I10-2*([1]Parametros!$B$7+[1]Parametros!$B$9/2)))^2))^2)</f>
        <v>3.4648910512431916</v>
      </c>
      <c r="BG10" s="26">
        <f>[1]Parametros!$B$6*(AJ10*1000/(H10*MIN(U10,AB10))+0.66*SQRT([1]Parametros!$B$2))</f>
        <v>3.2939603822754151</v>
      </c>
      <c r="BH10" s="26" t="str">
        <f t="shared" si="10"/>
        <v>NO CUMPLE</v>
      </c>
      <c r="BI10" s="26">
        <f>AX10*[1]Parametros!$B$8</f>
        <v>1592</v>
      </c>
      <c r="BJ10" s="28" t="str">
        <f t="shared" si="11"/>
        <v>CUMPLE</v>
      </c>
    </row>
  </sheetData>
  <mergeCells count="1"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1AD5-C49E-41C6-8236-5FA27EBBC61E}">
  <dimension ref="A1:BJ8"/>
  <sheetViews>
    <sheetView zoomScale="90" zoomScaleNormal="100" workbookViewId="0">
      <selection activeCell="P4" sqref="P4:P8"/>
    </sheetView>
  </sheetViews>
  <sheetFormatPr baseColWidth="10" defaultColWidth="8.88671875" defaultRowHeight="14.4" x14ac:dyDescent="0.3"/>
  <cols>
    <col min="1" max="2" width="12" customWidth="1"/>
    <col min="3" max="3" width="10" customWidth="1"/>
    <col min="4" max="5" width="11" customWidth="1"/>
    <col min="6" max="9" width="12" customWidth="1"/>
    <col min="10" max="62" width="14" customWidth="1"/>
  </cols>
  <sheetData>
    <row r="1" spans="1:62" ht="24" customHeight="1" x14ac:dyDescent="0.3">
      <c r="A1" s="47" t="s">
        <v>73</v>
      </c>
      <c r="B1" s="48"/>
      <c r="C1" s="48"/>
      <c r="D1" s="48"/>
      <c r="E1" s="48"/>
      <c r="F1" s="48"/>
      <c r="G1" s="48"/>
      <c r="H1" s="48"/>
      <c r="I1" s="48"/>
      <c r="J1" s="49"/>
    </row>
    <row r="2" spans="1:62" ht="30" customHeight="1" thickBot="1" x14ac:dyDescent="0.35">
      <c r="A2" s="53"/>
      <c r="B2" s="54"/>
      <c r="C2" s="54"/>
      <c r="D2" s="54"/>
      <c r="E2" s="54"/>
      <c r="F2" s="54"/>
      <c r="G2" s="54"/>
      <c r="H2" s="54"/>
      <c r="I2" s="54"/>
      <c r="J2" s="55"/>
    </row>
    <row r="3" spans="1:62" ht="52.05" customHeight="1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4" t="s">
        <v>41</v>
      </c>
      <c r="AP3" s="4" t="s">
        <v>42</v>
      </c>
      <c r="AQ3" s="4" t="s">
        <v>43</v>
      </c>
      <c r="AR3" s="4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4" t="s">
        <v>57</v>
      </c>
      <c r="BF3" s="4" t="s">
        <v>58</v>
      </c>
      <c r="BG3" s="4" t="s">
        <v>59</v>
      </c>
      <c r="BH3" s="4" t="s">
        <v>60</v>
      </c>
      <c r="BI3" s="4" t="s">
        <v>61</v>
      </c>
      <c r="BJ3" s="5" t="s">
        <v>62</v>
      </c>
    </row>
    <row r="4" spans="1:62" x14ac:dyDescent="0.3">
      <c r="A4" s="29" t="s">
        <v>74</v>
      </c>
      <c r="B4" s="30">
        <v>250</v>
      </c>
      <c r="C4" s="8">
        <v>80</v>
      </c>
      <c r="D4" s="8">
        <v>3.4</v>
      </c>
      <c r="E4" s="8">
        <v>3.4</v>
      </c>
      <c r="F4" s="8">
        <v>500</v>
      </c>
      <c r="G4" s="8">
        <v>550</v>
      </c>
      <c r="H4" s="8">
        <v>500</v>
      </c>
      <c r="I4" s="8">
        <v>550</v>
      </c>
      <c r="J4" s="9">
        <v>179.0934</v>
      </c>
      <c r="K4" s="8">
        <v>254</v>
      </c>
      <c r="L4" s="9">
        <v>119.33150000000001</v>
      </c>
      <c r="M4" s="8">
        <v>251</v>
      </c>
      <c r="N4" s="9">
        <v>136.99600000000001</v>
      </c>
      <c r="O4" s="9">
        <v>405.20400000000001</v>
      </c>
      <c r="P4" s="8">
        <v>251</v>
      </c>
      <c r="Q4" s="9">
        <v>9.2477999999999998</v>
      </c>
      <c r="R4" s="8">
        <f>MAX(MAX(1.4/[1]Parametros!$B$3,0.25*SQRT([1]Parametros!$B$2)/[1]Parametros!$B$3)*H4*U4,(0.85*[1]Parametros!$B$2/[1]Parametros!$B$3)*(1-SQRT(1-2*(J4*1000000/([1]Parametros!$B$5*H4*U4^2))/(0.85*[1]Parametros!$B$2)))*H4*U4)</f>
        <v>1004.601847720974</v>
      </c>
      <c r="S4" s="9">
        <v>6</v>
      </c>
      <c r="T4" s="9">
        <v>1</v>
      </c>
      <c r="U4" s="8">
        <f>IF(T4=1,I4-([1]Parametros!$B$7+[1]Parametros!$B$9+[1]Parametros!$B$12/2),I4-(ROUNDUP(S4/2,0)*([1]Parametros!$B$7+[1]Parametros!$B$9+[1]Parametros!$B$12/2)+ROUNDDOWN(S4/2,0)*([1]Parametros!$B$7+[1]Parametros!$B$9+[1]Parametros!$B$12/2+[1]Parametros!$B$12+[1]Parametros!$B$10))/S4)</f>
        <v>489.35</v>
      </c>
      <c r="V4" s="8">
        <f>S4*[1]Parametros!$B$8</f>
        <v>1194</v>
      </c>
      <c r="W4" s="8">
        <f>[1]Parametros!$B$5*V4*[1]Parametros!$B$3*(U4-(V4*[1]Parametros!$B$3/(0.85*[1]Parametros!$B$2*H4))/2)/1000000</f>
        <v>211.34948347058827</v>
      </c>
      <c r="X4" s="8" t="str">
        <f>IF(W4&gt;=J4,"CUMPLE","NO CUMPLE")</f>
        <v>CUMPLE</v>
      </c>
      <c r="Y4" s="8">
        <f>MAX(MAX(1.4/[1]Parametros!$B$3,0.25*SQRT([1]Parametros!$B$2)/[1]Parametros!$B$3)*H4*AB4,(0.85*[1]Parametros!$B$2/[1]Parametros!$B$3)*(1-SQRT(1-2*(L4*1000000/([1]Parametros!$B$5*H4*AB4^2))/(0.85*[1]Parametros!$B$2)))*H4*AB4)</f>
        <v>815.58333333333326</v>
      </c>
      <c r="Z4" s="9">
        <v>5</v>
      </c>
      <c r="AA4" s="9">
        <v>1</v>
      </c>
      <c r="AB4" s="8">
        <f>IF(AA4=1,I4-([1]Parametros!$B$7+[1]Parametros!$B$9+[1]Parametros!$B$12/2),I4-(ROUNDUP(Z4/2,0)*([1]Parametros!$B$7+[1]Parametros!$B$9+[1]Parametros!$B$12/2)+ROUNDDOWN(Z4/2,0)*([1]Parametros!$B$7+[1]Parametros!$B$9+[1]Parametros!$B$12/2+[1]Parametros!$B$12+[1]Parametros!$B$10))/Z4)</f>
        <v>489.35</v>
      </c>
      <c r="AC4" s="8">
        <f>Z4*[1]Parametros!$B$8</f>
        <v>995</v>
      </c>
      <c r="AD4" s="8">
        <f>[1]Parametros!$B$5*AC4*[1]Parametros!$B$3*(AB4-(AC4*[1]Parametros!$B$3/(0.85*[1]Parametros!$B$2*H4))/2)/1000000</f>
        <v>177.44537938235294</v>
      </c>
      <c r="AE4" s="8" t="str">
        <f>IF(AD4&gt;=L4,"CUMPLE","NO CUMPLE")</f>
        <v>CUMPLE</v>
      </c>
      <c r="AF4" s="8">
        <f>V4*1.25*[1]Parametros!$B$3*(U4-(V4*1.25*[1]Parametros!$B$3/(0.85*[1]Parametros!$B$2*H4))/2)/1000000</f>
        <v>290.23892470588237</v>
      </c>
      <c r="AG4" s="8">
        <f>AC4*1.25*[1]Parametros!$B$3*(AB4-(AC4*1.25*[1]Parametros!$B$3/(0.85*[1]Parametros!$B$2*H4))/2)/1000000</f>
        <v>244.15884319852941</v>
      </c>
      <c r="AH4" s="8">
        <f>N4+(AF4+AG4)/D4</f>
        <v>294.17181408953286</v>
      </c>
      <c r="AI4" s="8">
        <f>MAX(O4,AH4)</f>
        <v>405.20400000000001</v>
      </c>
      <c r="AJ4" s="8">
        <f>0.17*SQRT([1]Parametros!$B$2)*H4*MIN(U4,AB4)/1000</f>
        <v>220.09872869180776</v>
      </c>
      <c r="AK4" s="8">
        <f>MAX(AI4/[1]Parametros!$B$6-AJ4,0)</f>
        <v>320.17327130819228</v>
      </c>
      <c r="AL4" s="8">
        <f>0.66*SQRT([1]Parametros!$B$2)*H4*MIN(U4,AB4)/1000</f>
        <v>854.500946685842</v>
      </c>
      <c r="AM4" s="8" t="str">
        <f>IF(AK4&lt;=AL4,"CUMPLE","NO CUMPLE")</f>
        <v>CUMPLE</v>
      </c>
      <c r="AN4" s="8" t="s">
        <v>64</v>
      </c>
      <c r="AO4" s="9">
        <v>2</v>
      </c>
      <c r="AP4" s="8">
        <f>ROUNDDOWN(MIN(IF(BC4+BD4=0,1000000000,AO4*BB4/(BC4+BD4)),MIN(U4,AB4)/4,8*[1]Parametros!$B$12,24*BA4,300,IF(AV4=0,1000000000,2*((H4-2*([1]Parametros!$B$7+[1]Parametros!$B$9/2))+(I4-2*([1]Parametros!$B$7+[1]Parametros!$B$9/2)))/8))/10,0)*10</f>
        <v>90</v>
      </c>
      <c r="AQ4" s="8">
        <f>ROUNDDOWN(MIN(IF(BC4+BD4=0,1000000000,AO4*BB4/(BC4+BD4)),IF(AK4&gt;0.33*SQRT([1]Parametros!$B$2)*H4*MIN(U4,AB4)/1000,MIN(U4,AB4)/4,MIN(U4,AB4)/2),600,IF(AV4=0,1000000000,2*((H4-2*([1]Parametros!$B$7+[1]Parametros!$B$9/2))+(I4-2*([1]Parametros!$B$7+[1]Parametros!$B$9/2)))/8))/10,0)*10</f>
        <v>90</v>
      </c>
      <c r="AR4" s="8">
        <f>[1]Parametros!$B$6*(AJ4+MAX(BE4-BD4,0)*[1]Parametros!$B$4*MIN(U4,AB4)/1000)</f>
        <v>408.28099651885583</v>
      </c>
      <c r="AS4" s="8" t="str">
        <f>IF(AND(ISERROR(SEARCH("referencia",AN4)),AM4="CUMPLE",AR4&gt;=AI4),"CUMPLE","NO CUMPLE")</f>
        <v>CUMPLE</v>
      </c>
      <c r="AT4" s="8">
        <f>[1]Parametros!$B$6*0.083*SQRT([1]Parametros!$B$2)*(H4*I4)^2/(2*(H4+I4))/1000000</f>
        <v>11.862178757598967</v>
      </c>
      <c r="AU4" s="8" t="str">
        <f>IF(Q4&lt;=AT4,"DESPRECIABLE","DISEÑAR")</f>
        <v>DESPRECIABLE</v>
      </c>
      <c r="AV4" s="8">
        <f>IF(Q4&lt;=AT4,0,Q4*1000000/([1]Parametros!$B$6*2*0.85*(H4-2*([1]Parametros!$B$7+[1]Parametros!$B$9/2))*(I4-2*([1]Parametros!$B$7+[1]Parametros!$B$9/2))*[1]Parametros!$B$4))</f>
        <v>0</v>
      </c>
      <c r="AW4" s="8">
        <f>AV4*2*((H4-2*([1]Parametros!$B$7+[1]Parametros!$B$9/2))+(I4-2*([1]Parametros!$B$7+[1]Parametros!$B$9/2)))*[1]Parametros!$B$4/[1]Parametros!$B$3</f>
        <v>0</v>
      </c>
      <c r="AX4" s="9">
        <v>0</v>
      </c>
      <c r="AY4" s="8" t="str">
        <f>IF(AV4=0,"DESPRECIABLE",IF(AND(ISERROR(SEARCH("referencia",AN4)),BB4/AP4&gt;=AV4,BI4&gt;=AW4,BH4="CUMPLE"),"CUMPLE","NO CUMPLE"))</f>
        <v>DESPRECIABLE</v>
      </c>
      <c r="AZ4" s="8" t="e">
        <f>IF(AND(X4="CUMPLE",AE4="CUMPLE",AS4="CUMPLE",OR(AY4="CUMPLE",AY4="DESPRECIABLE"),BH4="CUMPLE",BJ4="CUMPLE",COUNTIF('[1]Todas las Vigas (592)'!$A$4:$A$595,A4)=COUNTIFS('[1]Todas las Vigas (592)'!$A$4:$A$595,A4,'[1]Todas las Vigas (592)'!$AZ$4:$AZ$595,"CUMPLE")),"CUMPLE","NO CUMPLE")</f>
        <v>#VALUE!</v>
      </c>
      <c r="BA4" s="9">
        <v>9.5</v>
      </c>
      <c r="BB4" s="9">
        <v>71</v>
      </c>
      <c r="BC4" s="8">
        <f>MAX(IF(AK4=0,0,AK4*1000/([1]Parametros!$B$4*MIN(U4,AB4))),MAX(0.062*SQRT([1]Parametros!$B$2)*H4/[1]Parametros!$B$4,0.35*H4/[1]Parametros!$B$4))</f>
        <v>1.557816108385722</v>
      </c>
      <c r="BD4" s="8">
        <f>2*AV4</f>
        <v>0</v>
      </c>
      <c r="BE4" s="8">
        <f>AO4*BB4/AP4</f>
        <v>1.5777777777777777</v>
      </c>
      <c r="BF4" s="8">
        <f>SQRT((AI4*1000/(H4*MIN(U4,AB4)))^2+(Q4*1000000*2*((H4-2*([1]Parametros!$B$7+[1]Parametros!$B$9/2))+(I4-2*([1]Parametros!$B$7+[1]Parametros!$B$9/2)))/(1.7*((H4-2*([1]Parametros!$B$7+[1]Parametros!$B$9/2))*(I4-2*([1]Parametros!$B$7+[1]Parametros!$B$9/2)))^2))^2)</f>
        <v>1.6781408679437551</v>
      </c>
      <c r="BG4" s="8">
        <f>[1]Parametros!$B$6*(AJ4*1000/(H4*MIN(U4,AB4))+0.66*SQRT([1]Parametros!$B$2))</f>
        <v>3.2939603822754151</v>
      </c>
      <c r="BH4" s="8" t="str">
        <f>IF(BF4&lt;=BG4,"CUMPLE","NO CUMPLE")</f>
        <v>CUMPLE</v>
      </c>
      <c r="BI4" s="8">
        <f>AX4*[1]Parametros!$B$8</f>
        <v>0</v>
      </c>
      <c r="BJ4" s="10" t="str">
        <f>IF(BI4&gt;=AW4,"CUMPLE","NO CUMPLE")</f>
        <v>CUMPLE</v>
      </c>
    </row>
    <row r="5" spans="1:62" x14ac:dyDescent="0.3">
      <c r="A5" s="31" t="s">
        <v>75</v>
      </c>
      <c r="B5" s="32">
        <v>52</v>
      </c>
      <c r="C5" s="13">
        <v>22</v>
      </c>
      <c r="D5" s="13">
        <v>2</v>
      </c>
      <c r="E5" s="13">
        <v>4.9000000000000004</v>
      </c>
      <c r="F5" s="13">
        <v>500</v>
      </c>
      <c r="G5" s="13">
        <v>550</v>
      </c>
      <c r="H5" s="13">
        <v>500</v>
      </c>
      <c r="I5" s="13">
        <v>550</v>
      </c>
      <c r="J5" s="14">
        <v>175.8938</v>
      </c>
      <c r="K5" s="13">
        <v>54</v>
      </c>
      <c r="L5" s="14">
        <v>143.3015</v>
      </c>
      <c r="M5" s="13">
        <v>45</v>
      </c>
      <c r="N5" s="14">
        <v>164.744</v>
      </c>
      <c r="O5" s="14">
        <v>634.57399999999996</v>
      </c>
      <c r="P5" s="13">
        <v>54</v>
      </c>
      <c r="Q5" s="14">
        <v>10.9368</v>
      </c>
      <c r="R5" s="13">
        <f>MAX(MAX(1.4/[1]Parametros!$B$3,0.25*SQRT([1]Parametros!$B$2)/[1]Parametros!$B$3)*H5*U5,(0.85*[1]Parametros!$B$2/[1]Parametros!$B$3)*(1-SQRT(1-2*(J5*1000000/([1]Parametros!$B$5*H5*U5^2))/(0.85*[1]Parametros!$B$2)))*H5*U5)</f>
        <v>985.96658947797243</v>
      </c>
      <c r="S5" s="14">
        <v>5</v>
      </c>
      <c r="T5" s="14">
        <v>1</v>
      </c>
      <c r="U5" s="13">
        <f>IF(T5=1,I5-([1]Parametros!$B$7+[1]Parametros!$B$9+[1]Parametros!$B$12/2),I5-(ROUNDUP(S5/2,0)*([1]Parametros!$B$7+[1]Parametros!$B$9+[1]Parametros!$B$12/2)+ROUNDDOWN(S5/2,0)*([1]Parametros!$B$7+[1]Parametros!$B$9+[1]Parametros!$B$12/2+[1]Parametros!$B$12+[1]Parametros!$B$10))/S5)</f>
        <v>489.35</v>
      </c>
      <c r="V5" s="13">
        <f>S5*[1]Parametros!$B$8</f>
        <v>995</v>
      </c>
      <c r="W5" s="13">
        <f>[1]Parametros!$B$5*V5*[1]Parametros!$B$3*(U5-(V5*[1]Parametros!$B$3/(0.85*[1]Parametros!$B$2*H5))/2)/1000000</f>
        <v>177.44537938235294</v>
      </c>
      <c r="X5" s="13" t="str">
        <f>IF(W5&gt;=J5,"CUMPLE","NO CUMPLE")</f>
        <v>CUMPLE</v>
      </c>
      <c r="Y5" s="13">
        <f>MAX(MAX(1.4/[1]Parametros!$B$3,0.25*SQRT([1]Parametros!$B$2)/[1]Parametros!$B$3)*H5*AB5,(0.85*[1]Parametros!$B$2/[1]Parametros!$B$3)*(1-SQRT(1-2*(L5*1000000/([1]Parametros!$B$5*H5*AB5^2))/(0.85*[1]Parametros!$B$2)))*H5*AB5)</f>
        <v>815.58333333333326</v>
      </c>
      <c r="Z5" s="14">
        <v>5</v>
      </c>
      <c r="AA5" s="14">
        <v>1</v>
      </c>
      <c r="AB5" s="13">
        <f>IF(AA5=1,I5-([1]Parametros!$B$7+[1]Parametros!$B$9+[1]Parametros!$B$12/2),I5-(ROUNDUP(Z5/2,0)*([1]Parametros!$B$7+[1]Parametros!$B$9+[1]Parametros!$B$12/2)+ROUNDDOWN(Z5/2,0)*([1]Parametros!$B$7+[1]Parametros!$B$9+[1]Parametros!$B$12/2+[1]Parametros!$B$12+[1]Parametros!$B$10))/Z5)</f>
        <v>489.35</v>
      </c>
      <c r="AC5" s="13">
        <f>Z5*[1]Parametros!$B$8</f>
        <v>995</v>
      </c>
      <c r="AD5" s="13">
        <f>[1]Parametros!$B$5*AC5*[1]Parametros!$B$3*(AB5-(AC5*[1]Parametros!$B$3/(0.85*[1]Parametros!$B$2*H5))/2)/1000000</f>
        <v>177.44537938235294</v>
      </c>
      <c r="AE5" s="13" t="str">
        <f>IF(AD5&gt;=L5,"CUMPLE","NO CUMPLE")</f>
        <v>CUMPLE</v>
      </c>
      <c r="AF5" s="13">
        <f>V5*1.25*[1]Parametros!$B$3*(U5-(V5*1.25*[1]Parametros!$B$3/(0.85*[1]Parametros!$B$2*H5))/2)/1000000</f>
        <v>244.15884319852941</v>
      </c>
      <c r="AG5" s="13">
        <f>AC5*1.25*[1]Parametros!$B$3*(AB5-(AC5*1.25*[1]Parametros!$B$3/(0.85*[1]Parametros!$B$2*H5))/2)/1000000</f>
        <v>244.15884319852941</v>
      </c>
      <c r="AH5" s="13">
        <f>N5+(AF5+AG5)/D5</f>
        <v>408.90284319852941</v>
      </c>
      <c r="AI5" s="13">
        <f>MAX(O5,AH5)</f>
        <v>634.57399999999996</v>
      </c>
      <c r="AJ5" s="13">
        <f>0.17*SQRT([1]Parametros!$B$2)*H5*MIN(U5,AB5)/1000</f>
        <v>220.09872869180776</v>
      </c>
      <c r="AK5" s="13">
        <f>MAX(AI5/[1]Parametros!$B$6-AJ5,0)</f>
        <v>625.99993797485888</v>
      </c>
      <c r="AL5" s="13">
        <f>0.66*SQRT([1]Parametros!$B$2)*H5*MIN(U5,AB5)/1000</f>
        <v>854.500946685842</v>
      </c>
      <c r="AM5" s="13" t="str">
        <f>IF(AK5&lt;=AL5,"CUMPLE","NO CUMPLE")</f>
        <v>CUMPLE</v>
      </c>
      <c r="AN5" s="13" t="s">
        <v>68</v>
      </c>
      <c r="AO5" s="14">
        <v>2</v>
      </c>
      <c r="AP5" s="13">
        <f>ROUNDDOWN(MIN(IF(BC5+BD5=0,1000000000,AO5*BB5/(BC5+BD5)),MIN(U5,AB5)/4,8*[1]Parametros!$B$12,24*BA5,300,IF(AV5=0,1000000000,2*((H5-2*([1]Parametros!$B$7+[1]Parametros!$B$9/2))+(I5-2*([1]Parametros!$B$7+[1]Parametros!$B$9/2)))/8))/10,0)*10</f>
        <v>80</v>
      </c>
      <c r="AQ5" s="13">
        <f>ROUNDDOWN(MIN(IF(BC5+BD5=0,1000000000,AO5*BB5/(BC5+BD5)),IF(AK5&gt;0.33*SQRT([1]Parametros!$B$2)*H5*MIN(U5,AB5)/1000,MIN(U5,AB5)/4,MIN(U5,AB5)/2),600,IF(AV5=0,1000000000,2*((H5-2*([1]Parametros!$B$7+[1]Parametros!$B$9/2))+(I5-2*([1]Parametros!$B$7+[1]Parametros!$B$9/2)))/8))/10,0)*10</f>
        <v>80</v>
      </c>
      <c r="AR5" s="13">
        <f>[1]Parametros!$B$6*(AJ5+MAX(BE5-BD5,0)*[1]Parametros!$B$4*MIN(U5,AB5)/1000)</f>
        <v>662.19247776885595</v>
      </c>
      <c r="AS5" s="13" t="str">
        <f>IF(AND(ISERROR(SEARCH("referencia",AN5)),AM5="CUMPLE",AR5&gt;=AI5),"CUMPLE","NO CUMPLE")</f>
        <v>CUMPLE</v>
      </c>
      <c r="AT5" s="13">
        <f>[1]Parametros!$B$6*0.083*SQRT([1]Parametros!$B$2)*(H5*I5)^2/(2*(H5+I5))/1000000</f>
        <v>11.862178757598967</v>
      </c>
      <c r="AU5" s="13" t="str">
        <f>IF(Q5&lt;=AT5,"DESPRECIABLE","DISEÑAR")</f>
        <v>DESPRECIABLE</v>
      </c>
      <c r="AV5" s="13">
        <f>IF(Q5&lt;=AT5,0,Q5*1000000/([1]Parametros!$B$6*2*0.85*(H5-2*([1]Parametros!$B$7+[1]Parametros!$B$9/2))*(I5-2*([1]Parametros!$B$7+[1]Parametros!$B$9/2))*[1]Parametros!$B$4))</f>
        <v>0</v>
      </c>
      <c r="AW5" s="13">
        <f>AV5*2*((H5-2*([1]Parametros!$B$7+[1]Parametros!$B$9/2))+(I5-2*([1]Parametros!$B$7+[1]Parametros!$B$9/2)))*[1]Parametros!$B$4/[1]Parametros!$B$3</f>
        <v>0</v>
      </c>
      <c r="AX5" s="14">
        <v>0</v>
      </c>
      <c r="AY5" s="13" t="str">
        <f>IF(AV5=0,"DESPRECIABLE",IF(AND(ISERROR(SEARCH("referencia",AN5)),BB5/AP5&gt;=AV5,BI5&gt;=AW5,BH5="CUMPLE"),"CUMPLE","NO CUMPLE"))</f>
        <v>DESPRECIABLE</v>
      </c>
      <c r="AZ5" s="13" t="e">
        <f>IF(AND(X5="CUMPLE",AE5="CUMPLE",AS5="CUMPLE",OR(AY5="CUMPLE",AY5="DESPRECIABLE"),BH5="CUMPLE",BJ5="CUMPLE",COUNTIF('[1]Todas las Vigas (592)'!$A$4:$A$595,A5)=COUNTIFS('[1]Todas las Vigas (592)'!$A$4:$A$595,A5,'[1]Todas las Vigas (592)'!$AZ$4:$AZ$595,"CUMPLE")),"CUMPLE","NO CUMPLE")</f>
        <v>#VALUE!</v>
      </c>
      <c r="BA5" s="14">
        <v>12.7</v>
      </c>
      <c r="BB5" s="14">
        <v>129</v>
      </c>
      <c r="BC5" s="13">
        <f>MAX(IF(AK5=0,0,AK5*1000/([1]Parametros!$B$4*MIN(U5,AB5))),MAX(0.062*SQRT([1]Parametros!$B$2)*H5/[1]Parametros!$B$4,0.35*H5/[1]Parametros!$B$4))</f>
        <v>3.0458282268259591</v>
      </c>
      <c r="BD5" s="13">
        <f>2*AV5</f>
        <v>0</v>
      </c>
      <c r="BE5" s="13">
        <f>AO5*BB5/AP5</f>
        <v>3.2250000000000001</v>
      </c>
      <c r="BF5" s="13">
        <f>SQRT((AI5*1000/(H5*MIN(U5,AB5)))^2+(Q5*1000000*2*((H5-2*([1]Parametros!$B$7+[1]Parametros!$B$9/2))+(I5-2*([1]Parametros!$B$7+[1]Parametros!$B$9/2)))/(1.7*((H5-2*([1]Parametros!$B$7+[1]Parametros!$B$9/2))*(I5-2*([1]Parametros!$B$7+[1]Parametros!$B$9/2)))^2))^2)</f>
        <v>2.6132870298711257</v>
      </c>
      <c r="BG5" s="13">
        <f>[1]Parametros!$B$6*(AJ5*1000/(H5*MIN(U5,AB5))+0.66*SQRT([1]Parametros!$B$2))</f>
        <v>3.2939603822754151</v>
      </c>
      <c r="BH5" s="13" t="str">
        <f>IF(BF5&lt;=BG5,"CUMPLE","NO CUMPLE")</f>
        <v>CUMPLE</v>
      </c>
      <c r="BI5" s="13">
        <f>AX5*[1]Parametros!$B$8</f>
        <v>0</v>
      </c>
      <c r="BJ5" s="15" t="str">
        <f>IF(BI5&gt;=AW5,"CUMPLE","NO CUMPLE")</f>
        <v>CUMPLE</v>
      </c>
    </row>
    <row r="6" spans="1:62" x14ac:dyDescent="0.3">
      <c r="A6" s="33" t="s">
        <v>76</v>
      </c>
      <c r="B6" s="34">
        <v>152</v>
      </c>
      <c r="C6" s="13">
        <v>140</v>
      </c>
      <c r="D6" s="13">
        <v>0.9</v>
      </c>
      <c r="E6" s="13">
        <v>3.57612</v>
      </c>
      <c r="F6" s="13">
        <v>500</v>
      </c>
      <c r="G6" s="13">
        <v>550</v>
      </c>
      <c r="H6" s="13">
        <v>500</v>
      </c>
      <c r="I6" s="13">
        <v>550</v>
      </c>
      <c r="J6" s="14">
        <v>71.297700000000006</v>
      </c>
      <c r="K6" s="13">
        <v>33</v>
      </c>
      <c r="L6" s="14">
        <v>0.13059999999999999</v>
      </c>
      <c r="M6" s="13">
        <v>44</v>
      </c>
      <c r="N6" s="14">
        <v>52.863</v>
      </c>
      <c r="O6" s="14">
        <v>101.02200000000001</v>
      </c>
      <c r="P6" s="13">
        <v>11</v>
      </c>
      <c r="Q6" s="14">
        <v>140.66489999999999</v>
      </c>
      <c r="R6" s="13">
        <f>MAX(MAX(1.4/[1]Parametros!$B$3,0.25*SQRT([1]Parametros!$B$2)/[1]Parametros!$B$3)*H6*U6,(0.85*[1]Parametros!$B$2/[1]Parametros!$B$3)*(1-SQRT(1-2*(J6*1000000/([1]Parametros!$B$5*H6*U6^2))/(0.85*[1]Parametros!$B$2)))*H6*U6)</f>
        <v>815.58333333333326</v>
      </c>
      <c r="S6" s="14">
        <v>5</v>
      </c>
      <c r="T6" s="14">
        <v>1</v>
      </c>
      <c r="U6" s="13">
        <f>IF(T6=1,I6-([1]Parametros!$B$7+[1]Parametros!$B$9+[1]Parametros!$B$12/2),I6-(ROUNDUP(S6/2,0)*([1]Parametros!$B$7+[1]Parametros!$B$9+[1]Parametros!$B$12/2)+ROUNDDOWN(S6/2,0)*([1]Parametros!$B$7+[1]Parametros!$B$9+[1]Parametros!$B$12/2+[1]Parametros!$B$12+[1]Parametros!$B$10))/S6)</f>
        <v>489.35</v>
      </c>
      <c r="V6" s="13">
        <f>S6*[1]Parametros!$B$8</f>
        <v>995</v>
      </c>
      <c r="W6" s="13">
        <f>[1]Parametros!$B$5*V6*[1]Parametros!$B$3*(U6-(V6*[1]Parametros!$B$3/(0.85*[1]Parametros!$B$2*H6))/2)/1000000</f>
        <v>177.44537938235294</v>
      </c>
      <c r="X6" s="13" t="str">
        <f>IF(W6&gt;=J6,"CUMPLE","NO CUMPLE")</f>
        <v>CUMPLE</v>
      </c>
      <c r="Y6" s="13">
        <f>MAX(MAX(1.4/[1]Parametros!$B$3,0.25*SQRT([1]Parametros!$B$2)/[1]Parametros!$B$3)*H6*AB6,(0.85*[1]Parametros!$B$2/[1]Parametros!$B$3)*(1-SQRT(1-2*(L6*1000000/([1]Parametros!$B$5*H6*AB6^2))/(0.85*[1]Parametros!$B$2)))*H6*AB6)</f>
        <v>815.58333333333326</v>
      </c>
      <c r="Z6" s="14">
        <v>5</v>
      </c>
      <c r="AA6" s="14">
        <v>1</v>
      </c>
      <c r="AB6" s="13">
        <f>IF(AA6=1,I6-([1]Parametros!$B$7+[1]Parametros!$B$9+[1]Parametros!$B$12/2),I6-(ROUNDUP(Z6/2,0)*([1]Parametros!$B$7+[1]Parametros!$B$9+[1]Parametros!$B$12/2)+ROUNDDOWN(Z6/2,0)*([1]Parametros!$B$7+[1]Parametros!$B$9+[1]Parametros!$B$12/2+[1]Parametros!$B$12+[1]Parametros!$B$10))/Z6)</f>
        <v>489.35</v>
      </c>
      <c r="AC6" s="13">
        <f>Z6*[1]Parametros!$B$8</f>
        <v>995</v>
      </c>
      <c r="AD6" s="13">
        <f>[1]Parametros!$B$5*AC6*[1]Parametros!$B$3*(AB6-(AC6*[1]Parametros!$B$3/(0.85*[1]Parametros!$B$2*H6))/2)/1000000</f>
        <v>177.44537938235294</v>
      </c>
      <c r="AE6" s="13" t="str">
        <f>IF(AD6&gt;=L6,"CUMPLE","NO CUMPLE")</f>
        <v>CUMPLE</v>
      </c>
      <c r="AF6" s="13">
        <f>V6*1.25*[1]Parametros!$B$3*(U6-(V6*1.25*[1]Parametros!$B$3/(0.85*[1]Parametros!$B$2*H6))/2)/1000000</f>
        <v>244.15884319852941</v>
      </c>
      <c r="AG6" s="13">
        <f>AC6*1.25*[1]Parametros!$B$3*(AB6-(AC6*1.25*[1]Parametros!$B$3/(0.85*[1]Parametros!$B$2*H6))/2)/1000000</f>
        <v>244.15884319852941</v>
      </c>
      <c r="AH6" s="13">
        <f>N6+(AF6+AG6)/D6</f>
        <v>595.43820710784303</v>
      </c>
      <c r="AI6" s="13">
        <f>MAX(O6,AH6)</f>
        <v>595.43820710784303</v>
      </c>
      <c r="AJ6" s="13">
        <f>0.17*SQRT([1]Parametros!$B$2)*H6*MIN(U6,AB6)/1000</f>
        <v>220.09872869180776</v>
      </c>
      <c r="AK6" s="13">
        <f>MAX(AI6/[1]Parametros!$B$6-AJ6,0)</f>
        <v>573.81888078531631</v>
      </c>
      <c r="AL6" s="13">
        <f>0.66*SQRT([1]Parametros!$B$2)*H6*MIN(U6,AB6)/1000</f>
        <v>854.500946685842</v>
      </c>
      <c r="AM6" s="13" t="str">
        <f>IF(AK6&lt;=AL6,"CUMPLE","NO CUMPLE")</f>
        <v>CUMPLE</v>
      </c>
      <c r="AN6" s="13" t="s">
        <v>68</v>
      </c>
      <c r="AO6" s="14">
        <v>4</v>
      </c>
      <c r="AP6" s="13">
        <f>ROUNDDOWN(MIN(IF(BC6+BD6=0,1000000000,AO6*BB6/(BC6+BD6)),MIN(U6,AB6)/4,8*[1]Parametros!$B$12,24*BA6,300,IF(AV6=0,1000000000,2*((H6-2*([1]Parametros!$B$7+[1]Parametros!$B$9/2))+(I6-2*([1]Parametros!$B$7+[1]Parametros!$B$9/2)))/8))/10,0)*10</f>
        <v>90</v>
      </c>
      <c r="AQ6" s="13">
        <f>ROUNDDOWN(MIN(IF(BC6+BD6=0,1000000000,AO6*BB6/(BC6+BD6)),IF(AK6&gt;0.33*SQRT([1]Parametros!$B$2)*H6*MIN(U6,AB6)/1000,MIN(U6,AB6)/4,MIN(U6,AB6)/2),600,IF(AV6=0,1000000000,2*((H6-2*([1]Parametros!$B$7+[1]Parametros!$B$9/2))+(I6-2*([1]Parametros!$B$7+[1]Parametros!$B$9/2)))/8))/10,0)*10</f>
        <v>90</v>
      </c>
      <c r="AR6" s="13">
        <f>[1]Parametros!$B$6*(AJ6+MAX(BE6-BD6,0)*[1]Parametros!$B$4*MIN(U6,AB6)/1000)</f>
        <v>614.05890606728587</v>
      </c>
      <c r="AS6" s="13" t="str">
        <f>IF(AND(ISERROR(SEARCH("referencia",AN6)),AM6="CUMPLE",AR6&gt;=AI6),"CUMPLE","NO CUMPLE")</f>
        <v>CUMPLE</v>
      </c>
      <c r="AT6" s="13">
        <f>[1]Parametros!$B$6*0.083*SQRT([1]Parametros!$B$2)*(H6*I6)^2/(2*(H6+I6))/1000000</f>
        <v>11.862178757598967</v>
      </c>
      <c r="AU6" s="13" t="str">
        <f>IF(Q6&lt;=AT6,"DESPRECIABLE","DISEÑAR")</f>
        <v>DISEÑAR</v>
      </c>
      <c r="AV6" s="13">
        <f>IF(Q6&lt;=AT6,0,Q6*1000000/([1]Parametros!$B$6*2*0.85*(H6-2*([1]Parametros!$B$7+[1]Parametros!$B$9/2))*(I6-2*([1]Parametros!$B$7+[1]Parametros!$B$9/2))*[1]Parametros!$B$4))</f>
        <v>1.410297237351037</v>
      </c>
      <c r="AW6" s="13">
        <f>AV6*2*((H6-2*([1]Parametros!$B$7+[1]Parametros!$B$9/2))+(I6-2*([1]Parametros!$B$7+[1]Parametros!$B$9/2)))*[1]Parametros!$B$4/[1]Parametros!$B$3</f>
        <v>2438.6859828274132</v>
      </c>
      <c r="AX6" s="14">
        <v>16</v>
      </c>
      <c r="AY6" s="13" t="str">
        <f>IF(AV6=0,"DESPRECIABLE",IF(AND(ISERROR(SEARCH("referencia",AN6)),BB6/AP6&gt;=AV6,BI6&gt;=AW6,BH6="CUMPLE"),"CUMPLE","NO CUMPLE"))</f>
        <v>NO CUMPLE</v>
      </c>
      <c r="AZ6" s="13" t="e">
        <f>IF(AND(X6="CUMPLE",AE6="CUMPLE",AS6="CUMPLE",OR(AY6="CUMPLE",AY6="DESPRECIABLE"),BH6="CUMPLE",BJ6="CUMPLE",COUNTIF('[1]Todas las Vigas (592)'!$A$4:$A$595,A6)=COUNTIFS('[1]Todas las Vigas (592)'!$A$4:$A$595,A6,'[1]Todas las Vigas (592)'!$AZ$4:$AZ$595,"CUMPLE")),"CUMPLE","NO CUMPLE")</f>
        <v>#VALUE!</v>
      </c>
      <c r="BA6" s="14">
        <v>12.7</v>
      </c>
      <c r="BB6" s="14">
        <v>129</v>
      </c>
      <c r="BC6" s="13">
        <f>MAX(IF(AK6=0,0,AK6*1000/([1]Parametros!$B$4*MIN(U6,AB6))),MAX(0.062*SQRT([1]Parametros!$B$2)*H6/[1]Parametros!$B$4,0.35*H6/[1]Parametros!$B$4))</f>
        <v>2.7919391650990688</v>
      </c>
      <c r="BD6" s="13">
        <f>2*AV6</f>
        <v>2.8205944747020739</v>
      </c>
      <c r="BE6" s="13">
        <f>AO6*BB6/AP6</f>
        <v>5.7333333333333334</v>
      </c>
      <c r="BF6" s="13">
        <f>SQRT((AI6*1000/(H6*MIN(U6,AB6)))^2+(Q6*1000000*2*((H6-2*([1]Parametros!$B$7+[1]Parametros!$B$9/2))+(I6-2*([1]Parametros!$B$7+[1]Parametros!$B$9/2)))/(1.7*((H6-2*([1]Parametros!$B$7+[1]Parametros!$B$9/2))*(I6-2*([1]Parametros!$B$7+[1]Parametros!$B$9/2)))^2))^2)</f>
        <v>4.7887626204204379</v>
      </c>
      <c r="BG6" s="13">
        <f>[1]Parametros!$B$6*(AJ6*1000/(H6*MIN(U6,AB6))+0.66*SQRT([1]Parametros!$B$2))</f>
        <v>3.2939603822754151</v>
      </c>
      <c r="BH6" s="13" t="str">
        <f>IF(BF6&lt;=BG6,"CUMPLE","NO CUMPLE")</f>
        <v>NO CUMPLE</v>
      </c>
      <c r="BI6" s="13">
        <f>AX6*[1]Parametros!$B$8</f>
        <v>3184</v>
      </c>
      <c r="BJ6" s="15" t="str">
        <f>IF(BI6&gt;=AW6,"CUMPLE","NO CUMPLE")</f>
        <v>CUMPLE</v>
      </c>
    </row>
    <row r="7" spans="1:62" ht="28.8" x14ac:dyDescent="0.3">
      <c r="A7" s="35" t="s">
        <v>77</v>
      </c>
      <c r="B7" s="36">
        <v>151</v>
      </c>
      <c r="C7" s="13">
        <v>70</v>
      </c>
      <c r="D7" s="13">
        <v>0.9</v>
      </c>
      <c r="E7" s="13">
        <v>3.4</v>
      </c>
      <c r="F7" s="13">
        <v>500</v>
      </c>
      <c r="G7" s="13">
        <v>550</v>
      </c>
      <c r="H7" s="13">
        <v>500</v>
      </c>
      <c r="I7" s="13">
        <v>550</v>
      </c>
      <c r="J7" s="14">
        <v>92.428600000000003</v>
      </c>
      <c r="K7" s="13">
        <v>231</v>
      </c>
      <c r="L7" s="14">
        <v>5.8361000000000001</v>
      </c>
      <c r="M7" s="13">
        <v>30</v>
      </c>
      <c r="N7" s="14">
        <v>72.313999999999993</v>
      </c>
      <c r="O7" s="14">
        <v>72.313999999999993</v>
      </c>
      <c r="P7" s="13">
        <v>30</v>
      </c>
      <c r="Q7" s="14">
        <v>175.76499999999999</v>
      </c>
      <c r="R7" s="13">
        <f>MAX(MAX(1.4/[1]Parametros!$B$3,0.25*SQRT([1]Parametros!$B$2)/[1]Parametros!$B$3)*H7*U7,(0.85*[1]Parametros!$B$2/[1]Parametros!$B$3)*(1-SQRT(1-2*(J7*1000000/([1]Parametros!$B$5*H7*U7^2))/(0.85*[1]Parametros!$B$2)))*H7*U7)</f>
        <v>815.58333333333326</v>
      </c>
      <c r="S7" s="14">
        <v>5</v>
      </c>
      <c r="T7" s="14">
        <v>1</v>
      </c>
      <c r="U7" s="13">
        <f>IF(T7=1,I7-([1]Parametros!$B$7+[1]Parametros!$B$9+[1]Parametros!$B$12/2),I7-(ROUNDUP(S7/2,0)*([1]Parametros!$B$7+[1]Parametros!$B$9+[1]Parametros!$B$12/2)+ROUNDDOWN(S7/2,0)*([1]Parametros!$B$7+[1]Parametros!$B$9+[1]Parametros!$B$12/2+[1]Parametros!$B$12+[1]Parametros!$B$10))/S7)</f>
        <v>489.35</v>
      </c>
      <c r="V7" s="13">
        <f>S7*[1]Parametros!$B$8</f>
        <v>995</v>
      </c>
      <c r="W7" s="13">
        <f>[1]Parametros!$B$5*V7*[1]Parametros!$B$3*(U7-(V7*[1]Parametros!$B$3/(0.85*[1]Parametros!$B$2*H7))/2)/1000000</f>
        <v>177.44537938235294</v>
      </c>
      <c r="X7" s="13" t="str">
        <f>IF(W7&gt;=J7,"CUMPLE","NO CUMPLE")</f>
        <v>CUMPLE</v>
      </c>
      <c r="Y7" s="13">
        <f>MAX(MAX(1.4/[1]Parametros!$B$3,0.25*SQRT([1]Parametros!$B$2)/[1]Parametros!$B$3)*H7*AB7,(0.85*[1]Parametros!$B$2/[1]Parametros!$B$3)*(1-SQRT(1-2*(L7*1000000/([1]Parametros!$B$5*H7*AB7^2))/(0.85*[1]Parametros!$B$2)))*H7*AB7)</f>
        <v>815.58333333333326</v>
      </c>
      <c r="Z7" s="14">
        <v>5</v>
      </c>
      <c r="AA7" s="14">
        <v>1</v>
      </c>
      <c r="AB7" s="13">
        <f>IF(AA7=1,I7-([1]Parametros!$B$7+[1]Parametros!$B$9+[1]Parametros!$B$12/2),I7-(ROUNDUP(Z7/2,0)*([1]Parametros!$B$7+[1]Parametros!$B$9+[1]Parametros!$B$12/2)+ROUNDDOWN(Z7/2,0)*([1]Parametros!$B$7+[1]Parametros!$B$9+[1]Parametros!$B$12/2+[1]Parametros!$B$12+[1]Parametros!$B$10))/Z7)</f>
        <v>489.35</v>
      </c>
      <c r="AC7" s="13">
        <f>Z7*[1]Parametros!$B$8</f>
        <v>995</v>
      </c>
      <c r="AD7" s="13">
        <f>[1]Parametros!$B$5*AC7*[1]Parametros!$B$3*(AB7-(AC7*[1]Parametros!$B$3/(0.85*[1]Parametros!$B$2*H7))/2)/1000000</f>
        <v>177.44537938235294</v>
      </c>
      <c r="AE7" s="13" t="str">
        <f>IF(AD7&gt;=L7,"CUMPLE","NO CUMPLE")</f>
        <v>CUMPLE</v>
      </c>
      <c r="AF7" s="13">
        <f>V7*1.25*[1]Parametros!$B$3*(U7-(V7*1.25*[1]Parametros!$B$3/(0.85*[1]Parametros!$B$2*H7))/2)/1000000</f>
        <v>244.15884319852941</v>
      </c>
      <c r="AG7" s="13">
        <f>AC7*1.25*[1]Parametros!$B$3*(AB7-(AC7*1.25*[1]Parametros!$B$3/(0.85*[1]Parametros!$B$2*H7))/2)/1000000</f>
        <v>244.15884319852941</v>
      </c>
      <c r="AH7" s="13">
        <f>N7+(AF7+AG7)/D7</f>
        <v>614.88920710784305</v>
      </c>
      <c r="AI7" s="13">
        <f>MAX(O7,AH7)</f>
        <v>614.88920710784305</v>
      </c>
      <c r="AJ7" s="13">
        <f>0.17*SQRT([1]Parametros!$B$2)*H7*MIN(U7,AB7)/1000</f>
        <v>220.09872869180776</v>
      </c>
      <c r="AK7" s="13">
        <f>MAX(AI7/[1]Parametros!$B$6-AJ7,0)</f>
        <v>599.75354745198297</v>
      </c>
      <c r="AL7" s="13">
        <f>0.66*SQRT([1]Parametros!$B$2)*H7*MIN(U7,AB7)/1000</f>
        <v>854.500946685842</v>
      </c>
      <c r="AM7" s="13" t="str">
        <f>IF(AK7&lt;=AL7,"CUMPLE","NO CUMPLE")</f>
        <v>CUMPLE</v>
      </c>
      <c r="AN7" s="13" t="s">
        <v>70</v>
      </c>
      <c r="AO7" s="14">
        <v>4</v>
      </c>
      <c r="AP7" s="13">
        <f>ROUNDDOWN(MIN(IF(BC7+BD7=0,1000000000,AO7*BB7/(BC7+BD7)),MIN(U7,AB7)/4,8*[1]Parametros!$B$12,24*BA7,300,IF(AV7=0,1000000000,2*((H7-2*([1]Parametros!$B$7+[1]Parametros!$B$9/2))+(I7-2*([1]Parametros!$B$7+[1]Parametros!$B$9/2)))/8))/10,0)*10</f>
        <v>80</v>
      </c>
      <c r="AQ7" s="13">
        <f>ROUNDDOWN(MIN(IF(BC7+BD7=0,1000000000,AO7*BB7/(BC7+BD7)),IF(AK7&gt;0.33*SQRT([1]Parametros!$B$2)*H7*MIN(U7,AB7)/1000,MIN(U7,AB7)/4,MIN(U7,AB7)/2),600,IF(AV7=0,1000000000,2*((H7-2*([1]Parametros!$B$7+[1]Parametros!$B$9/2))+(I7-2*([1]Parametros!$B$7+[1]Parametros!$B$9/2)))/8))/10,0)*10</f>
        <v>80</v>
      </c>
      <c r="AR7" s="13">
        <f>[1]Parametros!$B$6*(AJ7+MAX(BE7-BD7,0)*[1]Parametros!$B$4*MIN(U7,AB7)/1000)</f>
        <v>616.03874426439211</v>
      </c>
      <c r="AS7" s="13" t="str">
        <f>IF(AND(ISERROR(SEARCH("referencia",AN7)),AM7="CUMPLE",AR7&gt;=AI7),"CUMPLE","NO CUMPLE")</f>
        <v>NO CUMPLE</v>
      </c>
      <c r="AT7" s="13">
        <f>[1]Parametros!$B$6*0.083*SQRT([1]Parametros!$B$2)*(H7*I7)^2/(2*(H7+I7))/1000000</f>
        <v>11.862178757598967</v>
      </c>
      <c r="AU7" s="13" t="str">
        <f>IF(Q7&lt;=AT7,"DESPRECIABLE","DISEÑAR")</f>
        <v>DISEÑAR</v>
      </c>
      <c r="AV7" s="13">
        <f>IF(Q7&lt;=AT7,0,Q7*1000000/([1]Parametros!$B$6*2*0.85*(H7-2*([1]Parametros!$B$7+[1]Parametros!$B$9/2))*(I7-2*([1]Parametros!$B$7+[1]Parametros!$B$9/2))*[1]Parametros!$B$4))</f>
        <v>1.7622085816931232</v>
      </c>
      <c r="AW7" s="13">
        <f>AV7*2*((H7-2*([1]Parametros!$B$7+[1]Parametros!$B$9/2))+(I7-2*([1]Parametros!$B$7+[1]Parametros!$B$9/2)))*[1]Parametros!$B$4/[1]Parametros!$B$3</f>
        <v>3047.2110794637483</v>
      </c>
      <c r="AX7" s="14">
        <v>16</v>
      </c>
      <c r="AY7" s="13" t="str">
        <f>IF(AV7=0,"DESPRECIABLE",IF(AND(ISERROR(SEARCH("referencia",AN7)),BB7/AP7&gt;=AV7,BI7&gt;=AW7,BH7="CUMPLE"),"CUMPLE","NO CUMPLE"))</f>
        <v>NO CUMPLE</v>
      </c>
      <c r="AZ7" s="13" t="e">
        <f>IF(AND(X7="CUMPLE",AE7="CUMPLE",AS7="CUMPLE",OR(AY7="CUMPLE",AY7="DESPRECIABLE"),BH7="CUMPLE",BJ7="CUMPLE",COUNTIF('[1]Todas las Vigas (592)'!$A$4:$A$595,A7)=COUNTIFS('[1]Todas las Vigas (592)'!$A$4:$A$595,A7,'[1]Todas las Vigas (592)'!$AZ$4:$AZ$595,"CUMPLE")),"CUMPLE","NO CUMPLE")</f>
        <v>#VALUE!</v>
      </c>
      <c r="BA7" s="14">
        <v>12.7</v>
      </c>
      <c r="BB7" s="14">
        <v>129</v>
      </c>
      <c r="BC7" s="13">
        <f>MAX(IF(AK7=0,0,AK7*1000/([1]Parametros!$B$4*MIN(U7,AB7))),MAX(0.062*SQRT([1]Parametros!$B$2)*H7/[1]Parametros!$B$4,0.35*H7/[1]Parametros!$B$4))</f>
        <v>2.918125343395189</v>
      </c>
      <c r="BD7" s="13">
        <f>2*AV7</f>
        <v>3.5244171633862464</v>
      </c>
      <c r="BE7" s="13">
        <f>AO7*BB7/AP7</f>
        <v>6.45</v>
      </c>
      <c r="BF7" s="13">
        <f>SQRT((AI7*1000/(H7*MIN(U7,AB7)))^2+(Q7*1000000*2*((H7-2*([1]Parametros!$B$7+[1]Parametros!$B$9/2))+(I7-2*([1]Parametros!$B$7+[1]Parametros!$B$9/2)))/(1.7*((H7-2*([1]Parametros!$B$7+[1]Parametros!$B$9/2))*(I7-2*([1]Parametros!$B$7+[1]Parametros!$B$9/2)))^2))^2)</f>
        <v>5.7335481379700548</v>
      </c>
      <c r="BG7" s="13">
        <f>[1]Parametros!$B$6*(AJ7*1000/(H7*MIN(U7,AB7))+0.66*SQRT([1]Parametros!$B$2))</f>
        <v>3.2939603822754151</v>
      </c>
      <c r="BH7" s="13" t="str">
        <f>IF(BF7&lt;=BG7,"CUMPLE","NO CUMPLE")</f>
        <v>NO CUMPLE</v>
      </c>
      <c r="BI7" s="13">
        <f>AX7*[1]Parametros!$B$8</f>
        <v>3184</v>
      </c>
      <c r="BJ7" s="15" t="str">
        <f>IF(BI7&gt;=AW7,"CUMPLE","NO CUMPLE")</f>
        <v>CUMPLE</v>
      </c>
    </row>
    <row r="8" spans="1:62" ht="15" thickBot="1" x14ac:dyDescent="0.35">
      <c r="A8" s="37" t="s">
        <v>78</v>
      </c>
      <c r="B8" s="38">
        <v>109</v>
      </c>
      <c r="C8" s="26">
        <v>40</v>
      </c>
      <c r="D8" s="26">
        <v>1.9</v>
      </c>
      <c r="E8" s="26">
        <v>2</v>
      </c>
      <c r="F8" s="26">
        <v>450</v>
      </c>
      <c r="G8" s="26">
        <v>550</v>
      </c>
      <c r="H8" s="26">
        <v>450</v>
      </c>
      <c r="I8" s="26">
        <v>550</v>
      </c>
      <c r="J8" s="27">
        <v>48.916800000000002</v>
      </c>
      <c r="K8" s="26">
        <v>112</v>
      </c>
      <c r="L8" s="27">
        <v>41.186</v>
      </c>
      <c r="M8" s="26">
        <v>109</v>
      </c>
      <c r="N8" s="27">
        <v>43.256</v>
      </c>
      <c r="O8" s="27">
        <v>169.702</v>
      </c>
      <c r="P8" s="26">
        <v>109</v>
      </c>
      <c r="Q8" s="27">
        <v>16.969799999999999</v>
      </c>
      <c r="R8" s="26">
        <f>MAX(MAX(1.4/[1]Parametros!$B$3,0.25*SQRT([1]Parametros!$B$2)/[1]Parametros!$B$3)*H8*U8,(0.85*[1]Parametros!$B$2/[1]Parametros!$B$3)*(1-SQRT(1-2*(J8*1000000/([1]Parametros!$B$5*H8*U8^2))/(0.85*[1]Parametros!$B$2)))*H8*U8)</f>
        <v>734.02500000000009</v>
      </c>
      <c r="S8" s="27">
        <v>4</v>
      </c>
      <c r="T8" s="27">
        <v>1</v>
      </c>
      <c r="U8" s="26">
        <f>IF(T8=1,I8-([1]Parametros!$B$7+[1]Parametros!$B$9+[1]Parametros!$B$12/2),I8-(ROUNDUP(S8/2,0)*([1]Parametros!$B$7+[1]Parametros!$B$9+[1]Parametros!$B$12/2)+ROUNDDOWN(S8/2,0)*([1]Parametros!$B$7+[1]Parametros!$B$9+[1]Parametros!$B$12/2+[1]Parametros!$B$12+[1]Parametros!$B$10))/S8)</f>
        <v>489.35</v>
      </c>
      <c r="V8" s="26">
        <f>S8*[1]Parametros!$B$8</f>
        <v>796</v>
      </c>
      <c r="W8" s="26">
        <f>[1]Parametros!$B$5*V8*[1]Parametros!$B$3*(U8-(V8*[1]Parametros!$B$3/(0.85*[1]Parametros!$B$2*H8))/2)/1000000</f>
        <v>142.54333009411764</v>
      </c>
      <c r="X8" s="26" t="str">
        <f>IF(W8&gt;=J8,"CUMPLE","NO CUMPLE")</f>
        <v>CUMPLE</v>
      </c>
      <c r="Y8" s="26">
        <f>MAX(MAX(1.4/[1]Parametros!$B$3,0.25*SQRT([1]Parametros!$B$2)/[1]Parametros!$B$3)*H8*AB8,(0.85*[1]Parametros!$B$2/[1]Parametros!$B$3)*(1-SQRT(1-2*(L8*1000000/([1]Parametros!$B$5*H8*AB8^2))/(0.85*[1]Parametros!$B$2)))*H8*AB8)</f>
        <v>734.02500000000009</v>
      </c>
      <c r="Z8" s="27">
        <v>4</v>
      </c>
      <c r="AA8" s="27">
        <v>1</v>
      </c>
      <c r="AB8" s="26">
        <f>IF(AA8=1,I8-([1]Parametros!$B$7+[1]Parametros!$B$9+[1]Parametros!$B$12/2),I8-(ROUNDUP(Z8/2,0)*([1]Parametros!$B$7+[1]Parametros!$B$9+[1]Parametros!$B$12/2)+ROUNDDOWN(Z8/2,0)*([1]Parametros!$B$7+[1]Parametros!$B$9+[1]Parametros!$B$12/2+[1]Parametros!$B$12+[1]Parametros!$B$10))/Z8)</f>
        <v>489.35</v>
      </c>
      <c r="AC8" s="26">
        <f>Z8*[1]Parametros!$B$8</f>
        <v>796</v>
      </c>
      <c r="AD8" s="26">
        <f>[1]Parametros!$B$5*AC8*[1]Parametros!$B$3*(AB8-(AC8*[1]Parametros!$B$3/(0.85*[1]Parametros!$B$2*H8))/2)/1000000</f>
        <v>142.54333009411764</v>
      </c>
      <c r="AE8" s="26" t="str">
        <f>IF(AD8&gt;=L8,"CUMPLE","NO CUMPLE")</f>
        <v>CUMPLE</v>
      </c>
      <c r="AF8" s="26">
        <f>V8*1.25*[1]Parametros!$B$3*(U8-(V8*1.25*[1]Parametros!$B$3/(0.85*[1]Parametros!$B$2*H8))/2)/1000000</f>
        <v>196.34621794117646</v>
      </c>
      <c r="AG8" s="26">
        <f>AC8*1.25*[1]Parametros!$B$3*(AB8-(AC8*1.25*[1]Parametros!$B$3/(0.85*[1]Parametros!$B$2*H8))/2)/1000000</f>
        <v>196.34621794117646</v>
      </c>
      <c r="AH8" s="26">
        <f>N8+(AF8+AG8)/D8</f>
        <v>249.93622941176471</v>
      </c>
      <c r="AI8" s="26">
        <f>MAX(O8,AH8)</f>
        <v>249.93622941176471</v>
      </c>
      <c r="AJ8" s="26">
        <f>0.17*SQRT([1]Parametros!$B$2)*H8*MIN(U8,AB8)/1000</f>
        <v>198.08885582262698</v>
      </c>
      <c r="AK8" s="26">
        <f>MAX(AI8/[1]Parametros!$B$6-AJ8,0)</f>
        <v>135.15945005972597</v>
      </c>
      <c r="AL8" s="26">
        <f>0.66*SQRT([1]Parametros!$B$2)*H8*MIN(U8,AB8)/1000</f>
        <v>769.05085201725785</v>
      </c>
      <c r="AM8" s="26" t="str">
        <f>IF(AK8&lt;=AL8,"CUMPLE","NO CUMPLE")</f>
        <v>CUMPLE</v>
      </c>
      <c r="AN8" s="26" t="s">
        <v>64</v>
      </c>
      <c r="AO8" s="27">
        <v>2</v>
      </c>
      <c r="AP8" s="26">
        <f>ROUNDDOWN(MIN(IF(BC8+BD8=0,1000000000,AO8*BB8/(BC8+BD8)),MIN(U8,AB8)/4,8*[1]Parametros!$B$12,24*BA8,300,IF(AV8=0,1000000000,2*((H8-2*([1]Parametros!$B$7+[1]Parametros!$B$9/2))+(I8-2*([1]Parametros!$B$7+[1]Parametros!$B$9/2)))/8))/10,0)*10</f>
        <v>120</v>
      </c>
      <c r="AQ8" s="26">
        <f>ROUNDDOWN(MIN(IF(BC8+BD8=0,1000000000,AO8*BB8/(BC8+BD8)),IF(AK8&gt;0.33*SQRT([1]Parametros!$B$2)*H8*MIN(U8,AB8)/1000,MIN(U8,AB8)/4,MIN(U8,AB8)/2),600,IF(AV8=0,1000000000,2*((H8-2*([1]Parametros!$B$7+[1]Parametros!$B$9/2))+(I8-2*([1]Parametros!$B$7+[1]Parametros!$B$9/2)))/8))/10,0)*10</f>
        <v>130</v>
      </c>
      <c r="AR8" s="26">
        <f>[1]Parametros!$B$6*(AJ8+MAX(BE8-BD8,0)*[1]Parametros!$B$4*MIN(U8,AB8)/1000)</f>
        <v>271.17984159610955</v>
      </c>
      <c r="AS8" s="26" t="str">
        <f>IF(AND(ISERROR(SEARCH("referencia",AN8)),AM8="CUMPLE",AR8&gt;=AI8),"CUMPLE","NO CUMPLE")</f>
        <v>CUMPLE</v>
      </c>
      <c r="AT8" s="26">
        <f>[1]Parametros!$B$6*0.083*SQRT([1]Parametros!$B$2)*(H8*I8)^2/(2*(H8+I8))/1000000</f>
        <v>10.08878303333792</v>
      </c>
      <c r="AU8" s="26" t="str">
        <f>IF(Q8&lt;=AT8,"DESPRECIABLE","DISEÑAR")</f>
        <v>DISEÑAR</v>
      </c>
      <c r="AV8" s="26">
        <f>IF(Q8&lt;=AT8,0,Q8*1000000/([1]Parametros!$B$6*2*0.85*(H8-2*([1]Parametros!$B$7+[1]Parametros!$B$9/2))*(I8-2*([1]Parametros!$B$7+[1]Parametros!$B$9/2))*[1]Parametros!$B$4))</f>
        <v>0.1939469843243975</v>
      </c>
      <c r="AW8" s="26">
        <f>AV8*2*((H8-2*([1]Parametros!$B$7+[1]Parametros!$B$9/2))+(I8-2*([1]Parametros!$B$7+[1]Parametros!$B$9/2)))*[1]Parametros!$B$4/[1]Parametros!$B$3</f>
        <v>315.97842686130844</v>
      </c>
      <c r="AX8" s="27">
        <v>8</v>
      </c>
      <c r="AY8" s="26" t="str">
        <f>IF(AV8=0,"DESPRECIABLE",IF(AND(ISERROR(SEARCH("referencia",AN8)),BB8/AP8&gt;=AV8,BI8&gt;=AW8,BH8="CUMPLE"),"CUMPLE","NO CUMPLE"))</f>
        <v>CUMPLE</v>
      </c>
      <c r="AZ8" s="26" t="e">
        <f>IF(AND(X8="CUMPLE",AE8="CUMPLE",AS8="CUMPLE",OR(AY8="CUMPLE",AY8="DESPRECIABLE"),BH8="CUMPLE",BJ8="CUMPLE",COUNTIF('[1]Todas las Vigas (592)'!$A$4:$A$595,A8)=COUNTIFS('[1]Todas las Vigas (592)'!$A$4:$A$595,A8,'[1]Todas las Vigas (592)'!$AZ$4:$AZ$595,"CUMPLE")),"CUMPLE","NO CUMPLE")</f>
        <v>#VALUE!</v>
      </c>
      <c r="BA8" s="27">
        <v>9.5</v>
      </c>
      <c r="BB8" s="27">
        <v>71</v>
      </c>
      <c r="BC8" s="26">
        <f>MAX(IF(AK8=0,0,AK8*1000/([1]Parametros!$B$4*MIN(U8,AB8))),MAX(0.062*SQRT([1]Parametros!$B$2)*H8/[1]Parametros!$B$4,0.35*H8/[1]Parametros!$B$4))</f>
        <v>0.65762381613961163</v>
      </c>
      <c r="BD8" s="26">
        <f>2*AV8</f>
        <v>0.387893968648795</v>
      </c>
      <c r="BE8" s="26">
        <f>AO8*BB8/AP8</f>
        <v>1.1833333333333333</v>
      </c>
      <c r="BF8" s="26">
        <f>SQRT((AI8*1000/(H8*MIN(U8,AB8)))^2+(Q8*1000000*2*((H8-2*([1]Parametros!$B$7+[1]Parametros!$B$9/2))+(I8-2*([1]Parametros!$B$7+[1]Parametros!$B$9/2)))/(1.7*((H8-2*([1]Parametros!$B$7+[1]Parametros!$B$9/2))*(I8-2*([1]Parametros!$B$7+[1]Parametros!$B$9/2)))^2))^2)</f>
        <v>1.2881429972660385</v>
      </c>
      <c r="BG8" s="26">
        <f>[1]Parametros!$B$6*(AJ8*1000/(H8*MIN(U8,AB8))+0.66*SQRT([1]Parametros!$B$2))</f>
        <v>3.2939603822754151</v>
      </c>
      <c r="BH8" s="26" t="str">
        <f>IF(BF8&lt;=BG8,"CUMPLE","NO CUMPLE")</f>
        <v>CUMPLE</v>
      </c>
      <c r="BI8" s="26">
        <f>AX8*[1]Parametros!$B$8</f>
        <v>1592</v>
      </c>
      <c r="BJ8" s="28" t="str">
        <f>IF(BI8&gt;=AW8,"CUMPLE","NO CUMPLE")</f>
        <v>CUMPLE</v>
      </c>
    </row>
  </sheetData>
  <mergeCells count="1">
    <mergeCell ref="A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FF0C-7B20-427D-A89D-9E111DD60513}">
  <dimension ref="A1:BJ595"/>
  <sheetViews>
    <sheetView tabSelected="1" zoomScale="80" zoomScaleNormal="100" workbookViewId="0">
      <selection activeCell="K16" sqref="K16"/>
    </sheetView>
  </sheetViews>
  <sheetFormatPr baseColWidth="10" defaultColWidth="8.88671875" defaultRowHeight="14.4" x14ac:dyDescent="0.3"/>
  <cols>
    <col min="1" max="2" width="12" customWidth="1"/>
    <col min="3" max="3" width="10" customWidth="1"/>
    <col min="4" max="5" width="11" customWidth="1"/>
    <col min="6" max="9" width="12" customWidth="1"/>
    <col min="10" max="62" width="14" customWidth="1"/>
  </cols>
  <sheetData>
    <row r="1" spans="1:62" ht="24" customHeight="1" x14ac:dyDescent="0.3">
      <c r="A1" s="47" t="s">
        <v>79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62" ht="30" customHeight="1" thickBot="1" x14ac:dyDescent="0.35">
      <c r="A2" s="50"/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62" ht="52.05" customHeight="1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4" t="s">
        <v>41</v>
      </c>
      <c r="AP3" s="4" t="s">
        <v>42</v>
      </c>
      <c r="AQ3" s="4" t="s">
        <v>43</v>
      </c>
      <c r="AR3" s="4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4" t="s">
        <v>57</v>
      </c>
      <c r="BF3" s="4" t="s">
        <v>58</v>
      </c>
      <c r="BG3" s="4" t="s">
        <v>59</v>
      </c>
      <c r="BH3" s="4" t="s">
        <v>60</v>
      </c>
      <c r="BI3" s="4" t="s">
        <v>61</v>
      </c>
      <c r="BJ3" s="5" t="s">
        <v>62</v>
      </c>
    </row>
    <row r="4" spans="1:62" x14ac:dyDescent="0.3">
      <c r="A4" s="6" t="s">
        <v>63</v>
      </c>
      <c r="B4" s="7">
        <v>148</v>
      </c>
      <c r="C4" s="8">
        <v>1</v>
      </c>
      <c r="D4" s="8">
        <v>3.15</v>
      </c>
      <c r="E4" s="8">
        <v>3.15</v>
      </c>
      <c r="F4" s="8">
        <v>450</v>
      </c>
      <c r="G4" s="8">
        <v>550</v>
      </c>
      <c r="H4" s="8">
        <v>450</v>
      </c>
      <c r="I4" s="8">
        <v>550</v>
      </c>
      <c r="J4" s="9">
        <v>33.427900000000001</v>
      </c>
      <c r="K4" s="8">
        <v>148</v>
      </c>
      <c r="L4" s="9">
        <v>21.620999999999999</v>
      </c>
      <c r="M4" s="8">
        <v>148</v>
      </c>
      <c r="N4" s="9">
        <v>26.940999999999999</v>
      </c>
      <c r="O4" s="9">
        <v>74.043000000000006</v>
      </c>
      <c r="P4" s="8">
        <v>148</v>
      </c>
      <c r="Q4" s="9">
        <v>13.2234</v>
      </c>
      <c r="R4" s="8">
        <f>MAX(MAX(1.4/[1]Parametros!$B$3,0.25*SQRT([1]Parametros!$B$2)/[1]Parametros!$B$3)*H4*U4,(0.85*[1]Parametros!$B$2/[1]Parametros!$B$3)*(1-SQRT(1-2*(J4*1000000/([1]Parametros!$B$5*H4*U4^2))/(0.85*[1]Parametros!$B$2)))*H4*U4)</f>
        <v>734.02500000000009</v>
      </c>
      <c r="S4" s="9">
        <v>4</v>
      </c>
      <c r="T4" s="9">
        <v>1</v>
      </c>
      <c r="U4" s="8">
        <f>IF(T4=1,I4-([1]Parametros!$B$7+[1]Parametros!$B$9+[1]Parametros!$B$12/2),I4-(ROUNDUP(S4/2,0)*([1]Parametros!$B$7+[1]Parametros!$B$9+[1]Parametros!$B$12/2)+ROUNDDOWN(S4/2,0)*([1]Parametros!$B$7+[1]Parametros!$B$9+[1]Parametros!$B$12/2+[1]Parametros!$B$12+[1]Parametros!$B$10))/S4)</f>
        <v>489.35</v>
      </c>
      <c r="V4" s="8">
        <f>S4*[1]Parametros!$B$8</f>
        <v>796</v>
      </c>
      <c r="W4" s="8">
        <f>[1]Parametros!$B$5*V4*[1]Parametros!$B$3*(U4-(V4*[1]Parametros!$B$3/(0.85*[1]Parametros!$B$2*H4))/2)/1000000</f>
        <v>142.54333009411764</v>
      </c>
      <c r="X4" s="8" t="str">
        <f t="shared" ref="X4:X67" si="0">IF(W4&gt;=J4,"CUMPLE","NO CUMPLE")</f>
        <v>CUMPLE</v>
      </c>
      <c r="Y4" s="8">
        <f>MAX(MAX(1.4/[1]Parametros!$B$3,0.25*SQRT([1]Parametros!$B$2)/[1]Parametros!$B$3)*H4*AB4,(0.85*[1]Parametros!$B$2/[1]Parametros!$B$3)*(1-SQRT(1-2*(L4*1000000/([1]Parametros!$B$5*H4*AB4^2))/(0.85*[1]Parametros!$B$2)))*H4*AB4)</f>
        <v>734.02500000000009</v>
      </c>
      <c r="Z4" s="9">
        <v>4</v>
      </c>
      <c r="AA4" s="9">
        <v>1</v>
      </c>
      <c r="AB4" s="8">
        <f>IF(AA4=1,I4-([1]Parametros!$B$7+[1]Parametros!$B$9+[1]Parametros!$B$12/2),I4-(ROUNDUP(Z4/2,0)*([1]Parametros!$B$7+[1]Parametros!$B$9+[1]Parametros!$B$12/2)+ROUNDDOWN(Z4/2,0)*([1]Parametros!$B$7+[1]Parametros!$B$9+[1]Parametros!$B$12/2+[1]Parametros!$B$12+[1]Parametros!$B$10))/Z4)</f>
        <v>489.35</v>
      </c>
      <c r="AC4" s="8">
        <f>Z4*[1]Parametros!$B$8</f>
        <v>796</v>
      </c>
      <c r="AD4" s="8">
        <f>[1]Parametros!$B$5*AC4*[1]Parametros!$B$3*(AB4-(AC4*[1]Parametros!$B$3/(0.85*[1]Parametros!$B$2*H4))/2)/1000000</f>
        <v>142.54333009411764</v>
      </c>
      <c r="AE4" s="8" t="str">
        <f t="shared" ref="AE4:AE67" si="1">IF(AD4&gt;=L4,"CUMPLE","NO CUMPLE")</f>
        <v>CUMPLE</v>
      </c>
      <c r="AF4" s="8">
        <f>V4*1.25*[1]Parametros!$B$3*(U4-(V4*1.25*[1]Parametros!$B$3/(0.85*[1]Parametros!$B$2*H4))/2)/1000000</f>
        <v>196.34621794117646</v>
      </c>
      <c r="AG4" s="8">
        <f>AC4*1.25*[1]Parametros!$B$3*(AB4-(AC4*1.25*[1]Parametros!$B$3/(0.85*[1]Parametros!$B$2*H4))/2)/1000000</f>
        <v>196.34621794117646</v>
      </c>
      <c r="AH4" s="8">
        <f t="shared" ref="AH4:AH67" si="2">N4+(AF4+AG4)/D4</f>
        <v>151.60526535947713</v>
      </c>
      <c r="AI4" s="8">
        <f t="shared" ref="AI4:AI67" si="3">MAX(O4,AH4)</f>
        <v>151.60526535947713</v>
      </c>
      <c r="AJ4" s="8">
        <f>0.17*SQRT([1]Parametros!$B$2)*H4*MIN(U4,AB4)/1000</f>
        <v>198.08885582262698</v>
      </c>
      <c r="AK4" s="8">
        <f>MAX(AI4/[1]Parametros!$B$6-AJ4,0)</f>
        <v>4.0514979900091816</v>
      </c>
      <c r="AL4" s="8">
        <f>0.66*SQRT([1]Parametros!$B$2)*H4*MIN(U4,AB4)/1000</f>
        <v>769.05085201725785</v>
      </c>
      <c r="AM4" s="8" t="str">
        <f t="shared" ref="AM4:AM67" si="4">IF(AK4&lt;=AL4,"CUMPLE","NO CUMPLE")</f>
        <v>CUMPLE</v>
      </c>
      <c r="AN4" s="8" t="s">
        <v>64</v>
      </c>
      <c r="AO4" s="9">
        <v>2</v>
      </c>
      <c r="AP4" s="8">
        <f>ROUNDDOWN(MIN(IF(BC4+BD4=0,1000000000,AO4*BB4/(BC4+BD4)),MIN(U4,AB4)/4,8*[1]Parametros!$B$12,24*BA4,300,IF(AV4=0,1000000000,2*((H4-2*([1]Parametros!$B$7+[1]Parametros!$B$9/2))+(I4-2*([1]Parametros!$B$7+[1]Parametros!$B$9/2)))/8))/10,0)*10</f>
        <v>120</v>
      </c>
      <c r="AQ4" s="8">
        <f>ROUNDDOWN(MIN(IF(BC4+BD4=0,1000000000,AO4*BB4/(BC4+BD4)),IF(AK4&gt;0.33*SQRT([1]Parametros!$B$2)*H4*MIN(U4,AB4)/1000,MIN(U4,AB4)/4,MIN(U4,AB4)/2),600,IF(AV4=0,1000000000,2*((H4-2*([1]Parametros!$B$7+[1]Parametros!$B$9/2))+(I4-2*([1]Parametros!$B$7+[1]Parametros!$B$9/2)))/8))/10,0)*10</f>
        <v>200</v>
      </c>
      <c r="AR4" s="8">
        <f>[1]Parametros!$B$6*(AJ4+MAX(BE4-BD4,0)*[1]Parametros!$B$4*MIN(U4,AB4)/1000)</f>
        <v>284.38004411144584</v>
      </c>
      <c r="AS4" s="8" t="str">
        <f t="shared" ref="AS4:AS67" si="5">IF(AND(ISERROR(SEARCH("referencia",AN4)),AM4="CUMPLE",AR4&gt;=AI4),"CUMPLE","NO CUMPLE")</f>
        <v>CUMPLE</v>
      </c>
      <c r="AT4" s="8">
        <f>[1]Parametros!$B$6*0.083*SQRT([1]Parametros!$B$2)*(H4*I4)^2/(2*(H4+I4))/1000000</f>
        <v>10.08878303333792</v>
      </c>
      <c r="AU4" s="8" t="str">
        <f t="shared" ref="AU4:AU67" si="6">IF(Q4&lt;=AT4,"DESPRECIABLE","DISEÑAR")</f>
        <v>DISEÑAR</v>
      </c>
      <c r="AV4" s="8">
        <f>IF(Q4&lt;=AT4,0,Q4*1000000/([1]Parametros!$B$6*2*0.85*(H4-2*([1]Parametros!$B$7+[1]Parametros!$B$9/2))*(I4-2*([1]Parametros!$B$7+[1]Parametros!$B$9/2))*[1]Parametros!$B$4))</f>
        <v>0.15112956855798171</v>
      </c>
      <c r="AW4" s="8">
        <f>AV4*2*((H4-2*([1]Parametros!$B$7+[1]Parametros!$B$9/2))+(I4-2*([1]Parametros!$B$7+[1]Parametros!$B$9/2)))*[1]Parametros!$B$4/[1]Parametros!$B$3</f>
        <v>246.22029309466382</v>
      </c>
      <c r="AX4" s="9">
        <v>8</v>
      </c>
      <c r="AY4" s="8" t="str">
        <f t="shared" ref="AY4:AY67" si="7">IF(AV4=0,"DESPRECIABLE",IF(AND(ISERROR(SEARCH("referencia",AN4)),BB4/AP4&gt;=AV4,BI4&gt;=AW4,BH4="CUMPLE"),"CUMPLE","NO CUMPLE"))</f>
        <v>CUMPLE</v>
      </c>
      <c r="AZ4" s="8" t="str">
        <f t="shared" ref="AZ4:AZ67" si="8">IF(AND(X4="CUMPLE",AE4="CUMPLE",AS4="CUMPLE",OR(AY4="CUMPLE",AY4="DESPRECIABLE"),BH4="CUMPLE",BJ4="CUMPLE"),"CUMPLE","NO CUMPLE")</f>
        <v>CUMPLE</v>
      </c>
      <c r="BA4" s="9">
        <v>9.5</v>
      </c>
      <c r="BB4" s="9">
        <v>71</v>
      </c>
      <c r="BC4" s="8">
        <f>MAX(IF(AK4=0,0,AK4*1000/([1]Parametros!$B$4*MIN(U4,AB4))),MAX(0.062*SQRT([1]Parametros!$B$2)*H4/[1]Parametros!$B$4,0.35*H4/[1]Parametros!$B$4))</f>
        <v>0.375</v>
      </c>
      <c r="BD4" s="8">
        <f t="shared" ref="BD4:BD67" si="9">2*AV4</f>
        <v>0.30225913711596342</v>
      </c>
      <c r="BE4" s="8">
        <f t="shared" ref="BE4:BE67" si="10">AO4*BB4/AP4</f>
        <v>1.1833333333333333</v>
      </c>
      <c r="BF4" s="8">
        <f>SQRT((AI4*1000/(H4*MIN(U4,AB4)))^2+(Q4*1000000*2*((H4-2*([1]Parametros!$B$7+[1]Parametros!$B$9/2))+(I4-2*([1]Parametros!$B$7+[1]Parametros!$B$9/2)))/(1.7*((H4-2*([1]Parametros!$B$7+[1]Parametros!$B$9/2))*(I4-2*([1]Parametros!$B$7+[1]Parametros!$B$9/2)))^2))^2)</f>
        <v>0.83624461581897058</v>
      </c>
      <c r="BG4" s="8">
        <f>[1]Parametros!$B$6*(AJ4*1000/(H4*MIN(U4,AB4))+0.66*SQRT([1]Parametros!$B$2))</f>
        <v>3.2939603822754151</v>
      </c>
      <c r="BH4" s="8" t="str">
        <f t="shared" ref="BH4:BH67" si="11">IF(BF4&lt;=BG4,"CUMPLE","NO CUMPLE")</f>
        <v>CUMPLE</v>
      </c>
      <c r="BI4" s="8">
        <f>AX4*[1]Parametros!$B$8</f>
        <v>1592</v>
      </c>
      <c r="BJ4" s="10" t="str">
        <f t="shared" ref="BJ4:BJ67" si="12">IF(BI4&gt;=AW4,"CUMPLE","NO CUMPLE")</f>
        <v>CUMPLE</v>
      </c>
    </row>
    <row r="5" spans="1:62" x14ac:dyDescent="0.3">
      <c r="A5" s="39" t="s">
        <v>63</v>
      </c>
      <c r="B5" s="40">
        <v>149</v>
      </c>
      <c r="C5" s="13">
        <v>1</v>
      </c>
      <c r="D5" s="13">
        <v>3.15</v>
      </c>
      <c r="E5" s="13">
        <v>3.15</v>
      </c>
      <c r="F5" s="13">
        <v>450</v>
      </c>
      <c r="G5" s="13">
        <v>550</v>
      </c>
      <c r="H5" s="13">
        <v>450</v>
      </c>
      <c r="I5" s="13">
        <v>550</v>
      </c>
      <c r="J5" s="14">
        <v>33.423900000000003</v>
      </c>
      <c r="K5" s="13">
        <v>149</v>
      </c>
      <c r="L5" s="14">
        <v>21.6234</v>
      </c>
      <c r="M5" s="13">
        <v>149</v>
      </c>
      <c r="N5" s="14">
        <v>26.939</v>
      </c>
      <c r="O5" s="14">
        <v>74.040999999999997</v>
      </c>
      <c r="P5" s="13">
        <v>149</v>
      </c>
      <c r="Q5" s="14">
        <v>13.2232</v>
      </c>
      <c r="R5" s="13">
        <f>MAX(MAX(1.4/[1]Parametros!$B$3,0.25*SQRT([1]Parametros!$B$2)/[1]Parametros!$B$3)*H5*U5,(0.85*[1]Parametros!$B$2/[1]Parametros!$B$3)*(1-SQRT(1-2*(J5*1000000/([1]Parametros!$B$5*H5*U5^2))/(0.85*[1]Parametros!$B$2)))*H5*U5)</f>
        <v>734.02500000000009</v>
      </c>
      <c r="S5" s="14">
        <v>4</v>
      </c>
      <c r="T5" s="14">
        <v>1</v>
      </c>
      <c r="U5" s="13">
        <f>IF(T5=1,I5-([1]Parametros!$B$7+[1]Parametros!$B$9+[1]Parametros!$B$12/2),I5-(ROUNDUP(S5/2,0)*([1]Parametros!$B$7+[1]Parametros!$B$9+[1]Parametros!$B$12/2)+ROUNDDOWN(S5/2,0)*([1]Parametros!$B$7+[1]Parametros!$B$9+[1]Parametros!$B$12/2+[1]Parametros!$B$12+[1]Parametros!$B$10))/S5)</f>
        <v>489.35</v>
      </c>
      <c r="V5" s="13">
        <f>S5*[1]Parametros!$B$8</f>
        <v>796</v>
      </c>
      <c r="W5" s="13">
        <f>[1]Parametros!$B$5*V5*[1]Parametros!$B$3*(U5-(V5*[1]Parametros!$B$3/(0.85*[1]Parametros!$B$2*H5))/2)/1000000</f>
        <v>142.54333009411764</v>
      </c>
      <c r="X5" s="13" t="str">
        <f t="shared" si="0"/>
        <v>CUMPLE</v>
      </c>
      <c r="Y5" s="13">
        <f>MAX(MAX(1.4/[1]Parametros!$B$3,0.25*SQRT([1]Parametros!$B$2)/[1]Parametros!$B$3)*H5*AB5,(0.85*[1]Parametros!$B$2/[1]Parametros!$B$3)*(1-SQRT(1-2*(L5*1000000/([1]Parametros!$B$5*H5*AB5^2))/(0.85*[1]Parametros!$B$2)))*H5*AB5)</f>
        <v>734.02500000000009</v>
      </c>
      <c r="Z5" s="14">
        <v>4</v>
      </c>
      <c r="AA5" s="14">
        <v>1</v>
      </c>
      <c r="AB5" s="13">
        <f>IF(AA5=1,I5-([1]Parametros!$B$7+[1]Parametros!$B$9+[1]Parametros!$B$12/2),I5-(ROUNDUP(Z5/2,0)*([1]Parametros!$B$7+[1]Parametros!$B$9+[1]Parametros!$B$12/2)+ROUNDDOWN(Z5/2,0)*([1]Parametros!$B$7+[1]Parametros!$B$9+[1]Parametros!$B$12/2+[1]Parametros!$B$12+[1]Parametros!$B$10))/Z5)</f>
        <v>489.35</v>
      </c>
      <c r="AC5" s="13">
        <f>Z5*[1]Parametros!$B$8</f>
        <v>796</v>
      </c>
      <c r="AD5" s="13">
        <f>[1]Parametros!$B$5*AC5*[1]Parametros!$B$3*(AB5-(AC5*[1]Parametros!$B$3/(0.85*[1]Parametros!$B$2*H5))/2)/1000000</f>
        <v>142.54333009411764</v>
      </c>
      <c r="AE5" s="13" t="str">
        <f t="shared" si="1"/>
        <v>CUMPLE</v>
      </c>
      <c r="AF5" s="13">
        <f>V5*1.25*[1]Parametros!$B$3*(U5-(V5*1.25*[1]Parametros!$B$3/(0.85*[1]Parametros!$B$2*H5))/2)/1000000</f>
        <v>196.34621794117646</v>
      </c>
      <c r="AG5" s="13">
        <f>AC5*1.25*[1]Parametros!$B$3*(AB5-(AC5*1.25*[1]Parametros!$B$3/(0.85*[1]Parametros!$B$2*H5))/2)/1000000</f>
        <v>196.34621794117646</v>
      </c>
      <c r="AH5" s="13">
        <f t="shared" si="2"/>
        <v>151.60326535947712</v>
      </c>
      <c r="AI5" s="13">
        <f t="shared" si="3"/>
        <v>151.60326535947712</v>
      </c>
      <c r="AJ5" s="13">
        <f>0.17*SQRT([1]Parametros!$B$2)*H5*MIN(U5,AB5)/1000</f>
        <v>198.08885582262698</v>
      </c>
      <c r="AK5" s="13">
        <f>MAX(AI5/[1]Parametros!$B$6-AJ5,0)</f>
        <v>4.0488313233425117</v>
      </c>
      <c r="AL5" s="13">
        <f>0.66*SQRT([1]Parametros!$B$2)*H5*MIN(U5,AB5)/1000</f>
        <v>769.05085201725785</v>
      </c>
      <c r="AM5" s="13" t="str">
        <f t="shared" si="4"/>
        <v>CUMPLE</v>
      </c>
      <c r="AN5" s="13" t="s">
        <v>64</v>
      </c>
      <c r="AO5" s="14">
        <v>2</v>
      </c>
      <c r="AP5" s="13">
        <f>ROUNDDOWN(MIN(IF(BC5+BD5=0,1000000000,AO5*BB5/(BC5+BD5)),MIN(U5,AB5)/4,8*[1]Parametros!$B$12,24*BA5,300,IF(AV5=0,1000000000,2*((H5-2*([1]Parametros!$B$7+[1]Parametros!$B$9/2))+(I5-2*([1]Parametros!$B$7+[1]Parametros!$B$9/2)))/8))/10,0)*10</f>
        <v>120</v>
      </c>
      <c r="AQ5" s="13">
        <f>ROUNDDOWN(MIN(IF(BC5+BD5=0,1000000000,AO5*BB5/(BC5+BD5)),IF(AK5&gt;0.33*SQRT([1]Parametros!$B$2)*H5*MIN(U5,AB5)/1000,MIN(U5,AB5)/4,MIN(U5,AB5)/2),600,IF(AV5=0,1000000000,2*((H5-2*([1]Parametros!$B$7+[1]Parametros!$B$9/2))+(I5-2*([1]Parametros!$B$7+[1]Parametros!$B$9/2)))/8))/10,0)*10</f>
        <v>200</v>
      </c>
      <c r="AR5" s="13">
        <f>[1]Parametros!$B$6*(AJ5+MAX(BE5-BD5,0)*[1]Parametros!$B$4*MIN(U5,AB5)/1000)</f>
        <v>284.38074879874642</v>
      </c>
      <c r="AS5" s="13" t="str">
        <f t="shared" si="5"/>
        <v>CUMPLE</v>
      </c>
      <c r="AT5" s="13">
        <f>[1]Parametros!$B$6*0.083*SQRT([1]Parametros!$B$2)*(H5*I5)^2/(2*(H5+I5))/1000000</f>
        <v>10.08878303333792</v>
      </c>
      <c r="AU5" s="13" t="str">
        <f t="shared" si="6"/>
        <v>DISEÑAR</v>
      </c>
      <c r="AV5" s="13">
        <f>IF(Q5&lt;=AT5,0,Q5*1000000/([1]Parametros!$B$6*2*0.85*(H5-2*([1]Parametros!$B$7+[1]Parametros!$B$9/2))*(I5-2*([1]Parametros!$B$7+[1]Parametros!$B$9/2))*[1]Parametros!$B$4))</f>
        <v>0.15112728276811591</v>
      </c>
      <c r="AW5" s="13">
        <f>AV5*2*((H5-2*([1]Parametros!$B$7+[1]Parametros!$B$9/2))+(I5-2*([1]Parametros!$B$7+[1]Parametros!$B$9/2)))*[1]Parametros!$B$4/[1]Parametros!$B$3</f>
        <v>246.21656908581443</v>
      </c>
      <c r="AX5" s="14">
        <v>8</v>
      </c>
      <c r="AY5" s="13" t="str">
        <f t="shared" si="7"/>
        <v>CUMPLE</v>
      </c>
      <c r="AZ5" s="13" t="str">
        <f t="shared" si="8"/>
        <v>CUMPLE</v>
      </c>
      <c r="BA5" s="14">
        <v>9.5</v>
      </c>
      <c r="BB5" s="14">
        <v>71</v>
      </c>
      <c r="BC5" s="13">
        <f>MAX(IF(AK5=0,0,AK5*1000/([1]Parametros!$B$4*MIN(U5,AB5))),MAX(0.062*SQRT([1]Parametros!$B$2)*H5/[1]Parametros!$B$4,0.35*H5/[1]Parametros!$B$4))</f>
        <v>0.375</v>
      </c>
      <c r="BD5" s="13">
        <f t="shared" si="9"/>
        <v>0.30225456553623181</v>
      </c>
      <c r="BE5" s="13">
        <f t="shared" si="10"/>
        <v>1.1833333333333333</v>
      </c>
      <c r="BF5" s="13">
        <f>SQRT((AI5*1000/(H5*MIN(U5,AB5)))^2+(Q5*1000000*2*((H5-2*([1]Parametros!$B$7+[1]Parametros!$B$9/2))+(I5-2*([1]Parametros!$B$7+[1]Parametros!$B$9/2)))/(1.7*((H5-2*([1]Parametros!$B$7+[1]Parametros!$B$9/2))*(I5-2*([1]Parametros!$B$7+[1]Parametros!$B$9/2)))^2))^2)</f>
        <v>0.83623306323959468</v>
      </c>
      <c r="BG5" s="13">
        <f>[1]Parametros!$B$6*(AJ5*1000/(H5*MIN(U5,AB5))+0.66*SQRT([1]Parametros!$B$2))</f>
        <v>3.2939603822754151</v>
      </c>
      <c r="BH5" s="13" t="str">
        <f t="shared" si="11"/>
        <v>CUMPLE</v>
      </c>
      <c r="BI5" s="13">
        <f>AX5*[1]Parametros!$B$8</f>
        <v>1592</v>
      </c>
      <c r="BJ5" s="15" t="str">
        <f t="shared" si="12"/>
        <v>CUMPLE</v>
      </c>
    </row>
    <row r="6" spans="1:62" x14ac:dyDescent="0.3">
      <c r="A6" s="39" t="s">
        <v>63</v>
      </c>
      <c r="B6" s="40">
        <v>153</v>
      </c>
      <c r="C6" s="13">
        <v>1</v>
      </c>
      <c r="D6" s="13">
        <v>3.15</v>
      </c>
      <c r="E6" s="13">
        <v>3.15</v>
      </c>
      <c r="F6" s="13">
        <v>450</v>
      </c>
      <c r="G6" s="13">
        <v>550</v>
      </c>
      <c r="H6" s="13">
        <v>450</v>
      </c>
      <c r="I6" s="13">
        <v>550</v>
      </c>
      <c r="J6" s="14">
        <v>33.425199999999997</v>
      </c>
      <c r="K6" s="13">
        <v>153</v>
      </c>
      <c r="L6" s="14">
        <v>21.6236</v>
      </c>
      <c r="M6" s="13">
        <v>153</v>
      </c>
      <c r="N6" s="14">
        <v>26.94</v>
      </c>
      <c r="O6" s="14">
        <v>74.043000000000006</v>
      </c>
      <c r="P6" s="13">
        <v>153</v>
      </c>
      <c r="Q6" s="14">
        <v>13.2232</v>
      </c>
      <c r="R6" s="13">
        <f>MAX(MAX(1.4/[1]Parametros!$B$3,0.25*SQRT([1]Parametros!$B$2)/[1]Parametros!$B$3)*H6*U6,(0.85*[1]Parametros!$B$2/[1]Parametros!$B$3)*(1-SQRT(1-2*(J6*1000000/([1]Parametros!$B$5*H6*U6^2))/(0.85*[1]Parametros!$B$2)))*H6*U6)</f>
        <v>734.02500000000009</v>
      </c>
      <c r="S6" s="14">
        <v>4</v>
      </c>
      <c r="T6" s="14">
        <v>1</v>
      </c>
      <c r="U6" s="13">
        <f>IF(T6=1,I6-([1]Parametros!$B$7+[1]Parametros!$B$9+[1]Parametros!$B$12/2),I6-(ROUNDUP(S6/2,0)*([1]Parametros!$B$7+[1]Parametros!$B$9+[1]Parametros!$B$12/2)+ROUNDDOWN(S6/2,0)*([1]Parametros!$B$7+[1]Parametros!$B$9+[1]Parametros!$B$12/2+[1]Parametros!$B$12+[1]Parametros!$B$10))/S6)</f>
        <v>489.35</v>
      </c>
      <c r="V6" s="13">
        <f>S6*[1]Parametros!$B$8</f>
        <v>796</v>
      </c>
      <c r="W6" s="13">
        <f>[1]Parametros!$B$5*V6*[1]Parametros!$B$3*(U6-(V6*[1]Parametros!$B$3/(0.85*[1]Parametros!$B$2*H6))/2)/1000000</f>
        <v>142.54333009411764</v>
      </c>
      <c r="X6" s="13" t="str">
        <f t="shared" si="0"/>
        <v>CUMPLE</v>
      </c>
      <c r="Y6" s="13">
        <f>MAX(MAX(1.4/[1]Parametros!$B$3,0.25*SQRT([1]Parametros!$B$2)/[1]Parametros!$B$3)*H6*AB6,(0.85*[1]Parametros!$B$2/[1]Parametros!$B$3)*(1-SQRT(1-2*(L6*1000000/([1]Parametros!$B$5*H6*AB6^2))/(0.85*[1]Parametros!$B$2)))*H6*AB6)</f>
        <v>734.02500000000009</v>
      </c>
      <c r="Z6" s="14">
        <v>4</v>
      </c>
      <c r="AA6" s="14">
        <v>1</v>
      </c>
      <c r="AB6" s="13">
        <f>IF(AA6=1,I6-([1]Parametros!$B$7+[1]Parametros!$B$9+[1]Parametros!$B$12/2),I6-(ROUNDUP(Z6/2,0)*([1]Parametros!$B$7+[1]Parametros!$B$9+[1]Parametros!$B$12/2)+ROUNDDOWN(Z6/2,0)*([1]Parametros!$B$7+[1]Parametros!$B$9+[1]Parametros!$B$12/2+[1]Parametros!$B$12+[1]Parametros!$B$10))/Z6)</f>
        <v>489.35</v>
      </c>
      <c r="AC6" s="13">
        <f>Z6*[1]Parametros!$B$8</f>
        <v>796</v>
      </c>
      <c r="AD6" s="13">
        <f>[1]Parametros!$B$5*AC6*[1]Parametros!$B$3*(AB6-(AC6*[1]Parametros!$B$3/(0.85*[1]Parametros!$B$2*H6))/2)/1000000</f>
        <v>142.54333009411764</v>
      </c>
      <c r="AE6" s="13" t="str">
        <f t="shared" si="1"/>
        <v>CUMPLE</v>
      </c>
      <c r="AF6" s="13">
        <f>V6*1.25*[1]Parametros!$B$3*(U6-(V6*1.25*[1]Parametros!$B$3/(0.85*[1]Parametros!$B$2*H6))/2)/1000000</f>
        <v>196.34621794117646</v>
      </c>
      <c r="AG6" s="13">
        <f>AC6*1.25*[1]Parametros!$B$3*(AB6-(AC6*1.25*[1]Parametros!$B$3/(0.85*[1]Parametros!$B$2*H6))/2)/1000000</f>
        <v>196.34621794117646</v>
      </c>
      <c r="AH6" s="13">
        <f t="shared" si="2"/>
        <v>151.60426535947713</v>
      </c>
      <c r="AI6" s="13">
        <f t="shared" si="3"/>
        <v>151.60426535947713</v>
      </c>
      <c r="AJ6" s="13">
        <f>0.17*SQRT([1]Parametros!$B$2)*H6*MIN(U6,AB6)/1000</f>
        <v>198.08885582262698</v>
      </c>
      <c r="AK6" s="13">
        <f>MAX(AI6/[1]Parametros!$B$6-AJ6,0)</f>
        <v>4.0501646566758609</v>
      </c>
      <c r="AL6" s="13">
        <f>0.66*SQRT([1]Parametros!$B$2)*H6*MIN(U6,AB6)/1000</f>
        <v>769.05085201725785</v>
      </c>
      <c r="AM6" s="13" t="str">
        <f t="shared" si="4"/>
        <v>CUMPLE</v>
      </c>
      <c r="AN6" s="13" t="s">
        <v>64</v>
      </c>
      <c r="AO6" s="14">
        <v>2</v>
      </c>
      <c r="AP6" s="13">
        <f>ROUNDDOWN(MIN(IF(BC6+BD6=0,1000000000,AO6*BB6/(BC6+BD6)),MIN(U6,AB6)/4,8*[1]Parametros!$B$12,24*BA6,300,IF(AV6=0,1000000000,2*((H6-2*([1]Parametros!$B$7+[1]Parametros!$B$9/2))+(I6-2*([1]Parametros!$B$7+[1]Parametros!$B$9/2)))/8))/10,0)*10</f>
        <v>120</v>
      </c>
      <c r="AQ6" s="13">
        <f>ROUNDDOWN(MIN(IF(BC6+BD6=0,1000000000,AO6*BB6/(BC6+BD6)),IF(AK6&gt;0.33*SQRT([1]Parametros!$B$2)*H6*MIN(U6,AB6)/1000,MIN(U6,AB6)/4,MIN(U6,AB6)/2),600,IF(AV6=0,1000000000,2*((H6-2*([1]Parametros!$B$7+[1]Parametros!$B$9/2))+(I6-2*([1]Parametros!$B$7+[1]Parametros!$B$9/2)))/8))/10,0)*10</f>
        <v>200</v>
      </c>
      <c r="AR6" s="13">
        <f>[1]Parametros!$B$6*(AJ6+MAX(BE6-BD6,0)*[1]Parametros!$B$4*MIN(U6,AB6)/1000)</f>
        <v>284.38074879874642</v>
      </c>
      <c r="AS6" s="13" t="str">
        <f t="shared" si="5"/>
        <v>CUMPLE</v>
      </c>
      <c r="AT6" s="13">
        <f>[1]Parametros!$B$6*0.083*SQRT([1]Parametros!$B$2)*(H6*I6)^2/(2*(H6+I6))/1000000</f>
        <v>10.08878303333792</v>
      </c>
      <c r="AU6" s="13" t="str">
        <f t="shared" si="6"/>
        <v>DISEÑAR</v>
      </c>
      <c r="AV6" s="13">
        <f>IF(Q6&lt;=AT6,0,Q6*1000000/([1]Parametros!$B$6*2*0.85*(H6-2*([1]Parametros!$B$7+[1]Parametros!$B$9/2))*(I6-2*([1]Parametros!$B$7+[1]Parametros!$B$9/2))*[1]Parametros!$B$4))</f>
        <v>0.15112728276811591</v>
      </c>
      <c r="AW6" s="13">
        <f>AV6*2*((H6-2*([1]Parametros!$B$7+[1]Parametros!$B$9/2))+(I6-2*([1]Parametros!$B$7+[1]Parametros!$B$9/2)))*[1]Parametros!$B$4/[1]Parametros!$B$3</f>
        <v>246.21656908581443</v>
      </c>
      <c r="AX6" s="14">
        <v>8</v>
      </c>
      <c r="AY6" s="13" t="str">
        <f t="shared" si="7"/>
        <v>CUMPLE</v>
      </c>
      <c r="AZ6" s="13" t="str">
        <f t="shared" si="8"/>
        <v>CUMPLE</v>
      </c>
      <c r="BA6" s="14">
        <v>9.5</v>
      </c>
      <c r="BB6" s="14">
        <v>71</v>
      </c>
      <c r="BC6" s="13">
        <f>MAX(IF(AK6=0,0,AK6*1000/([1]Parametros!$B$4*MIN(U6,AB6))),MAX(0.062*SQRT([1]Parametros!$B$2)*H6/[1]Parametros!$B$4,0.35*H6/[1]Parametros!$B$4))</f>
        <v>0.375</v>
      </c>
      <c r="BD6" s="13">
        <f t="shared" si="9"/>
        <v>0.30225456553623181</v>
      </c>
      <c r="BE6" s="13">
        <f t="shared" si="10"/>
        <v>1.1833333333333333</v>
      </c>
      <c r="BF6" s="13">
        <f>SQRT((AI6*1000/(H6*MIN(U6,AB6)))^2+(Q6*1000000*2*((H6-2*([1]Parametros!$B$7+[1]Parametros!$B$9/2))+(I6-2*([1]Parametros!$B$7+[1]Parametros!$B$9/2)))/(1.7*((H6-2*([1]Parametros!$B$7+[1]Parametros!$B$9/2))*(I6-2*([1]Parametros!$B$7+[1]Parametros!$B$9/2)))^2))^2)</f>
        <v>0.83623680191248995</v>
      </c>
      <c r="BG6" s="13">
        <f>[1]Parametros!$B$6*(AJ6*1000/(H6*MIN(U6,AB6))+0.66*SQRT([1]Parametros!$B$2))</f>
        <v>3.2939603822754151</v>
      </c>
      <c r="BH6" s="13" t="str">
        <f t="shared" si="11"/>
        <v>CUMPLE</v>
      </c>
      <c r="BI6" s="13">
        <f>AX6*[1]Parametros!$B$8</f>
        <v>1592</v>
      </c>
      <c r="BJ6" s="15" t="str">
        <f t="shared" si="12"/>
        <v>CUMPLE</v>
      </c>
    </row>
    <row r="7" spans="1:62" x14ac:dyDescent="0.3">
      <c r="A7" s="39" t="s">
        <v>63</v>
      </c>
      <c r="B7" s="40">
        <v>154</v>
      </c>
      <c r="C7" s="13">
        <v>1</v>
      </c>
      <c r="D7" s="13">
        <v>3.15</v>
      </c>
      <c r="E7" s="13">
        <v>3.15</v>
      </c>
      <c r="F7" s="13">
        <v>450</v>
      </c>
      <c r="G7" s="13">
        <v>550</v>
      </c>
      <c r="H7" s="13">
        <v>450</v>
      </c>
      <c r="I7" s="13">
        <v>550</v>
      </c>
      <c r="J7" s="14">
        <v>33.429200000000002</v>
      </c>
      <c r="K7" s="13">
        <v>154</v>
      </c>
      <c r="L7" s="14">
        <v>21.621099999999998</v>
      </c>
      <c r="M7" s="13">
        <v>154</v>
      </c>
      <c r="N7" s="14">
        <v>26.942</v>
      </c>
      <c r="O7" s="14">
        <v>74.045000000000002</v>
      </c>
      <c r="P7" s="13">
        <v>154</v>
      </c>
      <c r="Q7" s="14">
        <v>13.2234</v>
      </c>
      <c r="R7" s="13">
        <f>MAX(MAX(1.4/[1]Parametros!$B$3,0.25*SQRT([1]Parametros!$B$2)/[1]Parametros!$B$3)*H7*U7,(0.85*[1]Parametros!$B$2/[1]Parametros!$B$3)*(1-SQRT(1-2*(J7*1000000/([1]Parametros!$B$5*H7*U7^2))/(0.85*[1]Parametros!$B$2)))*H7*U7)</f>
        <v>734.02500000000009</v>
      </c>
      <c r="S7" s="14">
        <v>4</v>
      </c>
      <c r="T7" s="14">
        <v>1</v>
      </c>
      <c r="U7" s="13">
        <f>IF(T7=1,I7-([1]Parametros!$B$7+[1]Parametros!$B$9+[1]Parametros!$B$12/2),I7-(ROUNDUP(S7/2,0)*([1]Parametros!$B$7+[1]Parametros!$B$9+[1]Parametros!$B$12/2)+ROUNDDOWN(S7/2,0)*([1]Parametros!$B$7+[1]Parametros!$B$9+[1]Parametros!$B$12/2+[1]Parametros!$B$12+[1]Parametros!$B$10))/S7)</f>
        <v>489.35</v>
      </c>
      <c r="V7" s="13">
        <f>S7*[1]Parametros!$B$8</f>
        <v>796</v>
      </c>
      <c r="W7" s="13">
        <f>[1]Parametros!$B$5*V7*[1]Parametros!$B$3*(U7-(V7*[1]Parametros!$B$3/(0.85*[1]Parametros!$B$2*H7))/2)/1000000</f>
        <v>142.54333009411764</v>
      </c>
      <c r="X7" s="13" t="str">
        <f t="shared" si="0"/>
        <v>CUMPLE</v>
      </c>
      <c r="Y7" s="13">
        <f>MAX(MAX(1.4/[1]Parametros!$B$3,0.25*SQRT([1]Parametros!$B$2)/[1]Parametros!$B$3)*H7*AB7,(0.85*[1]Parametros!$B$2/[1]Parametros!$B$3)*(1-SQRT(1-2*(L7*1000000/([1]Parametros!$B$5*H7*AB7^2))/(0.85*[1]Parametros!$B$2)))*H7*AB7)</f>
        <v>734.02500000000009</v>
      </c>
      <c r="Z7" s="14">
        <v>4</v>
      </c>
      <c r="AA7" s="14">
        <v>1</v>
      </c>
      <c r="AB7" s="13">
        <f>IF(AA7=1,I7-([1]Parametros!$B$7+[1]Parametros!$B$9+[1]Parametros!$B$12/2),I7-(ROUNDUP(Z7/2,0)*([1]Parametros!$B$7+[1]Parametros!$B$9+[1]Parametros!$B$12/2)+ROUNDDOWN(Z7/2,0)*([1]Parametros!$B$7+[1]Parametros!$B$9+[1]Parametros!$B$12/2+[1]Parametros!$B$12+[1]Parametros!$B$10))/Z7)</f>
        <v>489.35</v>
      </c>
      <c r="AC7" s="13">
        <f>Z7*[1]Parametros!$B$8</f>
        <v>796</v>
      </c>
      <c r="AD7" s="13">
        <f>[1]Parametros!$B$5*AC7*[1]Parametros!$B$3*(AB7-(AC7*[1]Parametros!$B$3/(0.85*[1]Parametros!$B$2*H7))/2)/1000000</f>
        <v>142.54333009411764</v>
      </c>
      <c r="AE7" s="13" t="str">
        <f t="shared" si="1"/>
        <v>CUMPLE</v>
      </c>
      <c r="AF7" s="13">
        <f>V7*1.25*[1]Parametros!$B$3*(U7-(V7*1.25*[1]Parametros!$B$3/(0.85*[1]Parametros!$B$2*H7))/2)/1000000</f>
        <v>196.34621794117646</v>
      </c>
      <c r="AG7" s="13">
        <f>AC7*1.25*[1]Parametros!$B$3*(AB7-(AC7*1.25*[1]Parametros!$B$3/(0.85*[1]Parametros!$B$2*H7))/2)/1000000</f>
        <v>196.34621794117646</v>
      </c>
      <c r="AH7" s="13">
        <f t="shared" si="2"/>
        <v>151.60626535947713</v>
      </c>
      <c r="AI7" s="13">
        <f t="shared" si="3"/>
        <v>151.60626535947713</v>
      </c>
      <c r="AJ7" s="13">
        <f>0.17*SQRT([1]Parametros!$B$2)*H7*MIN(U7,AB7)/1000</f>
        <v>198.08885582262698</v>
      </c>
      <c r="AK7" s="13">
        <f>MAX(AI7/[1]Parametros!$B$6-AJ7,0)</f>
        <v>4.0528313233425308</v>
      </c>
      <c r="AL7" s="13">
        <f>0.66*SQRT([1]Parametros!$B$2)*H7*MIN(U7,AB7)/1000</f>
        <v>769.05085201725785</v>
      </c>
      <c r="AM7" s="13" t="str">
        <f t="shared" si="4"/>
        <v>CUMPLE</v>
      </c>
      <c r="AN7" s="13" t="s">
        <v>64</v>
      </c>
      <c r="AO7" s="14">
        <v>2</v>
      </c>
      <c r="AP7" s="13">
        <f>ROUNDDOWN(MIN(IF(BC7+BD7=0,1000000000,AO7*BB7/(BC7+BD7)),MIN(U7,AB7)/4,8*[1]Parametros!$B$12,24*BA7,300,IF(AV7=0,1000000000,2*((H7-2*([1]Parametros!$B$7+[1]Parametros!$B$9/2))+(I7-2*([1]Parametros!$B$7+[1]Parametros!$B$9/2)))/8))/10,0)*10</f>
        <v>120</v>
      </c>
      <c r="AQ7" s="13">
        <f>ROUNDDOWN(MIN(IF(BC7+BD7=0,1000000000,AO7*BB7/(BC7+BD7)),IF(AK7&gt;0.33*SQRT([1]Parametros!$B$2)*H7*MIN(U7,AB7)/1000,MIN(U7,AB7)/4,MIN(U7,AB7)/2),600,IF(AV7=0,1000000000,2*((H7-2*([1]Parametros!$B$7+[1]Parametros!$B$9/2))+(I7-2*([1]Parametros!$B$7+[1]Parametros!$B$9/2)))/8))/10,0)*10</f>
        <v>200</v>
      </c>
      <c r="AR7" s="13">
        <f>[1]Parametros!$B$6*(AJ7+MAX(BE7-BD7,0)*[1]Parametros!$B$4*MIN(U7,AB7)/1000)</f>
        <v>284.38004411144584</v>
      </c>
      <c r="AS7" s="13" t="str">
        <f t="shared" si="5"/>
        <v>CUMPLE</v>
      </c>
      <c r="AT7" s="13">
        <f>[1]Parametros!$B$6*0.083*SQRT([1]Parametros!$B$2)*(H7*I7)^2/(2*(H7+I7))/1000000</f>
        <v>10.08878303333792</v>
      </c>
      <c r="AU7" s="13" t="str">
        <f t="shared" si="6"/>
        <v>DISEÑAR</v>
      </c>
      <c r="AV7" s="13">
        <f>IF(Q7&lt;=AT7,0,Q7*1000000/([1]Parametros!$B$6*2*0.85*(H7-2*([1]Parametros!$B$7+[1]Parametros!$B$9/2))*(I7-2*([1]Parametros!$B$7+[1]Parametros!$B$9/2))*[1]Parametros!$B$4))</f>
        <v>0.15112956855798171</v>
      </c>
      <c r="AW7" s="13">
        <f>AV7*2*((H7-2*([1]Parametros!$B$7+[1]Parametros!$B$9/2))+(I7-2*([1]Parametros!$B$7+[1]Parametros!$B$9/2)))*[1]Parametros!$B$4/[1]Parametros!$B$3</f>
        <v>246.22029309466382</v>
      </c>
      <c r="AX7" s="14">
        <v>8</v>
      </c>
      <c r="AY7" s="13" t="str">
        <f t="shared" si="7"/>
        <v>CUMPLE</v>
      </c>
      <c r="AZ7" s="13" t="str">
        <f t="shared" si="8"/>
        <v>CUMPLE</v>
      </c>
      <c r="BA7" s="14">
        <v>9.5</v>
      </c>
      <c r="BB7" s="14">
        <v>71</v>
      </c>
      <c r="BC7" s="13">
        <f>MAX(IF(AK7=0,0,AK7*1000/([1]Parametros!$B$4*MIN(U7,AB7))),MAX(0.062*SQRT([1]Parametros!$B$2)*H7/[1]Parametros!$B$4,0.35*H7/[1]Parametros!$B$4))</f>
        <v>0.375</v>
      </c>
      <c r="BD7" s="13">
        <f t="shared" si="9"/>
        <v>0.30225913711596342</v>
      </c>
      <c r="BE7" s="13">
        <f t="shared" si="10"/>
        <v>1.1833333333333333</v>
      </c>
      <c r="BF7" s="13">
        <f>SQRT((AI7*1000/(H7*MIN(U7,AB7)))^2+(Q7*1000000*2*((H7-2*([1]Parametros!$B$7+[1]Parametros!$B$9/2))+(I7-2*([1]Parametros!$B$7+[1]Parametros!$B$9/2)))/(1.7*((H7-2*([1]Parametros!$B$7+[1]Parametros!$B$9/2))*(I7-2*([1]Parametros!$B$7+[1]Parametros!$B$9/2)))^2))^2)</f>
        <v>0.8362483544895376</v>
      </c>
      <c r="BG7" s="13">
        <f>[1]Parametros!$B$6*(AJ7*1000/(H7*MIN(U7,AB7))+0.66*SQRT([1]Parametros!$B$2))</f>
        <v>3.2939603822754151</v>
      </c>
      <c r="BH7" s="13" t="str">
        <f t="shared" si="11"/>
        <v>CUMPLE</v>
      </c>
      <c r="BI7" s="13">
        <f>AX7*[1]Parametros!$B$8</f>
        <v>1592</v>
      </c>
      <c r="BJ7" s="15" t="str">
        <f t="shared" si="12"/>
        <v>CUMPLE</v>
      </c>
    </row>
    <row r="8" spans="1:62" x14ac:dyDescent="0.3">
      <c r="A8" s="39" t="s">
        <v>63</v>
      </c>
      <c r="B8" s="40">
        <v>158</v>
      </c>
      <c r="C8" s="13">
        <v>1</v>
      </c>
      <c r="D8" s="13">
        <v>3.15</v>
      </c>
      <c r="E8" s="13">
        <v>3.15</v>
      </c>
      <c r="F8" s="13">
        <v>450</v>
      </c>
      <c r="G8" s="13">
        <v>550</v>
      </c>
      <c r="H8" s="13">
        <v>450</v>
      </c>
      <c r="I8" s="13">
        <v>550</v>
      </c>
      <c r="J8" s="14">
        <v>33.205100000000002</v>
      </c>
      <c r="K8" s="13">
        <v>158</v>
      </c>
      <c r="L8" s="14">
        <v>20.6356</v>
      </c>
      <c r="M8" s="13">
        <v>158</v>
      </c>
      <c r="N8" s="14">
        <v>27.305</v>
      </c>
      <c r="O8" s="14">
        <v>72.900999999999996</v>
      </c>
      <c r="P8" s="13">
        <v>158</v>
      </c>
      <c r="Q8" s="14">
        <v>12.0746</v>
      </c>
      <c r="R8" s="13">
        <f>MAX(MAX(1.4/[1]Parametros!$B$3,0.25*SQRT([1]Parametros!$B$2)/[1]Parametros!$B$3)*H8*U8,(0.85*[1]Parametros!$B$2/[1]Parametros!$B$3)*(1-SQRT(1-2*(J8*1000000/([1]Parametros!$B$5*H8*U8^2))/(0.85*[1]Parametros!$B$2)))*H8*U8)</f>
        <v>734.02500000000009</v>
      </c>
      <c r="S8" s="14">
        <v>4</v>
      </c>
      <c r="T8" s="14">
        <v>1</v>
      </c>
      <c r="U8" s="13">
        <f>IF(T8=1,I8-([1]Parametros!$B$7+[1]Parametros!$B$9+[1]Parametros!$B$12/2),I8-(ROUNDUP(S8/2,0)*([1]Parametros!$B$7+[1]Parametros!$B$9+[1]Parametros!$B$12/2)+ROUNDDOWN(S8/2,0)*([1]Parametros!$B$7+[1]Parametros!$B$9+[1]Parametros!$B$12/2+[1]Parametros!$B$12+[1]Parametros!$B$10))/S8)</f>
        <v>489.35</v>
      </c>
      <c r="V8" s="13">
        <f>S8*[1]Parametros!$B$8</f>
        <v>796</v>
      </c>
      <c r="W8" s="13">
        <f>[1]Parametros!$B$5*V8*[1]Parametros!$B$3*(U8-(V8*[1]Parametros!$B$3/(0.85*[1]Parametros!$B$2*H8))/2)/1000000</f>
        <v>142.54333009411764</v>
      </c>
      <c r="X8" s="13" t="str">
        <f t="shared" si="0"/>
        <v>CUMPLE</v>
      </c>
      <c r="Y8" s="13">
        <f>MAX(MAX(1.4/[1]Parametros!$B$3,0.25*SQRT([1]Parametros!$B$2)/[1]Parametros!$B$3)*H8*AB8,(0.85*[1]Parametros!$B$2/[1]Parametros!$B$3)*(1-SQRT(1-2*(L8*1000000/([1]Parametros!$B$5*H8*AB8^2))/(0.85*[1]Parametros!$B$2)))*H8*AB8)</f>
        <v>734.02500000000009</v>
      </c>
      <c r="Z8" s="14">
        <v>4</v>
      </c>
      <c r="AA8" s="14">
        <v>1</v>
      </c>
      <c r="AB8" s="13">
        <f>IF(AA8=1,I8-([1]Parametros!$B$7+[1]Parametros!$B$9+[1]Parametros!$B$12/2),I8-(ROUNDUP(Z8/2,0)*([1]Parametros!$B$7+[1]Parametros!$B$9+[1]Parametros!$B$12/2)+ROUNDDOWN(Z8/2,0)*([1]Parametros!$B$7+[1]Parametros!$B$9+[1]Parametros!$B$12/2+[1]Parametros!$B$12+[1]Parametros!$B$10))/Z8)</f>
        <v>489.35</v>
      </c>
      <c r="AC8" s="13">
        <f>Z8*[1]Parametros!$B$8</f>
        <v>796</v>
      </c>
      <c r="AD8" s="13">
        <f>[1]Parametros!$B$5*AC8*[1]Parametros!$B$3*(AB8-(AC8*[1]Parametros!$B$3/(0.85*[1]Parametros!$B$2*H8))/2)/1000000</f>
        <v>142.54333009411764</v>
      </c>
      <c r="AE8" s="13" t="str">
        <f t="shared" si="1"/>
        <v>CUMPLE</v>
      </c>
      <c r="AF8" s="13">
        <f>V8*1.25*[1]Parametros!$B$3*(U8-(V8*1.25*[1]Parametros!$B$3/(0.85*[1]Parametros!$B$2*H8))/2)/1000000</f>
        <v>196.34621794117646</v>
      </c>
      <c r="AG8" s="13">
        <f>AC8*1.25*[1]Parametros!$B$3*(AB8-(AC8*1.25*[1]Parametros!$B$3/(0.85*[1]Parametros!$B$2*H8))/2)/1000000</f>
        <v>196.34621794117646</v>
      </c>
      <c r="AH8" s="13">
        <f t="shared" si="2"/>
        <v>151.96926535947713</v>
      </c>
      <c r="AI8" s="13">
        <f t="shared" si="3"/>
        <v>151.96926535947713</v>
      </c>
      <c r="AJ8" s="13">
        <f>0.17*SQRT([1]Parametros!$B$2)*H8*MIN(U8,AB8)/1000</f>
        <v>198.08885582262698</v>
      </c>
      <c r="AK8" s="13">
        <f>MAX(AI8/[1]Parametros!$B$6-AJ8,0)</f>
        <v>4.5368313233425397</v>
      </c>
      <c r="AL8" s="13">
        <f>0.66*SQRT([1]Parametros!$B$2)*H8*MIN(U8,AB8)/1000</f>
        <v>769.05085201725785</v>
      </c>
      <c r="AM8" s="13" t="str">
        <f t="shared" si="4"/>
        <v>CUMPLE</v>
      </c>
      <c r="AN8" s="13" t="s">
        <v>64</v>
      </c>
      <c r="AO8" s="14">
        <v>2</v>
      </c>
      <c r="AP8" s="13">
        <f>ROUNDDOWN(MIN(IF(BC8+BD8=0,1000000000,AO8*BB8/(BC8+BD8)),MIN(U8,AB8)/4,8*[1]Parametros!$B$12,24*BA8,300,IF(AV8=0,1000000000,2*((H8-2*([1]Parametros!$B$7+[1]Parametros!$B$9/2))+(I8-2*([1]Parametros!$B$7+[1]Parametros!$B$9/2)))/8))/10,0)*10</f>
        <v>120</v>
      </c>
      <c r="AQ8" s="13">
        <f>ROUNDDOWN(MIN(IF(BC8+BD8=0,1000000000,AO8*BB8/(BC8+BD8)),IF(AK8&gt;0.33*SQRT([1]Parametros!$B$2)*H8*MIN(U8,AB8)/1000,MIN(U8,AB8)/4,MIN(U8,AB8)/2),600,IF(AV8=0,1000000000,2*((H8-2*([1]Parametros!$B$7+[1]Parametros!$B$9/2))+(I8-2*([1]Parametros!$B$7+[1]Parametros!$B$9/2)))/8))/10,0)*10</f>
        <v>200</v>
      </c>
      <c r="AR8" s="13">
        <f>[1]Parametros!$B$6*(AJ8+MAX(BE8-BD8,0)*[1]Parametros!$B$4*MIN(U8,AB8)/1000)</f>
        <v>288.42776796624457</v>
      </c>
      <c r="AS8" s="13" t="str">
        <f t="shared" si="5"/>
        <v>CUMPLE</v>
      </c>
      <c r="AT8" s="13">
        <f>[1]Parametros!$B$6*0.083*SQRT([1]Parametros!$B$2)*(H8*I8)^2/(2*(H8+I8))/1000000</f>
        <v>10.08878303333792</v>
      </c>
      <c r="AU8" s="13" t="str">
        <f t="shared" si="6"/>
        <v>DISEÑAR</v>
      </c>
      <c r="AV8" s="13">
        <f>IF(Q8&lt;=AT8,0,Q8*1000000/([1]Parametros!$B$6*2*0.85*(H8-2*([1]Parametros!$B$7+[1]Parametros!$B$9/2))*(I8-2*([1]Parametros!$B$7+[1]Parametros!$B$9/2))*[1]Parametros!$B$4))</f>
        <v>0.13799999156874979</v>
      </c>
      <c r="AW8" s="13">
        <f>AV8*2*((H8-2*([1]Parametros!$B$7+[1]Parametros!$B$9/2))+(I8-2*([1]Parametros!$B$7+[1]Parametros!$B$9/2)))*[1]Parametros!$B$4/[1]Parametros!$B$3</f>
        <v>224.82958626380713</v>
      </c>
      <c r="AX8" s="14">
        <v>8</v>
      </c>
      <c r="AY8" s="13" t="str">
        <f t="shared" si="7"/>
        <v>CUMPLE</v>
      </c>
      <c r="AZ8" s="13" t="str">
        <f t="shared" si="8"/>
        <v>CUMPLE</v>
      </c>
      <c r="BA8" s="14">
        <v>9.5</v>
      </c>
      <c r="BB8" s="14">
        <v>71</v>
      </c>
      <c r="BC8" s="13">
        <f>MAX(IF(AK8=0,0,AK8*1000/([1]Parametros!$B$4*MIN(U8,AB8))),MAX(0.062*SQRT([1]Parametros!$B$2)*H8/[1]Parametros!$B$4,0.35*H8/[1]Parametros!$B$4))</f>
        <v>0.375</v>
      </c>
      <c r="BD8" s="13">
        <f t="shared" si="9"/>
        <v>0.27599998313749957</v>
      </c>
      <c r="BE8" s="13">
        <f t="shared" si="10"/>
        <v>1.1833333333333333</v>
      </c>
      <c r="BF8" s="13">
        <f>SQRT((AI8*1000/(H8*MIN(U8,AB8)))^2+(Q8*1000000*2*((H8-2*([1]Parametros!$B$7+[1]Parametros!$B$9/2))+(I8-2*([1]Parametros!$B$7+[1]Parametros!$B$9/2)))/(1.7*((H8-2*([1]Parametros!$B$7+[1]Parametros!$B$9/2))*(I8-2*([1]Parametros!$B$7+[1]Parametros!$B$9/2)))^2))^2)</f>
        <v>0.81494444703441016</v>
      </c>
      <c r="BG8" s="13">
        <f>[1]Parametros!$B$6*(AJ8*1000/(H8*MIN(U8,AB8))+0.66*SQRT([1]Parametros!$B$2))</f>
        <v>3.2939603822754151</v>
      </c>
      <c r="BH8" s="13" t="str">
        <f t="shared" si="11"/>
        <v>CUMPLE</v>
      </c>
      <c r="BI8" s="13">
        <f>AX8*[1]Parametros!$B$8</f>
        <v>1592</v>
      </c>
      <c r="BJ8" s="15" t="str">
        <f t="shared" si="12"/>
        <v>CUMPLE</v>
      </c>
    </row>
    <row r="9" spans="1:62" x14ac:dyDescent="0.3">
      <c r="A9" s="39" t="s">
        <v>63</v>
      </c>
      <c r="B9" s="40">
        <v>159</v>
      </c>
      <c r="C9" s="13">
        <v>1</v>
      </c>
      <c r="D9" s="13">
        <v>3.15</v>
      </c>
      <c r="E9" s="13">
        <v>3.15</v>
      </c>
      <c r="F9" s="13">
        <v>450</v>
      </c>
      <c r="G9" s="13">
        <v>550</v>
      </c>
      <c r="H9" s="13">
        <v>450</v>
      </c>
      <c r="I9" s="13">
        <v>550</v>
      </c>
      <c r="J9" s="14">
        <v>33.209800000000001</v>
      </c>
      <c r="K9" s="13">
        <v>159</v>
      </c>
      <c r="L9" s="14">
        <v>20.6328</v>
      </c>
      <c r="M9" s="13">
        <v>159</v>
      </c>
      <c r="N9" s="14">
        <v>27.306999999999999</v>
      </c>
      <c r="O9" s="14">
        <v>72.903000000000006</v>
      </c>
      <c r="P9" s="13">
        <v>159</v>
      </c>
      <c r="Q9" s="14">
        <v>12.0748</v>
      </c>
      <c r="R9" s="13">
        <f>MAX(MAX(1.4/[1]Parametros!$B$3,0.25*SQRT([1]Parametros!$B$2)/[1]Parametros!$B$3)*H9*U9,(0.85*[1]Parametros!$B$2/[1]Parametros!$B$3)*(1-SQRT(1-2*(J9*1000000/([1]Parametros!$B$5*H9*U9^2))/(0.85*[1]Parametros!$B$2)))*H9*U9)</f>
        <v>734.02500000000009</v>
      </c>
      <c r="S9" s="14">
        <v>4</v>
      </c>
      <c r="T9" s="14">
        <v>1</v>
      </c>
      <c r="U9" s="13">
        <f>IF(T9=1,I9-([1]Parametros!$B$7+[1]Parametros!$B$9+[1]Parametros!$B$12/2),I9-(ROUNDUP(S9/2,0)*([1]Parametros!$B$7+[1]Parametros!$B$9+[1]Parametros!$B$12/2)+ROUNDDOWN(S9/2,0)*([1]Parametros!$B$7+[1]Parametros!$B$9+[1]Parametros!$B$12/2+[1]Parametros!$B$12+[1]Parametros!$B$10))/S9)</f>
        <v>489.35</v>
      </c>
      <c r="V9" s="13">
        <f>S9*[1]Parametros!$B$8</f>
        <v>796</v>
      </c>
      <c r="W9" s="13">
        <f>[1]Parametros!$B$5*V9*[1]Parametros!$B$3*(U9-(V9*[1]Parametros!$B$3/(0.85*[1]Parametros!$B$2*H9))/2)/1000000</f>
        <v>142.54333009411764</v>
      </c>
      <c r="X9" s="13" t="str">
        <f t="shared" si="0"/>
        <v>CUMPLE</v>
      </c>
      <c r="Y9" s="13">
        <f>MAX(MAX(1.4/[1]Parametros!$B$3,0.25*SQRT([1]Parametros!$B$2)/[1]Parametros!$B$3)*H9*AB9,(0.85*[1]Parametros!$B$2/[1]Parametros!$B$3)*(1-SQRT(1-2*(L9*1000000/([1]Parametros!$B$5*H9*AB9^2))/(0.85*[1]Parametros!$B$2)))*H9*AB9)</f>
        <v>734.02500000000009</v>
      </c>
      <c r="Z9" s="14">
        <v>4</v>
      </c>
      <c r="AA9" s="14">
        <v>1</v>
      </c>
      <c r="AB9" s="13">
        <f>IF(AA9=1,I9-([1]Parametros!$B$7+[1]Parametros!$B$9+[1]Parametros!$B$12/2),I9-(ROUNDUP(Z9/2,0)*([1]Parametros!$B$7+[1]Parametros!$B$9+[1]Parametros!$B$12/2)+ROUNDDOWN(Z9/2,0)*([1]Parametros!$B$7+[1]Parametros!$B$9+[1]Parametros!$B$12/2+[1]Parametros!$B$12+[1]Parametros!$B$10))/Z9)</f>
        <v>489.35</v>
      </c>
      <c r="AC9" s="13">
        <f>Z9*[1]Parametros!$B$8</f>
        <v>796</v>
      </c>
      <c r="AD9" s="13">
        <f>[1]Parametros!$B$5*AC9*[1]Parametros!$B$3*(AB9-(AC9*[1]Parametros!$B$3/(0.85*[1]Parametros!$B$2*H9))/2)/1000000</f>
        <v>142.54333009411764</v>
      </c>
      <c r="AE9" s="13" t="str">
        <f t="shared" si="1"/>
        <v>CUMPLE</v>
      </c>
      <c r="AF9" s="13">
        <f>V9*1.25*[1]Parametros!$B$3*(U9-(V9*1.25*[1]Parametros!$B$3/(0.85*[1]Parametros!$B$2*H9))/2)/1000000</f>
        <v>196.34621794117646</v>
      </c>
      <c r="AG9" s="13">
        <f>AC9*1.25*[1]Parametros!$B$3*(AB9-(AC9*1.25*[1]Parametros!$B$3/(0.85*[1]Parametros!$B$2*H9))/2)/1000000</f>
        <v>196.34621794117646</v>
      </c>
      <c r="AH9" s="13">
        <f t="shared" si="2"/>
        <v>151.97126535947712</v>
      </c>
      <c r="AI9" s="13">
        <f t="shared" si="3"/>
        <v>151.97126535947712</v>
      </c>
      <c r="AJ9" s="13">
        <f>0.17*SQRT([1]Parametros!$B$2)*H9*MIN(U9,AB9)/1000</f>
        <v>198.08885582262698</v>
      </c>
      <c r="AK9" s="13">
        <f>MAX(AI9/[1]Parametros!$B$6-AJ9,0)</f>
        <v>4.5394979900091812</v>
      </c>
      <c r="AL9" s="13">
        <f>0.66*SQRT([1]Parametros!$B$2)*H9*MIN(U9,AB9)/1000</f>
        <v>769.05085201725785</v>
      </c>
      <c r="AM9" s="13" t="str">
        <f t="shared" si="4"/>
        <v>CUMPLE</v>
      </c>
      <c r="AN9" s="13" t="s">
        <v>64</v>
      </c>
      <c r="AO9" s="14">
        <v>2</v>
      </c>
      <c r="AP9" s="13">
        <f>ROUNDDOWN(MIN(IF(BC9+BD9=0,1000000000,AO9*BB9/(BC9+BD9)),MIN(U9,AB9)/4,8*[1]Parametros!$B$12,24*BA9,300,IF(AV9=0,1000000000,2*((H9-2*([1]Parametros!$B$7+[1]Parametros!$B$9/2))+(I9-2*([1]Parametros!$B$7+[1]Parametros!$B$9/2)))/8))/10,0)*10</f>
        <v>120</v>
      </c>
      <c r="AQ9" s="13">
        <f>ROUNDDOWN(MIN(IF(BC9+BD9=0,1000000000,AO9*BB9/(BC9+BD9)),IF(AK9&gt;0.33*SQRT([1]Parametros!$B$2)*H9*MIN(U9,AB9)/1000,MIN(U9,AB9)/4,MIN(U9,AB9)/2),600,IF(AV9=0,1000000000,2*((H9-2*([1]Parametros!$B$7+[1]Parametros!$B$9/2))+(I9-2*([1]Parametros!$B$7+[1]Parametros!$B$9/2)))/8))/10,0)*10</f>
        <v>200</v>
      </c>
      <c r="AR9" s="13">
        <f>[1]Parametros!$B$6*(AJ9+MAX(BE9-BD9,0)*[1]Parametros!$B$4*MIN(U9,AB9)/1000)</f>
        <v>288.42706327894393</v>
      </c>
      <c r="AS9" s="13" t="str">
        <f t="shared" si="5"/>
        <v>CUMPLE</v>
      </c>
      <c r="AT9" s="13">
        <f>[1]Parametros!$B$6*0.083*SQRT([1]Parametros!$B$2)*(H9*I9)^2/(2*(H9+I9))/1000000</f>
        <v>10.08878303333792</v>
      </c>
      <c r="AU9" s="13" t="str">
        <f t="shared" si="6"/>
        <v>DISEÑAR</v>
      </c>
      <c r="AV9" s="13">
        <f>IF(Q9&lt;=AT9,0,Q9*1000000/([1]Parametros!$B$6*2*0.85*(H9-2*([1]Parametros!$B$7+[1]Parametros!$B$9/2))*(I9-2*([1]Parametros!$B$7+[1]Parametros!$B$9/2))*[1]Parametros!$B$4))</f>
        <v>0.13800227735861559</v>
      </c>
      <c r="AW9" s="13">
        <f>AV9*2*((H9-2*([1]Parametros!$B$7+[1]Parametros!$B$9/2))+(I9-2*([1]Parametros!$B$7+[1]Parametros!$B$9/2)))*[1]Parametros!$B$4/[1]Parametros!$B$3</f>
        <v>224.83331027265655</v>
      </c>
      <c r="AX9" s="14">
        <v>8</v>
      </c>
      <c r="AY9" s="13" t="str">
        <f t="shared" si="7"/>
        <v>CUMPLE</v>
      </c>
      <c r="AZ9" s="13" t="str">
        <f t="shared" si="8"/>
        <v>CUMPLE</v>
      </c>
      <c r="BA9" s="14">
        <v>9.5</v>
      </c>
      <c r="BB9" s="14">
        <v>71</v>
      </c>
      <c r="BC9" s="13">
        <f>MAX(IF(AK9=0,0,AK9*1000/([1]Parametros!$B$4*MIN(U9,AB9))),MAX(0.062*SQRT([1]Parametros!$B$2)*H9/[1]Parametros!$B$4,0.35*H9/[1]Parametros!$B$4))</f>
        <v>0.375</v>
      </c>
      <c r="BD9" s="13">
        <f t="shared" si="9"/>
        <v>0.27600455471723118</v>
      </c>
      <c r="BE9" s="13">
        <f t="shared" si="10"/>
        <v>1.1833333333333333</v>
      </c>
      <c r="BF9" s="13">
        <f>SQRT((AI9*1000/(H9*MIN(U9,AB9)))^2+(Q9*1000000*2*((H9-2*([1]Parametros!$B$7+[1]Parametros!$B$9/2))+(I9-2*([1]Parametros!$B$7+[1]Parametros!$B$9/2)))/(1.7*((H9-2*([1]Parametros!$B$7+[1]Parametros!$B$9/2))*(I9-2*([1]Parametros!$B$7+[1]Parametros!$B$9/2)))^2))^2)</f>
        <v>0.81495595669056686</v>
      </c>
      <c r="BG9" s="13">
        <f>[1]Parametros!$B$6*(AJ9*1000/(H9*MIN(U9,AB9))+0.66*SQRT([1]Parametros!$B$2))</f>
        <v>3.2939603822754151</v>
      </c>
      <c r="BH9" s="13" t="str">
        <f t="shared" si="11"/>
        <v>CUMPLE</v>
      </c>
      <c r="BI9" s="13">
        <f>AX9*[1]Parametros!$B$8</f>
        <v>1592</v>
      </c>
      <c r="BJ9" s="15" t="str">
        <f t="shared" si="12"/>
        <v>CUMPLE</v>
      </c>
    </row>
    <row r="10" spans="1:62" x14ac:dyDescent="0.3">
      <c r="A10" s="39" t="s">
        <v>63</v>
      </c>
      <c r="B10" s="40">
        <v>163</v>
      </c>
      <c r="C10" s="13">
        <v>1</v>
      </c>
      <c r="D10" s="13">
        <v>3.15</v>
      </c>
      <c r="E10" s="13">
        <v>3.15</v>
      </c>
      <c r="F10" s="13">
        <v>450</v>
      </c>
      <c r="G10" s="13">
        <v>550</v>
      </c>
      <c r="H10" s="13">
        <v>450</v>
      </c>
      <c r="I10" s="13">
        <v>550</v>
      </c>
      <c r="J10" s="14">
        <v>27.952200000000001</v>
      </c>
      <c r="K10" s="13">
        <v>163</v>
      </c>
      <c r="L10" s="14">
        <v>18.291399999999999</v>
      </c>
      <c r="M10" s="13">
        <v>163</v>
      </c>
      <c r="N10" s="14">
        <v>25.452999999999999</v>
      </c>
      <c r="O10" s="14">
        <v>61.154000000000003</v>
      </c>
      <c r="P10" s="13">
        <v>163</v>
      </c>
      <c r="Q10" s="14">
        <v>9.923</v>
      </c>
      <c r="R10" s="13">
        <f>MAX(MAX(1.4/[1]Parametros!$B$3,0.25*SQRT([1]Parametros!$B$2)/[1]Parametros!$B$3)*H10*U10,(0.85*[1]Parametros!$B$2/[1]Parametros!$B$3)*(1-SQRT(1-2*(J10*1000000/([1]Parametros!$B$5*H10*U10^2))/(0.85*[1]Parametros!$B$2)))*H10*U10)</f>
        <v>734.02500000000009</v>
      </c>
      <c r="S10" s="14">
        <v>4</v>
      </c>
      <c r="T10" s="14">
        <v>1</v>
      </c>
      <c r="U10" s="13">
        <f>IF(T10=1,I10-([1]Parametros!$B$7+[1]Parametros!$B$9+[1]Parametros!$B$12/2),I10-(ROUNDUP(S10/2,0)*([1]Parametros!$B$7+[1]Parametros!$B$9+[1]Parametros!$B$12/2)+ROUNDDOWN(S10/2,0)*([1]Parametros!$B$7+[1]Parametros!$B$9+[1]Parametros!$B$12/2+[1]Parametros!$B$12+[1]Parametros!$B$10))/S10)</f>
        <v>489.35</v>
      </c>
      <c r="V10" s="13">
        <f>S10*[1]Parametros!$B$8</f>
        <v>796</v>
      </c>
      <c r="W10" s="13">
        <f>[1]Parametros!$B$5*V10*[1]Parametros!$B$3*(U10-(V10*[1]Parametros!$B$3/(0.85*[1]Parametros!$B$2*H10))/2)/1000000</f>
        <v>142.54333009411764</v>
      </c>
      <c r="X10" s="13" t="str">
        <f t="shared" si="0"/>
        <v>CUMPLE</v>
      </c>
      <c r="Y10" s="13">
        <f>MAX(MAX(1.4/[1]Parametros!$B$3,0.25*SQRT([1]Parametros!$B$2)/[1]Parametros!$B$3)*H10*AB10,(0.85*[1]Parametros!$B$2/[1]Parametros!$B$3)*(1-SQRT(1-2*(L10*1000000/([1]Parametros!$B$5*H10*AB10^2))/(0.85*[1]Parametros!$B$2)))*H10*AB10)</f>
        <v>734.02500000000009</v>
      </c>
      <c r="Z10" s="14">
        <v>4</v>
      </c>
      <c r="AA10" s="14">
        <v>1</v>
      </c>
      <c r="AB10" s="13">
        <f>IF(AA10=1,I10-([1]Parametros!$B$7+[1]Parametros!$B$9+[1]Parametros!$B$12/2),I10-(ROUNDUP(Z10/2,0)*([1]Parametros!$B$7+[1]Parametros!$B$9+[1]Parametros!$B$12/2)+ROUNDDOWN(Z10/2,0)*([1]Parametros!$B$7+[1]Parametros!$B$9+[1]Parametros!$B$12/2+[1]Parametros!$B$12+[1]Parametros!$B$10))/Z10)</f>
        <v>489.35</v>
      </c>
      <c r="AC10" s="13">
        <f>Z10*[1]Parametros!$B$8</f>
        <v>796</v>
      </c>
      <c r="AD10" s="13">
        <f>[1]Parametros!$B$5*AC10*[1]Parametros!$B$3*(AB10-(AC10*[1]Parametros!$B$3/(0.85*[1]Parametros!$B$2*H10))/2)/1000000</f>
        <v>142.54333009411764</v>
      </c>
      <c r="AE10" s="13" t="str">
        <f t="shared" si="1"/>
        <v>CUMPLE</v>
      </c>
      <c r="AF10" s="13">
        <f>V10*1.25*[1]Parametros!$B$3*(U10-(V10*1.25*[1]Parametros!$B$3/(0.85*[1]Parametros!$B$2*H10))/2)/1000000</f>
        <v>196.34621794117646</v>
      </c>
      <c r="AG10" s="13">
        <f>AC10*1.25*[1]Parametros!$B$3*(AB10-(AC10*1.25*[1]Parametros!$B$3/(0.85*[1]Parametros!$B$2*H10))/2)/1000000</f>
        <v>196.34621794117646</v>
      </c>
      <c r="AH10" s="13">
        <f t="shared" si="2"/>
        <v>150.11726535947713</v>
      </c>
      <c r="AI10" s="13">
        <f t="shared" si="3"/>
        <v>150.11726535947713</v>
      </c>
      <c r="AJ10" s="13">
        <f>0.17*SQRT([1]Parametros!$B$2)*H10*MIN(U10,AB10)/1000</f>
        <v>198.08885582262698</v>
      </c>
      <c r="AK10" s="13">
        <f>MAX(AI10/[1]Parametros!$B$6-AJ10,0)</f>
        <v>2.0674979900092012</v>
      </c>
      <c r="AL10" s="13">
        <f>0.66*SQRT([1]Parametros!$B$2)*H10*MIN(U10,AB10)/1000</f>
        <v>769.05085201725785</v>
      </c>
      <c r="AM10" s="13" t="str">
        <f t="shared" si="4"/>
        <v>CUMPLE</v>
      </c>
      <c r="AN10" s="13" t="s">
        <v>64</v>
      </c>
      <c r="AO10" s="14">
        <v>2</v>
      </c>
      <c r="AP10" s="13">
        <f>ROUNDDOWN(MIN(IF(BC10+BD10=0,1000000000,AO10*BB10/(BC10+BD10)),MIN(U10,AB10)/4,8*[1]Parametros!$B$12,24*BA10,300,IF(AV10=0,1000000000,2*((H10-2*([1]Parametros!$B$7+[1]Parametros!$B$9/2))+(I10-2*([1]Parametros!$B$7+[1]Parametros!$B$9/2)))/8))/10,0)*10</f>
        <v>120</v>
      </c>
      <c r="AQ10" s="13">
        <f>ROUNDDOWN(MIN(IF(BC10+BD10=0,1000000000,AO10*BB10/(BC10+BD10)),IF(AK10&gt;0.33*SQRT([1]Parametros!$B$2)*H10*MIN(U10,AB10)/1000,MIN(U10,AB10)/4,MIN(U10,AB10)/2),600,IF(AV10=0,1000000000,2*((H10-2*([1]Parametros!$B$7+[1]Parametros!$B$9/2))+(I10-2*([1]Parametros!$B$7+[1]Parametros!$B$9/2)))/8))/10,0)*10</f>
        <v>240</v>
      </c>
      <c r="AR10" s="13">
        <f>[1]Parametros!$B$6*(AJ10+MAX(BE10-BD10,0)*[1]Parametros!$B$4*MIN(U10,AB10)/1000)</f>
        <v>330.97185436697026</v>
      </c>
      <c r="AS10" s="13" t="str">
        <f t="shared" si="5"/>
        <v>CUMPLE</v>
      </c>
      <c r="AT10" s="13">
        <f>[1]Parametros!$B$6*0.083*SQRT([1]Parametros!$B$2)*(H10*I10)^2/(2*(H10+I10))/1000000</f>
        <v>10.08878303333792</v>
      </c>
      <c r="AU10" s="13" t="str">
        <f t="shared" si="6"/>
        <v>DESPRECIABLE</v>
      </c>
      <c r="AV10" s="13">
        <f>IF(Q10&lt;=AT10,0,Q10*1000000/([1]Parametros!$B$6*2*0.85*(H10-2*([1]Parametros!$B$7+[1]Parametros!$B$9/2))*(I10-2*([1]Parametros!$B$7+[1]Parametros!$B$9/2))*[1]Parametros!$B$4))</f>
        <v>0</v>
      </c>
      <c r="AW10" s="13">
        <f>AV10*2*((H10-2*([1]Parametros!$B$7+[1]Parametros!$B$9/2))+(I10-2*([1]Parametros!$B$7+[1]Parametros!$B$9/2)))*[1]Parametros!$B$4/[1]Parametros!$B$3</f>
        <v>0</v>
      </c>
      <c r="AX10" s="14">
        <v>0</v>
      </c>
      <c r="AY10" s="13" t="str">
        <f t="shared" si="7"/>
        <v>DESPRECIABLE</v>
      </c>
      <c r="AZ10" s="13" t="str">
        <f t="shared" si="8"/>
        <v>CUMPLE</v>
      </c>
      <c r="BA10" s="14">
        <v>9.5</v>
      </c>
      <c r="BB10" s="14">
        <v>71</v>
      </c>
      <c r="BC10" s="13">
        <f>MAX(IF(AK10=0,0,AK10*1000/([1]Parametros!$B$4*MIN(U10,AB10))),MAX(0.062*SQRT([1]Parametros!$B$2)*H10/[1]Parametros!$B$4,0.35*H10/[1]Parametros!$B$4))</f>
        <v>0.375</v>
      </c>
      <c r="BD10" s="13">
        <f t="shared" si="9"/>
        <v>0</v>
      </c>
      <c r="BE10" s="13">
        <f t="shared" si="10"/>
        <v>1.1833333333333333</v>
      </c>
      <c r="BF10" s="13">
        <f>SQRT((AI10*1000/(H10*MIN(U10,AB10)))^2+(Q10*1000000*2*((H10-2*([1]Parametros!$B$7+[1]Parametros!$B$9/2))+(I10-2*([1]Parametros!$B$7+[1]Parametros!$B$9/2)))/(1.7*((H10-2*([1]Parametros!$B$7+[1]Parametros!$B$9/2))*(I10-2*([1]Parametros!$B$7+[1]Parametros!$B$9/2)))^2))^2)</f>
        <v>0.76916066547002515</v>
      </c>
      <c r="BG10" s="13">
        <f>[1]Parametros!$B$6*(AJ10*1000/(H10*MIN(U10,AB10))+0.66*SQRT([1]Parametros!$B$2))</f>
        <v>3.2939603822754151</v>
      </c>
      <c r="BH10" s="13" t="str">
        <f t="shared" si="11"/>
        <v>CUMPLE</v>
      </c>
      <c r="BI10" s="13">
        <f>AX10*[1]Parametros!$B$8</f>
        <v>0</v>
      </c>
      <c r="BJ10" s="15" t="str">
        <f t="shared" si="12"/>
        <v>CUMPLE</v>
      </c>
    </row>
    <row r="11" spans="1:62" x14ac:dyDescent="0.3">
      <c r="A11" s="39" t="s">
        <v>63</v>
      </c>
      <c r="B11" s="40">
        <v>164</v>
      </c>
      <c r="C11" s="13">
        <v>1</v>
      </c>
      <c r="D11" s="13">
        <v>3.15</v>
      </c>
      <c r="E11" s="13">
        <v>3.15</v>
      </c>
      <c r="F11" s="13">
        <v>450</v>
      </c>
      <c r="G11" s="13">
        <v>550</v>
      </c>
      <c r="H11" s="13">
        <v>450</v>
      </c>
      <c r="I11" s="13">
        <v>550</v>
      </c>
      <c r="J11" s="14">
        <v>27.959099999999999</v>
      </c>
      <c r="K11" s="13">
        <v>164</v>
      </c>
      <c r="L11" s="14">
        <v>18.296800000000001</v>
      </c>
      <c r="M11" s="13">
        <v>164</v>
      </c>
      <c r="N11" s="14">
        <v>25.457000000000001</v>
      </c>
      <c r="O11" s="14">
        <v>61.156999999999996</v>
      </c>
      <c r="P11" s="13">
        <v>164</v>
      </c>
      <c r="Q11" s="14">
        <v>9.9232999999999993</v>
      </c>
      <c r="R11" s="13">
        <f>MAX(MAX(1.4/[1]Parametros!$B$3,0.25*SQRT([1]Parametros!$B$2)/[1]Parametros!$B$3)*H11*U11,(0.85*[1]Parametros!$B$2/[1]Parametros!$B$3)*(1-SQRT(1-2*(J11*1000000/([1]Parametros!$B$5*H11*U11^2))/(0.85*[1]Parametros!$B$2)))*H11*U11)</f>
        <v>734.02500000000009</v>
      </c>
      <c r="S11" s="14">
        <v>4</v>
      </c>
      <c r="T11" s="14">
        <v>1</v>
      </c>
      <c r="U11" s="13">
        <f>IF(T11=1,I11-([1]Parametros!$B$7+[1]Parametros!$B$9+[1]Parametros!$B$12/2),I11-(ROUNDUP(S11/2,0)*([1]Parametros!$B$7+[1]Parametros!$B$9+[1]Parametros!$B$12/2)+ROUNDDOWN(S11/2,0)*([1]Parametros!$B$7+[1]Parametros!$B$9+[1]Parametros!$B$12/2+[1]Parametros!$B$12+[1]Parametros!$B$10))/S11)</f>
        <v>489.35</v>
      </c>
      <c r="V11" s="13">
        <f>S11*[1]Parametros!$B$8</f>
        <v>796</v>
      </c>
      <c r="W11" s="13">
        <f>[1]Parametros!$B$5*V11*[1]Parametros!$B$3*(U11-(V11*[1]Parametros!$B$3/(0.85*[1]Parametros!$B$2*H11))/2)/1000000</f>
        <v>142.54333009411764</v>
      </c>
      <c r="X11" s="13" t="str">
        <f t="shared" si="0"/>
        <v>CUMPLE</v>
      </c>
      <c r="Y11" s="13">
        <f>MAX(MAX(1.4/[1]Parametros!$B$3,0.25*SQRT([1]Parametros!$B$2)/[1]Parametros!$B$3)*H11*AB11,(0.85*[1]Parametros!$B$2/[1]Parametros!$B$3)*(1-SQRT(1-2*(L11*1000000/([1]Parametros!$B$5*H11*AB11^2))/(0.85*[1]Parametros!$B$2)))*H11*AB11)</f>
        <v>734.02500000000009</v>
      </c>
      <c r="Z11" s="14">
        <v>4</v>
      </c>
      <c r="AA11" s="14">
        <v>1</v>
      </c>
      <c r="AB11" s="13">
        <f>IF(AA11=1,I11-([1]Parametros!$B$7+[1]Parametros!$B$9+[1]Parametros!$B$12/2),I11-(ROUNDUP(Z11/2,0)*([1]Parametros!$B$7+[1]Parametros!$B$9+[1]Parametros!$B$12/2)+ROUNDDOWN(Z11/2,0)*([1]Parametros!$B$7+[1]Parametros!$B$9+[1]Parametros!$B$12/2+[1]Parametros!$B$12+[1]Parametros!$B$10))/Z11)</f>
        <v>489.35</v>
      </c>
      <c r="AC11" s="13">
        <f>Z11*[1]Parametros!$B$8</f>
        <v>796</v>
      </c>
      <c r="AD11" s="13">
        <f>[1]Parametros!$B$5*AC11*[1]Parametros!$B$3*(AB11-(AC11*[1]Parametros!$B$3/(0.85*[1]Parametros!$B$2*H11))/2)/1000000</f>
        <v>142.54333009411764</v>
      </c>
      <c r="AE11" s="13" t="str">
        <f t="shared" si="1"/>
        <v>CUMPLE</v>
      </c>
      <c r="AF11" s="13">
        <f>V11*1.25*[1]Parametros!$B$3*(U11-(V11*1.25*[1]Parametros!$B$3/(0.85*[1]Parametros!$B$2*H11))/2)/1000000</f>
        <v>196.34621794117646</v>
      </c>
      <c r="AG11" s="13">
        <f>AC11*1.25*[1]Parametros!$B$3*(AB11-(AC11*1.25*[1]Parametros!$B$3/(0.85*[1]Parametros!$B$2*H11))/2)/1000000</f>
        <v>196.34621794117646</v>
      </c>
      <c r="AH11" s="13">
        <f t="shared" si="2"/>
        <v>150.12126535947712</v>
      </c>
      <c r="AI11" s="13">
        <f t="shared" si="3"/>
        <v>150.12126535947712</v>
      </c>
      <c r="AJ11" s="13">
        <f>0.17*SQRT([1]Parametros!$B$2)*H11*MIN(U11,AB11)/1000</f>
        <v>198.08885582262698</v>
      </c>
      <c r="AK11" s="13">
        <f>MAX(AI11/[1]Parametros!$B$6-AJ11,0)</f>
        <v>2.0728313233425126</v>
      </c>
      <c r="AL11" s="13">
        <f>0.66*SQRT([1]Parametros!$B$2)*H11*MIN(U11,AB11)/1000</f>
        <v>769.05085201725785</v>
      </c>
      <c r="AM11" s="13" t="str">
        <f t="shared" si="4"/>
        <v>CUMPLE</v>
      </c>
      <c r="AN11" s="13" t="s">
        <v>64</v>
      </c>
      <c r="AO11" s="14">
        <v>2</v>
      </c>
      <c r="AP11" s="13">
        <f>ROUNDDOWN(MIN(IF(BC11+BD11=0,1000000000,AO11*BB11/(BC11+BD11)),MIN(U11,AB11)/4,8*[1]Parametros!$B$12,24*BA11,300,IF(AV11=0,1000000000,2*((H11-2*([1]Parametros!$B$7+[1]Parametros!$B$9/2))+(I11-2*([1]Parametros!$B$7+[1]Parametros!$B$9/2)))/8))/10,0)*10</f>
        <v>120</v>
      </c>
      <c r="AQ11" s="13">
        <f>ROUNDDOWN(MIN(IF(BC11+BD11=0,1000000000,AO11*BB11/(BC11+BD11)),IF(AK11&gt;0.33*SQRT([1]Parametros!$B$2)*H11*MIN(U11,AB11)/1000,MIN(U11,AB11)/4,MIN(U11,AB11)/2),600,IF(AV11=0,1000000000,2*((H11-2*([1]Parametros!$B$7+[1]Parametros!$B$9/2))+(I11-2*([1]Parametros!$B$7+[1]Parametros!$B$9/2)))/8))/10,0)*10</f>
        <v>240</v>
      </c>
      <c r="AR11" s="13">
        <f>[1]Parametros!$B$6*(AJ11+MAX(BE11-BD11,0)*[1]Parametros!$B$4*MIN(U11,AB11)/1000)</f>
        <v>330.97185436697026</v>
      </c>
      <c r="AS11" s="13" t="str">
        <f t="shared" si="5"/>
        <v>CUMPLE</v>
      </c>
      <c r="AT11" s="13">
        <f>[1]Parametros!$B$6*0.083*SQRT([1]Parametros!$B$2)*(H11*I11)^2/(2*(H11+I11))/1000000</f>
        <v>10.08878303333792</v>
      </c>
      <c r="AU11" s="13" t="str">
        <f t="shared" si="6"/>
        <v>DESPRECIABLE</v>
      </c>
      <c r="AV11" s="13">
        <f>IF(Q11&lt;=AT11,0,Q11*1000000/([1]Parametros!$B$6*2*0.85*(H11-2*([1]Parametros!$B$7+[1]Parametros!$B$9/2))*(I11-2*([1]Parametros!$B$7+[1]Parametros!$B$9/2))*[1]Parametros!$B$4))</f>
        <v>0</v>
      </c>
      <c r="AW11" s="13">
        <f>AV11*2*((H11-2*([1]Parametros!$B$7+[1]Parametros!$B$9/2))+(I11-2*([1]Parametros!$B$7+[1]Parametros!$B$9/2)))*[1]Parametros!$B$4/[1]Parametros!$B$3</f>
        <v>0</v>
      </c>
      <c r="AX11" s="14">
        <v>0</v>
      </c>
      <c r="AY11" s="13" t="str">
        <f t="shared" si="7"/>
        <v>DESPRECIABLE</v>
      </c>
      <c r="AZ11" s="13" t="str">
        <f t="shared" si="8"/>
        <v>CUMPLE</v>
      </c>
      <c r="BA11" s="14">
        <v>9.5</v>
      </c>
      <c r="BB11" s="14">
        <v>71</v>
      </c>
      <c r="BC11" s="13">
        <f>MAX(IF(AK11=0,0,AK11*1000/([1]Parametros!$B$4*MIN(U11,AB11))),MAX(0.062*SQRT([1]Parametros!$B$2)*H11/[1]Parametros!$B$4,0.35*H11/[1]Parametros!$B$4))</f>
        <v>0.375</v>
      </c>
      <c r="BD11" s="13">
        <f t="shared" si="9"/>
        <v>0</v>
      </c>
      <c r="BE11" s="13">
        <f t="shared" si="10"/>
        <v>1.1833333333333333</v>
      </c>
      <c r="BF11" s="13">
        <f>SQRT((AI11*1000/(H11*MIN(U11,AB11)))^2+(Q11*1000000*2*((H11-2*([1]Parametros!$B$7+[1]Parametros!$B$9/2))+(I11-2*([1]Parametros!$B$7+[1]Parametros!$B$9/2)))/(1.7*((H11-2*([1]Parametros!$B$7+[1]Parametros!$B$9/2))*(I11-2*([1]Parametros!$B$7+[1]Parametros!$B$9/2)))^2))^2)</f>
        <v>0.76918175210995554</v>
      </c>
      <c r="BG11" s="13">
        <f>[1]Parametros!$B$6*(AJ11*1000/(H11*MIN(U11,AB11))+0.66*SQRT([1]Parametros!$B$2))</f>
        <v>3.2939603822754151</v>
      </c>
      <c r="BH11" s="13" t="str">
        <f t="shared" si="11"/>
        <v>CUMPLE</v>
      </c>
      <c r="BI11" s="13">
        <f>AX11*[1]Parametros!$B$8</f>
        <v>0</v>
      </c>
      <c r="BJ11" s="15" t="str">
        <f t="shared" si="12"/>
        <v>CUMPLE</v>
      </c>
    </row>
    <row r="12" spans="1:62" x14ac:dyDescent="0.3">
      <c r="A12" s="39" t="s">
        <v>63</v>
      </c>
      <c r="B12" s="40">
        <v>168</v>
      </c>
      <c r="C12" s="13">
        <v>1</v>
      </c>
      <c r="D12" s="13">
        <v>3.15</v>
      </c>
      <c r="E12" s="13">
        <v>3.15</v>
      </c>
      <c r="F12" s="13">
        <v>450</v>
      </c>
      <c r="G12" s="13">
        <v>550</v>
      </c>
      <c r="H12" s="13">
        <v>450</v>
      </c>
      <c r="I12" s="13">
        <v>550</v>
      </c>
      <c r="J12" s="14">
        <v>21.888200000000001</v>
      </c>
      <c r="K12" s="13">
        <v>168</v>
      </c>
      <c r="L12" s="14">
        <v>16.896799999999999</v>
      </c>
      <c r="M12" s="13">
        <v>168</v>
      </c>
      <c r="N12" s="14">
        <v>23.302</v>
      </c>
      <c r="O12" s="14">
        <v>46.56</v>
      </c>
      <c r="P12" s="13">
        <v>168</v>
      </c>
      <c r="Q12" s="14">
        <v>7.6779999999999999</v>
      </c>
      <c r="R12" s="13">
        <f>MAX(MAX(1.4/[1]Parametros!$B$3,0.25*SQRT([1]Parametros!$B$2)/[1]Parametros!$B$3)*H12*U12,(0.85*[1]Parametros!$B$2/[1]Parametros!$B$3)*(1-SQRT(1-2*(J12*1000000/([1]Parametros!$B$5*H12*U12^2))/(0.85*[1]Parametros!$B$2)))*H12*U12)</f>
        <v>734.02500000000009</v>
      </c>
      <c r="S12" s="14">
        <v>4</v>
      </c>
      <c r="T12" s="14">
        <v>1</v>
      </c>
      <c r="U12" s="13">
        <f>IF(T12=1,I12-([1]Parametros!$B$7+[1]Parametros!$B$9+[1]Parametros!$B$12/2),I12-(ROUNDUP(S12/2,0)*([1]Parametros!$B$7+[1]Parametros!$B$9+[1]Parametros!$B$12/2)+ROUNDDOWN(S12/2,0)*([1]Parametros!$B$7+[1]Parametros!$B$9+[1]Parametros!$B$12/2+[1]Parametros!$B$12+[1]Parametros!$B$10))/S12)</f>
        <v>489.35</v>
      </c>
      <c r="V12" s="13">
        <f>S12*[1]Parametros!$B$8</f>
        <v>796</v>
      </c>
      <c r="W12" s="13">
        <f>[1]Parametros!$B$5*V12*[1]Parametros!$B$3*(U12-(V12*[1]Parametros!$B$3/(0.85*[1]Parametros!$B$2*H12))/2)/1000000</f>
        <v>142.54333009411764</v>
      </c>
      <c r="X12" s="13" t="str">
        <f t="shared" si="0"/>
        <v>CUMPLE</v>
      </c>
      <c r="Y12" s="13">
        <f>MAX(MAX(1.4/[1]Parametros!$B$3,0.25*SQRT([1]Parametros!$B$2)/[1]Parametros!$B$3)*H12*AB12,(0.85*[1]Parametros!$B$2/[1]Parametros!$B$3)*(1-SQRT(1-2*(L12*1000000/([1]Parametros!$B$5*H12*AB12^2))/(0.85*[1]Parametros!$B$2)))*H12*AB12)</f>
        <v>734.02500000000009</v>
      </c>
      <c r="Z12" s="14">
        <v>4</v>
      </c>
      <c r="AA12" s="14">
        <v>1</v>
      </c>
      <c r="AB12" s="13">
        <f>IF(AA12=1,I12-([1]Parametros!$B$7+[1]Parametros!$B$9+[1]Parametros!$B$12/2),I12-(ROUNDUP(Z12/2,0)*([1]Parametros!$B$7+[1]Parametros!$B$9+[1]Parametros!$B$12/2)+ROUNDDOWN(Z12/2,0)*([1]Parametros!$B$7+[1]Parametros!$B$9+[1]Parametros!$B$12/2+[1]Parametros!$B$12+[1]Parametros!$B$10))/Z12)</f>
        <v>489.35</v>
      </c>
      <c r="AC12" s="13">
        <f>Z12*[1]Parametros!$B$8</f>
        <v>796</v>
      </c>
      <c r="AD12" s="13">
        <f>[1]Parametros!$B$5*AC12*[1]Parametros!$B$3*(AB12-(AC12*[1]Parametros!$B$3/(0.85*[1]Parametros!$B$2*H12))/2)/1000000</f>
        <v>142.54333009411764</v>
      </c>
      <c r="AE12" s="13" t="str">
        <f t="shared" si="1"/>
        <v>CUMPLE</v>
      </c>
      <c r="AF12" s="13">
        <f>V12*1.25*[1]Parametros!$B$3*(U12-(V12*1.25*[1]Parametros!$B$3/(0.85*[1]Parametros!$B$2*H12))/2)/1000000</f>
        <v>196.34621794117646</v>
      </c>
      <c r="AG12" s="13">
        <f>AC12*1.25*[1]Parametros!$B$3*(AB12-(AC12*1.25*[1]Parametros!$B$3/(0.85*[1]Parametros!$B$2*H12))/2)/1000000</f>
        <v>196.34621794117646</v>
      </c>
      <c r="AH12" s="13">
        <f t="shared" si="2"/>
        <v>147.96626535947712</v>
      </c>
      <c r="AI12" s="13">
        <f t="shared" si="3"/>
        <v>147.96626535947712</v>
      </c>
      <c r="AJ12" s="13">
        <f>0.17*SQRT([1]Parametros!$B$2)*H12*MIN(U12,AB12)/1000</f>
        <v>198.08885582262698</v>
      </c>
      <c r="AK12" s="13">
        <f>MAX(AI12/[1]Parametros!$B$6-AJ12,0)</f>
        <v>0</v>
      </c>
      <c r="AL12" s="13">
        <f>0.66*SQRT([1]Parametros!$B$2)*H12*MIN(U12,AB12)/1000</f>
        <v>769.05085201725785</v>
      </c>
      <c r="AM12" s="13" t="str">
        <f t="shared" si="4"/>
        <v>CUMPLE</v>
      </c>
      <c r="AN12" s="13" t="s">
        <v>64</v>
      </c>
      <c r="AO12" s="14">
        <v>2</v>
      </c>
      <c r="AP12" s="13">
        <f>ROUNDDOWN(MIN(IF(BC12+BD12=0,1000000000,AO12*BB12/(BC12+BD12)),MIN(U12,AB12)/4,8*[1]Parametros!$B$12,24*BA12,300,IF(AV12=0,1000000000,2*((H12-2*([1]Parametros!$B$7+[1]Parametros!$B$9/2))+(I12-2*([1]Parametros!$B$7+[1]Parametros!$B$9/2)))/8))/10,0)*10</f>
        <v>120</v>
      </c>
      <c r="AQ12" s="13">
        <f>ROUNDDOWN(MIN(IF(BC12+BD12=0,1000000000,AO12*BB12/(BC12+BD12)),IF(AK12&gt;0.33*SQRT([1]Parametros!$B$2)*H12*MIN(U12,AB12)/1000,MIN(U12,AB12)/4,MIN(U12,AB12)/2),600,IF(AV12=0,1000000000,2*((H12-2*([1]Parametros!$B$7+[1]Parametros!$B$9/2))+(I12-2*([1]Parametros!$B$7+[1]Parametros!$B$9/2)))/8))/10,0)*10</f>
        <v>240</v>
      </c>
      <c r="AR12" s="13">
        <f>[1]Parametros!$B$6*(AJ12+MAX(BE12-BD12,0)*[1]Parametros!$B$4*MIN(U12,AB12)/1000)</f>
        <v>330.97185436697026</v>
      </c>
      <c r="AS12" s="13" t="str">
        <f t="shared" si="5"/>
        <v>CUMPLE</v>
      </c>
      <c r="AT12" s="13">
        <f>[1]Parametros!$B$6*0.083*SQRT([1]Parametros!$B$2)*(H12*I12)^2/(2*(H12+I12))/1000000</f>
        <v>10.08878303333792</v>
      </c>
      <c r="AU12" s="13" t="str">
        <f t="shared" si="6"/>
        <v>DESPRECIABLE</v>
      </c>
      <c r="AV12" s="13">
        <f>IF(Q12&lt;=AT12,0,Q12*1000000/([1]Parametros!$B$6*2*0.85*(H12-2*([1]Parametros!$B$7+[1]Parametros!$B$9/2))*(I12-2*([1]Parametros!$B$7+[1]Parametros!$B$9/2))*[1]Parametros!$B$4))</f>
        <v>0</v>
      </c>
      <c r="AW12" s="13">
        <f>AV12*2*((H12-2*([1]Parametros!$B$7+[1]Parametros!$B$9/2))+(I12-2*([1]Parametros!$B$7+[1]Parametros!$B$9/2)))*[1]Parametros!$B$4/[1]Parametros!$B$3</f>
        <v>0</v>
      </c>
      <c r="AX12" s="14">
        <v>0</v>
      </c>
      <c r="AY12" s="13" t="str">
        <f t="shared" si="7"/>
        <v>DESPRECIABLE</v>
      </c>
      <c r="AZ12" s="13" t="str">
        <f t="shared" si="8"/>
        <v>CUMPLE</v>
      </c>
      <c r="BA12" s="14">
        <v>9.5</v>
      </c>
      <c r="BB12" s="14">
        <v>71</v>
      </c>
      <c r="BC12" s="13">
        <f>MAX(IF(AK12=0,0,AK12*1000/([1]Parametros!$B$4*MIN(U12,AB12))),MAX(0.062*SQRT([1]Parametros!$B$2)*H12/[1]Parametros!$B$4,0.35*H12/[1]Parametros!$B$4))</f>
        <v>0.375</v>
      </c>
      <c r="BD12" s="13">
        <f t="shared" si="9"/>
        <v>0</v>
      </c>
      <c r="BE12" s="13">
        <f t="shared" si="10"/>
        <v>1.1833333333333333</v>
      </c>
      <c r="BF12" s="13">
        <f>SQRT((AI12*1000/(H12*MIN(U12,AB12)))^2+(Q12*1000000*2*((H12-2*([1]Parametros!$B$7+[1]Parametros!$B$9/2))+(I12-2*([1]Parametros!$B$7+[1]Parametros!$B$9/2)))/(1.7*((H12-2*([1]Parametros!$B$7+[1]Parametros!$B$9/2))*(I12-2*([1]Parametros!$B$7+[1]Parametros!$B$9/2)))^2))^2)</f>
        <v>0.72626994166412651</v>
      </c>
      <c r="BG12" s="13">
        <f>[1]Parametros!$B$6*(AJ12*1000/(H12*MIN(U12,AB12))+0.66*SQRT([1]Parametros!$B$2))</f>
        <v>3.2939603822754151</v>
      </c>
      <c r="BH12" s="13" t="str">
        <f t="shared" si="11"/>
        <v>CUMPLE</v>
      </c>
      <c r="BI12" s="13">
        <f>AX12*[1]Parametros!$B$8</f>
        <v>0</v>
      </c>
      <c r="BJ12" s="15" t="str">
        <f t="shared" si="12"/>
        <v>CUMPLE</v>
      </c>
    </row>
    <row r="13" spans="1:62" x14ac:dyDescent="0.3">
      <c r="A13" s="39" t="s">
        <v>63</v>
      </c>
      <c r="B13" s="40">
        <v>169</v>
      </c>
      <c r="C13" s="13">
        <v>1</v>
      </c>
      <c r="D13" s="13">
        <v>3.15</v>
      </c>
      <c r="E13" s="13">
        <v>3.15</v>
      </c>
      <c r="F13" s="13">
        <v>450</v>
      </c>
      <c r="G13" s="13">
        <v>550</v>
      </c>
      <c r="H13" s="13">
        <v>450</v>
      </c>
      <c r="I13" s="13">
        <v>550</v>
      </c>
      <c r="J13" s="14">
        <v>21.897200000000002</v>
      </c>
      <c r="K13" s="13">
        <v>169</v>
      </c>
      <c r="L13" s="14">
        <v>16.901199999999999</v>
      </c>
      <c r="M13" s="13">
        <v>169</v>
      </c>
      <c r="N13" s="14">
        <v>23.306000000000001</v>
      </c>
      <c r="O13" s="14">
        <v>46.564</v>
      </c>
      <c r="P13" s="13">
        <v>169</v>
      </c>
      <c r="Q13" s="14">
        <v>7.6782000000000004</v>
      </c>
      <c r="R13" s="13">
        <f>MAX(MAX(1.4/[1]Parametros!$B$3,0.25*SQRT([1]Parametros!$B$2)/[1]Parametros!$B$3)*H13*U13,(0.85*[1]Parametros!$B$2/[1]Parametros!$B$3)*(1-SQRT(1-2*(J13*1000000/([1]Parametros!$B$5*H13*U13^2))/(0.85*[1]Parametros!$B$2)))*H13*U13)</f>
        <v>734.02500000000009</v>
      </c>
      <c r="S13" s="14">
        <v>4</v>
      </c>
      <c r="T13" s="14">
        <v>1</v>
      </c>
      <c r="U13" s="13">
        <f>IF(T13=1,I13-([1]Parametros!$B$7+[1]Parametros!$B$9+[1]Parametros!$B$12/2),I13-(ROUNDUP(S13/2,0)*([1]Parametros!$B$7+[1]Parametros!$B$9+[1]Parametros!$B$12/2)+ROUNDDOWN(S13/2,0)*([1]Parametros!$B$7+[1]Parametros!$B$9+[1]Parametros!$B$12/2+[1]Parametros!$B$12+[1]Parametros!$B$10))/S13)</f>
        <v>489.35</v>
      </c>
      <c r="V13" s="13">
        <f>S13*[1]Parametros!$B$8</f>
        <v>796</v>
      </c>
      <c r="W13" s="13">
        <f>[1]Parametros!$B$5*V13*[1]Parametros!$B$3*(U13-(V13*[1]Parametros!$B$3/(0.85*[1]Parametros!$B$2*H13))/2)/1000000</f>
        <v>142.54333009411764</v>
      </c>
      <c r="X13" s="13" t="str">
        <f t="shared" si="0"/>
        <v>CUMPLE</v>
      </c>
      <c r="Y13" s="13">
        <f>MAX(MAX(1.4/[1]Parametros!$B$3,0.25*SQRT([1]Parametros!$B$2)/[1]Parametros!$B$3)*H13*AB13,(0.85*[1]Parametros!$B$2/[1]Parametros!$B$3)*(1-SQRT(1-2*(L13*1000000/([1]Parametros!$B$5*H13*AB13^2))/(0.85*[1]Parametros!$B$2)))*H13*AB13)</f>
        <v>734.02500000000009</v>
      </c>
      <c r="Z13" s="14">
        <v>4</v>
      </c>
      <c r="AA13" s="14">
        <v>1</v>
      </c>
      <c r="AB13" s="13">
        <f>IF(AA13=1,I13-([1]Parametros!$B$7+[1]Parametros!$B$9+[1]Parametros!$B$12/2),I13-(ROUNDUP(Z13/2,0)*([1]Parametros!$B$7+[1]Parametros!$B$9+[1]Parametros!$B$12/2)+ROUNDDOWN(Z13/2,0)*([1]Parametros!$B$7+[1]Parametros!$B$9+[1]Parametros!$B$12/2+[1]Parametros!$B$12+[1]Parametros!$B$10))/Z13)</f>
        <v>489.35</v>
      </c>
      <c r="AC13" s="13">
        <f>Z13*[1]Parametros!$B$8</f>
        <v>796</v>
      </c>
      <c r="AD13" s="13">
        <f>[1]Parametros!$B$5*AC13*[1]Parametros!$B$3*(AB13-(AC13*[1]Parametros!$B$3/(0.85*[1]Parametros!$B$2*H13))/2)/1000000</f>
        <v>142.54333009411764</v>
      </c>
      <c r="AE13" s="13" t="str">
        <f t="shared" si="1"/>
        <v>CUMPLE</v>
      </c>
      <c r="AF13" s="13">
        <f>V13*1.25*[1]Parametros!$B$3*(U13-(V13*1.25*[1]Parametros!$B$3/(0.85*[1]Parametros!$B$2*H13))/2)/1000000</f>
        <v>196.34621794117646</v>
      </c>
      <c r="AG13" s="13">
        <f>AC13*1.25*[1]Parametros!$B$3*(AB13-(AC13*1.25*[1]Parametros!$B$3/(0.85*[1]Parametros!$B$2*H13))/2)/1000000</f>
        <v>196.34621794117646</v>
      </c>
      <c r="AH13" s="13">
        <f t="shared" si="2"/>
        <v>147.97026535947714</v>
      </c>
      <c r="AI13" s="13">
        <f t="shared" si="3"/>
        <v>147.97026535947714</v>
      </c>
      <c r="AJ13" s="13">
        <f>0.17*SQRT([1]Parametros!$B$2)*H13*MIN(U13,AB13)/1000</f>
        <v>198.08885582262698</v>
      </c>
      <c r="AK13" s="13">
        <f>MAX(AI13/[1]Parametros!$B$6-AJ13,0)</f>
        <v>0</v>
      </c>
      <c r="AL13" s="13">
        <f>0.66*SQRT([1]Parametros!$B$2)*H13*MIN(U13,AB13)/1000</f>
        <v>769.05085201725785</v>
      </c>
      <c r="AM13" s="13" t="str">
        <f t="shared" si="4"/>
        <v>CUMPLE</v>
      </c>
      <c r="AN13" s="13" t="s">
        <v>64</v>
      </c>
      <c r="AO13" s="14">
        <v>2</v>
      </c>
      <c r="AP13" s="13">
        <f>ROUNDDOWN(MIN(IF(BC13+BD13=0,1000000000,AO13*BB13/(BC13+BD13)),MIN(U13,AB13)/4,8*[1]Parametros!$B$12,24*BA13,300,IF(AV13=0,1000000000,2*((H13-2*([1]Parametros!$B$7+[1]Parametros!$B$9/2))+(I13-2*([1]Parametros!$B$7+[1]Parametros!$B$9/2)))/8))/10,0)*10</f>
        <v>120</v>
      </c>
      <c r="AQ13" s="13">
        <f>ROUNDDOWN(MIN(IF(BC13+BD13=0,1000000000,AO13*BB13/(BC13+BD13)),IF(AK13&gt;0.33*SQRT([1]Parametros!$B$2)*H13*MIN(U13,AB13)/1000,MIN(U13,AB13)/4,MIN(U13,AB13)/2),600,IF(AV13=0,1000000000,2*((H13-2*([1]Parametros!$B$7+[1]Parametros!$B$9/2))+(I13-2*([1]Parametros!$B$7+[1]Parametros!$B$9/2)))/8))/10,0)*10</f>
        <v>240</v>
      </c>
      <c r="AR13" s="13">
        <f>[1]Parametros!$B$6*(AJ13+MAX(BE13-BD13,0)*[1]Parametros!$B$4*MIN(U13,AB13)/1000)</f>
        <v>330.97185436697026</v>
      </c>
      <c r="AS13" s="13" t="str">
        <f t="shared" si="5"/>
        <v>CUMPLE</v>
      </c>
      <c r="AT13" s="13">
        <f>[1]Parametros!$B$6*0.083*SQRT([1]Parametros!$B$2)*(H13*I13)^2/(2*(H13+I13))/1000000</f>
        <v>10.08878303333792</v>
      </c>
      <c r="AU13" s="13" t="str">
        <f t="shared" si="6"/>
        <v>DESPRECIABLE</v>
      </c>
      <c r="AV13" s="13">
        <f>IF(Q13&lt;=AT13,0,Q13*1000000/([1]Parametros!$B$6*2*0.85*(H13-2*([1]Parametros!$B$7+[1]Parametros!$B$9/2))*(I13-2*([1]Parametros!$B$7+[1]Parametros!$B$9/2))*[1]Parametros!$B$4))</f>
        <v>0</v>
      </c>
      <c r="AW13" s="13">
        <f>AV13*2*((H13-2*([1]Parametros!$B$7+[1]Parametros!$B$9/2))+(I13-2*([1]Parametros!$B$7+[1]Parametros!$B$9/2)))*[1]Parametros!$B$4/[1]Parametros!$B$3</f>
        <v>0</v>
      </c>
      <c r="AX13" s="14">
        <v>0</v>
      </c>
      <c r="AY13" s="13" t="str">
        <f t="shared" si="7"/>
        <v>DESPRECIABLE</v>
      </c>
      <c r="AZ13" s="13" t="str">
        <f t="shared" si="8"/>
        <v>CUMPLE</v>
      </c>
      <c r="BA13" s="14">
        <v>9.5</v>
      </c>
      <c r="BB13" s="14">
        <v>71</v>
      </c>
      <c r="BC13" s="13">
        <f>MAX(IF(AK13=0,0,AK13*1000/([1]Parametros!$B$4*MIN(U13,AB13))),MAX(0.062*SQRT([1]Parametros!$B$2)*H13/[1]Parametros!$B$4,0.35*H13/[1]Parametros!$B$4))</f>
        <v>0.375</v>
      </c>
      <c r="BD13" s="13">
        <f t="shared" si="9"/>
        <v>0</v>
      </c>
      <c r="BE13" s="13">
        <f t="shared" si="10"/>
        <v>1.1833333333333333</v>
      </c>
      <c r="BF13" s="13">
        <f>SQRT((AI13*1000/(H13*MIN(U13,AB13)))^2+(Q13*1000000*2*((H13-2*([1]Parametros!$B$7+[1]Parametros!$B$9/2))+(I13-2*([1]Parametros!$B$7+[1]Parametros!$B$9/2)))/(1.7*((H13-2*([1]Parametros!$B$7+[1]Parametros!$B$9/2))*(I13-2*([1]Parametros!$B$7+[1]Parametros!$B$9/2)))^2))^2)</f>
        <v>0.72628947205762184</v>
      </c>
      <c r="BG13" s="13">
        <f>[1]Parametros!$B$6*(AJ13*1000/(H13*MIN(U13,AB13))+0.66*SQRT([1]Parametros!$B$2))</f>
        <v>3.2939603822754151</v>
      </c>
      <c r="BH13" s="13" t="str">
        <f t="shared" si="11"/>
        <v>CUMPLE</v>
      </c>
      <c r="BI13" s="13">
        <f>AX13*[1]Parametros!$B$8</f>
        <v>0</v>
      </c>
      <c r="BJ13" s="15" t="str">
        <f t="shared" si="12"/>
        <v>CUMPLE</v>
      </c>
    </row>
    <row r="14" spans="1:62" x14ac:dyDescent="0.3">
      <c r="A14" s="39" t="s">
        <v>63</v>
      </c>
      <c r="B14" s="40">
        <v>173</v>
      </c>
      <c r="C14" s="13">
        <v>1</v>
      </c>
      <c r="D14" s="13">
        <v>3.15</v>
      </c>
      <c r="E14" s="13">
        <v>3.15</v>
      </c>
      <c r="F14" s="13">
        <v>450</v>
      </c>
      <c r="G14" s="13">
        <v>550</v>
      </c>
      <c r="H14" s="13">
        <v>450</v>
      </c>
      <c r="I14" s="13">
        <v>550</v>
      </c>
      <c r="J14" s="14">
        <v>12.9436</v>
      </c>
      <c r="K14" s="13">
        <v>173</v>
      </c>
      <c r="L14" s="14">
        <v>14.850300000000001</v>
      </c>
      <c r="M14" s="13">
        <v>173</v>
      </c>
      <c r="N14" s="14">
        <v>19.646999999999998</v>
      </c>
      <c r="O14" s="14">
        <v>29.49</v>
      </c>
      <c r="P14" s="13">
        <v>173</v>
      </c>
      <c r="Q14" s="14">
        <v>5.3312999999999997</v>
      </c>
      <c r="R14" s="13">
        <f>MAX(MAX(1.4/[1]Parametros!$B$3,0.25*SQRT([1]Parametros!$B$2)/[1]Parametros!$B$3)*H14*U14,(0.85*[1]Parametros!$B$2/[1]Parametros!$B$3)*(1-SQRT(1-2*(J14*1000000/([1]Parametros!$B$5*H14*U14^2))/(0.85*[1]Parametros!$B$2)))*H14*U14)</f>
        <v>734.02500000000009</v>
      </c>
      <c r="S14" s="14">
        <v>4</v>
      </c>
      <c r="T14" s="14">
        <v>1</v>
      </c>
      <c r="U14" s="13">
        <f>IF(T14=1,I14-([1]Parametros!$B$7+[1]Parametros!$B$9+[1]Parametros!$B$12/2),I14-(ROUNDUP(S14/2,0)*([1]Parametros!$B$7+[1]Parametros!$B$9+[1]Parametros!$B$12/2)+ROUNDDOWN(S14/2,0)*([1]Parametros!$B$7+[1]Parametros!$B$9+[1]Parametros!$B$12/2+[1]Parametros!$B$12+[1]Parametros!$B$10))/S14)</f>
        <v>489.35</v>
      </c>
      <c r="V14" s="13">
        <f>S14*[1]Parametros!$B$8</f>
        <v>796</v>
      </c>
      <c r="W14" s="13">
        <f>[1]Parametros!$B$5*V14*[1]Parametros!$B$3*(U14-(V14*[1]Parametros!$B$3/(0.85*[1]Parametros!$B$2*H14))/2)/1000000</f>
        <v>142.54333009411764</v>
      </c>
      <c r="X14" s="13" t="str">
        <f t="shared" si="0"/>
        <v>CUMPLE</v>
      </c>
      <c r="Y14" s="13">
        <f>MAX(MAX(1.4/[1]Parametros!$B$3,0.25*SQRT([1]Parametros!$B$2)/[1]Parametros!$B$3)*H14*AB14,(0.85*[1]Parametros!$B$2/[1]Parametros!$B$3)*(1-SQRT(1-2*(L14*1000000/([1]Parametros!$B$5*H14*AB14^2))/(0.85*[1]Parametros!$B$2)))*H14*AB14)</f>
        <v>734.02500000000009</v>
      </c>
      <c r="Z14" s="14">
        <v>4</v>
      </c>
      <c r="AA14" s="14">
        <v>1</v>
      </c>
      <c r="AB14" s="13">
        <f>IF(AA14=1,I14-([1]Parametros!$B$7+[1]Parametros!$B$9+[1]Parametros!$B$12/2),I14-(ROUNDUP(Z14/2,0)*([1]Parametros!$B$7+[1]Parametros!$B$9+[1]Parametros!$B$12/2)+ROUNDDOWN(Z14/2,0)*([1]Parametros!$B$7+[1]Parametros!$B$9+[1]Parametros!$B$12/2+[1]Parametros!$B$12+[1]Parametros!$B$10))/Z14)</f>
        <v>489.35</v>
      </c>
      <c r="AC14" s="13">
        <f>Z14*[1]Parametros!$B$8</f>
        <v>796</v>
      </c>
      <c r="AD14" s="13">
        <f>[1]Parametros!$B$5*AC14*[1]Parametros!$B$3*(AB14-(AC14*[1]Parametros!$B$3/(0.85*[1]Parametros!$B$2*H14))/2)/1000000</f>
        <v>142.54333009411764</v>
      </c>
      <c r="AE14" s="13" t="str">
        <f t="shared" si="1"/>
        <v>CUMPLE</v>
      </c>
      <c r="AF14" s="13">
        <f>V14*1.25*[1]Parametros!$B$3*(U14-(V14*1.25*[1]Parametros!$B$3/(0.85*[1]Parametros!$B$2*H14))/2)/1000000</f>
        <v>196.34621794117646</v>
      </c>
      <c r="AG14" s="13">
        <f>AC14*1.25*[1]Parametros!$B$3*(AB14-(AC14*1.25*[1]Parametros!$B$3/(0.85*[1]Parametros!$B$2*H14))/2)/1000000</f>
        <v>196.34621794117646</v>
      </c>
      <c r="AH14" s="13">
        <f t="shared" si="2"/>
        <v>144.31126535947712</v>
      </c>
      <c r="AI14" s="13">
        <f t="shared" si="3"/>
        <v>144.31126535947712</v>
      </c>
      <c r="AJ14" s="13">
        <f>0.17*SQRT([1]Parametros!$B$2)*H14*MIN(U14,AB14)/1000</f>
        <v>198.08885582262698</v>
      </c>
      <c r="AK14" s="13">
        <f>MAX(AI14/[1]Parametros!$B$6-AJ14,0)</f>
        <v>0</v>
      </c>
      <c r="AL14" s="13">
        <f>0.66*SQRT([1]Parametros!$B$2)*H14*MIN(U14,AB14)/1000</f>
        <v>769.05085201725785</v>
      </c>
      <c r="AM14" s="13" t="str">
        <f t="shared" si="4"/>
        <v>CUMPLE</v>
      </c>
      <c r="AN14" s="13" t="s">
        <v>64</v>
      </c>
      <c r="AO14" s="14">
        <v>2</v>
      </c>
      <c r="AP14" s="13">
        <f>ROUNDDOWN(MIN(IF(BC14+BD14=0,1000000000,AO14*BB14/(BC14+BD14)),MIN(U14,AB14)/4,8*[1]Parametros!$B$12,24*BA14,300,IF(AV14=0,1000000000,2*((H14-2*([1]Parametros!$B$7+[1]Parametros!$B$9/2))+(I14-2*([1]Parametros!$B$7+[1]Parametros!$B$9/2)))/8))/10,0)*10</f>
        <v>120</v>
      </c>
      <c r="AQ14" s="13">
        <f>ROUNDDOWN(MIN(IF(BC14+BD14=0,1000000000,AO14*BB14/(BC14+BD14)),IF(AK14&gt;0.33*SQRT([1]Parametros!$B$2)*H14*MIN(U14,AB14)/1000,MIN(U14,AB14)/4,MIN(U14,AB14)/2),600,IF(AV14=0,1000000000,2*((H14-2*([1]Parametros!$B$7+[1]Parametros!$B$9/2))+(I14-2*([1]Parametros!$B$7+[1]Parametros!$B$9/2)))/8))/10,0)*10</f>
        <v>240</v>
      </c>
      <c r="AR14" s="13">
        <f>[1]Parametros!$B$6*(AJ14+MAX(BE14-BD14,0)*[1]Parametros!$B$4*MIN(U14,AB14)/1000)</f>
        <v>330.97185436697026</v>
      </c>
      <c r="AS14" s="13" t="str">
        <f t="shared" si="5"/>
        <v>CUMPLE</v>
      </c>
      <c r="AT14" s="13">
        <f>[1]Parametros!$B$6*0.083*SQRT([1]Parametros!$B$2)*(H14*I14)^2/(2*(H14+I14))/1000000</f>
        <v>10.08878303333792</v>
      </c>
      <c r="AU14" s="13" t="str">
        <f t="shared" si="6"/>
        <v>DESPRECIABLE</v>
      </c>
      <c r="AV14" s="13">
        <f>IF(Q14&lt;=AT14,0,Q14*1000000/([1]Parametros!$B$6*2*0.85*(H14-2*([1]Parametros!$B$7+[1]Parametros!$B$9/2))*(I14-2*([1]Parametros!$B$7+[1]Parametros!$B$9/2))*[1]Parametros!$B$4))</f>
        <v>0</v>
      </c>
      <c r="AW14" s="13">
        <f>AV14*2*((H14-2*([1]Parametros!$B$7+[1]Parametros!$B$9/2))+(I14-2*([1]Parametros!$B$7+[1]Parametros!$B$9/2)))*[1]Parametros!$B$4/[1]Parametros!$B$3</f>
        <v>0</v>
      </c>
      <c r="AX14" s="14">
        <v>0</v>
      </c>
      <c r="AY14" s="13" t="str">
        <f t="shared" si="7"/>
        <v>DESPRECIABLE</v>
      </c>
      <c r="AZ14" s="13" t="str">
        <f t="shared" si="8"/>
        <v>CUMPLE</v>
      </c>
      <c r="BA14" s="14">
        <v>9.5</v>
      </c>
      <c r="BB14" s="14">
        <v>71</v>
      </c>
      <c r="BC14" s="13">
        <f>MAX(IF(AK14=0,0,AK14*1000/([1]Parametros!$B$4*MIN(U14,AB14))),MAX(0.062*SQRT([1]Parametros!$B$2)*H14/[1]Parametros!$B$4,0.35*H14/[1]Parametros!$B$4))</f>
        <v>0.375</v>
      </c>
      <c r="BD14" s="13">
        <f t="shared" si="9"/>
        <v>0</v>
      </c>
      <c r="BE14" s="13">
        <f t="shared" si="10"/>
        <v>1.1833333333333333</v>
      </c>
      <c r="BF14" s="13">
        <f>SQRT((AI14*1000/(H14*MIN(U14,AB14)))^2+(Q14*1000000*2*((H14-2*([1]Parametros!$B$7+[1]Parametros!$B$9/2))+(I14-2*([1]Parametros!$B$7+[1]Parametros!$B$9/2)))/(1.7*((H14-2*([1]Parametros!$B$7+[1]Parametros!$B$9/2))*(I14-2*([1]Parametros!$B$7+[1]Parametros!$B$9/2)))^2))^2)</f>
        <v>0.68271415246983536</v>
      </c>
      <c r="BG14" s="13">
        <f>[1]Parametros!$B$6*(AJ14*1000/(H14*MIN(U14,AB14))+0.66*SQRT([1]Parametros!$B$2))</f>
        <v>3.2939603822754151</v>
      </c>
      <c r="BH14" s="13" t="str">
        <f t="shared" si="11"/>
        <v>CUMPLE</v>
      </c>
      <c r="BI14" s="13">
        <f>AX14*[1]Parametros!$B$8</f>
        <v>0</v>
      </c>
      <c r="BJ14" s="15" t="str">
        <f t="shared" si="12"/>
        <v>CUMPLE</v>
      </c>
    </row>
    <row r="15" spans="1:62" x14ac:dyDescent="0.3">
      <c r="A15" s="39" t="s">
        <v>63</v>
      </c>
      <c r="B15" s="40">
        <v>174</v>
      </c>
      <c r="C15" s="13">
        <v>1</v>
      </c>
      <c r="D15" s="13">
        <v>3.15</v>
      </c>
      <c r="E15" s="13">
        <v>3.15</v>
      </c>
      <c r="F15" s="13">
        <v>450</v>
      </c>
      <c r="G15" s="13">
        <v>550</v>
      </c>
      <c r="H15" s="13">
        <v>450</v>
      </c>
      <c r="I15" s="13">
        <v>550</v>
      </c>
      <c r="J15" s="14">
        <v>12.949</v>
      </c>
      <c r="K15" s="13">
        <v>174</v>
      </c>
      <c r="L15" s="14">
        <v>14.851900000000001</v>
      </c>
      <c r="M15" s="13">
        <v>174</v>
      </c>
      <c r="N15" s="14">
        <v>19.649999999999999</v>
      </c>
      <c r="O15" s="14">
        <v>29.492999999999999</v>
      </c>
      <c r="P15" s="13">
        <v>174</v>
      </c>
      <c r="Q15" s="14">
        <v>5.3318000000000003</v>
      </c>
      <c r="R15" s="13">
        <f>MAX(MAX(1.4/[1]Parametros!$B$3,0.25*SQRT([1]Parametros!$B$2)/[1]Parametros!$B$3)*H15*U15,(0.85*[1]Parametros!$B$2/[1]Parametros!$B$3)*(1-SQRT(1-2*(J15*1000000/([1]Parametros!$B$5*H15*U15^2))/(0.85*[1]Parametros!$B$2)))*H15*U15)</f>
        <v>734.02500000000009</v>
      </c>
      <c r="S15" s="14">
        <v>4</v>
      </c>
      <c r="T15" s="14">
        <v>1</v>
      </c>
      <c r="U15" s="13">
        <f>IF(T15=1,I15-([1]Parametros!$B$7+[1]Parametros!$B$9+[1]Parametros!$B$12/2),I15-(ROUNDUP(S15/2,0)*([1]Parametros!$B$7+[1]Parametros!$B$9+[1]Parametros!$B$12/2)+ROUNDDOWN(S15/2,0)*([1]Parametros!$B$7+[1]Parametros!$B$9+[1]Parametros!$B$12/2+[1]Parametros!$B$12+[1]Parametros!$B$10))/S15)</f>
        <v>489.35</v>
      </c>
      <c r="V15" s="13">
        <f>S15*[1]Parametros!$B$8</f>
        <v>796</v>
      </c>
      <c r="W15" s="13">
        <f>[1]Parametros!$B$5*V15*[1]Parametros!$B$3*(U15-(V15*[1]Parametros!$B$3/(0.85*[1]Parametros!$B$2*H15))/2)/1000000</f>
        <v>142.54333009411764</v>
      </c>
      <c r="X15" s="13" t="str">
        <f t="shared" si="0"/>
        <v>CUMPLE</v>
      </c>
      <c r="Y15" s="13">
        <f>MAX(MAX(1.4/[1]Parametros!$B$3,0.25*SQRT([1]Parametros!$B$2)/[1]Parametros!$B$3)*H15*AB15,(0.85*[1]Parametros!$B$2/[1]Parametros!$B$3)*(1-SQRT(1-2*(L15*1000000/([1]Parametros!$B$5*H15*AB15^2))/(0.85*[1]Parametros!$B$2)))*H15*AB15)</f>
        <v>734.02500000000009</v>
      </c>
      <c r="Z15" s="14">
        <v>4</v>
      </c>
      <c r="AA15" s="14">
        <v>1</v>
      </c>
      <c r="AB15" s="13">
        <f>IF(AA15=1,I15-([1]Parametros!$B$7+[1]Parametros!$B$9+[1]Parametros!$B$12/2),I15-(ROUNDUP(Z15/2,0)*([1]Parametros!$B$7+[1]Parametros!$B$9+[1]Parametros!$B$12/2)+ROUNDDOWN(Z15/2,0)*([1]Parametros!$B$7+[1]Parametros!$B$9+[1]Parametros!$B$12/2+[1]Parametros!$B$12+[1]Parametros!$B$10))/Z15)</f>
        <v>489.35</v>
      </c>
      <c r="AC15" s="13">
        <f>Z15*[1]Parametros!$B$8</f>
        <v>796</v>
      </c>
      <c r="AD15" s="13">
        <f>[1]Parametros!$B$5*AC15*[1]Parametros!$B$3*(AB15-(AC15*[1]Parametros!$B$3/(0.85*[1]Parametros!$B$2*H15))/2)/1000000</f>
        <v>142.54333009411764</v>
      </c>
      <c r="AE15" s="13" t="str">
        <f t="shared" si="1"/>
        <v>CUMPLE</v>
      </c>
      <c r="AF15" s="13">
        <f>V15*1.25*[1]Parametros!$B$3*(U15-(V15*1.25*[1]Parametros!$B$3/(0.85*[1]Parametros!$B$2*H15))/2)/1000000</f>
        <v>196.34621794117646</v>
      </c>
      <c r="AG15" s="13">
        <f>AC15*1.25*[1]Parametros!$B$3*(AB15-(AC15*1.25*[1]Parametros!$B$3/(0.85*[1]Parametros!$B$2*H15))/2)/1000000</f>
        <v>196.34621794117646</v>
      </c>
      <c r="AH15" s="13">
        <f t="shared" si="2"/>
        <v>144.31426535947713</v>
      </c>
      <c r="AI15" s="13">
        <f t="shared" si="3"/>
        <v>144.31426535947713</v>
      </c>
      <c r="AJ15" s="13">
        <f>0.17*SQRT([1]Parametros!$B$2)*H15*MIN(U15,AB15)/1000</f>
        <v>198.08885582262698</v>
      </c>
      <c r="AK15" s="13">
        <f>MAX(AI15/[1]Parametros!$B$6-AJ15,0)</f>
        <v>0</v>
      </c>
      <c r="AL15" s="13">
        <f>0.66*SQRT([1]Parametros!$B$2)*H15*MIN(U15,AB15)/1000</f>
        <v>769.05085201725785</v>
      </c>
      <c r="AM15" s="13" t="str">
        <f t="shared" si="4"/>
        <v>CUMPLE</v>
      </c>
      <c r="AN15" s="13" t="s">
        <v>64</v>
      </c>
      <c r="AO15" s="14">
        <v>2</v>
      </c>
      <c r="AP15" s="13">
        <f>ROUNDDOWN(MIN(IF(BC15+BD15=0,1000000000,AO15*BB15/(BC15+BD15)),MIN(U15,AB15)/4,8*[1]Parametros!$B$12,24*BA15,300,IF(AV15=0,1000000000,2*((H15-2*([1]Parametros!$B$7+[1]Parametros!$B$9/2))+(I15-2*([1]Parametros!$B$7+[1]Parametros!$B$9/2)))/8))/10,0)*10</f>
        <v>120</v>
      </c>
      <c r="AQ15" s="13">
        <f>ROUNDDOWN(MIN(IF(BC15+BD15=0,1000000000,AO15*BB15/(BC15+BD15)),IF(AK15&gt;0.33*SQRT([1]Parametros!$B$2)*H15*MIN(U15,AB15)/1000,MIN(U15,AB15)/4,MIN(U15,AB15)/2),600,IF(AV15=0,1000000000,2*((H15-2*([1]Parametros!$B$7+[1]Parametros!$B$9/2))+(I15-2*([1]Parametros!$B$7+[1]Parametros!$B$9/2)))/8))/10,0)*10</f>
        <v>240</v>
      </c>
      <c r="AR15" s="13">
        <f>[1]Parametros!$B$6*(AJ15+MAX(BE15-BD15,0)*[1]Parametros!$B$4*MIN(U15,AB15)/1000)</f>
        <v>330.97185436697026</v>
      </c>
      <c r="AS15" s="13" t="str">
        <f t="shared" si="5"/>
        <v>CUMPLE</v>
      </c>
      <c r="AT15" s="13">
        <f>[1]Parametros!$B$6*0.083*SQRT([1]Parametros!$B$2)*(H15*I15)^2/(2*(H15+I15))/1000000</f>
        <v>10.08878303333792</v>
      </c>
      <c r="AU15" s="13" t="str">
        <f t="shared" si="6"/>
        <v>DESPRECIABLE</v>
      </c>
      <c r="AV15" s="13">
        <f>IF(Q15&lt;=AT15,0,Q15*1000000/([1]Parametros!$B$6*2*0.85*(H15-2*([1]Parametros!$B$7+[1]Parametros!$B$9/2))*(I15-2*([1]Parametros!$B$7+[1]Parametros!$B$9/2))*[1]Parametros!$B$4))</f>
        <v>0</v>
      </c>
      <c r="AW15" s="13">
        <f>AV15*2*((H15-2*([1]Parametros!$B$7+[1]Parametros!$B$9/2))+(I15-2*([1]Parametros!$B$7+[1]Parametros!$B$9/2)))*[1]Parametros!$B$4/[1]Parametros!$B$3</f>
        <v>0</v>
      </c>
      <c r="AX15" s="14">
        <v>0</v>
      </c>
      <c r="AY15" s="13" t="str">
        <f t="shared" si="7"/>
        <v>DESPRECIABLE</v>
      </c>
      <c r="AZ15" s="13" t="str">
        <f t="shared" si="8"/>
        <v>CUMPLE</v>
      </c>
      <c r="BA15" s="14">
        <v>9.5</v>
      </c>
      <c r="BB15" s="14">
        <v>71</v>
      </c>
      <c r="BC15" s="13">
        <f>MAX(IF(AK15=0,0,AK15*1000/([1]Parametros!$B$4*MIN(U15,AB15))),MAX(0.062*SQRT([1]Parametros!$B$2)*H15/[1]Parametros!$B$4,0.35*H15/[1]Parametros!$B$4))</f>
        <v>0.375</v>
      </c>
      <c r="BD15" s="13">
        <f t="shared" si="9"/>
        <v>0</v>
      </c>
      <c r="BE15" s="13">
        <f t="shared" si="10"/>
        <v>1.1833333333333333</v>
      </c>
      <c r="BF15" s="13">
        <f>SQRT((AI15*1000/(H15*MIN(U15,AB15)))^2+(Q15*1000000*2*((H15-2*([1]Parametros!$B$7+[1]Parametros!$B$9/2))+(I15-2*([1]Parametros!$B$7+[1]Parametros!$B$9/2)))/(1.7*((H15-2*([1]Parametros!$B$7+[1]Parametros!$B$9/2))*(I15-2*([1]Parametros!$B$7+[1]Parametros!$B$9/2)))^2))^2)</f>
        <v>0.68273226118802954</v>
      </c>
      <c r="BG15" s="13">
        <f>[1]Parametros!$B$6*(AJ15*1000/(H15*MIN(U15,AB15))+0.66*SQRT([1]Parametros!$B$2))</f>
        <v>3.2939603822754151</v>
      </c>
      <c r="BH15" s="13" t="str">
        <f t="shared" si="11"/>
        <v>CUMPLE</v>
      </c>
      <c r="BI15" s="13">
        <f>AX15*[1]Parametros!$B$8</f>
        <v>0</v>
      </c>
      <c r="BJ15" s="15" t="str">
        <f t="shared" si="12"/>
        <v>CUMPLE</v>
      </c>
    </row>
    <row r="16" spans="1:62" x14ac:dyDescent="0.3">
      <c r="A16" s="39" t="s">
        <v>63</v>
      </c>
      <c r="B16" s="40">
        <v>178</v>
      </c>
      <c r="C16" s="13">
        <v>1</v>
      </c>
      <c r="D16" s="13">
        <v>3.15</v>
      </c>
      <c r="E16" s="13">
        <v>3.15</v>
      </c>
      <c r="F16" s="13">
        <v>450</v>
      </c>
      <c r="G16" s="13">
        <v>550</v>
      </c>
      <c r="H16" s="13">
        <v>450</v>
      </c>
      <c r="I16" s="13">
        <v>550</v>
      </c>
      <c r="J16" s="14">
        <v>33.213500000000003</v>
      </c>
      <c r="K16" s="13">
        <v>178</v>
      </c>
      <c r="L16" s="14">
        <v>20.634799999999998</v>
      </c>
      <c r="M16" s="13">
        <v>178</v>
      </c>
      <c r="N16" s="14">
        <v>27.309000000000001</v>
      </c>
      <c r="O16" s="14">
        <v>72.909000000000006</v>
      </c>
      <c r="P16" s="13">
        <v>178</v>
      </c>
      <c r="Q16" s="14">
        <v>12.075100000000001</v>
      </c>
      <c r="R16" s="13">
        <f>MAX(MAX(1.4/[1]Parametros!$B$3,0.25*SQRT([1]Parametros!$B$2)/[1]Parametros!$B$3)*H16*U16,(0.85*[1]Parametros!$B$2/[1]Parametros!$B$3)*(1-SQRT(1-2*(J16*1000000/([1]Parametros!$B$5*H16*U16^2))/(0.85*[1]Parametros!$B$2)))*H16*U16)</f>
        <v>734.02500000000009</v>
      </c>
      <c r="S16" s="14">
        <v>4</v>
      </c>
      <c r="T16" s="14">
        <v>1</v>
      </c>
      <c r="U16" s="13">
        <f>IF(T16=1,I16-([1]Parametros!$B$7+[1]Parametros!$B$9+[1]Parametros!$B$12/2),I16-(ROUNDUP(S16/2,0)*([1]Parametros!$B$7+[1]Parametros!$B$9+[1]Parametros!$B$12/2)+ROUNDDOWN(S16/2,0)*([1]Parametros!$B$7+[1]Parametros!$B$9+[1]Parametros!$B$12/2+[1]Parametros!$B$12+[1]Parametros!$B$10))/S16)</f>
        <v>489.35</v>
      </c>
      <c r="V16" s="13">
        <f>S16*[1]Parametros!$B$8</f>
        <v>796</v>
      </c>
      <c r="W16" s="13">
        <f>[1]Parametros!$B$5*V16*[1]Parametros!$B$3*(U16-(V16*[1]Parametros!$B$3/(0.85*[1]Parametros!$B$2*H16))/2)/1000000</f>
        <v>142.54333009411764</v>
      </c>
      <c r="X16" s="13" t="str">
        <f t="shared" si="0"/>
        <v>CUMPLE</v>
      </c>
      <c r="Y16" s="13">
        <f>MAX(MAX(1.4/[1]Parametros!$B$3,0.25*SQRT([1]Parametros!$B$2)/[1]Parametros!$B$3)*H16*AB16,(0.85*[1]Parametros!$B$2/[1]Parametros!$B$3)*(1-SQRT(1-2*(L16*1000000/([1]Parametros!$B$5*H16*AB16^2))/(0.85*[1]Parametros!$B$2)))*H16*AB16)</f>
        <v>734.02500000000009</v>
      </c>
      <c r="Z16" s="14">
        <v>4</v>
      </c>
      <c r="AA16" s="14">
        <v>1</v>
      </c>
      <c r="AB16" s="13">
        <f>IF(AA16=1,I16-([1]Parametros!$B$7+[1]Parametros!$B$9+[1]Parametros!$B$12/2),I16-(ROUNDUP(Z16/2,0)*([1]Parametros!$B$7+[1]Parametros!$B$9+[1]Parametros!$B$12/2)+ROUNDDOWN(Z16/2,0)*([1]Parametros!$B$7+[1]Parametros!$B$9+[1]Parametros!$B$12/2+[1]Parametros!$B$12+[1]Parametros!$B$10))/Z16)</f>
        <v>489.35</v>
      </c>
      <c r="AC16" s="13">
        <f>Z16*[1]Parametros!$B$8</f>
        <v>796</v>
      </c>
      <c r="AD16" s="13">
        <f>[1]Parametros!$B$5*AC16*[1]Parametros!$B$3*(AB16-(AC16*[1]Parametros!$B$3/(0.85*[1]Parametros!$B$2*H16))/2)/1000000</f>
        <v>142.54333009411764</v>
      </c>
      <c r="AE16" s="13" t="str">
        <f t="shared" si="1"/>
        <v>CUMPLE</v>
      </c>
      <c r="AF16" s="13">
        <f>V16*1.25*[1]Parametros!$B$3*(U16-(V16*1.25*[1]Parametros!$B$3/(0.85*[1]Parametros!$B$2*H16))/2)/1000000</f>
        <v>196.34621794117646</v>
      </c>
      <c r="AG16" s="13">
        <f>AC16*1.25*[1]Parametros!$B$3*(AB16-(AC16*1.25*[1]Parametros!$B$3/(0.85*[1]Parametros!$B$2*H16))/2)/1000000</f>
        <v>196.34621794117646</v>
      </c>
      <c r="AH16" s="13">
        <f t="shared" si="2"/>
        <v>151.97326535947713</v>
      </c>
      <c r="AI16" s="13">
        <f t="shared" si="3"/>
        <v>151.97326535947713</v>
      </c>
      <c r="AJ16" s="13">
        <f>0.17*SQRT([1]Parametros!$B$2)*H16*MIN(U16,AB16)/1000</f>
        <v>198.08885582262698</v>
      </c>
      <c r="AK16" s="13">
        <f>MAX(AI16/[1]Parametros!$B$6-AJ16,0)</f>
        <v>4.5421646566758511</v>
      </c>
      <c r="AL16" s="13">
        <f>0.66*SQRT([1]Parametros!$B$2)*H16*MIN(U16,AB16)/1000</f>
        <v>769.05085201725785</v>
      </c>
      <c r="AM16" s="13" t="str">
        <f t="shared" si="4"/>
        <v>CUMPLE</v>
      </c>
      <c r="AN16" s="13" t="s">
        <v>64</v>
      </c>
      <c r="AO16" s="14">
        <v>2</v>
      </c>
      <c r="AP16" s="13">
        <f>ROUNDDOWN(MIN(IF(BC16+BD16=0,1000000000,AO16*BB16/(BC16+BD16)),MIN(U16,AB16)/4,8*[1]Parametros!$B$12,24*BA16,300,IF(AV16=0,1000000000,2*((H16-2*([1]Parametros!$B$7+[1]Parametros!$B$9/2))+(I16-2*([1]Parametros!$B$7+[1]Parametros!$B$9/2)))/8))/10,0)*10</f>
        <v>120</v>
      </c>
      <c r="AQ16" s="13">
        <f>ROUNDDOWN(MIN(IF(BC16+BD16=0,1000000000,AO16*BB16/(BC16+BD16)),IF(AK16&gt;0.33*SQRT([1]Parametros!$B$2)*H16*MIN(U16,AB16)/1000,MIN(U16,AB16)/4,MIN(U16,AB16)/2),600,IF(AV16=0,1000000000,2*((H16-2*([1]Parametros!$B$7+[1]Parametros!$B$9/2))+(I16-2*([1]Parametros!$B$7+[1]Parametros!$B$9/2)))/8))/10,0)*10</f>
        <v>200</v>
      </c>
      <c r="AR16" s="13">
        <f>[1]Parametros!$B$6*(AJ16+MAX(BE16-BD16,0)*[1]Parametros!$B$4*MIN(U16,AB16)/1000)</f>
        <v>288.42600624799297</v>
      </c>
      <c r="AS16" s="13" t="str">
        <f t="shared" si="5"/>
        <v>CUMPLE</v>
      </c>
      <c r="AT16" s="13">
        <f>[1]Parametros!$B$6*0.083*SQRT([1]Parametros!$B$2)*(H16*I16)^2/(2*(H16+I16))/1000000</f>
        <v>10.08878303333792</v>
      </c>
      <c r="AU16" s="13" t="str">
        <f t="shared" si="6"/>
        <v>DISEÑAR</v>
      </c>
      <c r="AV16" s="13">
        <f>IF(Q16&lt;=AT16,0,Q16*1000000/([1]Parametros!$B$6*2*0.85*(H16-2*([1]Parametros!$B$7+[1]Parametros!$B$9/2))*(I16-2*([1]Parametros!$B$7+[1]Parametros!$B$9/2))*[1]Parametros!$B$4))</f>
        <v>0.13800570604341433</v>
      </c>
      <c r="AW16" s="13">
        <f>AV16*2*((H16-2*([1]Parametros!$B$7+[1]Parametros!$B$9/2))+(I16-2*([1]Parametros!$B$7+[1]Parametros!$B$9/2)))*[1]Parametros!$B$4/[1]Parametros!$B$3</f>
        <v>224.83889628593064</v>
      </c>
      <c r="AX16" s="14">
        <v>8</v>
      </c>
      <c r="AY16" s="13" t="str">
        <f t="shared" si="7"/>
        <v>CUMPLE</v>
      </c>
      <c r="AZ16" s="13" t="str">
        <f t="shared" si="8"/>
        <v>CUMPLE</v>
      </c>
      <c r="BA16" s="14">
        <v>9.5</v>
      </c>
      <c r="BB16" s="14">
        <v>71</v>
      </c>
      <c r="BC16" s="13">
        <f>MAX(IF(AK16=0,0,AK16*1000/([1]Parametros!$B$4*MIN(U16,AB16))),MAX(0.062*SQRT([1]Parametros!$B$2)*H16/[1]Parametros!$B$4,0.35*H16/[1]Parametros!$B$4))</f>
        <v>0.375</v>
      </c>
      <c r="BD16" s="13">
        <f t="shared" si="9"/>
        <v>0.27601141208682867</v>
      </c>
      <c r="BE16" s="13">
        <f t="shared" si="10"/>
        <v>1.1833333333333333</v>
      </c>
      <c r="BF16" s="13">
        <f>SQRT((AI16*1000/(H16*MIN(U16,AB16)))^2+(Q16*1000000*2*((H16-2*([1]Parametros!$B$7+[1]Parametros!$B$9/2))+(I16-2*([1]Parametros!$B$7+[1]Parametros!$B$9/2)))/(1.7*((H16-2*([1]Parametros!$B$7+[1]Parametros!$B$9/2))*(I16-2*([1]Parametros!$B$7+[1]Parametros!$B$9/2)))^2))^2)</f>
        <v>0.81496937559620963</v>
      </c>
      <c r="BG16" s="13">
        <f>[1]Parametros!$B$6*(AJ16*1000/(H16*MIN(U16,AB16))+0.66*SQRT([1]Parametros!$B$2))</f>
        <v>3.2939603822754151</v>
      </c>
      <c r="BH16" s="13" t="str">
        <f t="shared" si="11"/>
        <v>CUMPLE</v>
      </c>
      <c r="BI16" s="13">
        <f>AX16*[1]Parametros!$B$8</f>
        <v>1592</v>
      </c>
      <c r="BJ16" s="15" t="str">
        <f t="shared" si="12"/>
        <v>CUMPLE</v>
      </c>
    </row>
    <row r="17" spans="1:62" x14ac:dyDescent="0.3">
      <c r="A17" s="39" t="s">
        <v>63</v>
      </c>
      <c r="B17" s="40">
        <v>179</v>
      </c>
      <c r="C17" s="13">
        <v>1</v>
      </c>
      <c r="D17" s="13">
        <v>3.15</v>
      </c>
      <c r="E17" s="13">
        <v>3.15</v>
      </c>
      <c r="F17" s="13">
        <v>450</v>
      </c>
      <c r="G17" s="13">
        <v>550</v>
      </c>
      <c r="H17" s="13">
        <v>450</v>
      </c>
      <c r="I17" s="13">
        <v>550</v>
      </c>
      <c r="J17" s="14">
        <v>33.207999999999998</v>
      </c>
      <c r="K17" s="13">
        <v>179</v>
      </c>
      <c r="L17" s="14">
        <v>20.638000000000002</v>
      </c>
      <c r="M17" s="13">
        <v>179</v>
      </c>
      <c r="N17" s="14">
        <v>27.306000000000001</v>
      </c>
      <c r="O17" s="14">
        <v>72.906999999999996</v>
      </c>
      <c r="P17" s="13">
        <v>179</v>
      </c>
      <c r="Q17" s="14">
        <v>12.074999999999999</v>
      </c>
      <c r="R17" s="13">
        <f>MAX(MAX(1.4/[1]Parametros!$B$3,0.25*SQRT([1]Parametros!$B$2)/[1]Parametros!$B$3)*H17*U17,(0.85*[1]Parametros!$B$2/[1]Parametros!$B$3)*(1-SQRT(1-2*(J17*1000000/([1]Parametros!$B$5*H17*U17^2))/(0.85*[1]Parametros!$B$2)))*H17*U17)</f>
        <v>734.02500000000009</v>
      </c>
      <c r="S17" s="14">
        <v>4</v>
      </c>
      <c r="T17" s="14">
        <v>1</v>
      </c>
      <c r="U17" s="13">
        <f>IF(T17=1,I17-([1]Parametros!$B$7+[1]Parametros!$B$9+[1]Parametros!$B$12/2),I17-(ROUNDUP(S17/2,0)*([1]Parametros!$B$7+[1]Parametros!$B$9+[1]Parametros!$B$12/2)+ROUNDDOWN(S17/2,0)*([1]Parametros!$B$7+[1]Parametros!$B$9+[1]Parametros!$B$12/2+[1]Parametros!$B$12+[1]Parametros!$B$10))/S17)</f>
        <v>489.35</v>
      </c>
      <c r="V17" s="13">
        <f>S17*[1]Parametros!$B$8</f>
        <v>796</v>
      </c>
      <c r="W17" s="13">
        <f>[1]Parametros!$B$5*V17*[1]Parametros!$B$3*(U17-(V17*[1]Parametros!$B$3/(0.85*[1]Parametros!$B$2*H17))/2)/1000000</f>
        <v>142.54333009411764</v>
      </c>
      <c r="X17" s="13" t="str">
        <f t="shared" si="0"/>
        <v>CUMPLE</v>
      </c>
      <c r="Y17" s="13">
        <f>MAX(MAX(1.4/[1]Parametros!$B$3,0.25*SQRT([1]Parametros!$B$2)/[1]Parametros!$B$3)*H17*AB17,(0.85*[1]Parametros!$B$2/[1]Parametros!$B$3)*(1-SQRT(1-2*(L17*1000000/([1]Parametros!$B$5*H17*AB17^2))/(0.85*[1]Parametros!$B$2)))*H17*AB17)</f>
        <v>734.02500000000009</v>
      </c>
      <c r="Z17" s="14">
        <v>4</v>
      </c>
      <c r="AA17" s="14">
        <v>1</v>
      </c>
      <c r="AB17" s="13">
        <f>IF(AA17=1,I17-([1]Parametros!$B$7+[1]Parametros!$B$9+[1]Parametros!$B$12/2),I17-(ROUNDUP(Z17/2,0)*([1]Parametros!$B$7+[1]Parametros!$B$9+[1]Parametros!$B$12/2)+ROUNDDOWN(Z17/2,0)*([1]Parametros!$B$7+[1]Parametros!$B$9+[1]Parametros!$B$12/2+[1]Parametros!$B$12+[1]Parametros!$B$10))/Z17)</f>
        <v>489.35</v>
      </c>
      <c r="AC17" s="13">
        <f>Z17*[1]Parametros!$B$8</f>
        <v>796</v>
      </c>
      <c r="AD17" s="13">
        <f>[1]Parametros!$B$5*AC17*[1]Parametros!$B$3*(AB17-(AC17*[1]Parametros!$B$3/(0.85*[1]Parametros!$B$2*H17))/2)/1000000</f>
        <v>142.54333009411764</v>
      </c>
      <c r="AE17" s="13" t="str">
        <f t="shared" si="1"/>
        <v>CUMPLE</v>
      </c>
      <c r="AF17" s="13">
        <f>V17*1.25*[1]Parametros!$B$3*(U17-(V17*1.25*[1]Parametros!$B$3/(0.85*[1]Parametros!$B$2*H17))/2)/1000000</f>
        <v>196.34621794117646</v>
      </c>
      <c r="AG17" s="13">
        <f>AC17*1.25*[1]Parametros!$B$3*(AB17-(AC17*1.25*[1]Parametros!$B$3/(0.85*[1]Parametros!$B$2*H17))/2)/1000000</f>
        <v>196.34621794117646</v>
      </c>
      <c r="AH17" s="13">
        <f t="shared" si="2"/>
        <v>151.97026535947714</v>
      </c>
      <c r="AI17" s="13">
        <f t="shared" si="3"/>
        <v>151.97026535947714</v>
      </c>
      <c r="AJ17" s="13">
        <f>0.17*SQRT([1]Parametros!$B$2)*H17*MIN(U17,AB17)/1000</f>
        <v>198.08885582262698</v>
      </c>
      <c r="AK17" s="13">
        <f>MAX(AI17/[1]Parametros!$B$6-AJ17,0)</f>
        <v>4.5381646566758604</v>
      </c>
      <c r="AL17" s="13">
        <f>0.66*SQRT([1]Parametros!$B$2)*H17*MIN(U17,AB17)/1000</f>
        <v>769.05085201725785</v>
      </c>
      <c r="AM17" s="13" t="str">
        <f t="shared" si="4"/>
        <v>CUMPLE</v>
      </c>
      <c r="AN17" s="13" t="s">
        <v>64</v>
      </c>
      <c r="AO17" s="14">
        <v>2</v>
      </c>
      <c r="AP17" s="13">
        <f>ROUNDDOWN(MIN(IF(BC17+BD17=0,1000000000,AO17*BB17/(BC17+BD17)),MIN(U17,AB17)/4,8*[1]Parametros!$B$12,24*BA17,300,IF(AV17=0,1000000000,2*((H17-2*([1]Parametros!$B$7+[1]Parametros!$B$9/2))+(I17-2*([1]Parametros!$B$7+[1]Parametros!$B$9/2)))/8))/10,0)*10</f>
        <v>120</v>
      </c>
      <c r="AQ17" s="13">
        <f>ROUNDDOWN(MIN(IF(BC17+BD17=0,1000000000,AO17*BB17/(BC17+BD17)),IF(AK17&gt;0.33*SQRT([1]Parametros!$B$2)*H17*MIN(U17,AB17)/1000,MIN(U17,AB17)/4,MIN(U17,AB17)/2),600,IF(AV17=0,1000000000,2*((H17-2*([1]Parametros!$B$7+[1]Parametros!$B$9/2))+(I17-2*([1]Parametros!$B$7+[1]Parametros!$B$9/2)))/8))/10,0)*10</f>
        <v>200</v>
      </c>
      <c r="AR17" s="13">
        <f>[1]Parametros!$B$6*(AJ17+MAX(BE17-BD17,0)*[1]Parametros!$B$4*MIN(U17,AB17)/1000)</f>
        <v>288.42635859164329</v>
      </c>
      <c r="AS17" s="13" t="str">
        <f t="shared" si="5"/>
        <v>CUMPLE</v>
      </c>
      <c r="AT17" s="13">
        <f>[1]Parametros!$B$6*0.083*SQRT([1]Parametros!$B$2)*(H17*I17)^2/(2*(H17+I17))/1000000</f>
        <v>10.08878303333792</v>
      </c>
      <c r="AU17" s="13" t="str">
        <f t="shared" si="6"/>
        <v>DISEÑAR</v>
      </c>
      <c r="AV17" s="13">
        <f>IF(Q17&lt;=AT17,0,Q17*1000000/([1]Parametros!$B$6*2*0.85*(H17-2*([1]Parametros!$B$7+[1]Parametros!$B$9/2))*(I17-2*([1]Parametros!$B$7+[1]Parametros!$B$9/2))*[1]Parametros!$B$4))</f>
        <v>0.13800456314848142</v>
      </c>
      <c r="AW17" s="13">
        <f>AV17*2*((H17-2*([1]Parametros!$B$7+[1]Parametros!$B$9/2))+(I17-2*([1]Parametros!$B$7+[1]Parametros!$B$9/2)))*[1]Parametros!$B$4/[1]Parametros!$B$3</f>
        <v>224.83703428150594</v>
      </c>
      <c r="AX17" s="14">
        <v>8</v>
      </c>
      <c r="AY17" s="13" t="str">
        <f t="shared" si="7"/>
        <v>CUMPLE</v>
      </c>
      <c r="AZ17" s="13" t="str">
        <f t="shared" si="8"/>
        <v>CUMPLE</v>
      </c>
      <c r="BA17" s="14">
        <v>9.5</v>
      </c>
      <c r="BB17" s="14">
        <v>71</v>
      </c>
      <c r="BC17" s="13">
        <f>MAX(IF(AK17=0,0,AK17*1000/([1]Parametros!$B$4*MIN(U17,AB17))),MAX(0.062*SQRT([1]Parametros!$B$2)*H17/[1]Parametros!$B$4,0.35*H17/[1]Parametros!$B$4))</f>
        <v>0.375</v>
      </c>
      <c r="BD17" s="13">
        <f t="shared" si="9"/>
        <v>0.27600912629696284</v>
      </c>
      <c r="BE17" s="13">
        <f t="shared" si="10"/>
        <v>1.1833333333333333</v>
      </c>
      <c r="BF17" s="13">
        <f>SQRT((AI17*1000/(H17*MIN(U17,AB17)))^2+(Q17*1000000*2*((H17-2*([1]Parametros!$B$7+[1]Parametros!$B$9/2))+(I17-2*([1]Parametros!$B$7+[1]Parametros!$B$9/2)))/(1.7*((H17-2*([1]Parametros!$B$7+[1]Parametros!$B$9/2))*(I17-2*([1]Parametros!$B$7+[1]Parametros!$B$9/2)))^2))^2)</f>
        <v>0.81495592961801322</v>
      </c>
      <c r="BG17" s="13">
        <f>[1]Parametros!$B$6*(AJ17*1000/(H17*MIN(U17,AB17))+0.66*SQRT([1]Parametros!$B$2))</f>
        <v>3.2939603822754151</v>
      </c>
      <c r="BH17" s="13" t="str">
        <f t="shared" si="11"/>
        <v>CUMPLE</v>
      </c>
      <c r="BI17" s="13">
        <f>AX17*[1]Parametros!$B$8</f>
        <v>1592</v>
      </c>
      <c r="BJ17" s="15" t="str">
        <f t="shared" si="12"/>
        <v>CUMPLE</v>
      </c>
    </row>
    <row r="18" spans="1:62" x14ac:dyDescent="0.3">
      <c r="A18" s="39" t="s">
        <v>63</v>
      </c>
      <c r="B18" s="40">
        <v>183</v>
      </c>
      <c r="C18" s="13">
        <v>1</v>
      </c>
      <c r="D18" s="13">
        <v>3.15</v>
      </c>
      <c r="E18" s="13">
        <v>3.15</v>
      </c>
      <c r="F18" s="13">
        <v>450</v>
      </c>
      <c r="G18" s="13">
        <v>550</v>
      </c>
      <c r="H18" s="13">
        <v>450</v>
      </c>
      <c r="I18" s="13">
        <v>550</v>
      </c>
      <c r="J18" s="14">
        <v>27.9603</v>
      </c>
      <c r="K18" s="13">
        <v>183</v>
      </c>
      <c r="L18" s="14">
        <v>18.2957</v>
      </c>
      <c r="M18" s="13">
        <v>183</v>
      </c>
      <c r="N18" s="14">
        <v>25.457000000000001</v>
      </c>
      <c r="O18" s="14">
        <v>61.161000000000001</v>
      </c>
      <c r="P18" s="13">
        <v>183</v>
      </c>
      <c r="Q18" s="14">
        <v>9.9230999999999998</v>
      </c>
      <c r="R18" s="13">
        <f>MAX(MAX(1.4/[1]Parametros!$B$3,0.25*SQRT([1]Parametros!$B$2)/[1]Parametros!$B$3)*H18*U18,(0.85*[1]Parametros!$B$2/[1]Parametros!$B$3)*(1-SQRT(1-2*(J18*1000000/([1]Parametros!$B$5*H18*U18^2))/(0.85*[1]Parametros!$B$2)))*H18*U18)</f>
        <v>734.02500000000009</v>
      </c>
      <c r="S18" s="14">
        <v>4</v>
      </c>
      <c r="T18" s="14">
        <v>1</v>
      </c>
      <c r="U18" s="13">
        <f>IF(T18=1,I18-([1]Parametros!$B$7+[1]Parametros!$B$9+[1]Parametros!$B$12/2),I18-(ROUNDUP(S18/2,0)*([1]Parametros!$B$7+[1]Parametros!$B$9+[1]Parametros!$B$12/2)+ROUNDDOWN(S18/2,0)*([1]Parametros!$B$7+[1]Parametros!$B$9+[1]Parametros!$B$12/2+[1]Parametros!$B$12+[1]Parametros!$B$10))/S18)</f>
        <v>489.35</v>
      </c>
      <c r="V18" s="13">
        <f>S18*[1]Parametros!$B$8</f>
        <v>796</v>
      </c>
      <c r="W18" s="13">
        <f>[1]Parametros!$B$5*V18*[1]Parametros!$B$3*(U18-(V18*[1]Parametros!$B$3/(0.85*[1]Parametros!$B$2*H18))/2)/1000000</f>
        <v>142.54333009411764</v>
      </c>
      <c r="X18" s="13" t="str">
        <f t="shared" si="0"/>
        <v>CUMPLE</v>
      </c>
      <c r="Y18" s="13">
        <f>MAX(MAX(1.4/[1]Parametros!$B$3,0.25*SQRT([1]Parametros!$B$2)/[1]Parametros!$B$3)*H18*AB18,(0.85*[1]Parametros!$B$2/[1]Parametros!$B$3)*(1-SQRT(1-2*(L18*1000000/([1]Parametros!$B$5*H18*AB18^2))/(0.85*[1]Parametros!$B$2)))*H18*AB18)</f>
        <v>734.02500000000009</v>
      </c>
      <c r="Z18" s="14">
        <v>4</v>
      </c>
      <c r="AA18" s="14">
        <v>1</v>
      </c>
      <c r="AB18" s="13">
        <f>IF(AA18=1,I18-([1]Parametros!$B$7+[1]Parametros!$B$9+[1]Parametros!$B$12/2),I18-(ROUNDUP(Z18/2,0)*([1]Parametros!$B$7+[1]Parametros!$B$9+[1]Parametros!$B$12/2)+ROUNDDOWN(Z18/2,0)*([1]Parametros!$B$7+[1]Parametros!$B$9+[1]Parametros!$B$12/2+[1]Parametros!$B$12+[1]Parametros!$B$10))/Z18)</f>
        <v>489.35</v>
      </c>
      <c r="AC18" s="13">
        <f>Z18*[1]Parametros!$B$8</f>
        <v>796</v>
      </c>
      <c r="AD18" s="13">
        <f>[1]Parametros!$B$5*AC18*[1]Parametros!$B$3*(AB18-(AC18*[1]Parametros!$B$3/(0.85*[1]Parametros!$B$2*H18))/2)/1000000</f>
        <v>142.54333009411764</v>
      </c>
      <c r="AE18" s="13" t="str">
        <f t="shared" si="1"/>
        <v>CUMPLE</v>
      </c>
      <c r="AF18" s="13">
        <f>V18*1.25*[1]Parametros!$B$3*(U18-(V18*1.25*[1]Parametros!$B$3/(0.85*[1]Parametros!$B$2*H18))/2)/1000000</f>
        <v>196.34621794117646</v>
      </c>
      <c r="AG18" s="13">
        <f>AC18*1.25*[1]Parametros!$B$3*(AB18-(AC18*1.25*[1]Parametros!$B$3/(0.85*[1]Parametros!$B$2*H18))/2)/1000000</f>
        <v>196.34621794117646</v>
      </c>
      <c r="AH18" s="13">
        <f t="shared" si="2"/>
        <v>150.12126535947712</v>
      </c>
      <c r="AI18" s="13">
        <f t="shared" si="3"/>
        <v>150.12126535947712</v>
      </c>
      <c r="AJ18" s="13">
        <f>0.17*SQRT([1]Parametros!$B$2)*H18*MIN(U18,AB18)/1000</f>
        <v>198.08885582262698</v>
      </c>
      <c r="AK18" s="13">
        <f>MAX(AI18/[1]Parametros!$B$6-AJ18,0)</f>
        <v>2.0728313233425126</v>
      </c>
      <c r="AL18" s="13">
        <f>0.66*SQRT([1]Parametros!$B$2)*H18*MIN(U18,AB18)/1000</f>
        <v>769.05085201725785</v>
      </c>
      <c r="AM18" s="13" t="str">
        <f t="shared" si="4"/>
        <v>CUMPLE</v>
      </c>
      <c r="AN18" s="13" t="s">
        <v>64</v>
      </c>
      <c r="AO18" s="14">
        <v>2</v>
      </c>
      <c r="AP18" s="13">
        <f>ROUNDDOWN(MIN(IF(BC18+BD18=0,1000000000,AO18*BB18/(BC18+BD18)),MIN(U18,AB18)/4,8*[1]Parametros!$B$12,24*BA18,300,IF(AV18=0,1000000000,2*((H18-2*([1]Parametros!$B$7+[1]Parametros!$B$9/2))+(I18-2*([1]Parametros!$B$7+[1]Parametros!$B$9/2)))/8))/10,0)*10</f>
        <v>120</v>
      </c>
      <c r="AQ18" s="13">
        <f>ROUNDDOWN(MIN(IF(BC18+BD18=0,1000000000,AO18*BB18/(BC18+BD18)),IF(AK18&gt;0.33*SQRT([1]Parametros!$B$2)*H18*MIN(U18,AB18)/1000,MIN(U18,AB18)/4,MIN(U18,AB18)/2),600,IF(AV18=0,1000000000,2*((H18-2*([1]Parametros!$B$7+[1]Parametros!$B$9/2))+(I18-2*([1]Parametros!$B$7+[1]Parametros!$B$9/2)))/8))/10,0)*10</f>
        <v>240</v>
      </c>
      <c r="AR18" s="13">
        <f>[1]Parametros!$B$6*(AJ18+MAX(BE18-BD18,0)*[1]Parametros!$B$4*MIN(U18,AB18)/1000)</f>
        <v>330.97185436697026</v>
      </c>
      <c r="AS18" s="13" t="str">
        <f t="shared" si="5"/>
        <v>CUMPLE</v>
      </c>
      <c r="AT18" s="13">
        <f>[1]Parametros!$B$6*0.083*SQRT([1]Parametros!$B$2)*(H18*I18)^2/(2*(H18+I18))/1000000</f>
        <v>10.08878303333792</v>
      </c>
      <c r="AU18" s="13" t="str">
        <f t="shared" si="6"/>
        <v>DESPRECIABLE</v>
      </c>
      <c r="AV18" s="13">
        <f>IF(Q18&lt;=AT18,0,Q18*1000000/([1]Parametros!$B$6*2*0.85*(H18-2*([1]Parametros!$B$7+[1]Parametros!$B$9/2))*(I18-2*([1]Parametros!$B$7+[1]Parametros!$B$9/2))*[1]Parametros!$B$4))</f>
        <v>0</v>
      </c>
      <c r="AW18" s="13">
        <f>AV18*2*((H18-2*([1]Parametros!$B$7+[1]Parametros!$B$9/2))+(I18-2*([1]Parametros!$B$7+[1]Parametros!$B$9/2)))*[1]Parametros!$B$4/[1]Parametros!$B$3</f>
        <v>0</v>
      </c>
      <c r="AX18" s="14">
        <v>0</v>
      </c>
      <c r="AY18" s="13" t="str">
        <f t="shared" si="7"/>
        <v>DESPRECIABLE</v>
      </c>
      <c r="AZ18" s="13" t="str">
        <f t="shared" si="8"/>
        <v>CUMPLE</v>
      </c>
      <c r="BA18" s="14">
        <v>9.5</v>
      </c>
      <c r="BB18" s="14">
        <v>71</v>
      </c>
      <c r="BC18" s="13">
        <f>MAX(IF(AK18=0,0,AK18*1000/([1]Parametros!$B$4*MIN(U18,AB18))),MAX(0.062*SQRT([1]Parametros!$B$2)*H18/[1]Parametros!$B$4,0.35*H18/[1]Parametros!$B$4))</f>
        <v>0.375</v>
      </c>
      <c r="BD18" s="13">
        <f t="shared" si="9"/>
        <v>0</v>
      </c>
      <c r="BE18" s="13">
        <f t="shared" si="10"/>
        <v>1.1833333333333333</v>
      </c>
      <c r="BF18" s="13">
        <f>SQRT((AI18*1000/(H18*MIN(U18,AB18)))^2+(Q18*1000000*2*((H18-2*([1]Parametros!$B$7+[1]Parametros!$B$9/2))+(I18-2*([1]Parametros!$B$7+[1]Parametros!$B$9/2)))/(1.7*((H18-2*([1]Parametros!$B$7+[1]Parametros!$B$9/2))*(I18-2*([1]Parametros!$B$7+[1]Parametros!$B$9/2)))^2))^2)</f>
        <v>0.76917842729257624</v>
      </c>
      <c r="BG18" s="13">
        <f>[1]Parametros!$B$6*(AJ18*1000/(H18*MIN(U18,AB18))+0.66*SQRT([1]Parametros!$B$2))</f>
        <v>3.2939603822754151</v>
      </c>
      <c r="BH18" s="13" t="str">
        <f t="shared" si="11"/>
        <v>CUMPLE</v>
      </c>
      <c r="BI18" s="13">
        <f>AX18*[1]Parametros!$B$8</f>
        <v>0</v>
      </c>
      <c r="BJ18" s="15" t="str">
        <f t="shared" si="12"/>
        <v>CUMPLE</v>
      </c>
    </row>
    <row r="19" spans="1:62" x14ac:dyDescent="0.3">
      <c r="A19" s="39" t="s">
        <v>63</v>
      </c>
      <c r="B19" s="40">
        <v>184</v>
      </c>
      <c r="C19" s="13">
        <v>1</v>
      </c>
      <c r="D19" s="13">
        <v>3.15</v>
      </c>
      <c r="E19" s="13">
        <v>3.15</v>
      </c>
      <c r="F19" s="13">
        <v>450</v>
      </c>
      <c r="G19" s="13">
        <v>550</v>
      </c>
      <c r="H19" s="13">
        <v>450</v>
      </c>
      <c r="I19" s="13">
        <v>550</v>
      </c>
      <c r="J19" s="14">
        <v>27.9542</v>
      </c>
      <c r="K19" s="13">
        <v>184</v>
      </c>
      <c r="L19" s="14">
        <v>18.291399999999999</v>
      </c>
      <c r="M19" s="13">
        <v>184</v>
      </c>
      <c r="N19" s="14">
        <v>25.454000000000001</v>
      </c>
      <c r="O19" s="14">
        <v>61.158999999999999</v>
      </c>
      <c r="P19" s="13">
        <v>184</v>
      </c>
      <c r="Q19" s="14">
        <v>9.9228000000000005</v>
      </c>
      <c r="R19" s="13">
        <f>MAX(MAX(1.4/[1]Parametros!$B$3,0.25*SQRT([1]Parametros!$B$2)/[1]Parametros!$B$3)*H19*U19,(0.85*[1]Parametros!$B$2/[1]Parametros!$B$3)*(1-SQRT(1-2*(J19*1000000/([1]Parametros!$B$5*H19*U19^2))/(0.85*[1]Parametros!$B$2)))*H19*U19)</f>
        <v>734.02500000000009</v>
      </c>
      <c r="S19" s="14">
        <v>4</v>
      </c>
      <c r="T19" s="14">
        <v>1</v>
      </c>
      <c r="U19" s="13">
        <f>IF(T19=1,I19-([1]Parametros!$B$7+[1]Parametros!$B$9+[1]Parametros!$B$12/2),I19-(ROUNDUP(S19/2,0)*([1]Parametros!$B$7+[1]Parametros!$B$9+[1]Parametros!$B$12/2)+ROUNDDOWN(S19/2,0)*([1]Parametros!$B$7+[1]Parametros!$B$9+[1]Parametros!$B$12/2+[1]Parametros!$B$12+[1]Parametros!$B$10))/S19)</f>
        <v>489.35</v>
      </c>
      <c r="V19" s="13">
        <f>S19*[1]Parametros!$B$8</f>
        <v>796</v>
      </c>
      <c r="W19" s="13">
        <f>[1]Parametros!$B$5*V19*[1]Parametros!$B$3*(U19-(V19*[1]Parametros!$B$3/(0.85*[1]Parametros!$B$2*H19))/2)/1000000</f>
        <v>142.54333009411764</v>
      </c>
      <c r="X19" s="13" t="str">
        <f t="shared" si="0"/>
        <v>CUMPLE</v>
      </c>
      <c r="Y19" s="13">
        <f>MAX(MAX(1.4/[1]Parametros!$B$3,0.25*SQRT([1]Parametros!$B$2)/[1]Parametros!$B$3)*H19*AB19,(0.85*[1]Parametros!$B$2/[1]Parametros!$B$3)*(1-SQRT(1-2*(L19*1000000/([1]Parametros!$B$5*H19*AB19^2))/(0.85*[1]Parametros!$B$2)))*H19*AB19)</f>
        <v>734.02500000000009</v>
      </c>
      <c r="Z19" s="14">
        <v>4</v>
      </c>
      <c r="AA19" s="14">
        <v>1</v>
      </c>
      <c r="AB19" s="13">
        <f>IF(AA19=1,I19-([1]Parametros!$B$7+[1]Parametros!$B$9+[1]Parametros!$B$12/2),I19-(ROUNDUP(Z19/2,0)*([1]Parametros!$B$7+[1]Parametros!$B$9+[1]Parametros!$B$12/2)+ROUNDDOWN(Z19/2,0)*([1]Parametros!$B$7+[1]Parametros!$B$9+[1]Parametros!$B$12/2+[1]Parametros!$B$12+[1]Parametros!$B$10))/Z19)</f>
        <v>489.35</v>
      </c>
      <c r="AC19" s="13">
        <f>Z19*[1]Parametros!$B$8</f>
        <v>796</v>
      </c>
      <c r="AD19" s="13">
        <f>[1]Parametros!$B$5*AC19*[1]Parametros!$B$3*(AB19-(AC19*[1]Parametros!$B$3/(0.85*[1]Parametros!$B$2*H19))/2)/1000000</f>
        <v>142.54333009411764</v>
      </c>
      <c r="AE19" s="13" t="str">
        <f t="shared" si="1"/>
        <v>CUMPLE</v>
      </c>
      <c r="AF19" s="13">
        <f>V19*1.25*[1]Parametros!$B$3*(U19-(V19*1.25*[1]Parametros!$B$3/(0.85*[1]Parametros!$B$2*H19))/2)/1000000</f>
        <v>196.34621794117646</v>
      </c>
      <c r="AG19" s="13">
        <f>AC19*1.25*[1]Parametros!$B$3*(AB19-(AC19*1.25*[1]Parametros!$B$3/(0.85*[1]Parametros!$B$2*H19))/2)/1000000</f>
        <v>196.34621794117646</v>
      </c>
      <c r="AH19" s="13">
        <f t="shared" si="2"/>
        <v>150.11826535947714</v>
      </c>
      <c r="AI19" s="13">
        <f t="shared" si="3"/>
        <v>150.11826535947714</v>
      </c>
      <c r="AJ19" s="13">
        <f>0.17*SQRT([1]Parametros!$B$2)*H19*MIN(U19,AB19)/1000</f>
        <v>198.08885582262698</v>
      </c>
      <c r="AK19" s="13">
        <f>MAX(AI19/[1]Parametros!$B$6-AJ19,0)</f>
        <v>2.068831323342522</v>
      </c>
      <c r="AL19" s="13">
        <f>0.66*SQRT([1]Parametros!$B$2)*H19*MIN(U19,AB19)/1000</f>
        <v>769.05085201725785</v>
      </c>
      <c r="AM19" s="13" t="str">
        <f t="shared" si="4"/>
        <v>CUMPLE</v>
      </c>
      <c r="AN19" s="13" t="s">
        <v>64</v>
      </c>
      <c r="AO19" s="14">
        <v>2</v>
      </c>
      <c r="AP19" s="13">
        <f>ROUNDDOWN(MIN(IF(BC19+BD19=0,1000000000,AO19*BB19/(BC19+BD19)),MIN(U19,AB19)/4,8*[1]Parametros!$B$12,24*BA19,300,IF(AV19=0,1000000000,2*((H19-2*([1]Parametros!$B$7+[1]Parametros!$B$9/2))+(I19-2*([1]Parametros!$B$7+[1]Parametros!$B$9/2)))/8))/10,0)*10</f>
        <v>120</v>
      </c>
      <c r="AQ19" s="13">
        <f>ROUNDDOWN(MIN(IF(BC19+BD19=0,1000000000,AO19*BB19/(BC19+BD19)),IF(AK19&gt;0.33*SQRT([1]Parametros!$B$2)*H19*MIN(U19,AB19)/1000,MIN(U19,AB19)/4,MIN(U19,AB19)/2),600,IF(AV19=0,1000000000,2*((H19-2*([1]Parametros!$B$7+[1]Parametros!$B$9/2))+(I19-2*([1]Parametros!$B$7+[1]Parametros!$B$9/2)))/8))/10,0)*10</f>
        <v>240</v>
      </c>
      <c r="AR19" s="13">
        <f>[1]Parametros!$B$6*(AJ19+MAX(BE19-BD19,0)*[1]Parametros!$B$4*MIN(U19,AB19)/1000)</f>
        <v>330.97185436697026</v>
      </c>
      <c r="AS19" s="13" t="str">
        <f t="shared" si="5"/>
        <v>CUMPLE</v>
      </c>
      <c r="AT19" s="13">
        <f>[1]Parametros!$B$6*0.083*SQRT([1]Parametros!$B$2)*(H19*I19)^2/(2*(H19+I19))/1000000</f>
        <v>10.08878303333792</v>
      </c>
      <c r="AU19" s="13" t="str">
        <f t="shared" si="6"/>
        <v>DESPRECIABLE</v>
      </c>
      <c r="AV19" s="13">
        <f>IF(Q19&lt;=AT19,0,Q19*1000000/([1]Parametros!$B$6*2*0.85*(H19-2*([1]Parametros!$B$7+[1]Parametros!$B$9/2))*(I19-2*([1]Parametros!$B$7+[1]Parametros!$B$9/2))*[1]Parametros!$B$4))</f>
        <v>0</v>
      </c>
      <c r="AW19" s="13">
        <f>AV19*2*((H19-2*([1]Parametros!$B$7+[1]Parametros!$B$9/2))+(I19-2*([1]Parametros!$B$7+[1]Parametros!$B$9/2)))*[1]Parametros!$B$4/[1]Parametros!$B$3</f>
        <v>0</v>
      </c>
      <c r="AX19" s="14">
        <v>0</v>
      </c>
      <c r="AY19" s="13" t="str">
        <f t="shared" si="7"/>
        <v>DESPRECIABLE</v>
      </c>
      <c r="AZ19" s="13" t="str">
        <f t="shared" si="8"/>
        <v>CUMPLE</v>
      </c>
      <c r="BA19" s="14">
        <v>9.5</v>
      </c>
      <c r="BB19" s="14">
        <v>71</v>
      </c>
      <c r="BC19" s="13">
        <f>MAX(IF(AK19=0,0,AK19*1000/([1]Parametros!$B$4*MIN(U19,AB19))),MAX(0.062*SQRT([1]Parametros!$B$2)*H19/[1]Parametros!$B$4,0.35*H19/[1]Parametros!$B$4))</f>
        <v>0.375</v>
      </c>
      <c r="BD19" s="13">
        <f t="shared" si="9"/>
        <v>0</v>
      </c>
      <c r="BE19" s="13">
        <f t="shared" si="10"/>
        <v>1.1833333333333333</v>
      </c>
      <c r="BF19" s="13">
        <f>SQRT((AI19*1000/(H19*MIN(U19,AB19)))^2+(Q19*1000000*2*((H19-2*([1]Parametros!$B$7+[1]Parametros!$B$9/2))+(I19-2*([1]Parametros!$B$7+[1]Parametros!$B$9/2)))/(1.7*((H19-2*([1]Parametros!$B$7+[1]Parametros!$B$9/2))*(I19-2*([1]Parametros!$B$7+[1]Parametros!$B$9/2)))^2))^2)</f>
        <v>0.7691613655291879</v>
      </c>
      <c r="BG19" s="13">
        <f>[1]Parametros!$B$6*(AJ19*1000/(H19*MIN(U19,AB19))+0.66*SQRT([1]Parametros!$B$2))</f>
        <v>3.2939603822754151</v>
      </c>
      <c r="BH19" s="13" t="str">
        <f t="shared" si="11"/>
        <v>CUMPLE</v>
      </c>
      <c r="BI19" s="13">
        <f>AX19*[1]Parametros!$B$8</f>
        <v>0</v>
      </c>
      <c r="BJ19" s="15" t="str">
        <f t="shared" si="12"/>
        <v>CUMPLE</v>
      </c>
    </row>
    <row r="20" spans="1:62" x14ac:dyDescent="0.3">
      <c r="A20" s="39" t="s">
        <v>63</v>
      </c>
      <c r="B20" s="40">
        <v>188</v>
      </c>
      <c r="C20" s="13">
        <v>1</v>
      </c>
      <c r="D20" s="13">
        <v>3.15</v>
      </c>
      <c r="E20" s="13">
        <v>3.15</v>
      </c>
      <c r="F20" s="13">
        <v>450</v>
      </c>
      <c r="G20" s="13">
        <v>550</v>
      </c>
      <c r="H20" s="13">
        <v>450</v>
      </c>
      <c r="I20" s="13">
        <v>550</v>
      </c>
      <c r="J20" s="14">
        <v>21.8979</v>
      </c>
      <c r="K20" s="13">
        <v>188</v>
      </c>
      <c r="L20" s="14">
        <v>16.900600000000001</v>
      </c>
      <c r="M20" s="13">
        <v>188</v>
      </c>
      <c r="N20" s="14">
        <v>23.306000000000001</v>
      </c>
      <c r="O20" s="14">
        <v>46.567999999999998</v>
      </c>
      <c r="P20" s="13">
        <v>188</v>
      </c>
      <c r="Q20" s="14">
        <v>7.6783999999999999</v>
      </c>
      <c r="R20" s="13">
        <f>MAX(MAX(1.4/[1]Parametros!$B$3,0.25*SQRT([1]Parametros!$B$2)/[1]Parametros!$B$3)*H20*U20,(0.85*[1]Parametros!$B$2/[1]Parametros!$B$3)*(1-SQRT(1-2*(J20*1000000/([1]Parametros!$B$5*H20*U20^2))/(0.85*[1]Parametros!$B$2)))*H20*U20)</f>
        <v>734.02500000000009</v>
      </c>
      <c r="S20" s="14">
        <v>4</v>
      </c>
      <c r="T20" s="14">
        <v>1</v>
      </c>
      <c r="U20" s="13">
        <f>IF(T20=1,I20-([1]Parametros!$B$7+[1]Parametros!$B$9+[1]Parametros!$B$12/2),I20-(ROUNDUP(S20/2,0)*([1]Parametros!$B$7+[1]Parametros!$B$9+[1]Parametros!$B$12/2)+ROUNDDOWN(S20/2,0)*([1]Parametros!$B$7+[1]Parametros!$B$9+[1]Parametros!$B$12/2+[1]Parametros!$B$12+[1]Parametros!$B$10))/S20)</f>
        <v>489.35</v>
      </c>
      <c r="V20" s="13">
        <f>S20*[1]Parametros!$B$8</f>
        <v>796</v>
      </c>
      <c r="W20" s="13">
        <f>[1]Parametros!$B$5*V20*[1]Parametros!$B$3*(U20-(V20*[1]Parametros!$B$3/(0.85*[1]Parametros!$B$2*H20))/2)/1000000</f>
        <v>142.54333009411764</v>
      </c>
      <c r="X20" s="13" t="str">
        <f t="shared" si="0"/>
        <v>CUMPLE</v>
      </c>
      <c r="Y20" s="13">
        <f>MAX(MAX(1.4/[1]Parametros!$B$3,0.25*SQRT([1]Parametros!$B$2)/[1]Parametros!$B$3)*H20*AB20,(0.85*[1]Parametros!$B$2/[1]Parametros!$B$3)*(1-SQRT(1-2*(L20*1000000/([1]Parametros!$B$5*H20*AB20^2))/(0.85*[1]Parametros!$B$2)))*H20*AB20)</f>
        <v>734.02500000000009</v>
      </c>
      <c r="Z20" s="14">
        <v>4</v>
      </c>
      <c r="AA20" s="14">
        <v>1</v>
      </c>
      <c r="AB20" s="13">
        <f>IF(AA20=1,I20-([1]Parametros!$B$7+[1]Parametros!$B$9+[1]Parametros!$B$12/2),I20-(ROUNDUP(Z20/2,0)*([1]Parametros!$B$7+[1]Parametros!$B$9+[1]Parametros!$B$12/2)+ROUNDDOWN(Z20/2,0)*([1]Parametros!$B$7+[1]Parametros!$B$9+[1]Parametros!$B$12/2+[1]Parametros!$B$12+[1]Parametros!$B$10))/Z20)</f>
        <v>489.35</v>
      </c>
      <c r="AC20" s="13">
        <f>Z20*[1]Parametros!$B$8</f>
        <v>796</v>
      </c>
      <c r="AD20" s="13">
        <f>[1]Parametros!$B$5*AC20*[1]Parametros!$B$3*(AB20-(AC20*[1]Parametros!$B$3/(0.85*[1]Parametros!$B$2*H20))/2)/1000000</f>
        <v>142.54333009411764</v>
      </c>
      <c r="AE20" s="13" t="str">
        <f t="shared" si="1"/>
        <v>CUMPLE</v>
      </c>
      <c r="AF20" s="13">
        <f>V20*1.25*[1]Parametros!$B$3*(U20-(V20*1.25*[1]Parametros!$B$3/(0.85*[1]Parametros!$B$2*H20))/2)/1000000</f>
        <v>196.34621794117646</v>
      </c>
      <c r="AG20" s="13">
        <f>AC20*1.25*[1]Parametros!$B$3*(AB20-(AC20*1.25*[1]Parametros!$B$3/(0.85*[1]Parametros!$B$2*H20))/2)/1000000</f>
        <v>196.34621794117646</v>
      </c>
      <c r="AH20" s="13">
        <f t="shared" si="2"/>
        <v>147.97026535947714</v>
      </c>
      <c r="AI20" s="13">
        <f t="shared" si="3"/>
        <v>147.97026535947714</v>
      </c>
      <c r="AJ20" s="13">
        <f>0.17*SQRT([1]Parametros!$B$2)*H20*MIN(U20,AB20)/1000</f>
        <v>198.08885582262698</v>
      </c>
      <c r="AK20" s="13">
        <f>MAX(AI20/[1]Parametros!$B$6-AJ20,0)</f>
        <v>0</v>
      </c>
      <c r="AL20" s="13">
        <f>0.66*SQRT([1]Parametros!$B$2)*H20*MIN(U20,AB20)/1000</f>
        <v>769.05085201725785</v>
      </c>
      <c r="AM20" s="13" t="str">
        <f t="shared" si="4"/>
        <v>CUMPLE</v>
      </c>
      <c r="AN20" s="13" t="s">
        <v>64</v>
      </c>
      <c r="AO20" s="14">
        <v>2</v>
      </c>
      <c r="AP20" s="13">
        <f>ROUNDDOWN(MIN(IF(BC20+BD20=0,1000000000,AO20*BB20/(BC20+BD20)),MIN(U20,AB20)/4,8*[1]Parametros!$B$12,24*BA20,300,IF(AV20=0,1000000000,2*((H20-2*([1]Parametros!$B$7+[1]Parametros!$B$9/2))+(I20-2*([1]Parametros!$B$7+[1]Parametros!$B$9/2)))/8))/10,0)*10</f>
        <v>120</v>
      </c>
      <c r="AQ20" s="13">
        <f>ROUNDDOWN(MIN(IF(BC20+BD20=0,1000000000,AO20*BB20/(BC20+BD20)),IF(AK20&gt;0.33*SQRT([1]Parametros!$B$2)*H20*MIN(U20,AB20)/1000,MIN(U20,AB20)/4,MIN(U20,AB20)/2),600,IF(AV20=0,1000000000,2*((H20-2*([1]Parametros!$B$7+[1]Parametros!$B$9/2))+(I20-2*([1]Parametros!$B$7+[1]Parametros!$B$9/2)))/8))/10,0)*10</f>
        <v>240</v>
      </c>
      <c r="AR20" s="13">
        <f>[1]Parametros!$B$6*(AJ20+MAX(BE20-BD20,0)*[1]Parametros!$B$4*MIN(U20,AB20)/1000)</f>
        <v>330.97185436697026</v>
      </c>
      <c r="AS20" s="13" t="str">
        <f t="shared" si="5"/>
        <v>CUMPLE</v>
      </c>
      <c r="AT20" s="13">
        <f>[1]Parametros!$B$6*0.083*SQRT([1]Parametros!$B$2)*(H20*I20)^2/(2*(H20+I20))/1000000</f>
        <v>10.08878303333792</v>
      </c>
      <c r="AU20" s="13" t="str">
        <f t="shared" si="6"/>
        <v>DESPRECIABLE</v>
      </c>
      <c r="AV20" s="13">
        <f>IF(Q20&lt;=AT20,0,Q20*1000000/([1]Parametros!$B$6*2*0.85*(H20-2*([1]Parametros!$B$7+[1]Parametros!$B$9/2))*(I20-2*([1]Parametros!$B$7+[1]Parametros!$B$9/2))*[1]Parametros!$B$4))</f>
        <v>0</v>
      </c>
      <c r="AW20" s="13">
        <f>AV20*2*((H20-2*([1]Parametros!$B$7+[1]Parametros!$B$9/2))+(I20-2*([1]Parametros!$B$7+[1]Parametros!$B$9/2)))*[1]Parametros!$B$4/[1]Parametros!$B$3</f>
        <v>0</v>
      </c>
      <c r="AX20" s="14">
        <v>0</v>
      </c>
      <c r="AY20" s="13" t="str">
        <f t="shared" si="7"/>
        <v>DESPRECIABLE</v>
      </c>
      <c r="AZ20" s="13" t="str">
        <f t="shared" si="8"/>
        <v>CUMPLE</v>
      </c>
      <c r="BA20" s="14">
        <v>9.5</v>
      </c>
      <c r="BB20" s="14">
        <v>71</v>
      </c>
      <c r="BC20" s="13">
        <f>MAX(IF(AK20=0,0,AK20*1000/([1]Parametros!$B$4*MIN(U20,AB20))),MAX(0.062*SQRT([1]Parametros!$B$2)*H20/[1]Parametros!$B$4,0.35*H20/[1]Parametros!$B$4))</f>
        <v>0.375</v>
      </c>
      <c r="BD20" s="13">
        <f t="shared" si="9"/>
        <v>0</v>
      </c>
      <c r="BE20" s="13">
        <f t="shared" si="10"/>
        <v>1.1833333333333333</v>
      </c>
      <c r="BF20" s="13">
        <f>SQRT((AI20*1000/(H20*MIN(U20,AB20)))^2+(Q20*1000000*2*((H20-2*([1]Parametros!$B$7+[1]Parametros!$B$9/2))+(I20-2*([1]Parametros!$B$7+[1]Parametros!$B$9/2)))/(1.7*((H20-2*([1]Parametros!$B$7+[1]Parametros!$B$9/2))*(I20-2*([1]Parametros!$B$7+[1]Parametros!$B$9/2)))^2))^2)</f>
        <v>0.72629219663156219</v>
      </c>
      <c r="BG20" s="13">
        <f>[1]Parametros!$B$6*(AJ20*1000/(H20*MIN(U20,AB20))+0.66*SQRT([1]Parametros!$B$2))</f>
        <v>3.2939603822754151</v>
      </c>
      <c r="BH20" s="13" t="str">
        <f t="shared" si="11"/>
        <v>CUMPLE</v>
      </c>
      <c r="BI20" s="13">
        <f>AX20*[1]Parametros!$B$8</f>
        <v>0</v>
      </c>
      <c r="BJ20" s="15" t="str">
        <f t="shared" si="12"/>
        <v>CUMPLE</v>
      </c>
    </row>
    <row r="21" spans="1:62" x14ac:dyDescent="0.3">
      <c r="A21" s="39" t="s">
        <v>63</v>
      </c>
      <c r="B21" s="40">
        <v>189</v>
      </c>
      <c r="C21" s="13">
        <v>1</v>
      </c>
      <c r="D21" s="13">
        <v>3.15</v>
      </c>
      <c r="E21" s="13">
        <v>3.15</v>
      </c>
      <c r="F21" s="13">
        <v>450</v>
      </c>
      <c r="G21" s="13">
        <v>550</v>
      </c>
      <c r="H21" s="13">
        <v>450</v>
      </c>
      <c r="I21" s="13">
        <v>550</v>
      </c>
      <c r="J21" s="14">
        <v>21.891200000000001</v>
      </c>
      <c r="K21" s="13">
        <v>189</v>
      </c>
      <c r="L21" s="14">
        <v>16.897400000000001</v>
      </c>
      <c r="M21" s="13">
        <v>189</v>
      </c>
      <c r="N21" s="14">
        <v>23.303000000000001</v>
      </c>
      <c r="O21" s="14">
        <v>46.564999999999998</v>
      </c>
      <c r="P21" s="13">
        <v>189</v>
      </c>
      <c r="Q21" s="14">
        <v>7.6780999999999997</v>
      </c>
      <c r="R21" s="13">
        <f>MAX(MAX(1.4/[1]Parametros!$B$3,0.25*SQRT([1]Parametros!$B$2)/[1]Parametros!$B$3)*H21*U21,(0.85*[1]Parametros!$B$2/[1]Parametros!$B$3)*(1-SQRT(1-2*(J21*1000000/([1]Parametros!$B$5*H21*U21^2))/(0.85*[1]Parametros!$B$2)))*H21*U21)</f>
        <v>734.02500000000009</v>
      </c>
      <c r="S21" s="14">
        <v>4</v>
      </c>
      <c r="T21" s="14">
        <v>1</v>
      </c>
      <c r="U21" s="13">
        <f>IF(T21=1,I21-([1]Parametros!$B$7+[1]Parametros!$B$9+[1]Parametros!$B$12/2),I21-(ROUNDUP(S21/2,0)*([1]Parametros!$B$7+[1]Parametros!$B$9+[1]Parametros!$B$12/2)+ROUNDDOWN(S21/2,0)*([1]Parametros!$B$7+[1]Parametros!$B$9+[1]Parametros!$B$12/2+[1]Parametros!$B$12+[1]Parametros!$B$10))/S21)</f>
        <v>489.35</v>
      </c>
      <c r="V21" s="13">
        <f>S21*[1]Parametros!$B$8</f>
        <v>796</v>
      </c>
      <c r="W21" s="13">
        <f>[1]Parametros!$B$5*V21*[1]Parametros!$B$3*(U21-(V21*[1]Parametros!$B$3/(0.85*[1]Parametros!$B$2*H21))/2)/1000000</f>
        <v>142.54333009411764</v>
      </c>
      <c r="X21" s="13" t="str">
        <f t="shared" si="0"/>
        <v>CUMPLE</v>
      </c>
      <c r="Y21" s="13">
        <f>MAX(MAX(1.4/[1]Parametros!$B$3,0.25*SQRT([1]Parametros!$B$2)/[1]Parametros!$B$3)*H21*AB21,(0.85*[1]Parametros!$B$2/[1]Parametros!$B$3)*(1-SQRT(1-2*(L21*1000000/([1]Parametros!$B$5*H21*AB21^2))/(0.85*[1]Parametros!$B$2)))*H21*AB21)</f>
        <v>734.02500000000009</v>
      </c>
      <c r="Z21" s="14">
        <v>4</v>
      </c>
      <c r="AA21" s="14">
        <v>1</v>
      </c>
      <c r="AB21" s="13">
        <f>IF(AA21=1,I21-([1]Parametros!$B$7+[1]Parametros!$B$9+[1]Parametros!$B$12/2),I21-(ROUNDUP(Z21/2,0)*([1]Parametros!$B$7+[1]Parametros!$B$9+[1]Parametros!$B$12/2)+ROUNDDOWN(Z21/2,0)*([1]Parametros!$B$7+[1]Parametros!$B$9+[1]Parametros!$B$12/2+[1]Parametros!$B$12+[1]Parametros!$B$10))/Z21)</f>
        <v>489.35</v>
      </c>
      <c r="AC21" s="13">
        <f>Z21*[1]Parametros!$B$8</f>
        <v>796</v>
      </c>
      <c r="AD21" s="13">
        <f>[1]Parametros!$B$5*AC21*[1]Parametros!$B$3*(AB21-(AC21*[1]Parametros!$B$3/(0.85*[1]Parametros!$B$2*H21))/2)/1000000</f>
        <v>142.54333009411764</v>
      </c>
      <c r="AE21" s="13" t="str">
        <f t="shared" si="1"/>
        <v>CUMPLE</v>
      </c>
      <c r="AF21" s="13">
        <f>V21*1.25*[1]Parametros!$B$3*(U21-(V21*1.25*[1]Parametros!$B$3/(0.85*[1]Parametros!$B$2*H21))/2)/1000000</f>
        <v>196.34621794117646</v>
      </c>
      <c r="AG21" s="13">
        <f>AC21*1.25*[1]Parametros!$B$3*(AB21-(AC21*1.25*[1]Parametros!$B$3/(0.85*[1]Parametros!$B$2*H21))/2)/1000000</f>
        <v>196.34621794117646</v>
      </c>
      <c r="AH21" s="13">
        <f t="shared" si="2"/>
        <v>147.96726535947712</v>
      </c>
      <c r="AI21" s="13">
        <f t="shared" si="3"/>
        <v>147.96726535947712</v>
      </c>
      <c r="AJ21" s="13">
        <f>0.17*SQRT([1]Parametros!$B$2)*H21*MIN(U21,AB21)/1000</f>
        <v>198.08885582262698</v>
      </c>
      <c r="AK21" s="13">
        <f>MAX(AI21/[1]Parametros!$B$6-AJ21,0)</f>
        <v>0</v>
      </c>
      <c r="AL21" s="13">
        <f>0.66*SQRT([1]Parametros!$B$2)*H21*MIN(U21,AB21)/1000</f>
        <v>769.05085201725785</v>
      </c>
      <c r="AM21" s="13" t="str">
        <f t="shared" si="4"/>
        <v>CUMPLE</v>
      </c>
      <c r="AN21" s="13" t="s">
        <v>64</v>
      </c>
      <c r="AO21" s="14">
        <v>2</v>
      </c>
      <c r="AP21" s="13">
        <f>ROUNDDOWN(MIN(IF(BC21+BD21=0,1000000000,AO21*BB21/(BC21+BD21)),MIN(U21,AB21)/4,8*[1]Parametros!$B$12,24*BA21,300,IF(AV21=0,1000000000,2*((H21-2*([1]Parametros!$B$7+[1]Parametros!$B$9/2))+(I21-2*([1]Parametros!$B$7+[1]Parametros!$B$9/2)))/8))/10,0)*10</f>
        <v>120</v>
      </c>
      <c r="AQ21" s="13">
        <f>ROUNDDOWN(MIN(IF(BC21+BD21=0,1000000000,AO21*BB21/(BC21+BD21)),IF(AK21&gt;0.33*SQRT([1]Parametros!$B$2)*H21*MIN(U21,AB21)/1000,MIN(U21,AB21)/4,MIN(U21,AB21)/2),600,IF(AV21=0,1000000000,2*((H21-2*([1]Parametros!$B$7+[1]Parametros!$B$9/2))+(I21-2*([1]Parametros!$B$7+[1]Parametros!$B$9/2)))/8))/10,0)*10</f>
        <v>240</v>
      </c>
      <c r="AR21" s="13">
        <f>[1]Parametros!$B$6*(AJ21+MAX(BE21-BD21,0)*[1]Parametros!$B$4*MIN(U21,AB21)/1000)</f>
        <v>330.97185436697026</v>
      </c>
      <c r="AS21" s="13" t="str">
        <f t="shared" si="5"/>
        <v>CUMPLE</v>
      </c>
      <c r="AT21" s="13">
        <f>[1]Parametros!$B$6*0.083*SQRT([1]Parametros!$B$2)*(H21*I21)^2/(2*(H21+I21))/1000000</f>
        <v>10.08878303333792</v>
      </c>
      <c r="AU21" s="13" t="str">
        <f t="shared" si="6"/>
        <v>DESPRECIABLE</v>
      </c>
      <c r="AV21" s="13">
        <f>IF(Q21&lt;=AT21,0,Q21*1000000/([1]Parametros!$B$6*2*0.85*(H21-2*([1]Parametros!$B$7+[1]Parametros!$B$9/2))*(I21-2*([1]Parametros!$B$7+[1]Parametros!$B$9/2))*[1]Parametros!$B$4))</f>
        <v>0</v>
      </c>
      <c r="AW21" s="13">
        <f>AV21*2*((H21-2*([1]Parametros!$B$7+[1]Parametros!$B$9/2))+(I21-2*([1]Parametros!$B$7+[1]Parametros!$B$9/2)))*[1]Parametros!$B$4/[1]Parametros!$B$3</f>
        <v>0</v>
      </c>
      <c r="AX21" s="14">
        <v>0</v>
      </c>
      <c r="AY21" s="13" t="str">
        <f t="shared" si="7"/>
        <v>DESPRECIABLE</v>
      </c>
      <c r="AZ21" s="13" t="str">
        <f t="shared" si="8"/>
        <v>CUMPLE</v>
      </c>
      <c r="BA21" s="14">
        <v>9.5</v>
      </c>
      <c r="BB21" s="14">
        <v>71</v>
      </c>
      <c r="BC21" s="13">
        <f>MAX(IF(AK21=0,0,AK21*1000/([1]Parametros!$B$4*MIN(U21,AB21))),MAX(0.062*SQRT([1]Parametros!$B$2)*H21/[1]Parametros!$B$4,0.35*H21/[1]Parametros!$B$4))</f>
        <v>0.375</v>
      </c>
      <c r="BD21" s="13">
        <f t="shared" si="9"/>
        <v>0</v>
      </c>
      <c r="BE21" s="13">
        <f t="shared" si="10"/>
        <v>1.1833333333333333</v>
      </c>
      <c r="BF21" s="13">
        <f>SQRT((AI21*1000/(H21*MIN(U21,AB21)))^2+(Q21*1000000*2*((H21-2*([1]Parametros!$B$7+[1]Parametros!$B$9/2))+(I21-2*([1]Parametros!$B$7+[1]Parametros!$B$9/2)))/(1.7*((H21-2*([1]Parametros!$B$7+[1]Parametros!$B$9/2))*(I21-2*([1]Parametros!$B$7+[1]Parametros!$B$9/2)))^2))^2)</f>
        <v>0.72627550540071284</v>
      </c>
      <c r="BG21" s="13">
        <f>[1]Parametros!$B$6*(AJ21*1000/(H21*MIN(U21,AB21))+0.66*SQRT([1]Parametros!$B$2))</f>
        <v>3.2939603822754151</v>
      </c>
      <c r="BH21" s="13" t="str">
        <f t="shared" si="11"/>
        <v>CUMPLE</v>
      </c>
      <c r="BI21" s="13">
        <f>AX21*[1]Parametros!$B$8</f>
        <v>0</v>
      </c>
      <c r="BJ21" s="15" t="str">
        <f t="shared" si="12"/>
        <v>CUMPLE</v>
      </c>
    </row>
    <row r="22" spans="1:62" x14ac:dyDescent="0.3">
      <c r="A22" s="39" t="s">
        <v>63</v>
      </c>
      <c r="B22" s="40">
        <v>193</v>
      </c>
      <c r="C22" s="13">
        <v>1</v>
      </c>
      <c r="D22" s="13">
        <v>3.15</v>
      </c>
      <c r="E22" s="13">
        <v>3.15</v>
      </c>
      <c r="F22" s="13">
        <v>450</v>
      </c>
      <c r="G22" s="13">
        <v>550</v>
      </c>
      <c r="H22" s="13">
        <v>450</v>
      </c>
      <c r="I22" s="13">
        <v>550</v>
      </c>
      <c r="J22" s="14">
        <v>12.9491</v>
      </c>
      <c r="K22" s="13">
        <v>193</v>
      </c>
      <c r="L22" s="14">
        <v>14.8504</v>
      </c>
      <c r="M22" s="13">
        <v>193</v>
      </c>
      <c r="N22" s="14">
        <v>19.649999999999999</v>
      </c>
      <c r="O22" s="14">
        <v>29.494</v>
      </c>
      <c r="P22" s="13">
        <v>193</v>
      </c>
      <c r="Q22" s="14">
        <v>5.3316999999999997</v>
      </c>
      <c r="R22" s="13">
        <f>MAX(MAX(1.4/[1]Parametros!$B$3,0.25*SQRT([1]Parametros!$B$2)/[1]Parametros!$B$3)*H22*U22,(0.85*[1]Parametros!$B$2/[1]Parametros!$B$3)*(1-SQRT(1-2*(J22*1000000/([1]Parametros!$B$5*H22*U22^2))/(0.85*[1]Parametros!$B$2)))*H22*U22)</f>
        <v>734.02500000000009</v>
      </c>
      <c r="S22" s="14">
        <v>4</v>
      </c>
      <c r="T22" s="14">
        <v>1</v>
      </c>
      <c r="U22" s="13">
        <f>IF(T22=1,I22-([1]Parametros!$B$7+[1]Parametros!$B$9+[1]Parametros!$B$12/2),I22-(ROUNDUP(S22/2,0)*([1]Parametros!$B$7+[1]Parametros!$B$9+[1]Parametros!$B$12/2)+ROUNDDOWN(S22/2,0)*([1]Parametros!$B$7+[1]Parametros!$B$9+[1]Parametros!$B$12/2+[1]Parametros!$B$12+[1]Parametros!$B$10))/S22)</f>
        <v>489.35</v>
      </c>
      <c r="V22" s="13">
        <f>S22*[1]Parametros!$B$8</f>
        <v>796</v>
      </c>
      <c r="W22" s="13">
        <f>[1]Parametros!$B$5*V22*[1]Parametros!$B$3*(U22-(V22*[1]Parametros!$B$3/(0.85*[1]Parametros!$B$2*H22))/2)/1000000</f>
        <v>142.54333009411764</v>
      </c>
      <c r="X22" s="13" t="str">
        <f t="shared" si="0"/>
        <v>CUMPLE</v>
      </c>
      <c r="Y22" s="13">
        <f>MAX(MAX(1.4/[1]Parametros!$B$3,0.25*SQRT([1]Parametros!$B$2)/[1]Parametros!$B$3)*H22*AB22,(0.85*[1]Parametros!$B$2/[1]Parametros!$B$3)*(1-SQRT(1-2*(L22*1000000/([1]Parametros!$B$5*H22*AB22^2))/(0.85*[1]Parametros!$B$2)))*H22*AB22)</f>
        <v>734.02500000000009</v>
      </c>
      <c r="Z22" s="14">
        <v>4</v>
      </c>
      <c r="AA22" s="14">
        <v>1</v>
      </c>
      <c r="AB22" s="13">
        <f>IF(AA22=1,I22-([1]Parametros!$B$7+[1]Parametros!$B$9+[1]Parametros!$B$12/2),I22-(ROUNDUP(Z22/2,0)*([1]Parametros!$B$7+[1]Parametros!$B$9+[1]Parametros!$B$12/2)+ROUNDDOWN(Z22/2,0)*([1]Parametros!$B$7+[1]Parametros!$B$9+[1]Parametros!$B$12/2+[1]Parametros!$B$12+[1]Parametros!$B$10))/Z22)</f>
        <v>489.35</v>
      </c>
      <c r="AC22" s="13">
        <f>Z22*[1]Parametros!$B$8</f>
        <v>796</v>
      </c>
      <c r="AD22" s="13">
        <f>[1]Parametros!$B$5*AC22*[1]Parametros!$B$3*(AB22-(AC22*[1]Parametros!$B$3/(0.85*[1]Parametros!$B$2*H22))/2)/1000000</f>
        <v>142.54333009411764</v>
      </c>
      <c r="AE22" s="13" t="str">
        <f t="shared" si="1"/>
        <v>CUMPLE</v>
      </c>
      <c r="AF22" s="13">
        <f>V22*1.25*[1]Parametros!$B$3*(U22-(V22*1.25*[1]Parametros!$B$3/(0.85*[1]Parametros!$B$2*H22))/2)/1000000</f>
        <v>196.34621794117646</v>
      </c>
      <c r="AG22" s="13">
        <f>AC22*1.25*[1]Parametros!$B$3*(AB22-(AC22*1.25*[1]Parametros!$B$3/(0.85*[1]Parametros!$B$2*H22))/2)/1000000</f>
        <v>196.34621794117646</v>
      </c>
      <c r="AH22" s="13">
        <f t="shared" si="2"/>
        <v>144.31426535947713</v>
      </c>
      <c r="AI22" s="13">
        <f t="shared" si="3"/>
        <v>144.31426535947713</v>
      </c>
      <c r="AJ22" s="13">
        <f>0.17*SQRT([1]Parametros!$B$2)*H22*MIN(U22,AB22)/1000</f>
        <v>198.08885582262698</v>
      </c>
      <c r="AK22" s="13">
        <f>MAX(AI22/[1]Parametros!$B$6-AJ22,0)</f>
        <v>0</v>
      </c>
      <c r="AL22" s="13">
        <f>0.66*SQRT([1]Parametros!$B$2)*H22*MIN(U22,AB22)/1000</f>
        <v>769.05085201725785</v>
      </c>
      <c r="AM22" s="13" t="str">
        <f t="shared" si="4"/>
        <v>CUMPLE</v>
      </c>
      <c r="AN22" s="13" t="s">
        <v>64</v>
      </c>
      <c r="AO22" s="14">
        <v>2</v>
      </c>
      <c r="AP22" s="13">
        <f>ROUNDDOWN(MIN(IF(BC22+BD22=0,1000000000,AO22*BB22/(BC22+BD22)),MIN(U22,AB22)/4,8*[1]Parametros!$B$12,24*BA22,300,IF(AV22=0,1000000000,2*((H22-2*([1]Parametros!$B$7+[1]Parametros!$B$9/2))+(I22-2*([1]Parametros!$B$7+[1]Parametros!$B$9/2)))/8))/10,0)*10</f>
        <v>120</v>
      </c>
      <c r="AQ22" s="13">
        <f>ROUNDDOWN(MIN(IF(BC22+BD22=0,1000000000,AO22*BB22/(BC22+BD22)),IF(AK22&gt;0.33*SQRT([1]Parametros!$B$2)*H22*MIN(U22,AB22)/1000,MIN(U22,AB22)/4,MIN(U22,AB22)/2),600,IF(AV22=0,1000000000,2*((H22-2*([1]Parametros!$B$7+[1]Parametros!$B$9/2))+(I22-2*([1]Parametros!$B$7+[1]Parametros!$B$9/2)))/8))/10,0)*10</f>
        <v>240</v>
      </c>
      <c r="AR22" s="13">
        <f>[1]Parametros!$B$6*(AJ22+MAX(BE22-BD22,0)*[1]Parametros!$B$4*MIN(U22,AB22)/1000)</f>
        <v>330.97185436697026</v>
      </c>
      <c r="AS22" s="13" t="str">
        <f t="shared" si="5"/>
        <v>CUMPLE</v>
      </c>
      <c r="AT22" s="13">
        <f>[1]Parametros!$B$6*0.083*SQRT([1]Parametros!$B$2)*(H22*I22)^2/(2*(H22+I22))/1000000</f>
        <v>10.08878303333792</v>
      </c>
      <c r="AU22" s="13" t="str">
        <f t="shared" si="6"/>
        <v>DESPRECIABLE</v>
      </c>
      <c r="AV22" s="13">
        <f>IF(Q22&lt;=AT22,0,Q22*1000000/([1]Parametros!$B$6*2*0.85*(H22-2*([1]Parametros!$B$7+[1]Parametros!$B$9/2))*(I22-2*([1]Parametros!$B$7+[1]Parametros!$B$9/2))*[1]Parametros!$B$4))</f>
        <v>0</v>
      </c>
      <c r="AW22" s="13">
        <f>AV22*2*((H22-2*([1]Parametros!$B$7+[1]Parametros!$B$9/2))+(I22-2*([1]Parametros!$B$7+[1]Parametros!$B$9/2)))*[1]Parametros!$B$4/[1]Parametros!$B$3</f>
        <v>0</v>
      </c>
      <c r="AX22" s="14">
        <v>0</v>
      </c>
      <c r="AY22" s="13" t="str">
        <f t="shared" si="7"/>
        <v>DESPRECIABLE</v>
      </c>
      <c r="AZ22" s="13" t="str">
        <f t="shared" si="8"/>
        <v>CUMPLE</v>
      </c>
      <c r="BA22" s="14">
        <v>9.5</v>
      </c>
      <c r="BB22" s="14">
        <v>71</v>
      </c>
      <c r="BC22" s="13">
        <f>MAX(IF(AK22=0,0,AK22*1000/([1]Parametros!$B$4*MIN(U22,AB22))),MAX(0.062*SQRT([1]Parametros!$B$2)*H22/[1]Parametros!$B$4,0.35*H22/[1]Parametros!$B$4))</f>
        <v>0.375</v>
      </c>
      <c r="BD22" s="13">
        <f t="shared" si="9"/>
        <v>0</v>
      </c>
      <c r="BE22" s="13">
        <f t="shared" si="10"/>
        <v>1.1833333333333333</v>
      </c>
      <c r="BF22" s="13">
        <f>SQRT((AI22*1000/(H22*MIN(U22,AB22)))^2+(Q22*1000000*2*((H22-2*([1]Parametros!$B$7+[1]Parametros!$B$9/2))+(I22-2*([1]Parametros!$B$7+[1]Parametros!$B$9/2)))/(1.7*((H22-2*([1]Parametros!$B$7+[1]Parametros!$B$9/2))*(I22-2*([1]Parametros!$B$7+[1]Parametros!$B$9/2)))^2))^2)</f>
        <v>0.68273125487345576</v>
      </c>
      <c r="BG22" s="13">
        <f>[1]Parametros!$B$6*(AJ22*1000/(H22*MIN(U22,AB22))+0.66*SQRT([1]Parametros!$B$2))</f>
        <v>3.2939603822754151</v>
      </c>
      <c r="BH22" s="13" t="str">
        <f t="shared" si="11"/>
        <v>CUMPLE</v>
      </c>
      <c r="BI22" s="13">
        <f>AX22*[1]Parametros!$B$8</f>
        <v>0</v>
      </c>
      <c r="BJ22" s="15" t="str">
        <f t="shared" si="12"/>
        <v>CUMPLE</v>
      </c>
    </row>
    <row r="23" spans="1:62" x14ac:dyDescent="0.3">
      <c r="A23" s="39" t="s">
        <v>63</v>
      </c>
      <c r="B23" s="40">
        <v>194</v>
      </c>
      <c r="C23" s="13">
        <v>1</v>
      </c>
      <c r="D23" s="13">
        <v>3.15</v>
      </c>
      <c r="E23" s="13">
        <v>3.15</v>
      </c>
      <c r="F23" s="13">
        <v>450</v>
      </c>
      <c r="G23" s="13">
        <v>550</v>
      </c>
      <c r="H23" s="13">
        <v>450</v>
      </c>
      <c r="I23" s="13">
        <v>550</v>
      </c>
      <c r="J23" s="14">
        <v>12.945</v>
      </c>
      <c r="K23" s="13">
        <v>194</v>
      </c>
      <c r="L23" s="14">
        <v>14.849500000000001</v>
      </c>
      <c r="M23" s="13">
        <v>194</v>
      </c>
      <c r="N23" s="14">
        <v>19.648</v>
      </c>
      <c r="O23" s="14">
        <v>29.492000000000001</v>
      </c>
      <c r="P23" s="13">
        <v>194</v>
      </c>
      <c r="Q23" s="14">
        <v>5.3311999999999999</v>
      </c>
      <c r="R23" s="13">
        <f>MAX(MAX(1.4/[1]Parametros!$B$3,0.25*SQRT([1]Parametros!$B$2)/[1]Parametros!$B$3)*H23*U23,(0.85*[1]Parametros!$B$2/[1]Parametros!$B$3)*(1-SQRT(1-2*(J23*1000000/([1]Parametros!$B$5*H23*U23^2))/(0.85*[1]Parametros!$B$2)))*H23*U23)</f>
        <v>734.02500000000009</v>
      </c>
      <c r="S23" s="14">
        <v>4</v>
      </c>
      <c r="T23" s="14">
        <v>1</v>
      </c>
      <c r="U23" s="13">
        <f>IF(T23=1,I23-([1]Parametros!$B$7+[1]Parametros!$B$9+[1]Parametros!$B$12/2),I23-(ROUNDUP(S23/2,0)*([1]Parametros!$B$7+[1]Parametros!$B$9+[1]Parametros!$B$12/2)+ROUNDDOWN(S23/2,0)*([1]Parametros!$B$7+[1]Parametros!$B$9+[1]Parametros!$B$12/2+[1]Parametros!$B$12+[1]Parametros!$B$10))/S23)</f>
        <v>489.35</v>
      </c>
      <c r="V23" s="13">
        <f>S23*[1]Parametros!$B$8</f>
        <v>796</v>
      </c>
      <c r="W23" s="13">
        <f>[1]Parametros!$B$5*V23*[1]Parametros!$B$3*(U23-(V23*[1]Parametros!$B$3/(0.85*[1]Parametros!$B$2*H23))/2)/1000000</f>
        <v>142.54333009411764</v>
      </c>
      <c r="X23" s="13" t="str">
        <f t="shared" si="0"/>
        <v>CUMPLE</v>
      </c>
      <c r="Y23" s="13">
        <f>MAX(MAX(1.4/[1]Parametros!$B$3,0.25*SQRT([1]Parametros!$B$2)/[1]Parametros!$B$3)*H23*AB23,(0.85*[1]Parametros!$B$2/[1]Parametros!$B$3)*(1-SQRT(1-2*(L23*1000000/([1]Parametros!$B$5*H23*AB23^2))/(0.85*[1]Parametros!$B$2)))*H23*AB23)</f>
        <v>734.02500000000009</v>
      </c>
      <c r="Z23" s="14">
        <v>4</v>
      </c>
      <c r="AA23" s="14">
        <v>1</v>
      </c>
      <c r="AB23" s="13">
        <f>IF(AA23=1,I23-([1]Parametros!$B$7+[1]Parametros!$B$9+[1]Parametros!$B$12/2),I23-(ROUNDUP(Z23/2,0)*([1]Parametros!$B$7+[1]Parametros!$B$9+[1]Parametros!$B$12/2)+ROUNDDOWN(Z23/2,0)*([1]Parametros!$B$7+[1]Parametros!$B$9+[1]Parametros!$B$12/2+[1]Parametros!$B$12+[1]Parametros!$B$10))/Z23)</f>
        <v>489.35</v>
      </c>
      <c r="AC23" s="13">
        <f>Z23*[1]Parametros!$B$8</f>
        <v>796</v>
      </c>
      <c r="AD23" s="13">
        <f>[1]Parametros!$B$5*AC23*[1]Parametros!$B$3*(AB23-(AC23*[1]Parametros!$B$3/(0.85*[1]Parametros!$B$2*H23))/2)/1000000</f>
        <v>142.54333009411764</v>
      </c>
      <c r="AE23" s="13" t="str">
        <f t="shared" si="1"/>
        <v>CUMPLE</v>
      </c>
      <c r="AF23" s="13">
        <f>V23*1.25*[1]Parametros!$B$3*(U23-(V23*1.25*[1]Parametros!$B$3/(0.85*[1]Parametros!$B$2*H23))/2)/1000000</f>
        <v>196.34621794117646</v>
      </c>
      <c r="AG23" s="13">
        <f>AC23*1.25*[1]Parametros!$B$3*(AB23-(AC23*1.25*[1]Parametros!$B$3/(0.85*[1]Parametros!$B$2*H23))/2)/1000000</f>
        <v>196.34621794117646</v>
      </c>
      <c r="AH23" s="13">
        <f t="shared" si="2"/>
        <v>144.31226535947712</v>
      </c>
      <c r="AI23" s="13">
        <f t="shared" si="3"/>
        <v>144.31226535947712</v>
      </c>
      <c r="AJ23" s="13">
        <f>0.17*SQRT([1]Parametros!$B$2)*H23*MIN(U23,AB23)/1000</f>
        <v>198.08885582262698</v>
      </c>
      <c r="AK23" s="13">
        <f>MAX(AI23/[1]Parametros!$B$6-AJ23,0)</f>
        <v>0</v>
      </c>
      <c r="AL23" s="13">
        <f>0.66*SQRT([1]Parametros!$B$2)*H23*MIN(U23,AB23)/1000</f>
        <v>769.05085201725785</v>
      </c>
      <c r="AM23" s="13" t="str">
        <f t="shared" si="4"/>
        <v>CUMPLE</v>
      </c>
      <c r="AN23" s="13" t="s">
        <v>64</v>
      </c>
      <c r="AO23" s="14">
        <v>2</v>
      </c>
      <c r="AP23" s="13">
        <f>ROUNDDOWN(MIN(IF(BC23+BD23=0,1000000000,AO23*BB23/(BC23+BD23)),MIN(U23,AB23)/4,8*[1]Parametros!$B$12,24*BA23,300,IF(AV23=0,1000000000,2*((H23-2*([1]Parametros!$B$7+[1]Parametros!$B$9/2))+(I23-2*([1]Parametros!$B$7+[1]Parametros!$B$9/2)))/8))/10,0)*10</f>
        <v>120</v>
      </c>
      <c r="AQ23" s="13">
        <f>ROUNDDOWN(MIN(IF(BC23+BD23=0,1000000000,AO23*BB23/(BC23+BD23)),IF(AK23&gt;0.33*SQRT([1]Parametros!$B$2)*H23*MIN(U23,AB23)/1000,MIN(U23,AB23)/4,MIN(U23,AB23)/2),600,IF(AV23=0,1000000000,2*((H23-2*([1]Parametros!$B$7+[1]Parametros!$B$9/2))+(I23-2*([1]Parametros!$B$7+[1]Parametros!$B$9/2)))/8))/10,0)*10</f>
        <v>240</v>
      </c>
      <c r="AR23" s="13">
        <f>[1]Parametros!$B$6*(AJ23+MAX(BE23-BD23,0)*[1]Parametros!$B$4*MIN(U23,AB23)/1000)</f>
        <v>330.97185436697026</v>
      </c>
      <c r="AS23" s="13" t="str">
        <f t="shared" si="5"/>
        <v>CUMPLE</v>
      </c>
      <c r="AT23" s="13">
        <f>[1]Parametros!$B$6*0.083*SQRT([1]Parametros!$B$2)*(H23*I23)^2/(2*(H23+I23))/1000000</f>
        <v>10.08878303333792</v>
      </c>
      <c r="AU23" s="13" t="str">
        <f t="shared" si="6"/>
        <v>DESPRECIABLE</v>
      </c>
      <c r="AV23" s="13">
        <f>IF(Q23&lt;=AT23,0,Q23*1000000/([1]Parametros!$B$6*2*0.85*(H23-2*([1]Parametros!$B$7+[1]Parametros!$B$9/2))*(I23-2*([1]Parametros!$B$7+[1]Parametros!$B$9/2))*[1]Parametros!$B$4))</f>
        <v>0</v>
      </c>
      <c r="AW23" s="13">
        <f>AV23*2*((H23-2*([1]Parametros!$B$7+[1]Parametros!$B$9/2))+(I23-2*([1]Parametros!$B$7+[1]Parametros!$B$9/2)))*[1]Parametros!$B$4/[1]Parametros!$B$3</f>
        <v>0</v>
      </c>
      <c r="AX23" s="14">
        <v>0</v>
      </c>
      <c r="AY23" s="13" t="str">
        <f t="shared" si="7"/>
        <v>DESPRECIABLE</v>
      </c>
      <c r="AZ23" s="13" t="str">
        <f t="shared" si="8"/>
        <v>CUMPLE</v>
      </c>
      <c r="BA23" s="14">
        <v>9.5</v>
      </c>
      <c r="BB23" s="14">
        <v>71</v>
      </c>
      <c r="BC23" s="13">
        <f>MAX(IF(AK23=0,0,AK23*1000/([1]Parametros!$B$4*MIN(U23,AB23))),MAX(0.062*SQRT([1]Parametros!$B$2)*H23/[1]Parametros!$B$4,0.35*H23/[1]Parametros!$B$4))</f>
        <v>0.375</v>
      </c>
      <c r="BD23" s="13">
        <f t="shared" si="9"/>
        <v>0</v>
      </c>
      <c r="BE23" s="13">
        <f t="shared" si="10"/>
        <v>1.1833333333333333</v>
      </c>
      <c r="BF23" s="13">
        <f>SQRT((AI23*1000/(H23*MIN(U23,AB23)))^2+(Q23*1000000*2*((H23-2*([1]Parametros!$B$7+[1]Parametros!$B$9/2))+(I23-2*([1]Parametros!$B$7+[1]Parametros!$B$9/2)))/(1.7*((H23-2*([1]Parametros!$B$7+[1]Parametros!$B$9/2))*(I23-2*([1]Parametros!$B$7+[1]Parametros!$B$9/2)))^2))^2)</f>
        <v>0.68271750533340447</v>
      </c>
      <c r="BG23" s="13">
        <f>[1]Parametros!$B$6*(AJ23*1000/(H23*MIN(U23,AB23))+0.66*SQRT([1]Parametros!$B$2))</f>
        <v>3.2939603822754151</v>
      </c>
      <c r="BH23" s="13" t="str">
        <f t="shared" si="11"/>
        <v>CUMPLE</v>
      </c>
      <c r="BI23" s="13">
        <f>AX23*[1]Parametros!$B$8</f>
        <v>0</v>
      </c>
      <c r="BJ23" s="15" t="str">
        <f t="shared" si="12"/>
        <v>CUMPLE</v>
      </c>
    </row>
    <row r="24" spans="1:62" x14ac:dyDescent="0.3">
      <c r="A24" s="11" t="s">
        <v>65</v>
      </c>
      <c r="B24" s="12">
        <v>55</v>
      </c>
      <c r="C24" s="13">
        <v>1</v>
      </c>
      <c r="D24" s="13">
        <v>3.4</v>
      </c>
      <c r="E24" s="13">
        <v>3.4</v>
      </c>
      <c r="F24" s="13">
        <v>450</v>
      </c>
      <c r="G24" s="13">
        <v>550</v>
      </c>
      <c r="H24" s="13">
        <v>450</v>
      </c>
      <c r="I24" s="13">
        <v>550</v>
      </c>
      <c r="J24" s="14">
        <v>172.73830000000001</v>
      </c>
      <c r="K24" s="13">
        <v>55</v>
      </c>
      <c r="L24" s="14">
        <v>148.44589999999999</v>
      </c>
      <c r="M24" s="13">
        <v>55</v>
      </c>
      <c r="N24" s="14">
        <v>90.082999999999998</v>
      </c>
      <c r="O24" s="14">
        <v>384.61599999999999</v>
      </c>
      <c r="P24" s="13">
        <v>55</v>
      </c>
      <c r="Q24" s="14">
        <v>11.347</v>
      </c>
      <c r="R24" s="13">
        <f>MAX(MAX(1.4/[1]Parametros!$B$3,0.25*SQRT([1]Parametros!$B$2)/[1]Parametros!$B$3)*H24*U24,(0.85*[1]Parametros!$B$2/[1]Parametros!$B$3)*(1-SQRT(1-2*(J24*1000000/([1]Parametros!$B$5*H24*U24^2))/(0.85*[1]Parametros!$B$2)))*H24*U24)</f>
        <v>971.68222154553928</v>
      </c>
      <c r="S24" s="14">
        <v>5</v>
      </c>
      <c r="T24" s="14">
        <v>1</v>
      </c>
      <c r="U24" s="13">
        <f>IF(T24=1,I24-([1]Parametros!$B$7+[1]Parametros!$B$9+[1]Parametros!$B$12/2),I24-(ROUNDUP(S24/2,0)*([1]Parametros!$B$7+[1]Parametros!$B$9+[1]Parametros!$B$12/2)+ROUNDDOWN(S24/2,0)*([1]Parametros!$B$7+[1]Parametros!$B$9+[1]Parametros!$B$12/2+[1]Parametros!$B$12+[1]Parametros!$B$10))/S24)</f>
        <v>489.35</v>
      </c>
      <c r="V24" s="13">
        <f>S24*[1]Parametros!$B$8</f>
        <v>995</v>
      </c>
      <c r="W24" s="13">
        <f>[1]Parametros!$B$5*V24*[1]Parametros!$B$3*(U24-(V24*[1]Parametros!$B$3/(0.85*[1]Parametros!$B$2*H24))/2)/1000000</f>
        <v>176.71159614705886</v>
      </c>
      <c r="X24" s="13" t="str">
        <f t="shared" si="0"/>
        <v>CUMPLE</v>
      </c>
      <c r="Y24" s="13">
        <f>MAX(MAX(1.4/[1]Parametros!$B$3,0.25*SQRT([1]Parametros!$B$2)/[1]Parametros!$B$3)*H24*AB24,(0.85*[1]Parametros!$B$2/[1]Parametros!$B$3)*(1-SQRT(1-2*(L24*1000000/([1]Parametros!$B$5*H24*AB24^2))/(0.85*[1]Parametros!$B$2)))*H24*AB24)</f>
        <v>830.13433564671425</v>
      </c>
      <c r="Z24" s="14">
        <v>5</v>
      </c>
      <c r="AA24" s="14">
        <v>1</v>
      </c>
      <c r="AB24" s="13">
        <f>IF(AA24=1,I24-([1]Parametros!$B$7+[1]Parametros!$B$9+[1]Parametros!$B$12/2),I24-(ROUNDUP(Z24/2,0)*([1]Parametros!$B$7+[1]Parametros!$B$9+[1]Parametros!$B$12/2)+ROUNDDOWN(Z24/2,0)*([1]Parametros!$B$7+[1]Parametros!$B$9+[1]Parametros!$B$12/2+[1]Parametros!$B$12+[1]Parametros!$B$10))/Z24)</f>
        <v>489.35</v>
      </c>
      <c r="AC24" s="13">
        <f>Z24*[1]Parametros!$B$8</f>
        <v>995</v>
      </c>
      <c r="AD24" s="13">
        <f>[1]Parametros!$B$5*AC24*[1]Parametros!$B$3*(AB24-(AC24*[1]Parametros!$B$3/(0.85*[1]Parametros!$B$2*H24))/2)/1000000</f>
        <v>176.71159614705886</v>
      </c>
      <c r="AE24" s="13" t="str">
        <f t="shared" si="1"/>
        <v>CUMPLE</v>
      </c>
      <c r="AF24" s="13">
        <f>V24*1.25*[1]Parametros!$B$3*(U24-(V24*1.25*[1]Parametros!$B$3/(0.85*[1]Parametros!$B$2*H24))/2)/1000000</f>
        <v>242.88491397058826</v>
      </c>
      <c r="AG24" s="13">
        <f>AC24*1.25*[1]Parametros!$B$3*(AB24-(AC24*1.25*[1]Parametros!$B$3/(0.85*[1]Parametros!$B$2*H24))/2)/1000000</f>
        <v>242.88491397058826</v>
      </c>
      <c r="AH24" s="13">
        <f t="shared" si="2"/>
        <v>232.95647880622838</v>
      </c>
      <c r="AI24" s="13">
        <f t="shared" si="3"/>
        <v>384.61599999999999</v>
      </c>
      <c r="AJ24" s="13">
        <f>0.17*SQRT([1]Parametros!$B$2)*H24*MIN(U24,AB24)/1000</f>
        <v>198.08885582262698</v>
      </c>
      <c r="AK24" s="13">
        <f>MAX(AI24/[1]Parametros!$B$6-AJ24,0)</f>
        <v>314.7324775107063</v>
      </c>
      <c r="AL24" s="13">
        <f>0.66*SQRT([1]Parametros!$B$2)*H24*MIN(U24,AB24)/1000</f>
        <v>769.05085201725785</v>
      </c>
      <c r="AM24" s="13" t="str">
        <f t="shared" si="4"/>
        <v>CUMPLE</v>
      </c>
      <c r="AN24" s="13" t="s">
        <v>68</v>
      </c>
      <c r="AO24" s="14">
        <v>2</v>
      </c>
      <c r="AP24" s="13">
        <f>ROUNDDOWN(MIN(IF(BC24+BD24=0,1000000000,AO24*BB24/(BC24+BD24)),MIN(U24,AB24)/4,8*[1]Parametros!$B$12,24*BA24,300,IF(AV24=0,1000000000,2*((H24-2*([1]Parametros!$B$7+[1]Parametros!$B$9/2))+(I24-2*([1]Parametros!$B$7+[1]Parametros!$B$9/2)))/8))/10,0)*10</f>
        <v>120</v>
      </c>
      <c r="AQ24" s="13">
        <f>ROUNDDOWN(MIN(IF(BC24+BD24=0,1000000000,AO24*BB24/(BC24+BD24)),IF(AK24&gt;0.33*SQRT([1]Parametros!$B$2)*H24*MIN(U24,AB24)/1000,MIN(U24,AB24)/4,MIN(U24,AB24)/2),600,IF(AV24=0,1000000000,2*((H24-2*([1]Parametros!$B$7+[1]Parametros!$B$9/2))+(I24-2*([1]Parametros!$B$7+[1]Parametros!$B$9/2)))/8))/10,0)*10</f>
        <v>140</v>
      </c>
      <c r="AR24" s="13">
        <f>[1]Parametros!$B$6*(AJ24+MAX(BE24-BD24,0)*[1]Parametros!$B$4*MIN(U24,AB24)/1000)</f>
        <v>439.99849536592393</v>
      </c>
      <c r="AS24" s="13" t="str">
        <f t="shared" si="5"/>
        <v>CUMPLE</v>
      </c>
      <c r="AT24" s="13">
        <f>[1]Parametros!$B$6*0.083*SQRT([1]Parametros!$B$2)*(H24*I24)^2/(2*(H24+I24))/1000000</f>
        <v>10.08878303333792</v>
      </c>
      <c r="AU24" s="13" t="str">
        <f t="shared" si="6"/>
        <v>DISEÑAR</v>
      </c>
      <c r="AV24" s="13">
        <f>IF(Q24&lt;=AT24,0,Q24*1000000/([1]Parametros!$B$6*2*0.85*(H24-2*([1]Parametros!$B$7+[1]Parametros!$B$9/2))*(I24-2*([1]Parametros!$B$7+[1]Parametros!$B$9/2))*[1]Parametros!$B$4))</f>
        <v>0.12968428803692081</v>
      </c>
      <c r="AW24" s="13">
        <f>AV24*2*((H24-2*([1]Parametros!$B$7+[1]Parametros!$B$9/2))+(I24-2*([1]Parametros!$B$7+[1]Parametros!$B$9/2)))*[1]Parametros!$B$4/[1]Parametros!$B$3</f>
        <v>211.2816420697514</v>
      </c>
      <c r="AX24" s="14">
        <v>8</v>
      </c>
      <c r="AY24" s="13" t="str">
        <f t="shared" si="7"/>
        <v>CUMPLE</v>
      </c>
      <c r="AZ24" s="13" t="str">
        <f t="shared" si="8"/>
        <v>CUMPLE</v>
      </c>
      <c r="BA24" s="14">
        <v>12.7</v>
      </c>
      <c r="BB24" s="14">
        <v>129</v>
      </c>
      <c r="BC24" s="13">
        <f>MAX(IF(AK24=0,0,AK24*1000/([1]Parametros!$B$4*MIN(U24,AB24))),MAX(0.062*SQRT([1]Parametros!$B$2)*H24/[1]Parametros!$B$4,0.35*H24/[1]Parametros!$B$4))</f>
        <v>1.5313437042855989</v>
      </c>
      <c r="BD24" s="13">
        <f t="shared" si="9"/>
        <v>0.25936857607384162</v>
      </c>
      <c r="BE24" s="13">
        <f t="shared" si="10"/>
        <v>2.15</v>
      </c>
      <c r="BF24" s="13">
        <f>SQRT((AI24*1000/(H24*MIN(U24,AB24)))^2+(Q24*1000000*2*((H24-2*([1]Parametros!$B$7+[1]Parametros!$B$9/2))+(I24-2*([1]Parametros!$B$7+[1]Parametros!$B$9/2)))/(1.7*((H24-2*([1]Parametros!$B$7+[1]Parametros!$B$9/2))*(I24-2*([1]Parametros!$B$7+[1]Parametros!$B$9/2)))^2))^2)</f>
        <v>1.7934737302123589</v>
      </c>
      <c r="BG24" s="13">
        <f>[1]Parametros!$B$6*(AJ24*1000/(H24*MIN(U24,AB24))+0.66*SQRT([1]Parametros!$B$2))</f>
        <v>3.2939603822754151</v>
      </c>
      <c r="BH24" s="13" t="str">
        <f t="shared" si="11"/>
        <v>CUMPLE</v>
      </c>
      <c r="BI24" s="13">
        <f>AX24*[1]Parametros!$B$8</f>
        <v>1592</v>
      </c>
      <c r="BJ24" s="15" t="str">
        <f t="shared" si="12"/>
        <v>CUMPLE</v>
      </c>
    </row>
    <row r="25" spans="1:62" x14ac:dyDescent="0.3">
      <c r="A25" s="11" t="s">
        <v>65</v>
      </c>
      <c r="B25" s="12">
        <v>56</v>
      </c>
      <c r="C25" s="13">
        <v>1</v>
      </c>
      <c r="D25" s="13">
        <v>3.4</v>
      </c>
      <c r="E25" s="13">
        <v>3.4</v>
      </c>
      <c r="F25" s="13">
        <v>450</v>
      </c>
      <c r="G25" s="13">
        <v>550</v>
      </c>
      <c r="H25" s="13">
        <v>450</v>
      </c>
      <c r="I25" s="13">
        <v>550</v>
      </c>
      <c r="J25" s="14">
        <v>172.75960000000001</v>
      </c>
      <c r="K25" s="13">
        <v>56</v>
      </c>
      <c r="L25" s="14">
        <v>148.43260000000001</v>
      </c>
      <c r="M25" s="13">
        <v>56</v>
      </c>
      <c r="N25" s="14">
        <v>90.093000000000004</v>
      </c>
      <c r="O25" s="14">
        <v>384.62599999999998</v>
      </c>
      <c r="P25" s="13">
        <v>56</v>
      </c>
      <c r="Q25" s="14">
        <v>11.3474</v>
      </c>
      <c r="R25" s="13">
        <f>MAX(MAX(1.4/[1]Parametros!$B$3,0.25*SQRT([1]Parametros!$B$2)/[1]Parametros!$B$3)*H25*U25,(0.85*[1]Parametros!$B$2/[1]Parametros!$B$3)*(1-SQRT(1-2*(J25*1000000/([1]Parametros!$B$5*H25*U25^2))/(0.85*[1]Parametros!$B$2)))*H25*U25)</f>
        <v>971.8070972455123</v>
      </c>
      <c r="S25" s="14">
        <v>5</v>
      </c>
      <c r="T25" s="14">
        <v>1</v>
      </c>
      <c r="U25" s="13">
        <f>IF(T25=1,I25-([1]Parametros!$B$7+[1]Parametros!$B$9+[1]Parametros!$B$12/2),I25-(ROUNDUP(S25/2,0)*([1]Parametros!$B$7+[1]Parametros!$B$9+[1]Parametros!$B$12/2)+ROUNDDOWN(S25/2,0)*([1]Parametros!$B$7+[1]Parametros!$B$9+[1]Parametros!$B$12/2+[1]Parametros!$B$12+[1]Parametros!$B$10))/S25)</f>
        <v>489.35</v>
      </c>
      <c r="V25" s="13">
        <f>S25*[1]Parametros!$B$8</f>
        <v>995</v>
      </c>
      <c r="W25" s="13">
        <f>[1]Parametros!$B$5*V25*[1]Parametros!$B$3*(U25-(V25*[1]Parametros!$B$3/(0.85*[1]Parametros!$B$2*H25))/2)/1000000</f>
        <v>176.71159614705886</v>
      </c>
      <c r="X25" s="13" t="str">
        <f t="shared" si="0"/>
        <v>CUMPLE</v>
      </c>
      <c r="Y25" s="13">
        <f>MAX(MAX(1.4/[1]Parametros!$B$3,0.25*SQRT([1]Parametros!$B$2)/[1]Parametros!$B$3)*H25*AB25,(0.85*[1]Parametros!$B$2/[1]Parametros!$B$3)*(1-SQRT(1-2*(L25*1000000/([1]Parametros!$B$5*H25*AB25^2))/(0.85*[1]Parametros!$B$2)))*H25*AB25)</f>
        <v>830.05730981677925</v>
      </c>
      <c r="Z25" s="14">
        <v>5</v>
      </c>
      <c r="AA25" s="14">
        <v>1</v>
      </c>
      <c r="AB25" s="13">
        <f>IF(AA25=1,I25-([1]Parametros!$B$7+[1]Parametros!$B$9+[1]Parametros!$B$12/2),I25-(ROUNDUP(Z25/2,0)*([1]Parametros!$B$7+[1]Parametros!$B$9+[1]Parametros!$B$12/2)+ROUNDDOWN(Z25/2,0)*([1]Parametros!$B$7+[1]Parametros!$B$9+[1]Parametros!$B$12/2+[1]Parametros!$B$12+[1]Parametros!$B$10))/Z25)</f>
        <v>489.35</v>
      </c>
      <c r="AC25" s="13">
        <f>Z25*[1]Parametros!$B$8</f>
        <v>995</v>
      </c>
      <c r="AD25" s="13">
        <f>[1]Parametros!$B$5*AC25*[1]Parametros!$B$3*(AB25-(AC25*[1]Parametros!$B$3/(0.85*[1]Parametros!$B$2*H25))/2)/1000000</f>
        <v>176.71159614705886</v>
      </c>
      <c r="AE25" s="13" t="str">
        <f t="shared" si="1"/>
        <v>CUMPLE</v>
      </c>
      <c r="AF25" s="13">
        <f>V25*1.25*[1]Parametros!$B$3*(U25-(V25*1.25*[1]Parametros!$B$3/(0.85*[1]Parametros!$B$2*H25))/2)/1000000</f>
        <v>242.88491397058826</v>
      </c>
      <c r="AG25" s="13">
        <f>AC25*1.25*[1]Parametros!$B$3*(AB25-(AC25*1.25*[1]Parametros!$B$3/(0.85*[1]Parametros!$B$2*H25))/2)/1000000</f>
        <v>242.88491397058826</v>
      </c>
      <c r="AH25" s="13">
        <f t="shared" si="2"/>
        <v>232.96647880622839</v>
      </c>
      <c r="AI25" s="13">
        <f t="shared" si="3"/>
        <v>384.62599999999998</v>
      </c>
      <c r="AJ25" s="13">
        <f>0.17*SQRT([1]Parametros!$B$2)*H25*MIN(U25,AB25)/1000</f>
        <v>198.08885582262698</v>
      </c>
      <c r="AK25" s="13">
        <f>MAX(AI25/[1]Parametros!$B$6-AJ25,0)</f>
        <v>314.74581084403962</v>
      </c>
      <c r="AL25" s="13">
        <f>0.66*SQRT([1]Parametros!$B$2)*H25*MIN(U25,AB25)/1000</f>
        <v>769.05085201725785</v>
      </c>
      <c r="AM25" s="13" t="str">
        <f t="shared" si="4"/>
        <v>CUMPLE</v>
      </c>
      <c r="AN25" s="13" t="s">
        <v>68</v>
      </c>
      <c r="AO25" s="14">
        <v>2</v>
      </c>
      <c r="AP25" s="13">
        <f>ROUNDDOWN(MIN(IF(BC25+BD25=0,1000000000,AO25*BB25/(BC25+BD25)),MIN(U25,AB25)/4,8*[1]Parametros!$B$12,24*BA25,300,IF(AV25=0,1000000000,2*((H25-2*([1]Parametros!$B$7+[1]Parametros!$B$9/2))+(I25-2*([1]Parametros!$B$7+[1]Parametros!$B$9/2)))/8))/10,0)*10</f>
        <v>120</v>
      </c>
      <c r="AQ25" s="13">
        <f>ROUNDDOWN(MIN(IF(BC25+BD25=0,1000000000,AO25*BB25/(BC25+BD25)),IF(AK25&gt;0.33*SQRT([1]Parametros!$B$2)*H25*MIN(U25,AB25)/1000,MIN(U25,AB25)/4,MIN(U25,AB25)/2),600,IF(AV25=0,1000000000,2*((H25-2*([1]Parametros!$B$7+[1]Parametros!$B$9/2))+(I25-2*([1]Parametros!$B$7+[1]Parametros!$B$9/2)))/8))/10,0)*10</f>
        <v>140</v>
      </c>
      <c r="AR25" s="13">
        <f>[1]Parametros!$B$6*(AJ25+MAX(BE25-BD25,0)*[1]Parametros!$B$4*MIN(U25,AB25)/1000)</f>
        <v>439.99708599132265</v>
      </c>
      <c r="AS25" s="13" t="str">
        <f t="shared" si="5"/>
        <v>CUMPLE</v>
      </c>
      <c r="AT25" s="13">
        <f>[1]Parametros!$B$6*0.083*SQRT([1]Parametros!$B$2)*(H25*I25)^2/(2*(H25+I25))/1000000</f>
        <v>10.08878303333792</v>
      </c>
      <c r="AU25" s="13" t="str">
        <f t="shared" si="6"/>
        <v>DISEÑAR</v>
      </c>
      <c r="AV25" s="13">
        <f>IF(Q25&lt;=AT25,0,Q25*1000000/([1]Parametros!$B$6*2*0.85*(H25-2*([1]Parametros!$B$7+[1]Parametros!$B$9/2))*(I25-2*([1]Parametros!$B$7+[1]Parametros!$B$9/2))*[1]Parametros!$B$4))</f>
        <v>0.12968885961665241</v>
      </c>
      <c r="AW25" s="13">
        <f>AV25*2*((H25-2*([1]Parametros!$B$7+[1]Parametros!$B$9/2))+(I25-2*([1]Parametros!$B$7+[1]Parametros!$B$9/2)))*[1]Parametros!$B$4/[1]Parametros!$B$3</f>
        <v>211.28909008745009</v>
      </c>
      <c r="AX25" s="14">
        <v>8</v>
      </c>
      <c r="AY25" s="13" t="str">
        <f t="shared" si="7"/>
        <v>CUMPLE</v>
      </c>
      <c r="AZ25" s="13" t="str">
        <f t="shared" si="8"/>
        <v>CUMPLE</v>
      </c>
      <c r="BA25" s="14">
        <v>12.7</v>
      </c>
      <c r="BB25" s="14">
        <v>129</v>
      </c>
      <c r="BC25" s="13">
        <f>MAX(IF(AK25=0,0,AK25*1000/([1]Parametros!$B$4*MIN(U25,AB25))),MAX(0.062*SQRT([1]Parametros!$B$2)*H25/[1]Parametros!$B$4,0.35*H25/[1]Parametros!$B$4))</f>
        <v>1.5314085781626725</v>
      </c>
      <c r="BD25" s="13">
        <f t="shared" si="9"/>
        <v>0.25937771923330483</v>
      </c>
      <c r="BE25" s="13">
        <f t="shared" si="10"/>
        <v>2.15</v>
      </c>
      <c r="BF25" s="13">
        <f>SQRT((AI25*1000/(H25*MIN(U25,AB25)))^2+(Q25*1000000*2*((H25-2*([1]Parametros!$B$7+[1]Parametros!$B$9/2))+(I25-2*([1]Parametros!$B$7+[1]Parametros!$B$9/2)))/(1.7*((H25-2*([1]Parametros!$B$7+[1]Parametros!$B$9/2))*(I25-2*([1]Parametros!$B$7+[1]Parametros!$B$9/2)))^2))^2)</f>
        <v>1.7935212163138456</v>
      </c>
      <c r="BG25" s="13">
        <f>[1]Parametros!$B$6*(AJ25*1000/(H25*MIN(U25,AB25))+0.66*SQRT([1]Parametros!$B$2))</f>
        <v>3.2939603822754151</v>
      </c>
      <c r="BH25" s="13" t="str">
        <f t="shared" si="11"/>
        <v>CUMPLE</v>
      </c>
      <c r="BI25" s="13">
        <f>AX25*[1]Parametros!$B$8</f>
        <v>1592</v>
      </c>
      <c r="BJ25" s="15" t="str">
        <f t="shared" si="12"/>
        <v>CUMPLE</v>
      </c>
    </row>
    <row r="26" spans="1:62" x14ac:dyDescent="0.3">
      <c r="A26" s="11" t="s">
        <v>65</v>
      </c>
      <c r="B26" s="12">
        <v>93</v>
      </c>
      <c r="C26" s="13">
        <v>1</v>
      </c>
      <c r="D26" s="13">
        <v>3.4</v>
      </c>
      <c r="E26" s="13">
        <v>3.4</v>
      </c>
      <c r="F26" s="13">
        <v>450</v>
      </c>
      <c r="G26" s="13">
        <v>550</v>
      </c>
      <c r="H26" s="13">
        <v>450</v>
      </c>
      <c r="I26" s="13">
        <v>550</v>
      </c>
      <c r="J26" s="14">
        <v>172.75489999999999</v>
      </c>
      <c r="K26" s="13">
        <v>93</v>
      </c>
      <c r="L26" s="14">
        <v>148.42850000000001</v>
      </c>
      <c r="M26" s="13">
        <v>93</v>
      </c>
      <c r="N26" s="14">
        <v>90.090999999999994</v>
      </c>
      <c r="O26" s="14">
        <v>384.61599999999999</v>
      </c>
      <c r="P26" s="13">
        <v>93</v>
      </c>
      <c r="Q26" s="14">
        <v>11.347799999999999</v>
      </c>
      <c r="R26" s="13">
        <f>MAX(MAX(1.4/[1]Parametros!$B$3,0.25*SQRT([1]Parametros!$B$2)/[1]Parametros!$B$3)*H26*U26,(0.85*[1]Parametros!$B$2/[1]Parametros!$B$3)*(1-SQRT(1-2*(J26*1000000/([1]Parametros!$B$5*H26*U26^2))/(0.85*[1]Parametros!$B$2)))*H26*U26)</f>
        <v>971.77954239706719</v>
      </c>
      <c r="S26" s="14">
        <v>5</v>
      </c>
      <c r="T26" s="14">
        <v>1</v>
      </c>
      <c r="U26" s="13">
        <f>IF(T26=1,I26-([1]Parametros!$B$7+[1]Parametros!$B$9+[1]Parametros!$B$12/2),I26-(ROUNDUP(S26/2,0)*([1]Parametros!$B$7+[1]Parametros!$B$9+[1]Parametros!$B$12/2)+ROUNDDOWN(S26/2,0)*([1]Parametros!$B$7+[1]Parametros!$B$9+[1]Parametros!$B$12/2+[1]Parametros!$B$12+[1]Parametros!$B$10))/S26)</f>
        <v>489.35</v>
      </c>
      <c r="V26" s="13">
        <f>S26*[1]Parametros!$B$8</f>
        <v>995</v>
      </c>
      <c r="W26" s="13">
        <f>[1]Parametros!$B$5*V26*[1]Parametros!$B$3*(U26-(V26*[1]Parametros!$B$3/(0.85*[1]Parametros!$B$2*H26))/2)/1000000</f>
        <v>176.71159614705886</v>
      </c>
      <c r="X26" s="13" t="str">
        <f t="shared" si="0"/>
        <v>CUMPLE</v>
      </c>
      <c r="Y26" s="13">
        <f>MAX(MAX(1.4/[1]Parametros!$B$3,0.25*SQRT([1]Parametros!$B$2)/[1]Parametros!$B$3)*H26*AB26,(0.85*[1]Parametros!$B$2/[1]Parametros!$B$3)*(1-SQRT(1-2*(L26*1000000/([1]Parametros!$B$5*H26*AB26^2))/(0.85*[1]Parametros!$B$2)))*H26*AB26)</f>
        <v>830.03356511477159</v>
      </c>
      <c r="Z26" s="14">
        <v>5</v>
      </c>
      <c r="AA26" s="14">
        <v>1</v>
      </c>
      <c r="AB26" s="13">
        <f>IF(AA26=1,I26-([1]Parametros!$B$7+[1]Parametros!$B$9+[1]Parametros!$B$12/2),I26-(ROUNDUP(Z26/2,0)*([1]Parametros!$B$7+[1]Parametros!$B$9+[1]Parametros!$B$12/2)+ROUNDDOWN(Z26/2,0)*([1]Parametros!$B$7+[1]Parametros!$B$9+[1]Parametros!$B$12/2+[1]Parametros!$B$12+[1]Parametros!$B$10))/Z26)</f>
        <v>489.35</v>
      </c>
      <c r="AC26" s="13">
        <f>Z26*[1]Parametros!$B$8</f>
        <v>995</v>
      </c>
      <c r="AD26" s="13">
        <f>[1]Parametros!$B$5*AC26*[1]Parametros!$B$3*(AB26-(AC26*[1]Parametros!$B$3/(0.85*[1]Parametros!$B$2*H26))/2)/1000000</f>
        <v>176.71159614705886</v>
      </c>
      <c r="AE26" s="13" t="str">
        <f t="shared" si="1"/>
        <v>CUMPLE</v>
      </c>
      <c r="AF26" s="13">
        <f>V26*1.25*[1]Parametros!$B$3*(U26-(V26*1.25*[1]Parametros!$B$3/(0.85*[1]Parametros!$B$2*H26))/2)/1000000</f>
        <v>242.88491397058826</v>
      </c>
      <c r="AG26" s="13">
        <f>AC26*1.25*[1]Parametros!$B$3*(AB26-(AC26*1.25*[1]Parametros!$B$3/(0.85*[1]Parametros!$B$2*H26))/2)/1000000</f>
        <v>242.88491397058826</v>
      </c>
      <c r="AH26" s="13">
        <f t="shared" si="2"/>
        <v>232.96447880622839</v>
      </c>
      <c r="AI26" s="13">
        <f t="shared" si="3"/>
        <v>384.61599999999999</v>
      </c>
      <c r="AJ26" s="13">
        <f>0.17*SQRT([1]Parametros!$B$2)*H26*MIN(U26,AB26)/1000</f>
        <v>198.08885582262698</v>
      </c>
      <c r="AK26" s="13">
        <f>MAX(AI26/[1]Parametros!$B$6-AJ26,0)</f>
        <v>314.7324775107063</v>
      </c>
      <c r="AL26" s="13">
        <f>0.66*SQRT([1]Parametros!$B$2)*H26*MIN(U26,AB26)/1000</f>
        <v>769.05085201725785</v>
      </c>
      <c r="AM26" s="13" t="str">
        <f t="shared" si="4"/>
        <v>CUMPLE</v>
      </c>
      <c r="AN26" s="13" t="s">
        <v>68</v>
      </c>
      <c r="AO26" s="14">
        <v>2</v>
      </c>
      <c r="AP26" s="13">
        <f>ROUNDDOWN(MIN(IF(BC26+BD26=0,1000000000,AO26*BB26/(BC26+BD26)),MIN(U26,AB26)/4,8*[1]Parametros!$B$12,24*BA26,300,IF(AV26=0,1000000000,2*((H26-2*([1]Parametros!$B$7+[1]Parametros!$B$9/2))+(I26-2*([1]Parametros!$B$7+[1]Parametros!$B$9/2)))/8))/10,0)*10</f>
        <v>120</v>
      </c>
      <c r="AQ26" s="13">
        <f>ROUNDDOWN(MIN(IF(BC26+BD26=0,1000000000,AO26*BB26/(BC26+BD26)),IF(AK26&gt;0.33*SQRT([1]Parametros!$B$2)*H26*MIN(U26,AB26)/1000,MIN(U26,AB26)/4,MIN(U26,AB26)/2),600,IF(AV26=0,1000000000,2*((H26-2*([1]Parametros!$B$7+[1]Parametros!$B$9/2))+(I26-2*([1]Parametros!$B$7+[1]Parametros!$B$9/2)))/8))/10,0)*10</f>
        <v>140</v>
      </c>
      <c r="AR26" s="13">
        <f>[1]Parametros!$B$6*(AJ26+MAX(BE26-BD26,0)*[1]Parametros!$B$4*MIN(U26,AB26)/1000)</f>
        <v>439.99567661672143</v>
      </c>
      <c r="AS26" s="13" t="str">
        <f t="shared" si="5"/>
        <v>CUMPLE</v>
      </c>
      <c r="AT26" s="13">
        <f>[1]Parametros!$B$6*0.083*SQRT([1]Parametros!$B$2)*(H26*I26)^2/(2*(H26+I26))/1000000</f>
        <v>10.08878303333792</v>
      </c>
      <c r="AU26" s="13" t="str">
        <f t="shared" si="6"/>
        <v>DISEÑAR</v>
      </c>
      <c r="AV26" s="13">
        <f>IF(Q26&lt;=AT26,0,Q26*1000000/([1]Parametros!$B$6*2*0.85*(H26-2*([1]Parametros!$B$7+[1]Parametros!$B$9/2))*(I26-2*([1]Parametros!$B$7+[1]Parametros!$B$9/2))*[1]Parametros!$B$4))</f>
        <v>0.12969343119638405</v>
      </c>
      <c r="AW26" s="13">
        <f>AV26*2*((H26-2*([1]Parametros!$B$7+[1]Parametros!$B$9/2))+(I26-2*([1]Parametros!$B$7+[1]Parametros!$B$9/2)))*[1]Parametros!$B$4/[1]Parametros!$B$3</f>
        <v>211.2965381051489</v>
      </c>
      <c r="AX26" s="14">
        <v>8</v>
      </c>
      <c r="AY26" s="13" t="str">
        <f t="shared" si="7"/>
        <v>CUMPLE</v>
      </c>
      <c r="AZ26" s="13" t="str">
        <f t="shared" si="8"/>
        <v>CUMPLE</v>
      </c>
      <c r="BA26" s="14">
        <v>12.7</v>
      </c>
      <c r="BB26" s="14">
        <v>129</v>
      </c>
      <c r="BC26" s="13">
        <f>MAX(IF(AK26=0,0,AK26*1000/([1]Parametros!$B$4*MIN(U26,AB26))),MAX(0.062*SQRT([1]Parametros!$B$2)*H26/[1]Parametros!$B$4,0.35*H26/[1]Parametros!$B$4))</f>
        <v>1.5313437042855989</v>
      </c>
      <c r="BD26" s="13">
        <f t="shared" si="9"/>
        <v>0.25938686239276809</v>
      </c>
      <c r="BE26" s="13">
        <f t="shared" si="10"/>
        <v>2.15</v>
      </c>
      <c r="BF26" s="13">
        <f>SQRT((AI26*1000/(H26*MIN(U26,AB26)))^2+(Q26*1000000*2*((H26-2*([1]Parametros!$B$7+[1]Parametros!$B$9/2))+(I26-2*([1]Parametros!$B$7+[1]Parametros!$B$9/2)))/(1.7*((H26-2*([1]Parametros!$B$7+[1]Parametros!$B$9/2))*(I26-2*([1]Parametros!$B$7+[1]Parametros!$B$9/2)))^2))^2)</f>
        <v>1.7934802525703395</v>
      </c>
      <c r="BG26" s="13">
        <f>[1]Parametros!$B$6*(AJ26*1000/(H26*MIN(U26,AB26))+0.66*SQRT([1]Parametros!$B$2))</f>
        <v>3.2939603822754151</v>
      </c>
      <c r="BH26" s="13" t="str">
        <f t="shared" si="11"/>
        <v>CUMPLE</v>
      </c>
      <c r="BI26" s="13">
        <f>AX26*[1]Parametros!$B$8</f>
        <v>1592</v>
      </c>
      <c r="BJ26" s="15" t="str">
        <f t="shared" si="12"/>
        <v>CUMPLE</v>
      </c>
    </row>
    <row r="27" spans="1:62" x14ac:dyDescent="0.3">
      <c r="A27" s="11" t="s">
        <v>65</v>
      </c>
      <c r="B27" s="12">
        <v>94</v>
      </c>
      <c r="C27" s="13">
        <v>1</v>
      </c>
      <c r="D27" s="13">
        <v>3.4</v>
      </c>
      <c r="E27" s="13">
        <v>3.4</v>
      </c>
      <c r="F27" s="13">
        <v>450</v>
      </c>
      <c r="G27" s="13">
        <v>550</v>
      </c>
      <c r="H27" s="13">
        <v>450</v>
      </c>
      <c r="I27" s="13">
        <v>550</v>
      </c>
      <c r="J27" s="14">
        <v>172.7338</v>
      </c>
      <c r="K27" s="13">
        <v>94</v>
      </c>
      <c r="L27" s="14">
        <v>148.44139999999999</v>
      </c>
      <c r="M27" s="13">
        <v>94</v>
      </c>
      <c r="N27" s="14">
        <v>90.081000000000003</v>
      </c>
      <c r="O27" s="14">
        <v>384.60599999999999</v>
      </c>
      <c r="P27" s="13">
        <v>94</v>
      </c>
      <c r="Q27" s="14">
        <v>11.347300000000001</v>
      </c>
      <c r="R27" s="13">
        <f>MAX(MAX(1.4/[1]Parametros!$B$3,0.25*SQRT([1]Parametros!$B$2)/[1]Parametros!$B$3)*H27*U27,(0.85*[1]Parametros!$B$2/[1]Parametros!$B$3)*(1-SQRT(1-2*(J27*1000000/([1]Parametros!$B$5*H27*U27^2))/(0.85*[1]Parametros!$B$2)))*H27*U27)</f>
        <v>971.65583952880183</v>
      </c>
      <c r="S27" s="14">
        <v>5</v>
      </c>
      <c r="T27" s="14">
        <v>1</v>
      </c>
      <c r="U27" s="13">
        <f>IF(T27=1,I27-([1]Parametros!$B$7+[1]Parametros!$B$9+[1]Parametros!$B$12/2),I27-(ROUNDUP(S27/2,0)*([1]Parametros!$B$7+[1]Parametros!$B$9+[1]Parametros!$B$12/2)+ROUNDDOWN(S27/2,0)*([1]Parametros!$B$7+[1]Parametros!$B$9+[1]Parametros!$B$12/2+[1]Parametros!$B$12+[1]Parametros!$B$10))/S27)</f>
        <v>489.35</v>
      </c>
      <c r="V27" s="13">
        <f>S27*[1]Parametros!$B$8</f>
        <v>995</v>
      </c>
      <c r="W27" s="13">
        <f>[1]Parametros!$B$5*V27*[1]Parametros!$B$3*(U27-(V27*[1]Parametros!$B$3/(0.85*[1]Parametros!$B$2*H27))/2)/1000000</f>
        <v>176.71159614705886</v>
      </c>
      <c r="X27" s="13" t="str">
        <f t="shared" si="0"/>
        <v>CUMPLE</v>
      </c>
      <c r="Y27" s="13">
        <f>MAX(MAX(1.4/[1]Parametros!$B$3,0.25*SQRT([1]Parametros!$B$2)/[1]Parametros!$B$3)*H27*AB27,(0.85*[1]Parametros!$B$2/[1]Parametros!$B$3)*(1-SQRT(1-2*(L27*1000000/([1]Parametros!$B$5*H27*AB27^2))/(0.85*[1]Parametros!$B$2)))*H27*AB27)</f>
        <v>830.10827421867134</v>
      </c>
      <c r="Z27" s="14">
        <v>5</v>
      </c>
      <c r="AA27" s="14">
        <v>1</v>
      </c>
      <c r="AB27" s="13">
        <f>IF(AA27=1,I27-([1]Parametros!$B$7+[1]Parametros!$B$9+[1]Parametros!$B$12/2),I27-(ROUNDUP(Z27/2,0)*([1]Parametros!$B$7+[1]Parametros!$B$9+[1]Parametros!$B$12/2)+ROUNDDOWN(Z27/2,0)*([1]Parametros!$B$7+[1]Parametros!$B$9+[1]Parametros!$B$12/2+[1]Parametros!$B$12+[1]Parametros!$B$10))/Z27)</f>
        <v>489.35</v>
      </c>
      <c r="AC27" s="13">
        <f>Z27*[1]Parametros!$B$8</f>
        <v>995</v>
      </c>
      <c r="AD27" s="13">
        <f>[1]Parametros!$B$5*AC27*[1]Parametros!$B$3*(AB27-(AC27*[1]Parametros!$B$3/(0.85*[1]Parametros!$B$2*H27))/2)/1000000</f>
        <v>176.71159614705886</v>
      </c>
      <c r="AE27" s="13" t="str">
        <f t="shared" si="1"/>
        <v>CUMPLE</v>
      </c>
      <c r="AF27" s="13">
        <f>V27*1.25*[1]Parametros!$B$3*(U27-(V27*1.25*[1]Parametros!$B$3/(0.85*[1]Parametros!$B$2*H27))/2)/1000000</f>
        <v>242.88491397058826</v>
      </c>
      <c r="AG27" s="13">
        <f>AC27*1.25*[1]Parametros!$B$3*(AB27-(AC27*1.25*[1]Parametros!$B$3/(0.85*[1]Parametros!$B$2*H27))/2)/1000000</f>
        <v>242.88491397058826</v>
      </c>
      <c r="AH27" s="13">
        <f t="shared" si="2"/>
        <v>232.95447880622839</v>
      </c>
      <c r="AI27" s="13">
        <f t="shared" si="3"/>
        <v>384.60599999999999</v>
      </c>
      <c r="AJ27" s="13">
        <f>0.17*SQRT([1]Parametros!$B$2)*H27*MIN(U27,AB27)/1000</f>
        <v>198.08885582262698</v>
      </c>
      <c r="AK27" s="13">
        <f>MAX(AI27/[1]Parametros!$B$6-AJ27,0)</f>
        <v>314.71914417737298</v>
      </c>
      <c r="AL27" s="13">
        <f>0.66*SQRT([1]Parametros!$B$2)*H27*MIN(U27,AB27)/1000</f>
        <v>769.05085201725785</v>
      </c>
      <c r="AM27" s="13" t="str">
        <f t="shared" si="4"/>
        <v>CUMPLE</v>
      </c>
      <c r="AN27" s="13" t="s">
        <v>68</v>
      </c>
      <c r="AO27" s="14">
        <v>2</v>
      </c>
      <c r="AP27" s="13">
        <f>ROUNDDOWN(MIN(IF(BC27+BD27=0,1000000000,AO27*BB27/(BC27+BD27)),MIN(U27,AB27)/4,8*[1]Parametros!$B$12,24*BA27,300,IF(AV27=0,1000000000,2*((H27-2*([1]Parametros!$B$7+[1]Parametros!$B$9/2))+(I27-2*([1]Parametros!$B$7+[1]Parametros!$B$9/2)))/8))/10,0)*10</f>
        <v>120</v>
      </c>
      <c r="AQ27" s="13">
        <f>ROUNDDOWN(MIN(IF(BC27+BD27=0,1000000000,AO27*BB27/(BC27+BD27)),IF(AK27&gt;0.33*SQRT([1]Parametros!$B$2)*H27*MIN(U27,AB27)/1000,MIN(U27,AB27)/4,MIN(U27,AB27)/2),600,IF(AV27=0,1000000000,2*((H27-2*([1]Parametros!$B$7+[1]Parametros!$B$9/2))+(I27-2*([1]Parametros!$B$7+[1]Parametros!$B$9/2)))/8))/10,0)*10</f>
        <v>140</v>
      </c>
      <c r="AR27" s="13">
        <f>[1]Parametros!$B$6*(AJ27+MAX(BE27-BD27,0)*[1]Parametros!$B$4*MIN(U27,AB27)/1000)</f>
        <v>439.99743833497297</v>
      </c>
      <c r="AS27" s="13" t="str">
        <f t="shared" si="5"/>
        <v>CUMPLE</v>
      </c>
      <c r="AT27" s="13">
        <f>[1]Parametros!$B$6*0.083*SQRT([1]Parametros!$B$2)*(H27*I27)^2/(2*(H27+I27))/1000000</f>
        <v>10.08878303333792</v>
      </c>
      <c r="AU27" s="13" t="str">
        <f t="shared" si="6"/>
        <v>DISEÑAR</v>
      </c>
      <c r="AV27" s="13">
        <f>IF(Q27&lt;=AT27,0,Q27*1000000/([1]Parametros!$B$6*2*0.85*(H27-2*([1]Parametros!$B$7+[1]Parametros!$B$9/2))*(I27-2*([1]Parametros!$B$7+[1]Parametros!$B$9/2))*[1]Parametros!$B$4))</f>
        <v>0.12968771672171953</v>
      </c>
      <c r="AW27" s="13">
        <f>AV27*2*((H27-2*([1]Parametros!$B$7+[1]Parametros!$B$9/2))+(I27-2*([1]Parametros!$B$7+[1]Parametros!$B$9/2)))*[1]Parametros!$B$4/[1]Parametros!$B$3</f>
        <v>211.28722808302547</v>
      </c>
      <c r="AX27" s="14">
        <v>8</v>
      </c>
      <c r="AY27" s="13" t="str">
        <f t="shared" si="7"/>
        <v>CUMPLE</v>
      </c>
      <c r="AZ27" s="13" t="str">
        <f t="shared" si="8"/>
        <v>CUMPLE</v>
      </c>
      <c r="BA27" s="14">
        <v>12.7</v>
      </c>
      <c r="BB27" s="14">
        <v>129</v>
      </c>
      <c r="BC27" s="13">
        <f>MAX(IF(AK27=0,0,AK27*1000/([1]Parametros!$B$4*MIN(U27,AB27))),MAX(0.062*SQRT([1]Parametros!$B$2)*H27/[1]Parametros!$B$4,0.35*H27/[1]Parametros!$B$4))</f>
        <v>1.5312788304085252</v>
      </c>
      <c r="BD27" s="13">
        <f t="shared" si="9"/>
        <v>0.25937543344343905</v>
      </c>
      <c r="BE27" s="13">
        <f t="shared" si="10"/>
        <v>2.15</v>
      </c>
      <c r="BF27" s="13">
        <f>SQRT((AI27*1000/(H27*MIN(U27,AB27)))^2+(Q27*1000000*2*((H27-2*([1]Parametros!$B$7+[1]Parametros!$B$9/2))+(I27-2*([1]Parametros!$B$7+[1]Parametros!$B$9/2)))/(1.7*((H27-2*([1]Parametros!$B$7+[1]Parametros!$B$9/2))*(I27-2*([1]Parametros!$B$7+[1]Parametros!$B$9/2)))^2))^2)</f>
        <v>1.7934319511076939</v>
      </c>
      <c r="BG27" s="13">
        <f>[1]Parametros!$B$6*(AJ27*1000/(H27*MIN(U27,AB27))+0.66*SQRT([1]Parametros!$B$2))</f>
        <v>3.2939603822754151</v>
      </c>
      <c r="BH27" s="13" t="str">
        <f t="shared" si="11"/>
        <v>CUMPLE</v>
      </c>
      <c r="BI27" s="13">
        <f>AX27*[1]Parametros!$B$8</f>
        <v>1592</v>
      </c>
      <c r="BJ27" s="15" t="str">
        <f t="shared" si="12"/>
        <v>CUMPLE</v>
      </c>
    </row>
    <row r="28" spans="1:62" x14ac:dyDescent="0.3">
      <c r="A28" s="11" t="s">
        <v>65</v>
      </c>
      <c r="B28" s="12">
        <v>95</v>
      </c>
      <c r="C28" s="13">
        <v>1</v>
      </c>
      <c r="D28" s="13">
        <v>3.15</v>
      </c>
      <c r="E28" s="13">
        <v>3.15</v>
      </c>
      <c r="F28" s="13">
        <v>450</v>
      </c>
      <c r="G28" s="13">
        <v>550</v>
      </c>
      <c r="H28" s="13">
        <v>450</v>
      </c>
      <c r="I28" s="13">
        <v>550</v>
      </c>
      <c r="J28" s="14">
        <v>140.3468</v>
      </c>
      <c r="K28" s="13">
        <v>95</v>
      </c>
      <c r="L28" s="14">
        <v>127.1816</v>
      </c>
      <c r="M28" s="13">
        <v>95</v>
      </c>
      <c r="N28" s="14">
        <v>84.462999999999994</v>
      </c>
      <c r="O28" s="14">
        <v>359.233</v>
      </c>
      <c r="P28" s="13">
        <v>95</v>
      </c>
      <c r="Q28" s="14">
        <v>5.4379999999999997</v>
      </c>
      <c r="R28" s="13">
        <f>MAX(MAX(1.4/[1]Parametros!$B$3,0.25*SQRT([1]Parametros!$B$2)/[1]Parametros!$B$3)*H28*U28,(0.85*[1]Parametros!$B$2/[1]Parametros!$B$3)*(1-SQRT(1-2*(J28*1000000/([1]Parametros!$B$5*H28*U28^2))/(0.85*[1]Parametros!$B$2)))*H28*U28)</f>
        <v>783.32298609923873</v>
      </c>
      <c r="S28" s="14">
        <v>4</v>
      </c>
      <c r="T28" s="14">
        <v>1</v>
      </c>
      <c r="U28" s="13">
        <f>IF(T28=1,I28-([1]Parametros!$B$7+[1]Parametros!$B$9+[1]Parametros!$B$12/2),I28-(ROUNDUP(S28/2,0)*([1]Parametros!$B$7+[1]Parametros!$B$9+[1]Parametros!$B$12/2)+ROUNDDOWN(S28/2,0)*([1]Parametros!$B$7+[1]Parametros!$B$9+[1]Parametros!$B$12/2+[1]Parametros!$B$12+[1]Parametros!$B$10))/S28)</f>
        <v>489.35</v>
      </c>
      <c r="V28" s="13">
        <f>S28*[1]Parametros!$B$8</f>
        <v>796</v>
      </c>
      <c r="W28" s="13">
        <f>[1]Parametros!$B$5*V28*[1]Parametros!$B$3*(U28-(V28*[1]Parametros!$B$3/(0.85*[1]Parametros!$B$2*H28))/2)/1000000</f>
        <v>142.54333009411764</v>
      </c>
      <c r="X28" s="13" t="str">
        <f t="shared" si="0"/>
        <v>CUMPLE</v>
      </c>
      <c r="Y28" s="13">
        <f>MAX(MAX(1.4/[1]Parametros!$B$3,0.25*SQRT([1]Parametros!$B$2)/[1]Parametros!$B$3)*H28*AB28,(0.85*[1]Parametros!$B$2/[1]Parametros!$B$3)*(1-SQRT(1-2*(L28*1000000/([1]Parametros!$B$5*H28*AB28^2))/(0.85*[1]Parametros!$B$2)))*H28*AB28)</f>
        <v>734.02500000000009</v>
      </c>
      <c r="Z28" s="14">
        <v>4</v>
      </c>
      <c r="AA28" s="14">
        <v>1</v>
      </c>
      <c r="AB28" s="13">
        <f>IF(AA28=1,I28-([1]Parametros!$B$7+[1]Parametros!$B$9+[1]Parametros!$B$12/2),I28-(ROUNDUP(Z28/2,0)*([1]Parametros!$B$7+[1]Parametros!$B$9+[1]Parametros!$B$12/2)+ROUNDDOWN(Z28/2,0)*([1]Parametros!$B$7+[1]Parametros!$B$9+[1]Parametros!$B$12/2+[1]Parametros!$B$12+[1]Parametros!$B$10))/Z28)</f>
        <v>489.35</v>
      </c>
      <c r="AC28" s="13">
        <f>Z28*[1]Parametros!$B$8</f>
        <v>796</v>
      </c>
      <c r="AD28" s="13">
        <f>[1]Parametros!$B$5*AC28*[1]Parametros!$B$3*(AB28-(AC28*[1]Parametros!$B$3/(0.85*[1]Parametros!$B$2*H28))/2)/1000000</f>
        <v>142.54333009411764</v>
      </c>
      <c r="AE28" s="13" t="str">
        <f t="shared" si="1"/>
        <v>CUMPLE</v>
      </c>
      <c r="AF28" s="13">
        <f>V28*1.25*[1]Parametros!$B$3*(U28-(V28*1.25*[1]Parametros!$B$3/(0.85*[1]Parametros!$B$2*H28))/2)/1000000</f>
        <v>196.34621794117646</v>
      </c>
      <c r="AG28" s="13">
        <f>AC28*1.25*[1]Parametros!$B$3*(AB28-(AC28*1.25*[1]Parametros!$B$3/(0.85*[1]Parametros!$B$2*H28))/2)/1000000</f>
        <v>196.34621794117646</v>
      </c>
      <c r="AH28" s="13">
        <f t="shared" si="2"/>
        <v>209.12726535947712</v>
      </c>
      <c r="AI28" s="13">
        <f t="shared" si="3"/>
        <v>359.233</v>
      </c>
      <c r="AJ28" s="13">
        <f>0.17*SQRT([1]Parametros!$B$2)*H28*MIN(U28,AB28)/1000</f>
        <v>198.08885582262698</v>
      </c>
      <c r="AK28" s="13">
        <f>MAX(AI28/[1]Parametros!$B$6-AJ28,0)</f>
        <v>280.88847751070637</v>
      </c>
      <c r="AL28" s="13">
        <f>0.66*SQRT([1]Parametros!$B$2)*H28*MIN(U28,AB28)/1000</f>
        <v>769.05085201725785</v>
      </c>
      <c r="AM28" s="13" t="str">
        <f t="shared" si="4"/>
        <v>CUMPLE</v>
      </c>
      <c r="AN28" s="13" t="s">
        <v>64</v>
      </c>
      <c r="AO28" s="14">
        <v>2</v>
      </c>
      <c r="AP28" s="13">
        <f>ROUNDDOWN(MIN(IF(BC28+BD28=0,1000000000,AO28*BB28/(BC28+BD28)),MIN(U28,AB28)/4,8*[1]Parametros!$B$12,24*BA28,300,IF(AV28=0,1000000000,2*((H28-2*([1]Parametros!$B$7+[1]Parametros!$B$9/2))+(I28-2*([1]Parametros!$B$7+[1]Parametros!$B$9/2)))/8))/10,0)*10</f>
        <v>100</v>
      </c>
      <c r="AQ28" s="13">
        <f>ROUNDDOWN(MIN(IF(BC28+BD28=0,1000000000,AO28*BB28/(BC28+BD28)),IF(AK28&gt;0.33*SQRT([1]Parametros!$B$2)*H28*MIN(U28,AB28)/1000,MIN(U28,AB28)/4,MIN(U28,AB28)/2),600,IF(AV28=0,1000000000,2*((H28-2*([1]Parametros!$B$7+[1]Parametros!$B$9/2))+(I28-2*([1]Parametros!$B$7+[1]Parametros!$B$9/2)))/8))/10,0)*10</f>
        <v>100</v>
      </c>
      <c r="AR28" s="13">
        <f>[1]Parametros!$B$6*(AJ28+MAX(BE28-BD28,0)*[1]Parametros!$B$4*MIN(U28,AB28)/1000)</f>
        <v>367.45289686697026</v>
      </c>
      <c r="AS28" s="13" t="str">
        <f t="shared" si="5"/>
        <v>CUMPLE</v>
      </c>
      <c r="AT28" s="13">
        <f>[1]Parametros!$B$6*0.083*SQRT([1]Parametros!$B$2)*(H28*I28)^2/(2*(H28+I28))/1000000</f>
        <v>10.08878303333792</v>
      </c>
      <c r="AU28" s="13" t="str">
        <f t="shared" si="6"/>
        <v>DESPRECIABLE</v>
      </c>
      <c r="AV28" s="13">
        <f>IF(Q28&lt;=AT28,0,Q28*1000000/([1]Parametros!$B$6*2*0.85*(H28-2*([1]Parametros!$B$7+[1]Parametros!$B$9/2))*(I28-2*([1]Parametros!$B$7+[1]Parametros!$B$9/2))*[1]Parametros!$B$4))</f>
        <v>0</v>
      </c>
      <c r="AW28" s="13">
        <f>AV28*2*((H28-2*([1]Parametros!$B$7+[1]Parametros!$B$9/2))+(I28-2*([1]Parametros!$B$7+[1]Parametros!$B$9/2)))*[1]Parametros!$B$4/[1]Parametros!$B$3</f>
        <v>0</v>
      </c>
      <c r="AX28" s="14">
        <v>0</v>
      </c>
      <c r="AY28" s="13" t="str">
        <f t="shared" si="7"/>
        <v>DESPRECIABLE</v>
      </c>
      <c r="AZ28" s="13" t="str">
        <f t="shared" si="8"/>
        <v>CUMPLE</v>
      </c>
      <c r="BA28" s="14">
        <v>9.5</v>
      </c>
      <c r="BB28" s="14">
        <v>71</v>
      </c>
      <c r="BC28" s="13">
        <f>MAX(IF(AK28=0,0,AK28*1000/([1]Parametros!$B$4*MIN(U28,AB28))),MAX(0.062*SQRT([1]Parametros!$B$2)*H28/[1]Parametros!$B$4,0.35*H28/[1]Parametros!$B$4))</f>
        <v>1.3666743421093401</v>
      </c>
      <c r="BD28" s="13">
        <f t="shared" si="9"/>
        <v>0</v>
      </c>
      <c r="BE28" s="13">
        <f t="shared" si="10"/>
        <v>1.42</v>
      </c>
      <c r="BF28" s="13">
        <f>SQRT((AI28*1000/(H28*MIN(U28,AB28)))^2+(Q28*1000000*2*((H28-2*([1]Parametros!$B$7+[1]Parametros!$B$9/2))+(I28-2*([1]Parametros!$B$7+[1]Parametros!$B$9/2)))/(1.7*((H28-2*([1]Parametros!$B$7+[1]Parametros!$B$9/2))*(I28-2*([1]Parametros!$B$7+[1]Parametros!$B$9/2)))^2))^2)</f>
        <v>1.6429764543148904</v>
      </c>
      <c r="BG28" s="13">
        <f>[1]Parametros!$B$6*(AJ28*1000/(H28*MIN(U28,AB28))+0.66*SQRT([1]Parametros!$B$2))</f>
        <v>3.2939603822754151</v>
      </c>
      <c r="BH28" s="13" t="str">
        <f t="shared" si="11"/>
        <v>CUMPLE</v>
      </c>
      <c r="BI28" s="13">
        <f>AX28*[1]Parametros!$B$8</f>
        <v>0</v>
      </c>
      <c r="BJ28" s="15" t="str">
        <f t="shared" si="12"/>
        <v>CUMPLE</v>
      </c>
    </row>
    <row r="29" spans="1:62" x14ac:dyDescent="0.3">
      <c r="A29" s="11" t="s">
        <v>65</v>
      </c>
      <c r="B29" s="12">
        <v>96</v>
      </c>
      <c r="C29" s="13">
        <v>1</v>
      </c>
      <c r="D29" s="13">
        <v>3.15</v>
      </c>
      <c r="E29" s="13">
        <v>3.15</v>
      </c>
      <c r="F29" s="13">
        <v>450</v>
      </c>
      <c r="G29" s="13">
        <v>550</v>
      </c>
      <c r="H29" s="13">
        <v>450</v>
      </c>
      <c r="I29" s="13">
        <v>550</v>
      </c>
      <c r="J29" s="14">
        <v>140.36580000000001</v>
      </c>
      <c r="K29" s="13">
        <v>96</v>
      </c>
      <c r="L29" s="14">
        <v>127.2041</v>
      </c>
      <c r="M29" s="13">
        <v>96</v>
      </c>
      <c r="N29" s="14">
        <v>84.474000000000004</v>
      </c>
      <c r="O29" s="14">
        <v>359.24400000000003</v>
      </c>
      <c r="P29" s="13">
        <v>96</v>
      </c>
      <c r="Q29" s="14">
        <v>5.4386000000000001</v>
      </c>
      <c r="R29" s="13">
        <f>MAX(MAX(1.4/[1]Parametros!$B$3,0.25*SQRT([1]Parametros!$B$2)/[1]Parametros!$B$3)*H29*U29,(0.85*[1]Parametros!$B$2/[1]Parametros!$B$3)*(1-SQRT(1-2*(J29*1000000/([1]Parametros!$B$5*H29*U29^2))/(0.85*[1]Parametros!$B$2)))*H29*U29)</f>
        <v>783.43258343631328</v>
      </c>
      <c r="S29" s="14">
        <v>4</v>
      </c>
      <c r="T29" s="14">
        <v>1</v>
      </c>
      <c r="U29" s="13">
        <f>IF(T29=1,I29-([1]Parametros!$B$7+[1]Parametros!$B$9+[1]Parametros!$B$12/2),I29-(ROUNDUP(S29/2,0)*([1]Parametros!$B$7+[1]Parametros!$B$9+[1]Parametros!$B$12/2)+ROUNDDOWN(S29/2,0)*([1]Parametros!$B$7+[1]Parametros!$B$9+[1]Parametros!$B$12/2+[1]Parametros!$B$12+[1]Parametros!$B$10))/S29)</f>
        <v>489.35</v>
      </c>
      <c r="V29" s="13">
        <f>S29*[1]Parametros!$B$8</f>
        <v>796</v>
      </c>
      <c r="W29" s="13">
        <f>[1]Parametros!$B$5*V29*[1]Parametros!$B$3*(U29-(V29*[1]Parametros!$B$3/(0.85*[1]Parametros!$B$2*H29))/2)/1000000</f>
        <v>142.54333009411764</v>
      </c>
      <c r="X29" s="13" t="str">
        <f t="shared" si="0"/>
        <v>CUMPLE</v>
      </c>
      <c r="Y29" s="13">
        <f>MAX(MAX(1.4/[1]Parametros!$B$3,0.25*SQRT([1]Parametros!$B$2)/[1]Parametros!$B$3)*H29*AB29,(0.85*[1]Parametros!$B$2/[1]Parametros!$B$3)*(1-SQRT(1-2*(L29*1000000/([1]Parametros!$B$5*H29*AB29^2))/(0.85*[1]Parametros!$B$2)))*H29*AB29)</f>
        <v>734.02500000000009</v>
      </c>
      <c r="Z29" s="14">
        <v>4</v>
      </c>
      <c r="AA29" s="14">
        <v>1</v>
      </c>
      <c r="AB29" s="13">
        <f>IF(AA29=1,I29-([1]Parametros!$B$7+[1]Parametros!$B$9+[1]Parametros!$B$12/2),I29-(ROUNDUP(Z29/2,0)*([1]Parametros!$B$7+[1]Parametros!$B$9+[1]Parametros!$B$12/2)+ROUNDDOWN(Z29/2,0)*([1]Parametros!$B$7+[1]Parametros!$B$9+[1]Parametros!$B$12/2+[1]Parametros!$B$12+[1]Parametros!$B$10))/Z29)</f>
        <v>489.35</v>
      </c>
      <c r="AC29" s="13">
        <f>Z29*[1]Parametros!$B$8</f>
        <v>796</v>
      </c>
      <c r="AD29" s="13">
        <f>[1]Parametros!$B$5*AC29*[1]Parametros!$B$3*(AB29-(AC29*[1]Parametros!$B$3/(0.85*[1]Parametros!$B$2*H29))/2)/1000000</f>
        <v>142.54333009411764</v>
      </c>
      <c r="AE29" s="13" t="str">
        <f t="shared" si="1"/>
        <v>CUMPLE</v>
      </c>
      <c r="AF29" s="13">
        <f>V29*1.25*[1]Parametros!$B$3*(U29-(V29*1.25*[1]Parametros!$B$3/(0.85*[1]Parametros!$B$2*H29))/2)/1000000</f>
        <v>196.34621794117646</v>
      </c>
      <c r="AG29" s="13">
        <f>AC29*1.25*[1]Parametros!$B$3*(AB29-(AC29*1.25*[1]Parametros!$B$3/(0.85*[1]Parametros!$B$2*H29))/2)/1000000</f>
        <v>196.34621794117646</v>
      </c>
      <c r="AH29" s="13">
        <f t="shared" si="2"/>
        <v>209.13826535947715</v>
      </c>
      <c r="AI29" s="13">
        <f t="shared" si="3"/>
        <v>359.24400000000003</v>
      </c>
      <c r="AJ29" s="13">
        <f>0.17*SQRT([1]Parametros!$B$2)*H29*MIN(U29,AB29)/1000</f>
        <v>198.08885582262698</v>
      </c>
      <c r="AK29" s="13">
        <f>MAX(AI29/[1]Parametros!$B$6-AJ29,0)</f>
        <v>280.90314417737306</v>
      </c>
      <c r="AL29" s="13">
        <f>0.66*SQRT([1]Parametros!$B$2)*H29*MIN(U29,AB29)/1000</f>
        <v>769.05085201725785</v>
      </c>
      <c r="AM29" s="13" t="str">
        <f t="shared" si="4"/>
        <v>CUMPLE</v>
      </c>
      <c r="AN29" s="13" t="s">
        <v>64</v>
      </c>
      <c r="AO29" s="14">
        <v>2</v>
      </c>
      <c r="AP29" s="13">
        <f>ROUNDDOWN(MIN(IF(BC29+BD29=0,1000000000,AO29*BB29/(BC29+BD29)),MIN(U29,AB29)/4,8*[1]Parametros!$B$12,24*BA29,300,IF(AV29=0,1000000000,2*((H29-2*([1]Parametros!$B$7+[1]Parametros!$B$9/2))+(I29-2*([1]Parametros!$B$7+[1]Parametros!$B$9/2)))/8))/10,0)*10</f>
        <v>100</v>
      </c>
      <c r="AQ29" s="13">
        <f>ROUNDDOWN(MIN(IF(BC29+BD29=0,1000000000,AO29*BB29/(BC29+BD29)),IF(AK29&gt;0.33*SQRT([1]Parametros!$B$2)*H29*MIN(U29,AB29)/1000,MIN(U29,AB29)/4,MIN(U29,AB29)/2),600,IF(AV29=0,1000000000,2*((H29-2*([1]Parametros!$B$7+[1]Parametros!$B$9/2))+(I29-2*([1]Parametros!$B$7+[1]Parametros!$B$9/2)))/8))/10,0)*10</f>
        <v>100</v>
      </c>
      <c r="AR29" s="13">
        <f>[1]Parametros!$B$6*(AJ29+MAX(BE29-BD29,0)*[1]Parametros!$B$4*MIN(U29,AB29)/1000)</f>
        <v>367.45289686697026</v>
      </c>
      <c r="AS29" s="13" t="str">
        <f t="shared" si="5"/>
        <v>CUMPLE</v>
      </c>
      <c r="AT29" s="13">
        <f>[1]Parametros!$B$6*0.083*SQRT([1]Parametros!$B$2)*(H29*I29)^2/(2*(H29+I29))/1000000</f>
        <v>10.08878303333792</v>
      </c>
      <c r="AU29" s="13" t="str">
        <f t="shared" si="6"/>
        <v>DESPRECIABLE</v>
      </c>
      <c r="AV29" s="13">
        <f>IF(Q29&lt;=AT29,0,Q29*1000000/([1]Parametros!$B$6*2*0.85*(H29-2*([1]Parametros!$B$7+[1]Parametros!$B$9/2))*(I29-2*([1]Parametros!$B$7+[1]Parametros!$B$9/2))*[1]Parametros!$B$4))</f>
        <v>0</v>
      </c>
      <c r="AW29" s="13">
        <f>AV29*2*((H29-2*([1]Parametros!$B$7+[1]Parametros!$B$9/2))+(I29-2*([1]Parametros!$B$7+[1]Parametros!$B$9/2)))*[1]Parametros!$B$4/[1]Parametros!$B$3</f>
        <v>0</v>
      </c>
      <c r="AX29" s="14">
        <v>0</v>
      </c>
      <c r="AY29" s="13" t="str">
        <f t="shared" si="7"/>
        <v>DESPRECIABLE</v>
      </c>
      <c r="AZ29" s="13" t="str">
        <f t="shared" si="8"/>
        <v>CUMPLE</v>
      </c>
      <c r="BA29" s="14">
        <v>9.5</v>
      </c>
      <c r="BB29" s="14">
        <v>71</v>
      </c>
      <c r="BC29" s="13">
        <f>MAX(IF(AK29=0,0,AK29*1000/([1]Parametros!$B$4*MIN(U29,AB29))),MAX(0.062*SQRT([1]Parametros!$B$2)*H29/[1]Parametros!$B$4,0.35*H29/[1]Parametros!$B$4))</f>
        <v>1.3667457033741217</v>
      </c>
      <c r="BD29" s="13">
        <f t="shared" si="9"/>
        <v>0</v>
      </c>
      <c r="BE29" s="13">
        <f t="shared" si="10"/>
        <v>1.42</v>
      </c>
      <c r="BF29" s="13">
        <f>SQRT((AI29*1000/(H29*MIN(U29,AB29)))^2+(Q29*1000000*2*((H29-2*([1]Parametros!$B$7+[1]Parametros!$B$9/2))+(I29-2*([1]Parametros!$B$7+[1]Parametros!$B$9/2)))/(1.7*((H29-2*([1]Parametros!$B$7+[1]Parametros!$B$9/2))*(I29-2*([1]Parametros!$B$7+[1]Parametros!$B$9/2)))^2))^2)</f>
        <v>1.6430286124546871</v>
      </c>
      <c r="BG29" s="13">
        <f>[1]Parametros!$B$6*(AJ29*1000/(H29*MIN(U29,AB29))+0.66*SQRT([1]Parametros!$B$2))</f>
        <v>3.2939603822754151</v>
      </c>
      <c r="BH29" s="13" t="str">
        <f t="shared" si="11"/>
        <v>CUMPLE</v>
      </c>
      <c r="BI29" s="13">
        <f>AX29*[1]Parametros!$B$8</f>
        <v>0</v>
      </c>
      <c r="BJ29" s="15" t="str">
        <f t="shared" si="12"/>
        <v>CUMPLE</v>
      </c>
    </row>
    <row r="30" spans="1:62" x14ac:dyDescent="0.3">
      <c r="A30" s="11" t="s">
        <v>65</v>
      </c>
      <c r="B30" s="12">
        <v>97</v>
      </c>
      <c r="C30" s="13">
        <v>1</v>
      </c>
      <c r="D30" s="13">
        <v>3.15</v>
      </c>
      <c r="E30" s="13">
        <v>3.15</v>
      </c>
      <c r="F30" s="13">
        <v>450</v>
      </c>
      <c r="G30" s="13">
        <v>550</v>
      </c>
      <c r="H30" s="13">
        <v>450</v>
      </c>
      <c r="I30" s="13">
        <v>550</v>
      </c>
      <c r="J30" s="14">
        <v>140.36099999999999</v>
      </c>
      <c r="K30" s="13">
        <v>97</v>
      </c>
      <c r="L30" s="14">
        <v>127.1982</v>
      </c>
      <c r="M30" s="13">
        <v>97</v>
      </c>
      <c r="N30" s="14">
        <v>84.471000000000004</v>
      </c>
      <c r="O30" s="14">
        <v>359.23599999999999</v>
      </c>
      <c r="P30" s="13">
        <v>97</v>
      </c>
      <c r="Q30" s="14">
        <v>5.4382999999999999</v>
      </c>
      <c r="R30" s="13">
        <f>MAX(MAX(1.4/[1]Parametros!$B$3,0.25*SQRT([1]Parametros!$B$2)/[1]Parametros!$B$3)*H30*U30,(0.85*[1]Parametros!$B$2/[1]Parametros!$B$3)*(1-SQRT(1-2*(J30*1000000/([1]Parametros!$B$5*H30*U30^2))/(0.85*[1]Parametros!$B$2)))*H30*U30)</f>
        <v>783.40489559103946</v>
      </c>
      <c r="S30" s="14">
        <v>4</v>
      </c>
      <c r="T30" s="14">
        <v>1</v>
      </c>
      <c r="U30" s="13">
        <f>IF(T30=1,I30-([1]Parametros!$B$7+[1]Parametros!$B$9+[1]Parametros!$B$12/2),I30-(ROUNDUP(S30/2,0)*([1]Parametros!$B$7+[1]Parametros!$B$9+[1]Parametros!$B$12/2)+ROUNDDOWN(S30/2,0)*([1]Parametros!$B$7+[1]Parametros!$B$9+[1]Parametros!$B$12/2+[1]Parametros!$B$12+[1]Parametros!$B$10))/S30)</f>
        <v>489.35</v>
      </c>
      <c r="V30" s="13">
        <f>S30*[1]Parametros!$B$8</f>
        <v>796</v>
      </c>
      <c r="W30" s="13">
        <f>[1]Parametros!$B$5*V30*[1]Parametros!$B$3*(U30-(V30*[1]Parametros!$B$3/(0.85*[1]Parametros!$B$2*H30))/2)/1000000</f>
        <v>142.54333009411764</v>
      </c>
      <c r="X30" s="13" t="str">
        <f t="shared" si="0"/>
        <v>CUMPLE</v>
      </c>
      <c r="Y30" s="13">
        <f>MAX(MAX(1.4/[1]Parametros!$B$3,0.25*SQRT([1]Parametros!$B$2)/[1]Parametros!$B$3)*H30*AB30,(0.85*[1]Parametros!$B$2/[1]Parametros!$B$3)*(1-SQRT(1-2*(L30*1000000/([1]Parametros!$B$5*H30*AB30^2))/(0.85*[1]Parametros!$B$2)))*H30*AB30)</f>
        <v>734.02500000000009</v>
      </c>
      <c r="Z30" s="14">
        <v>4</v>
      </c>
      <c r="AA30" s="14">
        <v>1</v>
      </c>
      <c r="AB30" s="13">
        <f>IF(AA30=1,I30-([1]Parametros!$B$7+[1]Parametros!$B$9+[1]Parametros!$B$12/2),I30-(ROUNDUP(Z30/2,0)*([1]Parametros!$B$7+[1]Parametros!$B$9+[1]Parametros!$B$12/2)+ROUNDDOWN(Z30/2,0)*([1]Parametros!$B$7+[1]Parametros!$B$9+[1]Parametros!$B$12/2+[1]Parametros!$B$12+[1]Parametros!$B$10))/Z30)</f>
        <v>489.35</v>
      </c>
      <c r="AC30" s="13">
        <f>Z30*[1]Parametros!$B$8</f>
        <v>796</v>
      </c>
      <c r="AD30" s="13">
        <f>[1]Parametros!$B$5*AC30*[1]Parametros!$B$3*(AB30-(AC30*[1]Parametros!$B$3/(0.85*[1]Parametros!$B$2*H30))/2)/1000000</f>
        <v>142.54333009411764</v>
      </c>
      <c r="AE30" s="13" t="str">
        <f t="shared" si="1"/>
        <v>CUMPLE</v>
      </c>
      <c r="AF30" s="13">
        <f>V30*1.25*[1]Parametros!$B$3*(U30-(V30*1.25*[1]Parametros!$B$3/(0.85*[1]Parametros!$B$2*H30))/2)/1000000</f>
        <v>196.34621794117646</v>
      </c>
      <c r="AG30" s="13">
        <f>AC30*1.25*[1]Parametros!$B$3*(AB30-(AC30*1.25*[1]Parametros!$B$3/(0.85*[1]Parametros!$B$2*H30))/2)/1000000</f>
        <v>196.34621794117646</v>
      </c>
      <c r="AH30" s="13">
        <f t="shared" si="2"/>
        <v>209.13526535947713</v>
      </c>
      <c r="AI30" s="13">
        <f t="shared" si="3"/>
        <v>359.23599999999999</v>
      </c>
      <c r="AJ30" s="13">
        <f>0.17*SQRT([1]Parametros!$B$2)*H30*MIN(U30,AB30)/1000</f>
        <v>198.08885582262698</v>
      </c>
      <c r="AK30" s="13">
        <f>MAX(AI30/[1]Parametros!$B$6-AJ30,0)</f>
        <v>280.89247751070639</v>
      </c>
      <c r="AL30" s="13">
        <f>0.66*SQRT([1]Parametros!$B$2)*H30*MIN(U30,AB30)/1000</f>
        <v>769.05085201725785</v>
      </c>
      <c r="AM30" s="13" t="str">
        <f t="shared" si="4"/>
        <v>CUMPLE</v>
      </c>
      <c r="AN30" s="13" t="s">
        <v>64</v>
      </c>
      <c r="AO30" s="14">
        <v>2</v>
      </c>
      <c r="AP30" s="13">
        <f>ROUNDDOWN(MIN(IF(BC30+BD30=0,1000000000,AO30*BB30/(BC30+BD30)),MIN(U30,AB30)/4,8*[1]Parametros!$B$12,24*BA30,300,IF(AV30=0,1000000000,2*((H30-2*([1]Parametros!$B$7+[1]Parametros!$B$9/2))+(I30-2*([1]Parametros!$B$7+[1]Parametros!$B$9/2)))/8))/10,0)*10</f>
        <v>100</v>
      </c>
      <c r="AQ30" s="13">
        <f>ROUNDDOWN(MIN(IF(BC30+BD30=0,1000000000,AO30*BB30/(BC30+BD30)),IF(AK30&gt;0.33*SQRT([1]Parametros!$B$2)*H30*MIN(U30,AB30)/1000,MIN(U30,AB30)/4,MIN(U30,AB30)/2),600,IF(AV30=0,1000000000,2*((H30-2*([1]Parametros!$B$7+[1]Parametros!$B$9/2))+(I30-2*([1]Parametros!$B$7+[1]Parametros!$B$9/2)))/8))/10,0)*10</f>
        <v>100</v>
      </c>
      <c r="AR30" s="13">
        <f>[1]Parametros!$B$6*(AJ30+MAX(BE30-BD30,0)*[1]Parametros!$B$4*MIN(U30,AB30)/1000)</f>
        <v>367.45289686697026</v>
      </c>
      <c r="AS30" s="13" t="str">
        <f t="shared" si="5"/>
        <v>CUMPLE</v>
      </c>
      <c r="AT30" s="13">
        <f>[1]Parametros!$B$6*0.083*SQRT([1]Parametros!$B$2)*(H30*I30)^2/(2*(H30+I30))/1000000</f>
        <v>10.08878303333792</v>
      </c>
      <c r="AU30" s="13" t="str">
        <f t="shared" si="6"/>
        <v>DESPRECIABLE</v>
      </c>
      <c r="AV30" s="13">
        <f>IF(Q30&lt;=AT30,0,Q30*1000000/([1]Parametros!$B$6*2*0.85*(H30-2*([1]Parametros!$B$7+[1]Parametros!$B$9/2))*(I30-2*([1]Parametros!$B$7+[1]Parametros!$B$9/2))*[1]Parametros!$B$4))</f>
        <v>0</v>
      </c>
      <c r="AW30" s="13">
        <f>AV30*2*((H30-2*([1]Parametros!$B$7+[1]Parametros!$B$9/2))+(I30-2*([1]Parametros!$B$7+[1]Parametros!$B$9/2)))*[1]Parametros!$B$4/[1]Parametros!$B$3</f>
        <v>0</v>
      </c>
      <c r="AX30" s="14">
        <v>0</v>
      </c>
      <c r="AY30" s="13" t="str">
        <f t="shared" si="7"/>
        <v>DESPRECIABLE</v>
      </c>
      <c r="AZ30" s="13" t="str">
        <f t="shared" si="8"/>
        <v>CUMPLE</v>
      </c>
      <c r="BA30" s="14">
        <v>9.5</v>
      </c>
      <c r="BB30" s="14">
        <v>71</v>
      </c>
      <c r="BC30" s="13">
        <f>MAX(IF(AK30=0,0,AK30*1000/([1]Parametros!$B$4*MIN(U30,AB30))),MAX(0.062*SQRT([1]Parametros!$B$2)*H30/[1]Parametros!$B$4,0.35*H30/[1]Parametros!$B$4))</f>
        <v>1.3666938042724626</v>
      </c>
      <c r="BD30" s="13">
        <f t="shared" si="9"/>
        <v>0</v>
      </c>
      <c r="BE30" s="13">
        <f t="shared" si="10"/>
        <v>1.42</v>
      </c>
      <c r="BF30" s="13">
        <f>SQRT((AI30*1000/(H30*MIN(U30,AB30)))^2+(Q30*1000000*2*((H30-2*([1]Parametros!$B$7+[1]Parametros!$B$9/2))+(I30-2*([1]Parametros!$B$7+[1]Parametros!$B$9/2)))/(1.7*((H30-2*([1]Parametros!$B$7+[1]Parametros!$B$9/2))*(I30-2*([1]Parametros!$B$7+[1]Parametros!$B$9/2)))^2))^2)</f>
        <v>1.6429912608621697</v>
      </c>
      <c r="BG30" s="13">
        <f>[1]Parametros!$B$6*(AJ30*1000/(H30*MIN(U30,AB30))+0.66*SQRT([1]Parametros!$B$2))</f>
        <v>3.2939603822754151</v>
      </c>
      <c r="BH30" s="13" t="str">
        <f t="shared" si="11"/>
        <v>CUMPLE</v>
      </c>
      <c r="BI30" s="13">
        <f>AX30*[1]Parametros!$B$8</f>
        <v>0</v>
      </c>
      <c r="BJ30" s="15" t="str">
        <f t="shared" si="12"/>
        <v>CUMPLE</v>
      </c>
    </row>
    <row r="31" spans="1:62" x14ac:dyDescent="0.3">
      <c r="A31" s="11" t="s">
        <v>65</v>
      </c>
      <c r="B31" s="12">
        <v>98</v>
      </c>
      <c r="C31" s="13">
        <v>1</v>
      </c>
      <c r="D31" s="13">
        <v>3.15</v>
      </c>
      <c r="E31" s="13">
        <v>3.15</v>
      </c>
      <c r="F31" s="13">
        <v>450</v>
      </c>
      <c r="G31" s="13">
        <v>550</v>
      </c>
      <c r="H31" s="13">
        <v>450</v>
      </c>
      <c r="I31" s="13">
        <v>550</v>
      </c>
      <c r="J31" s="14">
        <v>140.3432</v>
      </c>
      <c r="K31" s="13">
        <v>98</v>
      </c>
      <c r="L31" s="14">
        <v>127.1788</v>
      </c>
      <c r="M31" s="13">
        <v>98</v>
      </c>
      <c r="N31" s="14">
        <v>84.460999999999999</v>
      </c>
      <c r="O31" s="14">
        <v>359.226</v>
      </c>
      <c r="P31" s="13">
        <v>98</v>
      </c>
      <c r="Q31" s="14">
        <v>5.4378000000000002</v>
      </c>
      <c r="R31" s="13">
        <f>MAX(MAX(1.4/[1]Parametros!$B$3,0.25*SQRT([1]Parametros!$B$2)/[1]Parametros!$B$3)*H31*U31,(0.85*[1]Parametros!$B$2/[1]Parametros!$B$3)*(1-SQRT(1-2*(J31*1000000/([1]Parametros!$B$5*H31*U31^2))/(0.85*[1]Parametros!$B$2)))*H31*U31)</f>
        <v>783.30222040374019</v>
      </c>
      <c r="S31" s="14">
        <v>4</v>
      </c>
      <c r="T31" s="14">
        <v>1</v>
      </c>
      <c r="U31" s="13">
        <f>IF(T31=1,I31-([1]Parametros!$B$7+[1]Parametros!$B$9+[1]Parametros!$B$12/2),I31-(ROUNDUP(S31/2,0)*([1]Parametros!$B$7+[1]Parametros!$B$9+[1]Parametros!$B$12/2)+ROUNDDOWN(S31/2,0)*([1]Parametros!$B$7+[1]Parametros!$B$9+[1]Parametros!$B$12/2+[1]Parametros!$B$12+[1]Parametros!$B$10))/S31)</f>
        <v>489.35</v>
      </c>
      <c r="V31" s="13">
        <f>S31*[1]Parametros!$B$8</f>
        <v>796</v>
      </c>
      <c r="W31" s="13">
        <f>[1]Parametros!$B$5*V31*[1]Parametros!$B$3*(U31-(V31*[1]Parametros!$B$3/(0.85*[1]Parametros!$B$2*H31))/2)/1000000</f>
        <v>142.54333009411764</v>
      </c>
      <c r="X31" s="13" t="str">
        <f t="shared" si="0"/>
        <v>CUMPLE</v>
      </c>
      <c r="Y31" s="13">
        <f>MAX(MAX(1.4/[1]Parametros!$B$3,0.25*SQRT([1]Parametros!$B$2)/[1]Parametros!$B$3)*H31*AB31,(0.85*[1]Parametros!$B$2/[1]Parametros!$B$3)*(1-SQRT(1-2*(L31*1000000/([1]Parametros!$B$5*H31*AB31^2))/(0.85*[1]Parametros!$B$2)))*H31*AB31)</f>
        <v>734.02500000000009</v>
      </c>
      <c r="Z31" s="14">
        <v>4</v>
      </c>
      <c r="AA31" s="14">
        <v>1</v>
      </c>
      <c r="AB31" s="13">
        <f>IF(AA31=1,I31-([1]Parametros!$B$7+[1]Parametros!$B$9+[1]Parametros!$B$12/2),I31-(ROUNDUP(Z31/2,0)*([1]Parametros!$B$7+[1]Parametros!$B$9+[1]Parametros!$B$12/2)+ROUNDDOWN(Z31/2,0)*([1]Parametros!$B$7+[1]Parametros!$B$9+[1]Parametros!$B$12/2+[1]Parametros!$B$12+[1]Parametros!$B$10))/Z31)</f>
        <v>489.35</v>
      </c>
      <c r="AC31" s="13">
        <f>Z31*[1]Parametros!$B$8</f>
        <v>796</v>
      </c>
      <c r="AD31" s="13">
        <f>[1]Parametros!$B$5*AC31*[1]Parametros!$B$3*(AB31-(AC31*[1]Parametros!$B$3/(0.85*[1]Parametros!$B$2*H31))/2)/1000000</f>
        <v>142.54333009411764</v>
      </c>
      <c r="AE31" s="13" t="str">
        <f t="shared" si="1"/>
        <v>CUMPLE</v>
      </c>
      <c r="AF31" s="13">
        <f>V31*1.25*[1]Parametros!$B$3*(U31-(V31*1.25*[1]Parametros!$B$3/(0.85*[1]Parametros!$B$2*H31))/2)/1000000</f>
        <v>196.34621794117646</v>
      </c>
      <c r="AG31" s="13">
        <f>AC31*1.25*[1]Parametros!$B$3*(AB31-(AC31*1.25*[1]Parametros!$B$3/(0.85*[1]Parametros!$B$2*H31))/2)/1000000</f>
        <v>196.34621794117646</v>
      </c>
      <c r="AH31" s="13">
        <f t="shared" si="2"/>
        <v>209.12526535947711</v>
      </c>
      <c r="AI31" s="13">
        <f t="shared" si="3"/>
        <v>359.226</v>
      </c>
      <c r="AJ31" s="13">
        <f>0.17*SQRT([1]Parametros!$B$2)*H31*MIN(U31,AB31)/1000</f>
        <v>198.08885582262698</v>
      </c>
      <c r="AK31" s="13">
        <f>MAX(AI31/[1]Parametros!$B$6-AJ31,0)</f>
        <v>280.87914417737306</v>
      </c>
      <c r="AL31" s="13">
        <f>0.66*SQRT([1]Parametros!$B$2)*H31*MIN(U31,AB31)/1000</f>
        <v>769.05085201725785</v>
      </c>
      <c r="AM31" s="13" t="str">
        <f t="shared" si="4"/>
        <v>CUMPLE</v>
      </c>
      <c r="AN31" s="13" t="s">
        <v>64</v>
      </c>
      <c r="AO31" s="14">
        <v>2</v>
      </c>
      <c r="AP31" s="13">
        <f>ROUNDDOWN(MIN(IF(BC31+BD31=0,1000000000,AO31*BB31/(BC31+BD31)),MIN(U31,AB31)/4,8*[1]Parametros!$B$12,24*BA31,300,IF(AV31=0,1000000000,2*((H31-2*([1]Parametros!$B$7+[1]Parametros!$B$9/2))+(I31-2*([1]Parametros!$B$7+[1]Parametros!$B$9/2)))/8))/10,0)*10</f>
        <v>100</v>
      </c>
      <c r="AQ31" s="13">
        <f>ROUNDDOWN(MIN(IF(BC31+BD31=0,1000000000,AO31*BB31/(BC31+BD31)),IF(AK31&gt;0.33*SQRT([1]Parametros!$B$2)*H31*MIN(U31,AB31)/1000,MIN(U31,AB31)/4,MIN(U31,AB31)/2),600,IF(AV31=0,1000000000,2*((H31-2*([1]Parametros!$B$7+[1]Parametros!$B$9/2))+(I31-2*([1]Parametros!$B$7+[1]Parametros!$B$9/2)))/8))/10,0)*10</f>
        <v>100</v>
      </c>
      <c r="AR31" s="13">
        <f>[1]Parametros!$B$6*(AJ31+MAX(BE31-BD31,0)*[1]Parametros!$B$4*MIN(U31,AB31)/1000)</f>
        <v>367.45289686697026</v>
      </c>
      <c r="AS31" s="13" t="str">
        <f t="shared" si="5"/>
        <v>CUMPLE</v>
      </c>
      <c r="AT31" s="13">
        <f>[1]Parametros!$B$6*0.083*SQRT([1]Parametros!$B$2)*(H31*I31)^2/(2*(H31+I31))/1000000</f>
        <v>10.08878303333792</v>
      </c>
      <c r="AU31" s="13" t="str">
        <f t="shared" si="6"/>
        <v>DESPRECIABLE</v>
      </c>
      <c r="AV31" s="13">
        <f>IF(Q31&lt;=AT31,0,Q31*1000000/([1]Parametros!$B$6*2*0.85*(H31-2*([1]Parametros!$B$7+[1]Parametros!$B$9/2))*(I31-2*([1]Parametros!$B$7+[1]Parametros!$B$9/2))*[1]Parametros!$B$4))</f>
        <v>0</v>
      </c>
      <c r="AW31" s="13">
        <f>AV31*2*((H31-2*([1]Parametros!$B$7+[1]Parametros!$B$9/2))+(I31-2*([1]Parametros!$B$7+[1]Parametros!$B$9/2)))*[1]Parametros!$B$4/[1]Parametros!$B$3</f>
        <v>0</v>
      </c>
      <c r="AX31" s="14">
        <v>0</v>
      </c>
      <c r="AY31" s="13" t="str">
        <f t="shared" si="7"/>
        <v>DESPRECIABLE</v>
      </c>
      <c r="AZ31" s="13" t="str">
        <f t="shared" si="8"/>
        <v>CUMPLE</v>
      </c>
      <c r="BA31" s="14">
        <v>9.5</v>
      </c>
      <c r="BB31" s="14">
        <v>71</v>
      </c>
      <c r="BC31" s="13">
        <f>MAX(IF(AK31=0,0,AK31*1000/([1]Parametros!$B$4*MIN(U31,AB31))),MAX(0.062*SQRT([1]Parametros!$B$2)*H31/[1]Parametros!$B$4,0.35*H31/[1]Parametros!$B$4))</f>
        <v>1.3666289303953889</v>
      </c>
      <c r="BD31" s="13">
        <f t="shared" si="9"/>
        <v>0</v>
      </c>
      <c r="BE31" s="13">
        <f t="shared" si="10"/>
        <v>1.42</v>
      </c>
      <c r="BF31" s="13">
        <f>SQRT((AI31*1000/(H31*MIN(U31,AB31)))^2+(Q31*1000000*2*((H31-2*([1]Parametros!$B$7+[1]Parametros!$B$9/2))+(I31-2*([1]Parametros!$B$7+[1]Parametros!$B$9/2)))/(1.7*((H31-2*([1]Parametros!$B$7+[1]Parametros!$B$9/2))*(I31-2*([1]Parametros!$B$7+[1]Parametros!$B$9/2)))^2))^2)</f>
        <v>1.6429440382807867</v>
      </c>
      <c r="BG31" s="13">
        <f>[1]Parametros!$B$6*(AJ31*1000/(H31*MIN(U31,AB31))+0.66*SQRT([1]Parametros!$B$2))</f>
        <v>3.2939603822754151</v>
      </c>
      <c r="BH31" s="13" t="str">
        <f t="shared" si="11"/>
        <v>CUMPLE</v>
      </c>
      <c r="BI31" s="13">
        <f>AX31*[1]Parametros!$B$8</f>
        <v>0</v>
      </c>
      <c r="BJ31" s="15" t="str">
        <f t="shared" si="12"/>
        <v>CUMPLE</v>
      </c>
    </row>
    <row r="32" spans="1:62" x14ac:dyDescent="0.3">
      <c r="A32" s="11" t="s">
        <v>65</v>
      </c>
      <c r="B32" s="12">
        <v>255</v>
      </c>
      <c r="C32" s="13">
        <v>1</v>
      </c>
      <c r="D32" s="13">
        <v>3.4</v>
      </c>
      <c r="E32" s="13">
        <v>3.4</v>
      </c>
      <c r="F32" s="13">
        <v>450</v>
      </c>
      <c r="G32" s="13">
        <v>550</v>
      </c>
      <c r="H32" s="13">
        <v>450</v>
      </c>
      <c r="I32" s="13">
        <v>550</v>
      </c>
      <c r="J32" s="14">
        <v>162.4453</v>
      </c>
      <c r="K32" s="13">
        <v>255</v>
      </c>
      <c r="L32" s="14">
        <v>127.30110000000001</v>
      </c>
      <c r="M32" s="13">
        <v>255</v>
      </c>
      <c r="N32" s="14">
        <v>86.156000000000006</v>
      </c>
      <c r="O32" s="14">
        <v>352.673</v>
      </c>
      <c r="P32" s="13">
        <v>255</v>
      </c>
      <c r="Q32" s="14">
        <v>7.7767999999999997</v>
      </c>
      <c r="R32" s="13">
        <f>MAX(MAX(1.4/[1]Parametros!$B$3,0.25*SQRT([1]Parametros!$B$2)/[1]Parametros!$B$3)*H32*U32,(0.85*[1]Parametros!$B$2/[1]Parametros!$B$3)*(1-SQRT(1-2*(J32*1000000/([1]Parametros!$B$5*H32*U32^2))/(0.85*[1]Parametros!$B$2)))*H32*U32)</f>
        <v>911.49509337603013</v>
      </c>
      <c r="S32" s="14">
        <v>5</v>
      </c>
      <c r="T32" s="14">
        <v>1</v>
      </c>
      <c r="U32" s="13">
        <f>IF(T32=1,I32-([1]Parametros!$B$7+[1]Parametros!$B$9+[1]Parametros!$B$12/2),I32-(ROUNDUP(S32/2,0)*([1]Parametros!$B$7+[1]Parametros!$B$9+[1]Parametros!$B$12/2)+ROUNDDOWN(S32/2,0)*([1]Parametros!$B$7+[1]Parametros!$B$9+[1]Parametros!$B$12/2+[1]Parametros!$B$12+[1]Parametros!$B$10))/S32)</f>
        <v>489.35</v>
      </c>
      <c r="V32" s="13">
        <f>S32*[1]Parametros!$B$8</f>
        <v>995</v>
      </c>
      <c r="W32" s="13">
        <f>[1]Parametros!$B$5*V32*[1]Parametros!$B$3*(U32-(V32*[1]Parametros!$B$3/(0.85*[1]Parametros!$B$2*H32))/2)/1000000</f>
        <v>176.71159614705886</v>
      </c>
      <c r="X32" s="13" t="str">
        <f t="shared" si="0"/>
        <v>CUMPLE</v>
      </c>
      <c r="Y32" s="13">
        <f>MAX(MAX(1.4/[1]Parametros!$B$3,0.25*SQRT([1]Parametros!$B$2)/[1]Parametros!$B$3)*H32*AB32,(0.85*[1]Parametros!$B$2/[1]Parametros!$B$3)*(1-SQRT(1-2*(L32*1000000/([1]Parametros!$B$5*H32*AB32^2))/(0.85*[1]Parametros!$B$2)))*H32*AB32)</f>
        <v>734.02500000000009</v>
      </c>
      <c r="Z32" s="14">
        <v>4</v>
      </c>
      <c r="AA32" s="14">
        <v>1</v>
      </c>
      <c r="AB32" s="13">
        <f>IF(AA32=1,I32-([1]Parametros!$B$7+[1]Parametros!$B$9+[1]Parametros!$B$12/2),I32-(ROUNDUP(Z32/2,0)*([1]Parametros!$B$7+[1]Parametros!$B$9+[1]Parametros!$B$12/2)+ROUNDDOWN(Z32/2,0)*([1]Parametros!$B$7+[1]Parametros!$B$9+[1]Parametros!$B$12/2+[1]Parametros!$B$12+[1]Parametros!$B$10))/Z32)</f>
        <v>489.35</v>
      </c>
      <c r="AC32" s="13">
        <f>Z32*[1]Parametros!$B$8</f>
        <v>796</v>
      </c>
      <c r="AD32" s="13">
        <f>[1]Parametros!$B$5*AC32*[1]Parametros!$B$3*(AB32-(AC32*[1]Parametros!$B$3/(0.85*[1]Parametros!$B$2*H32))/2)/1000000</f>
        <v>142.54333009411764</v>
      </c>
      <c r="AE32" s="13" t="str">
        <f t="shared" si="1"/>
        <v>CUMPLE</v>
      </c>
      <c r="AF32" s="13">
        <f>V32*1.25*[1]Parametros!$B$3*(U32-(V32*1.25*[1]Parametros!$B$3/(0.85*[1]Parametros!$B$2*H32))/2)/1000000</f>
        <v>242.88491397058826</v>
      </c>
      <c r="AG32" s="13">
        <f>AC32*1.25*[1]Parametros!$B$3*(AB32-(AC32*1.25*[1]Parametros!$B$3/(0.85*[1]Parametros!$B$2*H32))/2)/1000000</f>
        <v>196.34621794117646</v>
      </c>
      <c r="AH32" s="13">
        <f t="shared" si="2"/>
        <v>215.34162703287197</v>
      </c>
      <c r="AI32" s="13">
        <f t="shared" si="3"/>
        <v>352.673</v>
      </c>
      <c r="AJ32" s="13">
        <f>0.17*SQRT([1]Parametros!$B$2)*H32*MIN(U32,AB32)/1000</f>
        <v>198.08885582262698</v>
      </c>
      <c r="AK32" s="13">
        <f>MAX(AI32/[1]Parametros!$B$6-AJ32,0)</f>
        <v>272.1418108440397</v>
      </c>
      <c r="AL32" s="13">
        <f>0.66*SQRT([1]Parametros!$B$2)*H32*MIN(U32,AB32)/1000</f>
        <v>769.05085201725785</v>
      </c>
      <c r="AM32" s="13" t="str">
        <f t="shared" si="4"/>
        <v>CUMPLE</v>
      </c>
      <c r="AN32" s="13" t="s">
        <v>64</v>
      </c>
      <c r="AO32" s="14">
        <v>2</v>
      </c>
      <c r="AP32" s="13">
        <f>ROUNDDOWN(MIN(IF(BC32+BD32=0,1000000000,AO32*BB32/(BC32+BD32)),MIN(U32,AB32)/4,8*[1]Parametros!$B$12,24*BA32,300,IF(AV32=0,1000000000,2*((H32-2*([1]Parametros!$B$7+[1]Parametros!$B$9/2))+(I32-2*([1]Parametros!$B$7+[1]Parametros!$B$9/2)))/8))/10,0)*10</f>
        <v>100</v>
      </c>
      <c r="AQ32" s="13">
        <f>ROUNDDOWN(MIN(IF(BC32+BD32=0,1000000000,AO32*BB32/(BC32+BD32)),IF(AK32&gt;0.33*SQRT([1]Parametros!$B$2)*H32*MIN(U32,AB32)/1000,MIN(U32,AB32)/4,MIN(U32,AB32)/2),600,IF(AV32=0,1000000000,2*((H32-2*([1]Parametros!$B$7+[1]Parametros!$B$9/2))+(I32-2*([1]Parametros!$B$7+[1]Parametros!$B$9/2)))/8))/10,0)*10</f>
        <v>100</v>
      </c>
      <c r="AR32" s="13">
        <f>[1]Parametros!$B$6*(AJ32+MAX(BE32-BD32,0)*[1]Parametros!$B$4*MIN(U32,AB32)/1000)</f>
        <v>367.45289686697026</v>
      </c>
      <c r="AS32" s="13" t="str">
        <f t="shared" si="5"/>
        <v>CUMPLE</v>
      </c>
      <c r="AT32" s="13">
        <f>[1]Parametros!$B$6*0.083*SQRT([1]Parametros!$B$2)*(H32*I32)^2/(2*(H32+I32))/1000000</f>
        <v>10.08878303333792</v>
      </c>
      <c r="AU32" s="13" t="str">
        <f t="shared" si="6"/>
        <v>DESPRECIABLE</v>
      </c>
      <c r="AV32" s="13">
        <f>IF(Q32&lt;=AT32,0,Q32*1000000/([1]Parametros!$B$6*2*0.85*(H32-2*([1]Parametros!$B$7+[1]Parametros!$B$9/2))*(I32-2*([1]Parametros!$B$7+[1]Parametros!$B$9/2))*[1]Parametros!$B$4))</f>
        <v>0</v>
      </c>
      <c r="AW32" s="13">
        <f>AV32*2*((H32-2*([1]Parametros!$B$7+[1]Parametros!$B$9/2))+(I32-2*([1]Parametros!$B$7+[1]Parametros!$B$9/2)))*[1]Parametros!$B$4/[1]Parametros!$B$3</f>
        <v>0</v>
      </c>
      <c r="AX32" s="14">
        <v>0</v>
      </c>
      <c r="AY32" s="13" t="str">
        <f t="shared" si="7"/>
        <v>DESPRECIABLE</v>
      </c>
      <c r="AZ32" s="13" t="str">
        <f t="shared" si="8"/>
        <v>CUMPLE</v>
      </c>
      <c r="BA32" s="14">
        <v>9.5</v>
      </c>
      <c r="BB32" s="14">
        <v>71</v>
      </c>
      <c r="BC32" s="13">
        <f>MAX(IF(AK32=0,0,AK32*1000/([1]Parametros!$B$4*MIN(U32,AB32))),MAX(0.062*SQRT([1]Parametros!$B$2)*H32/[1]Parametros!$B$4,0.35*H32/[1]Parametros!$B$4))</f>
        <v>1.3241170787489709</v>
      </c>
      <c r="BD32" s="13">
        <f t="shared" si="9"/>
        <v>0</v>
      </c>
      <c r="BE32" s="13">
        <f t="shared" si="10"/>
        <v>1.42</v>
      </c>
      <c r="BF32" s="13">
        <f>SQRT((AI32*1000/(H32*MIN(U32,AB32)))^2+(Q32*1000000*2*((H32-2*([1]Parametros!$B$7+[1]Parametros!$B$9/2))+(I32-2*([1]Parametros!$B$7+[1]Parametros!$B$9/2)))/(1.7*((H32-2*([1]Parametros!$B$7+[1]Parametros!$B$9/2))*(I32-2*([1]Parametros!$B$7+[1]Parametros!$B$9/2)))^2))^2)</f>
        <v>1.6256966959408128</v>
      </c>
      <c r="BG32" s="13">
        <f>[1]Parametros!$B$6*(AJ32*1000/(H32*MIN(U32,AB32))+0.66*SQRT([1]Parametros!$B$2))</f>
        <v>3.2939603822754151</v>
      </c>
      <c r="BH32" s="13" t="str">
        <f t="shared" si="11"/>
        <v>CUMPLE</v>
      </c>
      <c r="BI32" s="13">
        <f>AX32*[1]Parametros!$B$8</f>
        <v>0</v>
      </c>
      <c r="BJ32" s="15" t="str">
        <f t="shared" si="12"/>
        <v>CUMPLE</v>
      </c>
    </row>
    <row r="33" spans="1:62" x14ac:dyDescent="0.3">
      <c r="A33" s="11" t="s">
        <v>65</v>
      </c>
      <c r="B33" s="12">
        <v>256</v>
      </c>
      <c r="C33" s="13">
        <v>1</v>
      </c>
      <c r="D33" s="13">
        <v>3.4</v>
      </c>
      <c r="E33" s="13">
        <v>3.4</v>
      </c>
      <c r="F33" s="13">
        <v>450</v>
      </c>
      <c r="G33" s="13">
        <v>550</v>
      </c>
      <c r="H33" s="13">
        <v>450</v>
      </c>
      <c r="I33" s="13">
        <v>550</v>
      </c>
      <c r="J33" s="14">
        <v>162.47049999999999</v>
      </c>
      <c r="K33" s="13">
        <v>256</v>
      </c>
      <c r="L33" s="14">
        <v>127.28619999999999</v>
      </c>
      <c r="M33" s="13">
        <v>256</v>
      </c>
      <c r="N33" s="14">
        <v>86.168000000000006</v>
      </c>
      <c r="O33" s="14">
        <v>352.685</v>
      </c>
      <c r="P33" s="13">
        <v>256</v>
      </c>
      <c r="Q33" s="14">
        <v>7.7774999999999999</v>
      </c>
      <c r="R33" s="13">
        <f>MAX(MAX(1.4/[1]Parametros!$B$3,0.25*SQRT([1]Parametros!$B$2)/[1]Parametros!$B$3)*H33*U33,(0.85*[1]Parametros!$B$2/[1]Parametros!$B$3)*(1-SQRT(1-2*(J33*1000000/([1]Parametros!$B$5*H33*U33^2))/(0.85*[1]Parametros!$B$2)))*H33*U33)</f>
        <v>911.6420650283236</v>
      </c>
      <c r="S33" s="14">
        <v>5</v>
      </c>
      <c r="T33" s="14">
        <v>1</v>
      </c>
      <c r="U33" s="13">
        <f>IF(T33=1,I33-([1]Parametros!$B$7+[1]Parametros!$B$9+[1]Parametros!$B$12/2),I33-(ROUNDUP(S33/2,0)*([1]Parametros!$B$7+[1]Parametros!$B$9+[1]Parametros!$B$12/2)+ROUNDDOWN(S33/2,0)*([1]Parametros!$B$7+[1]Parametros!$B$9+[1]Parametros!$B$12/2+[1]Parametros!$B$12+[1]Parametros!$B$10))/S33)</f>
        <v>489.35</v>
      </c>
      <c r="V33" s="13">
        <f>S33*[1]Parametros!$B$8</f>
        <v>995</v>
      </c>
      <c r="W33" s="13">
        <f>[1]Parametros!$B$5*V33*[1]Parametros!$B$3*(U33-(V33*[1]Parametros!$B$3/(0.85*[1]Parametros!$B$2*H33))/2)/1000000</f>
        <v>176.71159614705886</v>
      </c>
      <c r="X33" s="13" t="str">
        <f t="shared" si="0"/>
        <v>CUMPLE</v>
      </c>
      <c r="Y33" s="13">
        <f>MAX(MAX(1.4/[1]Parametros!$B$3,0.25*SQRT([1]Parametros!$B$2)/[1]Parametros!$B$3)*H33*AB33,(0.85*[1]Parametros!$B$2/[1]Parametros!$B$3)*(1-SQRT(1-2*(L33*1000000/([1]Parametros!$B$5*H33*AB33^2))/(0.85*[1]Parametros!$B$2)))*H33*AB33)</f>
        <v>734.02500000000009</v>
      </c>
      <c r="Z33" s="14">
        <v>4</v>
      </c>
      <c r="AA33" s="14">
        <v>1</v>
      </c>
      <c r="AB33" s="13">
        <f>IF(AA33=1,I33-([1]Parametros!$B$7+[1]Parametros!$B$9+[1]Parametros!$B$12/2),I33-(ROUNDUP(Z33/2,0)*([1]Parametros!$B$7+[1]Parametros!$B$9+[1]Parametros!$B$12/2)+ROUNDDOWN(Z33/2,0)*([1]Parametros!$B$7+[1]Parametros!$B$9+[1]Parametros!$B$12/2+[1]Parametros!$B$12+[1]Parametros!$B$10))/Z33)</f>
        <v>489.35</v>
      </c>
      <c r="AC33" s="13">
        <f>Z33*[1]Parametros!$B$8</f>
        <v>796</v>
      </c>
      <c r="AD33" s="13">
        <f>[1]Parametros!$B$5*AC33*[1]Parametros!$B$3*(AB33-(AC33*[1]Parametros!$B$3/(0.85*[1]Parametros!$B$2*H33))/2)/1000000</f>
        <v>142.54333009411764</v>
      </c>
      <c r="AE33" s="13" t="str">
        <f t="shared" si="1"/>
        <v>CUMPLE</v>
      </c>
      <c r="AF33" s="13">
        <f>V33*1.25*[1]Parametros!$B$3*(U33-(V33*1.25*[1]Parametros!$B$3/(0.85*[1]Parametros!$B$2*H33))/2)/1000000</f>
        <v>242.88491397058826</v>
      </c>
      <c r="AG33" s="13">
        <f>AC33*1.25*[1]Parametros!$B$3*(AB33-(AC33*1.25*[1]Parametros!$B$3/(0.85*[1]Parametros!$B$2*H33))/2)/1000000</f>
        <v>196.34621794117646</v>
      </c>
      <c r="AH33" s="13">
        <f t="shared" si="2"/>
        <v>215.35362703287197</v>
      </c>
      <c r="AI33" s="13">
        <f t="shared" si="3"/>
        <v>352.685</v>
      </c>
      <c r="AJ33" s="13">
        <f>0.17*SQRT([1]Parametros!$B$2)*H33*MIN(U33,AB33)/1000</f>
        <v>198.08885582262698</v>
      </c>
      <c r="AK33" s="13">
        <f>MAX(AI33/[1]Parametros!$B$6-AJ33,0)</f>
        <v>272.15781084403966</v>
      </c>
      <c r="AL33" s="13">
        <f>0.66*SQRT([1]Parametros!$B$2)*H33*MIN(U33,AB33)/1000</f>
        <v>769.05085201725785</v>
      </c>
      <c r="AM33" s="13" t="str">
        <f t="shared" si="4"/>
        <v>CUMPLE</v>
      </c>
      <c r="AN33" s="13" t="s">
        <v>64</v>
      </c>
      <c r="AO33" s="14">
        <v>2</v>
      </c>
      <c r="AP33" s="13">
        <f>ROUNDDOWN(MIN(IF(BC33+BD33=0,1000000000,AO33*BB33/(BC33+BD33)),MIN(U33,AB33)/4,8*[1]Parametros!$B$12,24*BA33,300,IF(AV33=0,1000000000,2*((H33-2*([1]Parametros!$B$7+[1]Parametros!$B$9/2))+(I33-2*([1]Parametros!$B$7+[1]Parametros!$B$9/2)))/8))/10,0)*10</f>
        <v>100</v>
      </c>
      <c r="AQ33" s="13">
        <f>ROUNDDOWN(MIN(IF(BC33+BD33=0,1000000000,AO33*BB33/(BC33+BD33)),IF(AK33&gt;0.33*SQRT([1]Parametros!$B$2)*H33*MIN(U33,AB33)/1000,MIN(U33,AB33)/4,MIN(U33,AB33)/2),600,IF(AV33=0,1000000000,2*((H33-2*([1]Parametros!$B$7+[1]Parametros!$B$9/2))+(I33-2*([1]Parametros!$B$7+[1]Parametros!$B$9/2)))/8))/10,0)*10</f>
        <v>100</v>
      </c>
      <c r="AR33" s="13">
        <f>[1]Parametros!$B$6*(AJ33+MAX(BE33-BD33,0)*[1]Parametros!$B$4*MIN(U33,AB33)/1000)</f>
        <v>367.45289686697026</v>
      </c>
      <c r="AS33" s="13" t="str">
        <f t="shared" si="5"/>
        <v>CUMPLE</v>
      </c>
      <c r="AT33" s="13">
        <f>[1]Parametros!$B$6*0.083*SQRT([1]Parametros!$B$2)*(H33*I33)^2/(2*(H33+I33))/1000000</f>
        <v>10.08878303333792</v>
      </c>
      <c r="AU33" s="13" t="str">
        <f t="shared" si="6"/>
        <v>DESPRECIABLE</v>
      </c>
      <c r="AV33" s="13">
        <f>IF(Q33&lt;=AT33,0,Q33*1000000/([1]Parametros!$B$6*2*0.85*(H33-2*([1]Parametros!$B$7+[1]Parametros!$B$9/2))*(I33-2*([1]Parametros!$B$7+[1]Parametros!$B$9/2))*[1]Parametros!$B$4))</f>
        <v>0</v>
      </c>
      <c r="AW33" s="13">
        <f>AV33*2*((H33-2*([1]Parametros!$B$7+[1]Parametros!$B$9/2))+(I33-2*([1]Parametros!$B$7+[1]Parametros!$B$9/2)))*[1]Parametros!$B$4/[1]Parametros!$B$3</f>
        <v>0</v>
      </c>
      <c r="AX33" s="14">
        <v>0</v>
      </c>
      <c r="AY33" s="13" t="str">
        <f t="shared" si="7"/>
        <v>DESPRECIABLE</v>
      </c>
      <c r="AZ33" s="13" t="str">
        <f t="shared" si="8"/>
        <v>CUMPLE</v>
      </c>
      <c r="BA33" s="14">
        <v>9.5</v>
      </c>
      <c r="BB33" s="14">
        <v>71</v>
      </c>
      <c r="BC33" s="13">
        <f>MAX(IF(AK33=0,0,AK33*1000/([1]Parametros!$B$4*MIN(U33,AB33))),MAX(0.062*SQRT([1]Parametros!$B$2)*H33/[1]Parametros!$B$4,0.35*H33/[1]Parametros!$B$4))</f>
        <v>1.3241949274014591</v>
      </c>
      <c r="BD33" s="13">
        <f t="shared" si="9"/>
        <v>0</v>
      </c>
      <c r="BE33" s="13">
        <f t="shared" si="10"/>
        <v>1.42</v>
      </c>
      <c r="BF33" s="13">
        <f>SQRT((AI33*1000/(H33*MIN(U33,AB33)))^2+(Q33*1000000*2*((H33-2*([1]Parametros!$B$7+[1]Parametros!$B$9/2))+(I33-2*([1]Parametros!$B$7+[1]Parametros!$B$9/2)))/(1.7*((H33-2*([1]Parametros!$B$7+[1]Parametros!$B$9/2))*(I33-2*([1]Parametros!$B$7+[1]Parametros!$B$9/2)))^2))^2)</f>
        <v>1.6257546955416442</v>
      </c>
      <c r="BG33" s="13">
        <f>[1]Parametros!$B$6*(AJ33*1000/(H33*MIN(U33,AB33))+0.66*SQRT([1]Parametros!$B$2))</f>
        <v>3.2939603822754151</v>
      </c>
      <c r="BH33" s="13" t="str">
        <f t="shared" si="11"/>
        <v>CUMPLE</v>
      </c>
      <c r="BI33" s="13">
        <f>AX33*[1]Parametros!$B$8</f>
        <v>0</v>
      </c>
      <c r="BJ33" s="15" t="str">
        <f t="shared" si="12"/>
        <v>CUMPLE</v>
      </c>
    </row>
    <row r="34" spans="1:62" x14ac:dyDescent="0.3">
      <c r="A34" s="11" t="s">
        <v>65</v>
      </c>
      <c r="B34" s="12">
        <v>293</v>
      </c>
      <c r="C34" s="13">
        <v>1</v>
      </c>
      <c r="D34" s="13">
        <v>3.4</v>
      </c>
      <c r="E34" s="13">
        <v>3.4</v>
      </c>
      <c r="F34" s="13">
        <v>450</v>
      </c>
      <c r="G34" s="13">
        <v>550</v>
      </c>
      <c r="H34" s="13">
        <v>450</v>
      </c>
      <c r="I34" s="13">
        <v>550</v>
      </c>
      <c r="J34" s="14">
        <v>162.48599999999999</v>
      </c>
      <c r="K34" s="13">
        <v>293</v>
      </c>
      <c r="L34" s="14">
        <v>127.2993</v>
      </c>
      <c r="M34" s="13">
        <v>293</v>
      </c>
      <c r="N34" s="14">
        <v>86.174999999999997</v>
      </c>
      <c r="O34" s="14">
        <v>352.71800000000002</v>
      </c>
      <c r="P34" s="13">
        <v>293</v>
      </c>
      <c r="Q34" s="14">
        <v>7.7788000000000004</v>
      </c>
      <c r="R34" s="13">
        <f>MAX(MAX(1.4/[1]Parametros!$B$3,0.25*SQRT([1]Parametros!$B$2)/[1]Parametros!$B$3)*H34*U34,(0.85*[1]Parametros!$B$2/[1]Parametros!$B$3)*(1-SQRT(1-2*(J34*1000000/([1]Parametros!$B$5*H34*U34^2))/(0.85*[1]Parametros!$B$2)))*H34*U34)</f>
        <v>911.73246518648421</v>
      </c>
      <c r="S34" s="14">
        <v>5</v>
      </c>
      <c r="T34" s="14">
        <v>1</v>
      </c>
      <c r="U34" s="13">
        <f>IF(T34=1,I34-([1]Parametros!$B$7+[1]Parametros!$B$9+[1]Parametros!$B$12/2),I34-(ROUNDUP(S34/2,0)*([1]Parametros!$B$7+[1]Parametros!$B$9+[1]Parametros!$B$12/2)+ROUNDDOWN(S34/2,0)*([1]Parametros!$B$7+[1]Parametros!$B$9+[1]Parametros!$B$12/2+[1]Parametros!$B$12+[1]Parametros!$B$10))/S34)</f>
        <v>489.35</v>
      </c>
      <c r="V34" s="13">
        <f>S34*[1]Parametros!$B$8</f>
        <v>995</v>
      </c>
      <c r="W34" s="13">
        <f>[1]Parametros!$B$5*V34*[1]Parametros!$B$3*(U34-(V34*[1]Parametros!$B$3/(0.85*[1]Parametros!$B$2*H34))/2)/1000000</f>
        <v>176.71159614705886</v>
      </c>
      <c r="X34" s="13" t="str">
        <f t="shared" si="0"/>
        <v>CUMPLE</v>
      </c>
      <c r="Y34" s="13">
        <f>MAX(MAX(1.4/[1]Parametros!$B$3,0.25*SQRT([1]Parametros!$B$2)/[1]Parametros!$B$3)*H34*AB34,(0.85*[1]Parametros!$B$2/[1]Parametros!$B$3)*(1-SQRT(1-2*(L34*1000000/([1]Parametros!$B$5*H34*AB34^2))/(0.85*[1]Parametros!$B$2)))*H34*AB34)</f>
        <v>734.02500000000009</v>
      </c>
      <c r="Z34" s="14">
        <v>4</v>
      </c>
      <c r="AA34" s="14">
        <v>1</v>
      </c>
      <c r="AB34" s="13">
        <f>IF(AA34=1,I34-([1]Parametros!$B$7+[1]Parametros!$B$9+[1]Parametros!$B$12/2),I34-(ROUNDUP(Z34/2,0)*([1]Parametros!$B$7+[1]Parametros!$B$9+[1]Parametros!$B$12/2)+ROUNDDOWN(Z34/2,0)*([1]Parametros!$B$7+[1]Parametros!$B$9+[1]Parametros!$B$12/2+[1]Parametros!$B$12+[1]Parametros!$B$10))/Z34)</f>
        <v>489.35</v>
      </c>
      <c r="AC34" s="13">
        <f>Z34*[1]Parametros!$B$8</f>
        <v>796</v>
      </c>
      <c r="AD34" s="13">
        <f>[1]Parametros!$B$5*AC34*[1]Parametros!$B$3*(AB34-(AC34*[1]Parametros!$B$3/(0.85*[1]Parametros!$B$2*H34))/2)/1000000</f>
        <v>142.54333009411764</v>
      </c>
      <c r="AE34" s="13" t="str">
        <f t="shared" si="1"/>
        <v>CUMPLE</v>
      </c>
      <c r="AF34" s="13">
        <f>V34*1.25*[1]Parametros!$B$3*(U34-(V34*1.25*[1]Parametros!$B$3/(0.85*[1]Parametros!$B$2*H34))/2)/1000000</f>
        <v>242.88491397058826</v>
      </c>
      <c r="AG34" s="13">
        <f>AC34*1.25*[1]Parametros!$B$3*(AB34-(AC34*1.25*[1]Parametros!$B$3/(0.85*[1]Parametros!$B$2*H34))/2)/1000000</f>
        <v>196.34621794117646</v>
      </c>
      <c r="AH34" s="13">
        <f t="shared" si="2"/>
        <v>215.36062703287195</v>
      </c>
      <c r="AI34" s="13">
        <f t="shared" si="3"/>
        <v>352.71800000000002</v>
      </c>
      <c r="AJ34" s="13">
        <f>0.17*SQRT([1]Parametros!$B$2)*H34*MIN(U34,AB34)/1000</f>
        <v>198.08885582262698</v>
      </c>
      <c r="AK34" s="13">
        <f>MAX(AI34/[1]Parametros!$B$6-AJ34,0)</f>
        <v>272.20181084403976</v>
      </c>
      <c r="AL34" s="13">
        <f>0.66*SQRT([1]Parametros!$B$2)*H34*MIN(U34,AB34)/1000</f>
        <v>769.05085201725785</v>
      </c>
      <c r="AM34" s="13" t="str">
        <f t="shared" si="4"/>
        <v>CUMPLE</v>
      </c>
      <c r="AN34" s="13" t="s">
        <v>64</v>
      </c>
      <c r="AO34" s="14">
        <v>2</v>
      </c>
      <c r="AP34" s="13">
        <f>ROUNDDOWN(MIN(IF(BC34+BD34=0,1000000000,AO34*BB34/(BC34+BD34)),MIN(U34,AB34)/4,8*[1]Parametros!$B$12,24*BA34,300,IF(AV34=0,1000000000,2*((H34-2*([1]Parametros!$B$7+[1]Parametros!$B$9/2))+(I34-2*([1]Parametros!$B$7+[1]Parametros!$B$9/2)))/8))/10,0)*10</f>
        <v>100</v>
      </c>
      <c r="AQ34" s="13">
        <f>ROUNDDOWN(MIN(IF(BC34+BD34=0,1000000000,AO34*BB34/(BC34+BD34)),IF(AK34&gt;0.33*SQRT([1]Parametros!$B$2)*H34*MIN(U34,AB34)/1000,MIN(U34,AB34)/4,MIN(U34,AB34)/2),600,IF(AV34=0,1000000000,2*((H34-2*([1]Parametros!$B$7+[1]Parametros!$B$9/2))+(I34-2*([1]Parametros!$B$7+[1]Parametros!$B$9/2)))/8))/10,0)*10</f>
        <v>100</v>
      </c>
      <c r="AR34" s="13">
        <f>[1]Parametros!$B$6*(AJ34+MAX(BE34-BD34,0)*[1]Parametros!$B$4*MIN(U34,AB34)/1000)</f>
        <v>367.45289686697026</v>
      </c>
      <c r="AS34" s="13" t="str">
        <f t="shared" si="5"/>
        <v>CUMPLE</v>
      </c>
      <c r="AT34" s="13">
        <f>[1]Parametros!$B$6*0.083*SQRT([1]Parametros!$B$2)*(H34*I34)^2/(2*(H34+I34))/1000000</f>
        <v>10.08878303333792</v>
      </c>
      <c r="AU34" s="13" t="str">
        <f t="shared" si="6"/>
        <v>DESPRECIABLE</v>
      </c>
      <c r="AV34" s="13">
        <f>IF(Q34&lt;=AT34,0,Q34*1000000/([1]Parametros!$B$6*2*0.85*(H34-2*([1]Parametros!$B$7+[1]Parametros!$B$9/2))*(I34-2*([1]Parametros!$B$7+[1]Parametros!$B$9/2))*[1]Parametros!$B$4))</f>
        <v>0</v>
      </c>
      <c r="AW34" s="13">
        <f>AV34*2*((H34-2*([1]Parametros!$B$7+[1]Parametros!$B$9/2))+(I34-2*([1]Parametros!$B$7+[1]Parametros!$B$9/2)))*[1]Parametros!$B$4/[1]Parametros!$B$3</f>
        <v>0</v>
      </c>
      <c r="AX34" s="14">
        <v>0</v>
      </c>
      <c r="AY34" s="13" t="str">
        <f t="shared" si="7"/>
        <v>DESPRECIABLE</v>
      </c>
      <c r="AZ34" s="13" t="str">
        <f t="shared" si="8"/>
        <v>CUMPLE</v>
      </c>
      <c r="BA34" s="14">
        <v>9.5</v>
      </c>
      <c r="BB34" s="14">
        <v>71</v>
      </c>
      <c r="BC34" s="13">
        <f>MAX(IF(AK34=0,0,AK34*1000/([1]Parametros!$B$4*MIN(U34,AB34))),MAX(0.062*SQRT([1]Parametros!$B$2)*H34/[1]Parametros!$B$4,0.35*H34/[1]Parametros!$B$4))</f>
        <v>1.3244090111958029</v>
      </c>
      <c r="BD34" s="13">
        <f t="shared" si="9"/>
        <v>0</v>
      </c>
      <c r="BE34" s="13">
        <f t="shared" si="10"/>
        <v>1.42</v>
      </c>
      <c r="BF34" s="13">
        <f>SQRT((AI34*1000/(H34*MIN(U34,AB34)))^2+(Q34*1000000*2*((H34-2*([1]Parametros!$B$7+[1]Parametros!$B$9/2))+(I34-2*([1]Parametros!$B$7+[1]Parametros!$B$9/2)))/(1.7*((H34-2*([1]Parametros!$B$7+[1]Parametros!$B$9/2))*(I34-2*([1]Parametros!$B$7+[1]Parametros!$B$9/2)))^2))^2)</f>
        <v>1.6259103419469116</v>
      </c>
      <c r="BG34" s="13">
        <f>[1]Parametros!$B$6*(AJ34*1000/(H34*MIN(U34,AB34))+0.66*SQRT([1]Parametros!$B$2))</f>
        <v>3.2939603822754151</v>
      </c>
      <c r="BH34" s="13" t="str">
        <f t="shared" si="11"/>
        <v>CUMPLE</v>
      </c>
      <c r="BI34" s="13">
        <f>AX34*[1]Parametros!$B$8</f>
        <v>0</v>
      </c>
      <c r="BJ34" s="15" t="str">
        <f t="shared" si="12"/>
        <v>CUMPLE</v>
      </c>
    </row>
    <row r="35" spans="1:62" x14ac:dyDescent="0.3">
      <c r="A35" s="11" t="s">
        <v>65</v>
      </c>
      <c r="B35" s="12">
        <v>294</v>
      </c>
      <c r="C35" s="13">
        <v>1</v>
      </c>
      <c r="D35" s="13">
        <v>3.4</v>
      </c>
      <c r="E35" s="13">
        <v>3.4</v>
      </c>
      <c r="F35" s="13">
        <v>450</v>
      </c>
      <c r="G35" s="13">
        <v>550</v>
      </c>
      <c r="H35" s="13">
        <v>450</v>
      </c>
      <c r="I35" s="13">
        <v>550</v>
      </c>
      <c r="J35" s="14">
        <v>162.45670000000001</v>
      </c>
      <c r="K35" s="13">
        <v>294</v>
      </c>
      <c r="L35" s="14">
        <v>127.3164</v>
      </c>
      <c r="M35" s="13">
        <v>294</v>
      </c>
      <c r="N35" s="14">
        <v>86.161000000000001</v>
      </c>
      <c r="O35" s="14">
        <v>352.70400000000001</v>
      </c>
      <c r="P35" s="13">
        <v>294</v>
      </c>
      <c r="Q35" s="14">
        <v>7.7782</v>
      </c>
      <c r="R35" s="13">
        <f>MAX(MAX(1.4/[1]Parametros!$B$3,0.25*SQRT([1]Parametros!$B$2)/[1]Parametros!$B$3)*H35*U35,(0.85*[1]Parametros!$B$2/[1]Parametros!$B$3)*(1-SQRT(1-2*(J35*1000000/([1]Parametros!$B$5*H35*U35^2))/(0.85*[1]Parametros!$B$2)))*H35*U35)</f>
        <v>911.56158032075234</v>
      </c>
      <c r="S35" s="14">
        <v>5</v>
      </c>
      <c r="T35" s="14">
        <v>1</v>
      </c>
      <c r="U35" s="13">
        <f>IF(T35=1,I35-([1]Parametros!$B$7+[1]Parametros!$B$9+[1]Parametros!$B$12/2),I35-(ROUNDUP(S35/2,0)*([1]Parametros!$B$7+[1]Parametros!$B$9+[1]Parametros!$B$12/2)+ROUNDDOWN(S35/2,0)*([1]Parametros!$B$7+[1]Parametros!$B$9+[1]Parametros!$B$12/2+[1]Parametros!$B$12+[1]Parametros!$B$10))/S35)</f>
        <v>489.35</v>
      </c>
      <c r="V35" s="13">
        <f>S35*[1]Parametros!$B$8</f>
        <v>995</v>
      </c>
      <c r="W35" s="13">
        <f>[1]Parametros!$B$5*V35*[1]Parametros!$B$3*(U35-(V35*[1]Parametros!$B$3/(0.85*[1]Parametros!$B$2*H35))/2)/1000000</f>
        <v>176.71159614705886</v>
      </c>
      <c r="X35" s="13" t="str">
        <f t="shared" si="0"/>
        <v>CUMPLE</v>
      </c>
      <c r="Y35" s="13">
        <f>MAX(MAX(1.4/[1]Parametros!$B$3,0.25*SQRT([1]Parametros!$B$2)/[1]Parametros!$B$3)*H35*AB35,(0.85*[1]Parametros!$B$2/[1]Parametros!$B$3)*(1-SQRT(1-2*(L35*1000000/([1]Parametros!$B$5*H35*AB35^2))/(0.85*[1]Parametros!$B$2)))*H35*AB35)</f>
        <v>734.02500000000009</v>
      </c>
      <c r="Z35" s="14">
        <v>4</v>
      </c>
      <c r="AA35" s="14">
        <v>1</v>
      </c>
      <c r="AB35" s="13">
        <f>IF(AA35=1,I35-([1]Parametros!$B$7+[1]Parametros!$B$9+[1]Parametros!$B$12/2),I35-(ROUNDUP(Z35/2,0)*([1]Parametros!$B$7+[1]Parametros!$B$9+[1]Parametros!$B$12/2)+ROUNDDOWN(Z35/2,0)*([1]Parametros!$B$7+[1]Parametros!$B$9+[1]Parametros!$B$12/2+[1]Parametros!$B$12+[1]Parametros!$B$10))/Z35)</f>
        <v>489.35</v>
      </c>
      <c r="AC35" s="13">
        <f>Z35*[1]Parametros!$B$8</f>
        <v>796</v>
      </c>
      <c r="AD35" s="13">
        <f>[1]Parametros!$B$5*AC35*[1]Parametros!$B$3*(AB35-(AC35*[1]Parametros!$B$3/(0.85*[1]Parametros!$B$2*H35))/2)/1000000</f>
        <v>142.54333009411764</v>
      </c>
      <c r="AE35" s="13" t="str">
        <f t="shared" si="1"/>
        <v>CUMPLE</v>
      </c>
      <c r="AF35" s="13">
        <f>V35*1.25*[1]Parametros!$B$3*(U35-(V35*1.25*[1]Parametros!$B$3/(0.85*[1]Parametros!$B$2*H35))/2)/1000000</f>
        <v>242.88491397058826</v>
      </c>
      <c r="AG35" s="13">
        <f>AC35*1.25*[1]Parametros!$B$3*(AB35-(AC35*1.25*[1]Parametros!$B$3/(0.85*[1]Parametros!$B$2*H35))/2)/1000000</f>
        <v>196.34621794117646</v>
      </c>
      <c r="AH35" s="13">
        <f t="shared" si="2"/>
        <v>215.34662703287196</v>
      </c>
      <c r="AI35" s="13">
        <f t="shared" si="3"/>
        <v>352.70400000000001</v>
      </c>
      <c r="AJ35" s="13">
        <f>0.17*SQRT([1]Parametros!$B$2)*H35*MIN(U35,AB35)/1000</f>
        <v>198.08885582262698</v>
      </c>
      <c r="AK35" s="13">
        <f>MAX(AI35/[1]Parametros!$B$6-AJ35,0)</f>
        <v>272.18314417737304</v>
      </c>
      <c r="AL35" s="13">
        <f>0.66*SQRT([1]Parametros!$B$2)*H35*MIN(U35,AB35)/1000</f>
        <v>769.05085201725785</v>
      </c>
      <c r="AM35" s="13" t="str">
        <f t="shared" si="4"/>
        <v>CUMPLE</v>
      </c>
      <c r="AN35" s="13" t="s">
        <v>64</v>
      </c>
      <c r="AO35" s="14">
        <v>2</v>
      </c>
      <c r="AP35" s="13">
        <f>ROUNDDOWN(MIN(IF(BC35+BD35=0,1000000000,AO35*BB35/(BC35+BD35)),MIN(U35,AB35)/4,8*[1]Parametros!$B$12,24*BA35,300,IF(AV35=0,1000000000,2*((H35-2*([1]Parametros!$B$7+[1]Parametros!$B$9/2))+(I35-2*([1]Parametros!$B$7+[1]Parametros!$B$9/2)))/8))/10,0)*10</f>
        <v>100</v>
      </c>
      <c r="AQ35" s="13">
        <f>ROUNDDOWN(MIN(IF(BC35+BD35=0,1000000000,AO35*BB35/(BC35+BD35)),IF(AK35&gt;0.33*SQRT([1]Parametros!$B$2)*H35*MIN(U35,AB35)/1000,MIN(U35,AB35)/4,MIN(U35,AB35)/2),600,IF(AV35=0,1000000000,2*((H35-2*([1]Parametros!$B$7+[1]Parametros!$B$9/2))+(I35-2*([1]Parametros!$B$7+[1]Parametros!$B$9/2)))/8))/10,0)*10</f>
        <v>100</v>
      </c>
      <c r="AR35" s="13">
        <f>[1]Parametros!$B$6*(AJ35+MAX(BE35-BD35,0)*[1]Parametros!$B$4*MIN(U35,AB35)/1000)</f>
        <v>367.45289686697026</v>
      </c>
      <c r="AS35" s="13" t="str">
        <f t="shared" si="5"/>
        <v>CUMPLE</v>
      </c>
      <c r="AT35" s="13">
        <f>[1]Parametros!$B$6*0.083*SQRT([1]Parametros!$B$2)*(H35*I35)^2/(2*(H35+I35))/1000000</f>
        <v>10.08878303333792</v>
      </c>
      <c r="AU35" s="13" t="str">
        <f t="shared" si="6"/>
        <v>DESPRECIABLE</v>
      </c>
      <c r="AV35" s="13">
        <f>IF(Q35&lt;=AT35,0,Q35*1000000/([1]Parametros!$B$6*2*0.85*(H35-2*([1]Parametros!$B$7+[1]Parametros!$B$9/2))*(I35-2*([1]Parametros!$B$7+[1]Parametros!$B$9/2))*[1]Parametros!$B$4))</f>
        <v>0</v>
      </c>
      <c r="AW35" s="13">
        <f>AV35*2*((H35-2*([1]Parametros!$B$7+[1]Parametros!$B$9/2))+(I35-2*([1]Parametros!$B$7+[1]Parametros!$B$9/2)))*[1]Parametros!$B$4/[1]Parametros!$B$3</f>
        <v>0</v>
      </c>
      <c r="AX35" s="14">
        <v>0</v>
      </c>
      <c r="AY35" s="13" t="str">
        <f t="shared" si="7"/>
        <v>DESPRECIABLE</v>
      </c>
      <c r="AZ35" s="13" t="str">
        <f t="shared" si="8"/>
        <v>CUMPLE</v>
      </c>
      <c r="BA35" s="14">
        <v>9.5</v>
      </c>
      <c r="BB35" s="14">
        <v>71</v>
      </c>
      <c r="BC35" s="13">
        <f>MAX(IF(AK35=0,0,AK35*1000/([1]Parametros!$B$4*MIN(U35,AB35))),MAX(0.062*SQRT([1]Parametros!$B$2)*H35/[1]Parametros!$B$4,0.35*H35/[1]Parametros!$B$4))</f>
        <v>1.3243181877678993</v>
      </c>
      <c r="BD35" s="13">
        <f t="shared" si="9"/>
        <v>0</v>
      </c>
      <c r="BE35" s="13">
        <f t="shared" si="10"/>
        <v>1.42</v>
      </c>
      <c r="BF35" s="13">
        <f>SQRT((AI35*1000/(H35*MIN(U35,AB35)))^2+(Q35*1000000*2*((H35-2*([1]Parametros!$B$7+[1]Parametros!$B$9/2))+(I35-2*([1]Parametros!$B$7+[1]Parametros!$B$9/2)))/(1.7*((H35-2*([1]Parametros!$B$7+[1]Parametros!$B$9/2))*(I35-2*([1]Parametros!$B$7+[1]Parametros!$B$9/2)))^2))^2)</f>
        <v>1.6258440112107706</v>
      </c>
      <c r="BG35" s="13">
        <f>[1]Parametros!$B$6*(AJ35*1000/(H35*MIN(U35,AB35))+0.66*SQRT([1]Parametros!$B$2))</f>
        <v>3.2939603822754151</v>
      </c>
      <c r="BH35" s="13" t="str">
        <f t="shared" si="11"/>
        <v>CUMPLE</v>
      </c>
      <c r="BI35" s="13">
        <f>AX35*[1]Parametros!$B$8</f>
        <v>0</v>
      </c>
      <c r="BJ35" s="15" t="str">
        <f t="shared" si="12"/>
        <v>CUMPLE</v>
      </c>
    </row>
    <row r="36" spans="1:62" x14ac:dyDescent="0.3">
      <c r="A36" s="11" t="s">
        <v>65</v>
      </c>
      <c r="B36" s="12">
        <v>813</v>
      </c>
      <c r="C36" s="13">
        <v>1</v>
      </c>
      <c r="D36" s="13">
        <v>3.4</v>
      </c>
      <c r="E36" s="13">
        <v>3.4</v>
      </c>
      <c r="F36" s="13">
        <v>450</v>
      </c>
      <c r="G36" s="13">
        <v>550</v>
      </c>
      <c r="H36" s="13">
        <v>450</v>
      </c>
      <c r="I36" s="13">
        <v>550</v>
      </c>
      <c r="J36" s="14">
        <v>133.20249999999999</v>
      </c>
      <c r="K36" s="13">
        <v>813</v>
      </c>
      <c r="L36" s="14">
        <v>99.912199999999999</v>
      </c>
      <c r="M36" s="13">
        <v>813</v>
      </c>
      <c r="N36" s="14">
        <v>72.265000000000001</v>
      </c>
      <c r="O36" s="14">
        <v>275.44</v>
      </c>
      <c r="P36" s="13">
        <v>813</v>
      </c>
      <c r="Q36" s="14">
        <v>6.5157999999999996</v>
      </c>
      <c r="R36" s="13">
        <f>MAX(MAX(1.4/[1]Parametros!$B$3,0.25*SQRT([1]Parametros!$B$2)/[1]Parametros!$B$3)*H36*U36,(0.85*[1]Parametros!$B$2/[1]Parametros!$B$3)*(1-SQRT(1-2*(J36*1000000/([1]Parametros!$B$5*H36*U36^2))/(0.85*[1]Parametros!$B$2)))*H36*U36)</f>
        <v>742.18520151219286</v>
      </c>
      <c r="S36" s="14">
        <v>4</v>
      </c>
      <c r="T36" s="14">
        <v>1</v>
      </c>
      <c r="U36" s="13">
        <f>IF(T36=1,I36-([1]Parametros!$B$7+[1]Parametros!$B$9+[1]Parametros!$B$12/2),I36-(ROUNDUP(S36/2,0)*([1]Parametros!$B$7+[1]Parametros!$B$9+[1]Parametros!$B$12/2)+ROUNDDOWN(S36/2,0)*([1]Parametros!$B$7+[1]Parametros!$B$9+[1]Parametros!$B$12/2+[1]Parametros!$B$12+[1]Parametros!$B$10))/S36)</f>
        <v>489.35</v>
      </c>
      <c r="V36" s="13">
        <f>S36*[1]Parametros!$B$8</f>
        <v>796</v>
      </c>
      <c r="W36" s="13">
        <f>[1]Parametros!$B$5*V36*[1]Parametros!$B$3*(U36-(V36*[1]Parametros!$B$3/(0.85*[1]Parametros!$B$2*H36))/2)/1000000</f>
        <v>142.54333009411764</v>
      </c>
      <c r="X36" s="13" t="str">
        <f t="shared" si="0"/>
        <v>CUMPLE</v>
      </c>
      <c r="Y36" s="13">
        <f>MAX(MAX(1.4/[1]Parametros!$B$3,0.25*SQRT([1]Parametros!$B$2)/[1]Parametros!$B$3)*H36*AB36,(0.85*[1]Parametros!$B$2/[1]Parametros!$B$3)*(1-SQRT(1-2*(L36*1000000/([1]Parametros!$B$5*H36*AB36^2))/(0.85*[1]Parametros!$B$2)))*H36*AB36)</f>
        <v>734.02500000000009</v>
      </c>
      <c r="Z36" s="14">
        <v>4</v>
      </c>
      <c r="AA36" s="14">
        <v>1</v>
      </c>
      <c r="AB36" s="13">
        <f>IF(AA36=1,I36-([1]Parametros!$B$7+[1]Parametros!$B$9+[1]Parametros!$B$12/2),I36-(ROUNDUP(Z36/2,0)*([1]Parametros!$B$7+[1]Parametros!$B$9+[1]Parametros!$B$12/2)+ROUNDDOWN(Z36/2,0)*([1]Parametros!$B$7+[1]Parametros!$B$9+[1]Parametros!$B$12/2+[1]Parametros!$B$12+[1]Parametros!$B$10))/Z36)</f>
        <v>489.35</v>
      </c>
      <c r="AC36" s="13">
        <f>Z36*[1]Parametros!$B$8</f>
        <v>796</v>
      </c>
      <c r="AD36" s="13">
        <f>[1]Parametros!$B$5*AC36*[1]Parametros!$B$3*(AB36-(AC36*[1]Parametros!$B$3/(0.85*[1]Parametros!$B$2*H36))/2)/1000000</f>
        <v>142.54333009411764</v>
      </c>
      <c r="AE36" s="13" t="str">
        <f t="shared" si="1"/>
        <v>CUMPLE</v>
      </c>
      <c r="AF36" s="13">
        <f>V36*1.25*[1]Parametros!$B$3*(U36-(V36*1.25*[1]Parametros!$B$3/(0.85*[1]Parametros!$B$2*H36))/2)/1000000</f>
        <v>196.34621794117646</v>
      </c>
      <c r="AG36" s="13">
        <f>AC36*1.25*[1]Parametros!$B$3*(AB36-(AC36*1.25*[1]Parametros!$B$3/(0.85*[1]Parametros!$B$2*H36))/2)/1000000</f>
        <v>196.34621794117646</v>
      </c>
      <c r="AH36" s="13">
        <f t="shared" si="2"/>
        <v>187.76277525951556</v>
      </c>
      <c r="AI36" s="13">
        <f t="shared" si="3"/>
        <v>275.44</v>
      </c>
      <c r="AJ36" s="13">
        <f>0.17*SQRT([1]Parametros!$B$2)*H36*MIN(U36,AB36)/1000</f>
        <v>198.08885582262698</v>
      </c>
      <c r="AK36" s="13">
        <f>MAX(AI36/[1]Parametros!$B$6-AJ36,0)</f>
        <v>169.16447751070635</v>
      </c>
      <c r="AL36" s="13">
        <f>0.66*SQRT([1]Parametros!$B$2)*H36*MIN(U36,AB36)/1000</f>
        <v>769.05085201725785</v>
      </c>
      <c r="AM36" s="13" t="str">
        <f t="shared" si="4"/>
        <v>CUMPLE</v>
      </c>
      <c r="AN36" s="13" t="s">
        <v>64</v>
      </c>
      <c r="AO36" s="14">
        <v>2</v>
      </c>
      <c r="AP36" s="13">
        <f>ROUNDDOWN(MIN(IF(BC36+BD36=0,1000000000,AO36*BB36/(BC36+BD36)),MIN(U36,AB36)/4,8*[1]Parametros!$B$12,24*BA36,300,IF(AV36=0,1000000000,2*((H36-2*([1]Parametros!$B$7+[1]Parametros!$B$9/2))+(I36-2*([1]Parametros!$B$7+[1]Parametros!$B$9/2)))/8))/10,0)*10</f>
        <v>120</v>
      </c>
      <c r="AQ36" s="13">
        <f>ROUNDDOWN(MIN(IF(BC36+BD36=0,1000000000,AO36*BB36/(BC36+BD36)),IF(AK36&gt;0.33*SQRT([1]Parametros!$B$2)*H36*MIN(U36,AB36)/1000,MIN(U36,AB36)/4,MIN(U36,AB36)/2),600,IF(AV36=0,1000000000,2*((H36-2*([1]Parametros!$B$7+[1]Parametros!$B$9/2))+(I36-2*([1]Parametros!$B$7+[1]Parametros!$B$9/2)))/8))/10,0)*10</f>
        <v>170</v>
      </c>
      <c r="AR36" s="13">
        <f>[1]Parametros!$B$6*(AJ36+MAX(BE36-BD36,0)*[1]Parametros!$B$4*MIN(U36,AB36)/1000)</f>
        <v>330.97185436697026</v>
      </c>
      <c r="AS36" s="13" t="str">
        <f t="shared" si="5"/>
        <v>CUMPLE</v>
      </c>
      <c r="AT36" s="13">
        <f>[1]Parametros!$B$6*0.083*SQRT([1]Parametros!$B$2)*(H36*I36)^2/(2*(H36+I36))/1000000</f>
        <v>10.08878303333792</v>
      </c>
      <c r="AU36" s="13" t="str">
        <f t="shared" si="6"/>
        <v>DESPRECIABLE</v>
      </c>
      <c r="AV36" s="13">
        <f>IF(Q36&lt;=AT36,0,Q36*1000000/([1]Parametros!$B$6*2*0.85*(H36-2*([1]Parametros!$B$7+[1]Parametros!$B$9/2))*(I36-2*([1]Parametros!$B$7+[1]Parametros!$B$9/2))*[1]Parametros!$B$4))</f>
        <v>0</v>
      </c>
      <c r="AW36" s="13">
        <f>AV36*2*((H36-2*([1]Parametros!$B$7+[1]Parametros!$B$9/2))+(I36-2*([1]Parametros!$B$7+[1]Parametros!$B$9/2)))*[1]Parametros!$B$4/[1]Parametros!$B$3</f>
        <v>0</v>
      </c>
      <c r="AX36" s="14">
        <v>0</v>
      </c>
      <c r="AY36" s="13" t="str">
        <f t="shared" si="7"/>
        <v>DESPRECIABLE</v>
      </c>
      <c r="AZ36" s="13" t="str">
        <f t="shared" si="8"/>
        <v>CUMPLE</v>
      </c>
      <c r="BA36" s="14">
        <v>9.5</v>
      </c>
      <c r="BB36" s="14">
        <v>71</v>
      </c>
      <c r="BC36" s="13">
        <f>MAX(IF(AK36=0,0,AK36*1000/([1]Parametros!$B$4*MIN(U36,AB36))),MAX(0.062*SQRT([1]Parametros!$B$2)*H36/[1]Parametros!$B$4,0.35*H36/[1]Parametros!$B$4))</f>
        <v>0.82307666394540058</v>
      </c>
      <c r="BD36" s="13">
        <f t="shared" si="9"/>
        <v>0</v>
      </c>
      <c r="BE36" s="13">
        <f t="shared" si="10"/>
        <v>1.1833333333333333</v>
      </c>
      <c r="BF36" s="13">
        <f>SQRT((AI36*1000/(H36*MIN(U36,AB36)))^2+(Q36*1000000*2*((H36-2*([1]Parametros!$B$7+[1]Parametros!$B$9/2))+(I36-2*([1]Parametros!$B$7+[1]Parametros!$B$9/2)))/(1.7*((H36-2*([1]Parametros!$B$7+[1]Parametros!$B$9/2))*(I36-2*([1]Parametros!$B$7+[1]Parametros!$B$9/2)))^2))^2)</f>
        <v>1.2725011344071646</v>
      </c>
      <c r="BG36" s="13">
        <f>[1]Parametros!$B$6*(AJ36*1000/(H36*MIN(U36,AB36))+0.66*SQRT([1]Parametros!$B$2))</f>
        <v>3.2939603822754151</v>
      </c>
      <c r="BH36" s="13" t="str">
        <f t="shared" si="11"/>
        <v>CUMPLE</v>
      </c>
      <c r="BI36" s="13">
        <f>AX36*[1]Parametros!$B$8</f>
        <v>0</v>
      </c>
      <c r="BJ36" s="15" t="str">
        <f t="shared" si="12"/>
        <v>CUMPLE</v>
      </c>
    </row>
    <row r="37" spans="1:62" x14ac:dyDescent="0.3">
      <c r="A37" s="11" t="s">
        <v>65</v>
      </c>
      <c r="B37" s="12">
        <v>814</v>
      </c>
      <c r="C37" s="13">
        <v>1</v>
      </c>
      <c r="D37" s="13">
        <v>3.4</v>
      </c>
      <c r="E37" s="13">
        <v>3.4</v>
      </c>
      <c r="F37" s="13">
        <v>450</v>
      </c>
      <c r="G37" s="13">
        <v>550</v>
      </c>
      <c r="H37" s="13">
        <v>450</v>
      </c>
      <c r="I37" s="13">
        <v>550</v>
      </c>
      <c r="J37" s="14">
        <v>133.23920000000001</v>
      </c>
      <c r="K37" s="13">
        <v>814</v>
      </c>
      <c r="L37" s="14">
        <v>99.944599999999994</v>
      </c>
      <c r="M37" s="13">
        <v>814</v>
      </c>
      <c r="N37" s="14">
        <v>72.281999999999996</v>
      </c>
      <c r="O37" s="14">
        <v>275.45800000000003</v>
      </c>
      <c r="P37" s="13">
        <v>814</v>
      </c>
      <c r="Q37" s="14">
        <v>6.5166000000000004</v>
      </c>
      <c r="R37" s="13">
        <f>MAX(MAX(1.4/[1]Parametros!$B$3,0.25*SQRT([1]Parametros!$B$2)/[1]Parametros!$B$3)*H37*U37,(0.85*[1]Parametros!$B$2/[1]Parametros!$B$3)*(1-SQRT(1-2*(J37*1000000/([1]Parametros!$B$5*H37*U37^2))/(0.85*[1]Parametros!$B$2)))*H37*U37)</f>
        <v>742.39615629364505</v>
      </c>
      <c r="S37" s="14">
        <v>4</v>
      </c>
      <c r="T37" s="14">
        <v>1</v>
      </c>
      <c r="U37" s="13">
        <f>IF(T37=1,I37-([1]Parametros!$B$7+[1]Parametros!$B$9+[1]Parametros!$B$12/2),I37-(ROUNDUP(S37/2,0)*([1]Parametros!$B$7+[1]Parametros!$B$9+[1]Parametros!$B$12/2)+ROUNDDOWN(S37/2,0)*([1]Parametros!$B$7+[1]Parametros!$B$9+[1]Parametros!$B$12/2+[1]Parametros!$B$12+[1]Parametros!$B$10))/S37)</f>
        <v>489.35</v>
      </c>
      <c r="V37" s="13">
        <f>S37*[1]Parametros!$B$8</f>
        <v>796</v>
      </c>
      <c r="W37" s="13">
        <f>[1]Parametros!$B$5*V37*[1]Parametros!$B$3*(U37-(V37*[1]Parametros!$B$3/(0.85*[1]Parametros!$B$2*H37))/2)/1000000</f>
        <v>142.54333009411764</v>
      </c>
      <c r="X37" s="13" t="str">
        <f t="shared" si="0"/>
        <v>CUMPLE</v>
      </c>
      <c r="Y37" s="13">
        <f>MAX(MAX(1.4/[1]Parametros!$B$3,0.25*SQRT([1]Parametros!$B$2)/[1]Parametros!$B$3)*H37*AB37,(0.85*[1]Parametros!$B$2/[1]Parametros!$B$3)*(1-SQRT(1-2*(L37*1000000/([1]Parametros!$B$5*H37*AB37^2))/(0.85*[1]Parametros!$B$2)))*H37*AB37)</f>
        <v>734.02500000000009</v>
      </c>
      <c r="Z37" s="14">
        <v>4</v>
      </c>
      <c r="AA37" s="14">
        <v>1</v>
      </c>
      <c r="AB37" s="13">
        <f>IF(AA37=1,I37-([1]Parametros!$B$7+[1]Parametros!$B$9+[1]Parametros!$B$12/2),I37-(ROUNDUP(Z37/2,0)*([1]Parametros!$B$7+[1]Parametros!$B$9+[1]Parametros!$B$12/2)+ROUNDDOWN(Z37/2,0)*([1]Parametros!$B$7+[1]Parametros!$B$9+[1]Parametros!$B$12/2+[1]Parametros!$B$12+[1]Parametros!$B$10))/Z37)</f>
        <v>489.35</v>
      </c>
      <c r="AC37" s="13">
        <f>Z37*[1]Parametros!$B$8</f>
        <v>796</v>
      </c>
      <c r="AD37" s="13">
        <f>[1]Parametros!$B$5*AC37*[1]Parametros!$B$3*(AB37-(AC37*[1]Parametros!$B$3/(0.85*[1]Parametros!$B$2*H37))/2)/1000000</f>
        <v>142.54333009411764</v>
      </c>
      <c r="AE37" s="13" t="str">
        <f t="shared" si="1"/>
        <v>CUMPLE</v>
      </c>
      <c r="AF37" s="13">
        <f>V37*1.25*[1]Parametros!$B$3*(U37-(V37*1.25*[1]Parametros!$B$3/(0.85*[1]Parametros!$B$2*H37))/2)/1000000</f>
        <v>196.34621794117646</v>
      </c>
      <c r="AG37" s="13">
        <f>AC37*1.25*[1]Parametros!$B$3*(AB37-(AC37*1.25*[1]Parametros!$B$3/(0.85*[1]Parametros!$B$2*H37))/2)/1000000</f>
        <v>196.34621794117646</v>
      </c>
      <c r="AH37" s="13">
        <f t="shared" si="2"/>
        <v>187.77977525951556</v>
      </c>
      <c r="AI37" s="13">
        <f t="shared" si="3"/>
        <v>275.45800000000003</v>
      </c>
      <c r="AJ37" s="13">
        <f>0.17*SQRT([1]Parametros!$B$2)*H37*MIN(U37,AB37)/1000</f>
        <v>198.08885582262698</v>
      </c>
      <c r="AK37" s="13">
        <f>MAX(AI37/[1]Parametros!$B$6-AJ37,0)</f>
        <v>169.18847751070641</v>
      </c>
      <c r="AL37" s="13">
        <f>0.66*SQRT([1]Parametros!$B$2)*H37*MIN(U37,AB37)/1000</f>
        <v>769.05085201725785</v>
      </c>
      <c r="AM37" s="13" t="str">
        <f t="shared" si="4"/>
        <v>CUMPLE</v>
      </c>
      <c r="AN37" s="13" t="s">
        <v>64</v>
      </c>
      <c r="AO37" s="14">
        <v>2</v>
      </c>
      <c r="AP37" s="13">
        <f>ROUNDDOWN(MIN(IF(BC37+BD37=0,1000000000,AO37*BB37/(BC37+BD37)),MIN(U37,AB37)/4,8*[1]Parametros!$B$12,24*BA37,300,IF(AV37=0,1000000000,2*((H37-2*([1]Parametros!$B$7+[1]Parametros!$B$9/2))+(I37-2*([1]Parametros!$B$7+[1]Parametros!$B$9/2)))/8))/10,0)*10</f>
        <v>120</v>
      </c>
      <c r="AQ37" s="13">
        <f>ROUNDDOWN(MIN(IF(BC37+BD37=0,1000000000,AO37*BB37/(BC37+BD37)),IF(AK37&gt;0.33*SQRT([1]Parametros!$B$2)*H37*MIN(U37,AB37)/1000,MIN(U37,AB37)/4,MIN(U37,AB37)/2),600,IF(AV37=0,1000000000,2*((H37-2*([1]Parametros!$B$7+[1]Parametros!$B$9/2))+(I37-2*([1]Parametros!$B$7+[1]Parametros!$B$9/2)))/8))/10,0)*10</f>
        <v>170</v>
      </c>
      <c r="AR37" s="13">
        <f>[1]Parametros!$B$6*(AJ37+MAX(BE37-BD37,0)*[1]Parametros!$B$4*MIN(U37,AB37)/1000)</f>
        <v>330.97185436697026</v>
      </c>
      <c r="AS37" s="13" t="str">
        <f t="shared" si="5"/>
        <v>CUMPLE</v>
      </c>
      <c r="AT37" s="13">
        <f>[1]Parametros!$B$6*0.083*SQRT([1]Parametros!$B$2)*(H37*I37)^2/(2*(H37+I37))/1000000</f>
        <v>10.08878303333792</v>
      </c>
      <c r="AU37" s="13" t="str">
        <f t="shared" si="6"/>
        <v>DESPRECIABLE</v>
      </c>
      <c r="AV37" s="13">
        <f>IF(Q37&lt;=AT37,0,Q37*1000000/([1]Parametros!$B$6*2*0.85*(H37-2*([1]Parametros!$B$7+[1]Parametros!$B$9/2))*(I37-2*([1]Parametros!$B$7+[1]Parametros!$B$9/2))*[1]Parametros!$B$4))</f>
        <v>0</v>
      </c>
      <c r="AW37" s="13">
        <f>AV37*2*((H37-2*([1]Parametros!$B$7+[1]Parametros!$B$9/2))+(I37-2*([1]Parametros!$B$7+[1]Parametros!$B$9/2)))*[1]Parametros!$B$4/[1]Parametros!$B$3</f>
        <v>0</v>
      </c>
      <c r="AX37" s="14">
        <v>0</v>
      </c>
      <c r="AY37" s="13" t="str">
        <f t="shared" si="7"/>
        <v>DESPRECIABLE</v>
      </c>
      <c r="AZ37" s="13" t="str">
        <f t="shared" si="8"/>
        <v>CUMPLE</v>
      </c>
      <c r="BA37" s="14">
        <v>9.5</v>
      </c>
      <c r="BB37" s="14">
        <v>71</v>
      </c>
      <c r="BC37" s="13">
        <f>MAX(IF(AK37=0,0,AK37*1000/([1]Parametros!$B$4*MIN(U37,AB37))),MAX(0.062*SQRT([1]Parametros!$B$2)*H37/[1]Parametros!$B$4,0.35*H37/[1]Parametros!$B$4))</f>
        <v>0.8231934369241336</v>
      </c>
      <c r="BD37" s="13">
        <f t="shared" si="9"/>
        <v>0</v>
      </c>
      <c r="BE37" s="13">
        <f t="shared" si="10"/>
        <v>1.1833333333333333</v>
      </c>
      <c r="BF37" s="13">
        <f>SQRT((AI37*1000/(H37*MIN(U37,AB37)))^2+(Q37*1000000*2*((H37-2*([1]Parametros!$B$7+[1]Parametros!$B$9/2))+(I37-2*([1]Parametros!$B$7+[1]Parametros!$B$9/2)))/(1.7*((H37-2*([1]Parametros!$B$7+[1]Parametros!$B$9/2))*(I37-2*([1]Parametros!$B$7+[1]Parametros!$B$9/2)))^2))^2)</f>
        <v>1.2725867613933555</v>
      </c>
      <c r="BG37" s="13">
        <f>[1]Parametros!$B$6*(AJ37*1000/(H37*MIN(U37,AB37))+0.66*SQRT([1]Parametros!$B$2))</f>
        <v>3.2939603822754151</v>
      </c>
      <c r="BH37" s="13" t="str">
        <f t="shared" si="11"/>
        <v>CUMPLE</v>
      </c>
      <c r="BI37" s="13">
        <f>AX37*[1]Parametros!$B$8</f>
        <v>0</v>
      </c>
      <c r="BJ37" s="15" t="str">
        <f t="shared" si="12"/>
        <v>CUMPLE</v>
      </c>
    </row>
    <row r="38" spans="1:62" x14ac:dyDescent="0.3">
      <c r="A38" s="11" t="s">
        <v>65</v>
      </c>
      <c r="B38" s="12">
        <v>851</v>
      </c>
      <c r="C38" s="13">
        <v>1</v>
      </c>
      <c r="D38" s="13">
        <v>3.4</v>
      </c>
      <c r="E38" s="13">
        <v>3.4</v>
      </c>
      <c r="F38" s="13">
        <v>450</v>
      </c>
      <c r="G38" s="13">
        <v>550</v>
      </c>
      <c r="H38" s="13">
        <v>450</v>
      </c>
      <c r="I38" s="13">
        <v>550</v>
      </c>
      <c r="J38" s="14">
        <v>133.24780000000001</v>
      </c>
      <c r="K38" s="13">
        <v>851</v>
      </c>
      <c r="L38" s="14">
        <v>99.952299999999994</v>
      </c>
      <c r="M38" s="13">
        <v>851</v>
      </c>
      <c r="N38" s="14">
        <v>72.286000000000001</v>
      </c>
      <c r="O38" s="14">
        <v>275.483</v>
      </c>
      <c r="P38" s="13">
        <v>851</v>
      </c>
      <c r="Q38" s="14">
        <v>6.5179999999999998</v>
      </c>
      <c r="R38" s="13">
        <f>MAX(MAX(1.4/[1]Parametros!$B$3,0.25*SQRT([1]Parametros!$B$2)/[1]Parametros!$B$3)*H38*U38,(0.85*[1]Parametros!$B$2/[1]Parametros!$B$3)*(1-SQRT(1-2*(J38*1000000/([1]Parametros!$B$5*H38*U38^2))/(0.85*[1]Parametros!$B$2)))*H38*U38)</f>
        <v>742.4455903875571</v>
      </c>
      <c r="S38" s="14">
        <v>4</v>
      </c>
      <c r="T38" s="14">
        <v>1</v>
      </c>
      <c r="U38" s="13">
        <f>IF(T38=1,I38-([1]Parametros!$B$7+[1]Parametros!$B$9+[1]Parametros!$B$12/2),I38-(ROUNDUP(S38/2,0)*([1]Parametros!$B$7+[1]Parametros!$B$9+[1]Parametros!$B$12/2)+ROUNDDOWN(S38/2,0)*([1]Parametros!$B$7+[1]Parametros!$B$9+[1]Parametros!$B$12/2+[1]Parametros!$B$12+[1]Parametros!$B$10))/S38)</f>
        <v>489.35</v>
      </c>
      <c r="V38" s="13">
        <f>S38*[1]Parametros!$B$8</f>
        <v>796</v>
      </c>
      <c r="W38" s="13">
        <f>[1]Parametros!$B$5*V38*[1]Parametros!$B$3*(U38-(V38*[1]Parametros!$B$3/(0.85*[1]Parametros!$B$2*H38))/2)/1000000</f>
        <v>142.54333009411764</v>
      </c>
      <c r="X38" s="13" t="str">
        <f t="shared" si="0"/>
        <v>CUMPLE</v>
      </c>
      <c r="Y38" s="13">
        <f>MAX(MAX(1.4/[1]Parametros!$B$3,0.25*SQRT([1]Parametros!$B$2)/[1]Parametros!$B$3)*H38*AB38,(0.85*[1]Parametros!$B$2/[1]Parametros!$B$3)*(1-SQRT(1-2*(L38*1000000/([1]Parametros!$B$5*H38*AB38^2))/(0.85*[1]Parametros!$B$2)))*H38*AB38)</f>
        <v>734.02500000000009</v>
      </c>
      <c r="Z38" s="14">
        <v>4</v>
      </c>
      <c r="AA38" s="14">
        <v>1</v>
      </c>
      <c r="AB38" s="13">
        <f>IF(AA38=1,I38-([1]Parametros!$B$7+[1]Parametros!$B$9+[1]Parametros!$B$12/2),I38-(ROUNDUP(Z38/2,0)*([1]Parametros!$B$7+[1]Parametros!$B$9+[1]Parametros!$B$12/2)+ROUNDDOWN(Z38/2,0)*([1]Parametros!$B$7+[1]Parametros!$B$9+[1]Parametros!$B$12/2+[1]Parametros!$B$12+[1]Parametros!$B$10))/Z38)</f>
        <v>489.35</v>
      </c>
      <c r="AC38" s="13">
        <f>Z38*[1]Parametros!$B$8</f>
        <v>796</v>
      </c>
      <c r="AD38" s="13">
        <f>[1]Parametros!$B$5*AC38*[1]Parametros!$B$3*(AB38-(AC38*[1]Parametros!$B$3/(0.85*[1]Parametros!$B$2*H38))/2)/1000000</f>
        <v>142.54333009411764</v>
      </c>
      <c r="AE38" s="13" t="str">
        <f t="shared" si="1"/>
        <v>CUMPLE</v>
      </c>
      <c r="AF38" s="13">
        <f>V38*1.25*[1]Parametros!$B$3*(U38-(V38*1.25*[1]Parametros!$B$3/(0.85*[1]Parametros!$B$2*H38))/2)/1000000</f>
        <v>196.34621794117646</v>
      </c>
      <c r="AG38" s="13">
        <f>AC38*1.25*[1]Parametros!$B$3*(AB38-(AC38*1.25*[1]Parametros!$B$3/(0.85*[1]Parametros!$B$2*H38))/2)/1000000</f>
        <v>196.34621794117646</v>
      </c>
      <c r="AH38" s="13">
        <f t="shared" si="2"/>
        <v>187.78377525951555</v>
      </c>
      <c r="AI38" s="13">
        <f t="shared" si="3"/>
        <v>275.483</v>
      </c>
      <c r="AJ38" s="13">
        <f>0.17*SQRT([1]Parametros!$B$2)*H38*MIN(U38,AB38)/1000</f>
        <v>198.08885582262698</v>
      </c>
      <c r="AK38" s="13">
        <f>MAX(AI38/[1]Parametros!$B$6-AJ38,0)</f>
        <v>169.22181084403971</v>
      </c>
      <c r="AL38" s="13">
        <f>0.66*SQRT([1]Parametros!$B$2)*H38*MIN(U38,AB38)/1000</f>
        <v>769.05085201725785</v>
      </c>
      <c r="AM38" s="13" t="str">
        <f t="shared" si="4"/>
        <v>CUMPLE</v>
      </c>
      <c r="AN38" s="13" t="s">
        <v>64</v>
      </c>
      <c r="AO38" s="14">
        <v>2</v>
      </c>
      <c r="AP38" s="13">
        <f>ROUNDDOWN(MIN(IF(BC38+BD38=0,1000000000,AO38*BB38/(BC38+BD38)),MIN(U38,AB38)/4,8*[1]Parametros!$B$12,24*BA38,300,IF(AV38=0,1000000000,2*((H38-2*([1]Parametros!$B$7+[1]Parametros!$B$9/2))+(I38-2*([1]Parametros!$B$7+[1]Parametros!$B$9/2)))/8))/10,0)*10</f>
        <v>120</v>
      </c>
      <c r="AQ38" s="13">
        <f>ROUNDDOWN(MIN(IF(BC38+BD38=0,1000000000,AO38*BB38/(BC38+BD38)),IF(AK38&gt;0.33*SQRT([1]Parametros!$B$2)*H38*MIN(U38,AB38)/1000,MIN(U38,AB38)/4,MIN(U38,AB38)/2),600,IF(AV38=0,1000000000,2*((H38-2*([1]Parametros!$B$7+[1]Parametros!$B$9/2))+(I38-2*([1]Parametros!$B$7+[1]Parametros!$B$9/2)))/8))/10,0)*10</f>
        <v>170</v>
      </c>
      <c r="AR38" s="13">
        <f>[1]Parametros!$B$6*(AJ38+MAX(BE38-BD38,0)*[1]Parametros!$B$4*MIN(U38,AB38)/1000)</f>
        <v>330.97185436697026</v>
      </c>
      <c r="AS38" s="13" t="str">
        <f t="shared" si="5"/>
        <v>CUMPLE</v>
      </c>
      <c r="AT38" s="13">
        <f>[1]Parametros!$B$6*0.083*SQRT([1]Parametros!$B$2)*(H38*I38)^2/(2*(H38+I38))/1000000</f>
        <v>10.08878303333792</v>
      </c>
      <c r="AU38" s="13" t="str">
        <f t="shared" si="6"/>
        <v>DESPRECIABLE</v>
      </c>
      <c r="AV38" s="13">
        <f>IF(Q38&lt;=AT38,0,Q38*1000000/([1]Parametros!$B$6*2*0.85*(H38-2*([1]Parametros!$B$7+[1]Parametros!$B$9/2))*(I38-2*([1]Parametros!$B$7+[1]Parametros!$B$9/2))*[1]Parametros!$B$4))</f>
        <v>0</v>
      </c>
      <c r="AW38" s="13">
        <f>AV38*2*((H38-2*([1]Parametros!$B$7+[1]Parametros!$B$9/2))+(I38-2*([1]Parametros!$B$7+[1]Parametros!$B$9/2)))*[1]Parametros!$B$4/[1]Parametros!$B$3</f>
        <v>0</v>
      </c>
      <c r="AX38" s="14">
        <v>0</v>
      </c>
      <c r="AY38" s="13" t="str">
        <f t="shared" si="7"/>
        <v>DESPRECIABLE</v>
      </c>
      <c r="AZ38" s="13" t="str">
        <f t="shared" si="8"/>
        <v>CUMPLE</v>
      </c>
      <c r="BA38" s="14">
        <v>9.5</v>
      </c>
      <c r="BB38" s="14">
        <v>71</v>
      </c>
      <c r="BC38" s="13">
        <f>MAX(IF(AK38=0,0,AK38*1000/([1]Parametros!$B$4*MIN(U38,AB38))),MAX(0.062*SQRT([1]Parametros!$B$2)*H38/[1]Parametros!$B$4,0.35*H38/[1]Parametros!$B$4))</f>
        <v>0.82335562161681786</v>
      </c>
      <c r="BD38" s="13">
        <f t="shared" si="9"/>
        <v>0</v>
      </c>
      <c r="BE38" s="13">
        <f t="shared" si="10"/>
        <v>1.1833333333333333</v>
      </c>
      <c r="BF38" s="13">
        <f>SQRT((AI38*1000/(H38*MIN(U38,AB38)))^2+(Q38*1000000*2*((H38-2*([1]Parametros!$B$7+[1]Parametros!$B$9/2))+(I38-2*([1]Parametros!$B$7+[1]Parametros!$B$9/2)))/(1.7*((H38-2*([1]Parametros!$B$7+[1]Parametros!$B$9/2))*(I38-2*([1]Parametros!$B$7+[1]Parametros!$B$9/2)))^2))^2)</f>
        <v>1.2727075944224222</v>
      </c>
      <c r="BG38" s="13">
        <f>[1]Parametros!$B$6*(AJ38*1000/(H38*MIN(U38,AB38))+0.66*SQRT([1]Parametros!$B$2))</f>
        <v>3.2939603822754151</v>
      </c>
      <c r="BH38" s="13" t="str">
        <f t="shared" si="11"/>
        <v>CUMPLE</v>
      </c>
      <c r="BI38" s="13">
        <f>AX38*[1]Parametros!$B$8</f>
        <v>0</v>
      </c>
      <c r="BJ38" s="15" t="str">
        <f t="shared" si="12"/>
        <v>CUMPLE</v>
      </c>
    </row>
    <row r="39" spans="1:62" x14ac:dyDescent="0.3">
      <c r="A39" s="11" t="s">
        <v>65</v>
      </c>
      <c r="B39" s="12">
        <v>852</v>
      </c>
      <c r="C39" s="13">
        <v>1</v>
      </c>
      <c r="D39" s="13">
        <v>3.4</v>
      </c>
      <c r="E39" s="13">
        <v>3.4</v>
      </c>
      <c r="F39" s="13">
        <v>450</v>
      </c>
      <c r="G39" s="13">
        <v>550</v>
      </c>
      <c r="H39" s="13">
        <v>450</v>
      </c>
      <c r="I39" s="13">
        <v>550</v>
      </c>
      <c r="J39" s="14">
        <v>133.2159</v>
      </c>
      <c r="K39" s="13">
        <v>852</v>
      </c>
      <c r="L39" s="14">
        <v>99.924099999999996</v>
      </c>
      <c r="M39" s="13">
        <v>852</v>
      </c>
      <c r="N39" s="14">
        <v>72.271000000000001</v>
      </c>
      <c r="O39" s="14">
        <v>275.46800000000002</v>
      </c>
      <c r="P39" s="13">
        <v>852</v>
      </c>
      <c r="Q39" s="14">
        <v>6.5171000000000001</v>
      </c>
      <c r="R39" s="13">
        <f>MAX(MAX(1.4/[1]Parametros!$B$3,0.25*SQRT([1]Parametros!$B$2)/[1]Parametros!$B$3)*H39*U39,(0.85*[1]Parametros!$B$2/[1]Parametros!$B$3)*(1-SQRT(1-2*(J39*1000000/([1]Parametros!$B$5*H39*U39^2))/(0.85*[1]Parametros!$B$2)))*H39*U39)</f>
        <v>742.2622254343205</v>
      </c>
      <c r="S39" s="14">
        <v>4</v>
      </c>
      <c r="T39" s="14">
        <v>1</v>
      </c>
      <c r="U39" s="13">
        <f>IF(T39=1,I39-([1]Parametros!$B$7+[1]Parametros!$B$9+[1]Parametros!$B$12/2),I39-(ROUNDUP(S39/2,0)*([1]Parametros!$B$7+[1]Parametros!$B$9+[1]Parametros!$B$12/2)+ROUNDDOWN(S39/2,0)*([1]Parametros!$B$7+[1]Parametros!$B$9+[1]Parametros!$B$12/2+[1]Parametros!$B$12+[1]Parametros!$B$10))/S39)</f>
        <v>489.35</v>
      </c>
      <c r="V39" s="13">
        <f>S39*[1]Parametros!$B$8</f>
        <v>796</v>
      </c>
      <c r="W39" s="13">
        <f>[1]Parametros!$B$5*V39*[1]Parametros!$B$3*(U39-(V39*[1]Parametros!$B$3/(0.85*[1]Parametros!$B$2*H39))/2)/1000000</f>
        <v>142.54333009411764</v>
      </c>
      <c r="X39" s="13" t="str">
        <f t="shared" si="0"/>
        <v>CUMPLE</v>
      </c>
      <c r="Y39" s="13">
        <f>MAX(MAX(1.4/[1]Parametros!$B$3,0.25*SQRT([1]Parametros!$B$2)/[1]Parametros!$B$3)*H39*AB39,(0.85*[1]Parametros!$B$2/[1]Parametros!$B$3)*(1-SQRT(1-2*(L39*1000000/([1]Parametros!$B$5*H39*AB39^2))/(0.85*[1]Parametros!$B$2)))*H39*AB39)</f>
        <v>734.02500000000009</v>
      </c>
      <c r="Z39" s="14">
        <v>4</v>
      </c>
      <c r="AA39" s="14">
        <v>1</v>
      </c>
      <c r="AB39" s="13">
        <f>IF(AA39=1,I39-([1]Parametros!$B$7+[1]Parametros!$B$9+[1]Parametros!$B$12/2),I39-(ROUNDUP(Z39/2,0)*([1]Parametros!$B$7+[1]Parametros!$B$9+[1]Parametros!$B$12/2)+ROUNDDOWN(Z39/2,0)*([1]Parametros!$B$7+[1]Parametros!$B$9+[1]Parametros!$B$12/2+[1]Parametros!$B$12+[1]Parametros!$B$10))/Z39)</f>
        <v>489.35</v>
      </c>
      <c r="AC39" s="13">
        <f>Z39*[1]Parametros!$B$8</f>
        <v>796</v>
      </c>
      <c r="AD39" s="13">
        <f>[1]Parametros!$B$5*AC39*[1]Parametros!$B$3*(AB39-(AC39*[1]Parametros!$B$3/(0.85*[1]Parametros!$B$2*H39))/2)/1000000</f>
        <v>142.54333009411764</v>
      </c>
      <c r="AE39" s="13" t="str">
        <f t="shared" si="1"/>
        <v>CUMPLE</v>
      </c>
      <c r="AF39" s="13">
        <f>V39*1.25*[1]Parametros!$B$3*(U39-(V39*1.25*[1]Parametros!$B$3/(0.85*[1]Parametros!$B$2*H39))/2)/1000000</f>
        <v>196.34621794117646</v>
      </c>
      <c r="AG39" s="13">
        <f>AC39*1.25*[1]Parametros!$B$3*(AB39-(AC39*1.25*[1]Parametros!$B$3/(0.85*[1]Parametros!$B$2*H39))/2)/1000000</f>
        <v>196.34621794117646</v>
      </c>
      <c r="AH39" s="13">
        <f t="shared" si="2"/>
        <v>187.76877525951556</v>
      </c>
      <c r="AI39" s="13">
        <f t="shared" si="3"/>
        <v>275.46800000000002</v>
      </c>
      <c r="AJ39" s="13">
        <f>0.17*SQRT([1]Parametros!$B$2)*H39*MIN(U39,AB39)/1000</f>
        <v>198.08885582262698</v>
      </c>
      <c r="AK39" s="13">
        <f>MAX(AI39/[1]Parametros!$B$6-AJ39,0)</f>
        <v>169.20181084403973</v>
      </c>
      <c r="AL39" s="13">
        <f>0.66*SQRT([1]Parametros!$B$2)*H39*MIN(U39,AB39)/1000</f>
        <v>769.05085201725785</v>
      </c>
      <c r="AM39" s="13" t="str">
        <f t="shared" si="4"/>
        <v>CUMPLE</v>
      </c>
      <c r="AN39" s="13" t="s">
        <v>64</v>
      </c>
      <c r="AO39" s="14">
        <v>2</v>
      </c>
      <c r="AP39" s="13">
        <f>ROUNDDOWN(MIN(IF(BC39+BD39=0,1000000000,AO39*BB39/(BC39+BD39)),MIN(U39,AB39)/4,8*[1]Parametros!$B$12,24*BA39,300,IF(AV39=0,1000000000,2*((H39-2*([1]Parametros!$B$7+[1]Parametros!$B$9/2))+(I39-2*([1]Parametros!$B$7+[1]Parametros!$B$9/2)))/8))/10,0)*10</f>
        <v>120</v>
      </c>
      <c r="AQ39" s="13">
        <f>ROUNDDOWN(MIN(IF(BC39+BD39=0,1000000000,AO39*BB39/(BC39+BD39)),IF(AK39&gt;0.33*SQRT([1]Parametros!$B$2)*H39*MIN(U39,AB39)/1000,MIN(U39,AB39)/4,MIN(U39,AB39)/2),600,IF(AV39=0,1000000000,2*((H39-2*([1]Parametros!$B$7+[1]Parametros!$B$9/2))+(I39-2*([1]Parametros!$B$7+[1]Parametros!$B$9/2)))/8))/10,0)*10</f>
        <v>170</v>
      </c>
      <c r="AR39" s="13">
        <f>[1]Parametros!$B$6*(AJ39+MAX(BE39-BD39,0)*[1]Parametros!$B$4*MIN(U39,AB39)/1000)</f>
        <v>330.97185436697026</v>
      </c>
      <c r="AS39" s="13" t="str">
        <f t="shared" si="5"/>
        <v>CUMPLE</v>
      </c>
      <c r="AT39" s="13">
        <f>[1]Parametros!$B$6*0.083*SQRT([1]Parametros!$B$2)*(H39*I39)^2/(2*(H39+I39))/1000000</f>
        <v>10.08878303333792</v>
      </c>
      <c r="AU39" s="13" t="str">
        <f t="shared" si="6"/>
        <v>DESPRECIABLE</v>
      </c>
      <c r="AV39" s="13">
        <f>IF(Q39&lt;=AT39,0,Q39*1000000/([1]Parametros!$B$6*2*0.85*(H39-2*([1]Parametros!$B$7+[1]Parametros!$B$9/2))*(I39-2*([1]Parametros!$B$7+[1]Parametros!$B$9/2))*[1]Parametros!$B$4))</f>
        <v>0</v>
      </c>
      <c r="AW39" s="13">
        <f>AV39*2*((H39-2*([1]Parametros!$B$7+[1]Parametros!$B$9/2))+(I39-2*([1]Parametros!$B$7+[1]Parametros!$B$9/2)))*[1]Parametros!$B$4/[1]Parametros!$B$3</f>
        <v>0</v>
      </c>
      <c r="AX39" s="14">
        <v>0</v>
      </c>
      <c r="AY39" s="13" t="str">
        <f t="shared" si="7"/>
        <v>DESPRECIABLE</v>
      </c>
      <c r="AZ39" s="13" t="str">
        <f t="shared" si="8"/>
        <v>CUMPLE</v>
      </c>
      <c r="BA39" s="14">
        <v>9.5</v>
      </c>
      <c r="BB39" s="14">
        <v>71</v>
      </c>
      <c r="BC39" s="13">
        <f>MAX(IF(AK39=0,0,AK39*1000/([1]Parametros!$B$4*MIN(U39,AB39))),MAX(0.062*SQRT([1]Parametros!$B$2)*H39/[1]Parametros!$B$4,0.35*H39/[1]Parametros!$B$4))</f>
        <v>0.82325831080120726</v>
      </c>
      <c r="BD39" s="13">
        <f t="shared" si="9"/>
        <v>0</v>
      </c>
      <c r="BE39" s="13">
        <f t="shared" si="10"/>
        <v>1.1833333333333333</v>
      </c>
      <c r="BF39" s="13">
        <f>SQRT((AI39*1000/(H39*MIN(U39,AB39)))^2+(Q39*1000000*2*((H39-2*([1]Parametros!$B$7+[1]Parametros!$B$9/2))+(I39-2*([1]Parametros!$B$7+[1]Parametros!$B$9/2)))/(1.7*((H39-2*([1]Parametros!$B$7+[1]Parametros!$B$9/2))*(I39-2*([1]Parametros!$B$7+[1]Parametros!$B$9/2)))^2))^2)</f>
        <v>1.2726346985987043</v>
      </c>
      <c r="BG39" s="13">
        <f>[1]Parametros!$B$6*(AJ39*1000/(H39*MIN(U39,AB39))+0.66*SQRT([1]Parametros!$B$2))</f>
        <v>3.2939603822754151</v>
      </c>
      <c r="BH39" s="13" t="str">
        <f t="shared" si="11"/>
        <v>CUMPLE</v>
      </c>
      <c r="BI39" s="13">
        <f>AX39*[1]Parametros!$B$8</f>
        <v>0</v>
      </c>
      <c r="BJ39" s="15" t="str">
        <f t="shared" si="12"/>
        <v>CUMPLE</v>
      </c>
    </row>
    <row r="40" spans="1:62" x14ac:dyDescent="0.3">
      <c r="A40" s="11" t="s">
        <v>65</v>
      </c>
      <c r="B40" s="12">
        <v>907</v>
      </c>
      <c r="C40" s="13">
        <v>1</v>
      </c>
      <c r="D40" s="13">
        <v>3.4</v>
      </c>
      <c r="E40" s="13">
        <v>3.4</v>
      </c>
      <c r="F40" s="13">
        <v>450</v>
      </c>
      <c r="G40" s="13">
        <v>550</v>
      </c>
      <c r="H40" s="13">
        <v>450</v>
      </c>
      <c r="I40" s="13">
        <v>550</v>
      </c>
      <c r="J40" s="14">
        <v>94.158199999999994</v>
      </c>
      <c r="K40" s="13">
        <v>907</v>
      </c>
      <c r="L40" s="14">
        <v>65.850800000000007</v>
      </c>
      <c r="M40" s="13">
        <v>907</v>
      </c>
      <c r="N40" s="14">
        <v>53.994</v>
      </c>
      <c r="O40" s="14">
        <v>176.11500000000001</v>
      </c>
      <c r="P40" s="13">
        <v>907</v>
      </c>
      <c r="Q40" s="14">
        <v>4.4573</v>
      </c>
      <c r="R40" s="13">
        <f>MAX(MAX(1.4/[1]Parametros!$B$3,0.25*SQRT([1]Parametros!$B$2)/[1]Parametros!$B$3)*H40*U40,(0.85*[1]Parametros!$B$2/[1]Parametros!$B$3)*(1-SQRT(1-2*(J40*1000000/([1]Parametros!$B$5*H40*U40^2))/(0.85*[1]Parametros!$B$2)))*H40*U40)</f>
        <v>734.02500000000009</v>
      </c>
      <c r="S40" s="14">
        <v>4</v>
      </c>
      <c r="T40" s="14">
        <v>1</v>
      </c>
      <c r="U40" s="13">
        <f>IF(T40=1,I40-([1]Parametros!$B$7+[1]Parametros!$B$9+[1]Parametros!$B$12/2),I40-(ROUNDUP(S40/2,0)*([1]Parametros!$B$7+[1]Parametros!$B$9+[1]Parametros!$B$12/2)+ROUNDDOWN(S40/2,0)*([1]Parametros!$B$7+[1]Parametros!$B$9+[1]Parametros!$B$12/2+[1]Parametros!$B$12+[1]Parametros!$B$10))/S40)</f>
        <v>489.35</v>
      </c>
      <c r="V40" s="13">
        <f>S40*[1]Parametros!$B$8</f>
        <v>796</v>
      </c>
      <c r="W40" s="13">
        <f>[1]Parametros!$B$5*V40*[1]Parametros!$B$3*(U40-(V40*[1]Parametros!$B$3/(0.85*[1]Parametros!$B$2*H40))/2)/1000000</f>
        <v>142.54333009411764</v>
      </c>
      <c r="X40" s="13" t="str">
        <f t="shared" si="0"/>
        <v>CUMPLE</v>
      </c>
      <c r="Y40" s="13">
        <f>MAX(MAX(1.4/[1]Parametros!$B$3,0.25*SQRT([1]Parametros!$B$2)/[1]Parametros!$B$3)*H40*AB40,(0.85*[1]Parametros!$B$2/[1]Parametros!$B$3)*(1-SQRT(1-2*(L40*1000000/([1]Parametros!$B$5*H40*AB40^2))/(0.85*[1]Parametros!$B$2)))*H40*AB40)</f>
        <v>734.02500000000009</v>
      </c>
      <c r="Z40" s="14">
        <v>4</v>
      </c>
      <c r="AA40" s="14">
        <v>1</v>
      </c>
      <c r="AB40" s="13">
        <f>IF(AA40=1,I40-([1]Parametros!$B$7+[1]Parametros!$B$9+[1]Parametros!$B$12/2),I40-(ROUNDUP(Z40/2,0)*([1]Parametros!$B$7+[1]Parametros!$B$9+[1]Parametros!$B$12/2)+ROUNDDOWN(Z40/2,0)*([1]Parametros!$B$7+[1]Parametros!$B$9+[1]Parametros!$B$12/2+[1]Parametros!$B$12+[1]Parametros!$B$10))/Z40)</f>
        <v>489.35</v>
      </c>
      <c r="AC40" s="13">
        <f>Z40*[1]Parametros!$B$8</f>
        <v>796</v>
      </c>
      <c r="AD40" s="13">
        <f>[1]Parametros!$B$5*AC40*[1]Parametros!$B$3*(AB40-(AC40*[1]Parametros!$B$3/(0.85*[1]Parametros!$B$2*H40))/2)/1000000</f>
        <v>142.54333009411764</v>
      </c>
      <c r="AE40" s="13" t="str">
        <f t="shared" si="1"/>
        <v>CUMPLE</v>
      </c>
      <c r="AF40" s="13">
        <f>V40*1.25*[1]Parametros!$B$3*(U40-(V40*1.25*[1]Parametros!$B$3/(0.85*[1]Parametros!$B$2*H40))/2)/1000000</f>
        <v>196.34621794117646</v>
      </c>
      <c r="AG40" s="13">
        <f>AC40*1.25*[1]Parametros!$B$3*(AB40-(AC40*1.25*[1]Parametros!$B$3/(0.85*[1]Parametros!$B$2*H40))/2)/1000000</f>
        <v>196.34621794117646</v>
      </c>
      <c r="AH40" s="13">
        <f t="shared" si="2"/>
        <v>169.49177525951558</v>
      </c>
      <c r="AI40" s="13">
        <f t="shared" si="3"/>
        <v>176.11500000000001</v>
      </c>
      <c r="AJ40" s="13">
        <f>0.17*SQRT([1]Parametros!$B$2)*H40*MIN(U40,AB40)/1000</f>
        <v>198.08885582262698</v>
      </c>
      <c r="AK40" s="13">
        <f>MAX(AI40/[1]Parametros!$B$6-AJ40,0)</f>
        <v>36.731144177373039</v>
      </c>
      <c r="AL40" s="13">
        <f>0.66*SQRT([1]Parametros!$B$2)*H40*MIN(U40,AB40)/1000</f>
        <v>769.05085201725785</v>
      </c>
      <c r="AM40" s="13" t="str">
        <f t="shared" si="4"/>
        <v>CUMPLE</v>
      </c>
      <c r="AN40" s="13" t="s">
        <v>64</v>
      </c>
      <c r="AO40" s="14">
        <v>2</v>
      </c>
      <c r="AP40" s="13">
        <f>ROUNDDOWN(MIN(IF(BC40+BD40=0,1000000000,AO40*BB40/(BC40+BD40)),MIN(U40,AB40)/4,8*[1]Parametros!$B$12,24*BA40,300,IF(AV40=0,1000000000,2*((H40-2*([1]Parametros!$B$7+[1]Parametros!$B$9/2))+(I40-2*([1]Parametros!$B$7+[1]Parametros!$B$9/2)))/8))/10,0)*10</f>
        <v>120</v>
      </c>
      <c r="AQ40" s="13">
        <f>ROUNDDOWN(MIN(IF(BC40+BD40=0,1000000000,AO40*BB40/(BC40+BD40)),IF(AK40&gt;0.33*SQRT([1]Parametros!$B$2)*H40*MIN(U40,AB40)/1000,MIN(U40,AB40)/4,MIN(U40,AB40)/2),600,IF(AV40=0,1000000000,2*((H40-2*([1]Parametros!$B$7+[1]Parametros!$B$9/2))+(I40-2*([1]Parametros!$B$7+[1]Parametros!$B$9/2)))/8))/10,0)*10</f>
        <v>240</v>
      </c>
      <c r="AR40" s="13">
        <f>[1]Parametros!$B$6*(AJ40+MAX(BE40-BD40,0)*[1]Parametros!$B$4*MIN(U40,AB40)/1000)</f>
        <v>330.97185436697026</v>
      </c>
      <c r="AS40" s="13" t="str">
        <f t="shared" si="5"/>
        <v>CUMPLE</v>
      </c>
      <c r="AT40" s="13">
        <f>[1]Parametros!$B$6*0.083*SQRT([1]Parametros!$B$2)*(H40*I40)^2/(2*(H40+I40))/1000000</f>
        <v>10.08878303333792</v>
      </c>
      <c r="AU40" s="13" t="str">
        <f t="shared" si="6"/>
        <v>DESPRECIABLE</v>
      </c>
      <c r="AV40" s="13">
        <f>IF(Q40&lt;=AT40,0,Q40*1000000/([1]Parametros!$B$6*2*0.85*(H40-2*([1]Parametros!$B$7+[1]Parametros!$B$9/2))*(I40-2*([1]Parametros!$B$7+[1]Parametros!$B$9/2))*[1]Parametros!$B$4))</f>
        <v>0</v>
      </c>
      <c r="AW40" s="13">
        <f>AV40*2*((H40-2*([1]Parametros!$B$7+[1]Parametros!$B$9/2))+(I40-2*([1]Parametros!$B$7+[1]Parametros!$B$9/2)))*[1]Parametros!$B$4/[1]Parametros!$B$3</f>
        <v>0</v>
      </c>
      <c r="AX40" s="14">
        <v>0</v>
      </c>
      <c r="AY40" s="13" t="str">
        <f t="shared" si="7"/>
        <v>DESPRECIABLE</v>
      </c>
      <c r="AZ40" s="13" t="str">
        <f t="shared" si="8"/>
        <v>CUMPLE</v>
      </c>
      <c r="BA40" s="14">
        <v>9.5</v>
      </c>
      <c r="BB40" s="14">
        <v>71</v>
      </c>
      <c r="BC40" s="13">
        <f>MAX(IF(AK40=0,0,AK40*1000/([1]Parametros!$B$4*MIN(U40,AB40))),MAX(0.062*SQRT([1]Parametros!$B$2)*H40/[1]Parametros!$B$4,0.35*H40/[1]Parametros!$B$4))</f>
        <v>0.375</v>
      </c>
      <c r="BD40" s="13">
        <f t="shared" si="9"/>
        <v>0</v>
      </c>
      <c r="BE40" s="13">
        <f t="shared" si="10"/>
        <v>1.1833333333333333</v>
      </c>
      <c r="BF40" s="13">
        <f>SQRT((AI40*1000/(H40*MIN(U40,AB40)))^2+(Q40*1000000*2*((H40-2*([1]Parametros!$B$7+[1]Parametros!$B$9/2))+(I40-2*([1]Parametros!$B$7+[1]Parametros!$B$9/2)))/(1.7*((H40-2*([1]Parametros!$B$7+[1]Parametros!$B$9/2))*(I40-2*([1]Parametros!$B$7+[1]Parametros!$B$9/2)))^2))^2)</f>
        <v>0.81561666643802455</v>
      </c>
      <c r="BG40" s="13">
        <f>[1]Parametros!$B$6*(AJ40*1000/(H40*MIN(U40,AB40))+0.66*SQRT([1]Parametros!$B$2))</f>
        <v>3.2939603822754151</v>
      </c>
      <c r="BH40" s="13" t="str">
        <f t="shared" si="11"/>
        <v>CUMPLE</v>
      </c>
      <c r="BI40" s="13">
        <f>AX40*[1]Parametros!$B$8</f>
        <v>0</v>
      </c>
      <c r="BJ40" s="15" t="str">
        <f t="shared" si="12"/>
        <v>CUMPLE</v>
      </c>
    </row>
    <row r="41" spans="1:62" x14ac:dyDescent="0.3">
      <c r="A41" s="11" t="s">
        <v>65</v>
      </c>
      <c r="B41" s="12">
        <v>908</v>
      </c>
      <c r="C41" s="13">
        <v>1</v>
      </c>
      <c r="D41" s="13">
        <v>3.4</v>
      </c>
      <c r="E41" s="13">
        <v>3.4</v>
      </c>
      <c r="F41" s="13">
        <v>450</v>
      </c>
      <c r="G41" s="13">
        <v>550</v>
      </c>
      <c r="H41" s="13">
        <v>450</v>
      </c>
      <c r="I41" s="13">
        <v>550</v>
      </c>
      <c r="J41" s="14">
        <v>94.207800000000006</v>
      </c>
      <c r="K41" s="13">
        <v>908</v>
      </c>
      <c r="L41" s="14">
        <v>65.8947</v>
      </c>
      <c r="M41" s="13">
        <v>908</v>
      </c>
      <c r="N41" s="14">
        <v>54.017000000000003</v>
      </c>
      <c r="O41" s="14">
        <v>176.13800000000001</v>
      </c>
      <c r="P41" s="13">
        <v>908</v>
      </c>
      <c r="Q41" s="14">
        <v>4.4584000000000001</v>
      </c>
      <c r="R41" s="13">
        <f>MAX(MAX(1.4/[1]Parametros!$B$3,0.25*SQRT([1]Parametros!$B$2)/[1]Parametros!$B$3)*H41*U41,(0.85*[1]Parametros!$B$2/[1]Parametros!$B$3)*(1-SQRT(1-2*(J41*1000000/([1]Parametros!$B$5*H41*U41^2))/(0.85*[1]Parametros!$B$2)))*H41*U41)</f>
        <v>734.02500000000009</v>
      </c>
      <c r="S41" s="14">
        <v>4</v>
      </c>
      <c r="T41" s="14">
        <v>1</v>
      </c>
      <c r="U41" s="13">
        <f>IF(T41=1,I41-([1]Parametros!$B$7+[1]Parametros!$B$9+[1]Parametros!$B$12/2),I41-(ROUNDUP(S41/2,0)*([1]Parametros!$B$7+[1]Parametros!$B$9+[1]Parametros!$B$12/2)+ROUNDDOWN(S41/2,0)*([1]Parametros!$B$7+[1]Parametros!$B$9+[1]Parametros!$B$12/2+[1]Parametros!$B$12+[1]Parametros!$B$10))/S41)</f>
        <v>489.35</v>
      </c>
      <c r="V41" s="13">
        <f>S41*[1]Parametros!$B$8</f>
        <v>796</v>
      </c>
      <c r="W41" s="13">
        <f>[1]Parametros!$B$5*V41*[1]Parametros!$B$3*(U41-(V41*[1]Parametros!$B$3/(0.85*[1]Parametros!$B$2*H41))/2)/1000000</f>
        <v>142.54333009411764</v>
      </c>
      <c r="X41" s="13" t="str">
        <f t="shared" si="0"/>
        <v>CUMPLE</v>
      </c>
      <c r="Y41" s="13">
        <f>MAX(MAX(1.4/[1]Parametros!$B$3,0.25*SQRT([1]Parametros!$B$2)/[1]Parametros!$B$3)*H41*AB41,(0.85*[1]Parametros!$B$2/[1]Parametros!$B$3)*(1-SQRT(1-2*(L41*1000000/([1]Parametros!$B$5*H41*AB41^2))/(0.85*[1]Parametros!$B$2)))*H41*AB41)</f>
        <v>734.02500000000009</v>
      </c>
      <c r="Z41" s="14">
        <v>4</v>
      </c>
      <c r="AA41" s="14">
        <v>1</v>
      </c>
      <c r="AB41" s="13">
        <f>IF(AA41=1,I41-([1]Parametros!$B$7+[1]Parametros!$B$9+[1]Parametros!$B$12/2),I41-(ROUNDUP(Z41/2,0)*([1]Parametros!$B$7+[1]Parametros!$B$9+[1]Parametros!$B$12/2)+ROUNDDOWN(Z41/2,0)*([1]Parametros!$B$7+[1]Parametros!$B$9+[1]Parametros!$B$12/2+[1]Parametros!$B$12+[1]Parametros!$B$10))/Z41)</f>
        <v>489.35</v>
      </c>
      <c r="AC41" s="13">
        <f>Z41*[1]Parametros!$B$8</f>
        <v>796</v>
      </c>
      <c r="AD41" s="13">
        <f>[1]Parametros!$B$5*AC41*[1]Parametros!$B$3*(AB41-(AC41*[1]Parametros!$B$3/(0.85*[1]Parametros!$B$2*H41))/2)/1000000</f>
        <v>142.54333009411764</v>
      </c>
      <c r="AE41" s="13" t="str">
        <f t="shared" si="1"/>
        <v>CUMPLE</v>
      </c>
      <c r="AF41" s="13">
        <f>V41*1.25*[1]Parametros!$B$3*(U41-(V41*1.25*[1]Parametros!$B$3/(0.85*[1]Parametros!$B$2*H41))/2)/1000000</f>
        <v>196.34621794117646</v>
      </c>
      <c r="AG41" s="13">
        <f>AC41*1.25*[1]Parametros!$B$3*(AB41-(AC41*1.25*[1]Parametros!$B$3/(0.85*[1]Parametros!$B$2*H41))/2)/1000000</f>
        <v>196.34621794117646</v>
      </c>
      <c r="AH41" s="13">
        <f t="shared" si="2"/>
        <v>169.51477525951557</v>
      </c>
      <c r="AI41" s="13">
        <f t="shared" si="3"/>
        <v>176.13800000000001</v>
      </c>
      <c r="AJ41" s="13">
        <f>0.17*SQRT([1]Parametros!$B$2)*H41*MIN(U41,AB41)/1000</f>
        <v>198.08885582262698</v>
      </c>
      <c r="AK41" s="13">
        <f>MAX(AI41/[1]Parametros!$B$6-AJ41,0)</f>
        <v>36.761810844039701</v>
      </c>
      <c r="AL41" s="13">
        <f>0.66*SQRT([1]Parametros!$B$2)*H41*MIN(U41,AB41)/1000</f>
        <v>769.05085201725785</v>
      </c>
      <c r="AM41" s="13" t="str">
        <f t="shared" si="4"/>
        <v>CUMPLE</v>
      </c>
      <c r="AN41" s="13" t="s">
        <v>64</v>
      </c>
      <c r="AO41" s="14">
        <v>2</v>
      </c>
      <c r="AP41" s="13">
        <f>ROUNDDOWN(MIN(IF(BC41+BD41=0,1000000000,AO41*BB41/(BC41+BD41)),MIN(U41,AB41)/4,8*[1]Parametros!$B$12,24*BA41,300,IF(AV41=0,1000000000,2*((H41-2*([1]Parametros!$B$7+[1]Parametros!$B$9/2))+(I41-2*([1]Parametros!$B$7+[1]Parametros!$B$9/2)))/8))/10,0)*10</f>
        <v>120</v>
      </c>
      <c r="AQ41" s="13">
        <f>ROUNDDOWN(MIN(IF(BC41+BD41=0,1000000000,AO41*BB41/(BC41+BD41)),IF(AK41&gt;0.33*SQRT([1]Parametros!$B$2)*H41*MIN(U41,AB41)/1000,MIN(U41,AB41)/4,MIN(U41,AB41)/2),600,IF(AV41=0,1000000000,2*((H41-2*([1]Parametros!$B$7+[1]Parametros!$B$9/2))+(I41-2*([1]Parametros!$B$7+[1]Parametros!$B$9/2)))/8))/10,0)*10</f>
        <v>240</v>
      </c>
      <c r="AR41" s="13">
        <f>[1]Parametros!$B$6*(AJ41+MAX(BE41-BD41,0)*[1]Parametros!$B$4*MIN(U41,AB41)/1000)</f>
        <v>330.97185436697026</v>
      </c>
      <c r="AS41" s="13" t="str">
        <f t="shared" si="5"/>
        <v>CUMPLE</v>
      </c>
      <c r="AT41" s="13">
        <f>[1]Parametros!$B$6*0.083*SQRT([1]Parametros!$B$2)*(H41*I41)^2/(2*(H41+I41))/1000000</f>
        <v>10.08878303333792</v>
      </c>
      <c r="AU41" s="13" t="str">
        <f t="shared" si="6"/>
        <v>DESPRECIABLE</v>
      </c>
      <c r="AV41" s="13">
        <f>IF(Q41&lt;=AT41,0,Q41*1000000/([1]Parametros!$B$6*2*0.85*(H41-2*([1]Parametros!$B$7+[1]Parametros!$B$9/2))*(I41-2*([1]Parametros!$B$7+[1]Parametros!$B$9/2))*[1]Parametros!$B$4))</f>
        <v>0</v>
      </c>
      <c r="AW41" s="13">
        <f>AV41*2*((H41-2*([1]Parametros!$B$7+[1]Parametros!$B$9/2))+(I41-2*([1]Parametros!$B$7+[1]Parametros!$B$9/2)))*[1]Parametros!$B$4/[1]Parametros!$B$3</f>
        <v>0</v>
      </c>
      <c r="AX41" s="14">
        <v>0</v>
      </c>
      <c r="AY41" s="13" t="str">
        <f t="shared" si="7"/>
        <v>DESPRECIABLE</v>
      </c>
      <c r="AZ41" s="13" t="str">
        <f t="shared" si="8"/>
        <v>CUMPLE</v>
      </c>
      <c r="BA41" s="14">
        <v>9.5</v>
      </c>
      <c r="BB41" s="14">
        <v>71</v>
      </c>
      <c r="BC41" s="13">
        <f>MAX(IF(AK41=0,0,AK41*1000/([1]Parametros!$B$4*MIN(U41,AB41))),MAX(0.062*SQRT([1]Parametros!$B$2)*H41/[1]Parametros!$B$4,0.35*H41/[1]Parametros!$B$4))</f>
        <v>0.375</v>
      </c>
      <c r="BD41" s="13">
        <f t="shared" si="9"/>
        <v>0</v>
      </c>
      <c r="BE41" s="13">
        <f t="shared" si="10"/>
        <v>1.1833333333333333</v>
      </c>
      <c r="BF41" s="13">
        <f>SQRT((AI41*1000/(H41*MIN(U41,AB41)))^2+(Q41*1000000*2*((H41-2*([1]Parametros!$B$7+[1]Parametros!$B$9/2))+(I41-2*([1]Parametros!$B$7+[1]Parametros!$B$9/2)))/(1.7*((H41-2*([1]Parametros!$B$7+[1]Parametros!$B$9/2))*(I41-2*([1]Parametros!$B$7+[1]Parametros!$B$9/2)))^2))^2)</f>
        <v>0.81572683034141569</v>
      </c>
      <c r="BG41" s="13">
        <f>[1]Parametros!$B$6*(AJ41*1000/(H41*MIN(U41,AB41))+0.66*SQRT([1]Parametros!$B$2))</f>
        <v>3.2939603822754151</v>
      </c>
      <c r="BH41" s="13" t="str">
        <f t="shared" si="11"/>
        <v>CUMPLE</v>
      </c>
      <c r="BI41" s="13">
        <f>AX41*[1]Parametros!$B$8</f>
        <v>0</v>
      </c>
      <c r="BJ41" s="15" t="str">
        <f t="shared" si="12"/>
        <v>CUMPLE</v>
      </c>
    </row>
    <row r="42" spans="1:62" x14ac:dyDescent="0.3">
      <c r="A42" s="11" t="s">
        <v>65</v>
      </c>
      <c r="B42" s="12">
        <v>945</v>
      </c>
      <c r="C42" s="13">
        <v>1</v>
      </c>
      <c r="D42" s="13">
        <v>3.4</v>
      </c>
      <c r="E42" s="13">
        <v>3.4</v>
      </c>
      <c r="F42" s="13">
        <v>450</v>
      </c>
      <c r="G42" s="13">
        <v>550</v>
      </c>
      <c r="H42" s="13">
        <v>450</v>
      </c>
      <c r="I42" s="13">
        <v>550</v>
      </c>
      <c r="J42" s="14">
        <v>94.2102</v>
      </c>
      <c r="K42" s="13">
        <v>945</v>
      </c>
      <c r="L42" s="14">
        <v>65.897000000000006</v>
      </c>
      <c r="M42" s="13">
        <v>945</v>
      </c>
      <c r="N42" s="14">
        <v>54.018999999999998</v>
      </c>
      <c r="O42" s="14">
        <v>176.15899999999999</v>
      </c>
      <c r="P42" s="13">
        <v>945</v>
      </c>
      <c r="Q42" s="14">
        <v>4.4599000000000002</v>
      </c>
      <c r="R42" s="13">
        <f>MAX(MAX(1.4/[1]Parametros!$B$3,0.25*SQRT([1]Parametros!$B$2)/[1]Parametros!$B$3)*H42*U42,(0.85*[1]Parametros!$B$2/[1]Parametros!$B$3)*(1-SQRT(1-2*(J42*1000000/([1]Parametros!$B$5*H42*U42^2))/(0.85*[1]Parametros!$B$2)))*H42*U42)</f>
        <v>734.02500000000009</v>
      </c>
      <c r="S42" s="14">
        <v>4</v>
      </c>
      <c r="T42" s="14">
        <v>1</v>
      </c>
      <c r="U42" s="13">
        <f>IF(T42=1,I42-([1]Parametros!$B$7+[1]Parametros!$B$9+[1]Parametros!$B$12/2),I42-(ROUNDUP(S42/2,0)*([1]Parametros!$B$7+[1]Parametros!$B$9+[1]Parametros!$B$12/2)+ROUNDDOWN(S42/2,0)*([1]Parametros!$B$7+[1]Parametros!$B$9+[1]Parametros!$B$12/2+[1]Parametros!$B$12+[1]Parametros!$B$10))/S42)</f>
        <v>489.35</v>
      </c>
      <c r="V42" s="13">
        <f>S42*[1]Parametros!$B$8</f>
        <v>796</v>
      </c>
      <c r="W42" s="13">
        <f>[1]Parametros!$B$5*V42*[1]Parametros!$B$3*(U42-(V42*[1]Parametros!$B$3/(0.85*[1]Parametros!$B$2*H42))/2)/1000000</f>
        <v>142.54333009411764</v>
      </c>
      <c r="X42" s="13" t="str">
        <f t="shared" si="0"/>
        <v>CUMPLE</v>
      </c>
      <c r="Y42" s="13">
        <f>MAX(MAX(1.4/[1]Parametros!$B$3,0.25*SQRT([1]Parametros!$B$2)/[1]Parametros!$B$3)*H42*AB42,(0.85*[1]Parametros!$B$2/[1]Parametros!$B$3)*(1-SQRT(1-2*(L42*1000000/([1]Parametros!$B$5*H42*AB42^2))/(0.85*[1]Parametros!$B$2)))*H42*AB42)</f>
        <v>734.02500000000009</v>
      </c>
      <c r="Z42" s="14">
        <v>4</v>
      </c>
      <c r="AA42" s="14">
        <v>1</v>
      </c>
      <c r="AB42" s="13">
        <f>IF(AA42=1,I42-([1]Parametros!$B$7+[1]Parametros!$B$9+[1]Parametros!$B$12/2),I42-(ROUNDUP(Z42/2,0)*([1]Parametros!$B$7+[1]Parametros!$B$9+[1]Parametros!$B$12/2)+ROUNDDOWN(Z42/2,0)*([1]Parametros!$B$7+[1]Parametros!$B$9+[1]Parametros!$B$12/2+[1]Parametros!$B$12+[1]Parametros!$B$10))/Z42)</f>
        <v>489.35</v>
      </c>
      <c r="AC42" s="13">
        <f>Z42*[1]Parametros!$B$8</f>
        <v>796</v>
      </c>
      <c r="AD42" s="13">
        <f>[1]Parametros!$B$5*AC42*[1]Parametros!$B$3*(AB42-(AC42*[1]Parametros!$B$3/(0.85*[1]Parametros!$B$2*H42))/2)/1000000</f>
        <v>142.54333009411764</v>
      </c>
      <c r="AE42" s="13" t="str">
        <f t="shared" si="1"/>
        <v>CUMPLE</v>
      </c>
      <c r="AF42" s="13">
        <f>V42*1.25*[1]Parametros!$B$3*(U42-(V42*1.25*[1]Parametros!$B$3/(0.85*[1]Parametros!$B$2*H42))/2)/1000000</f>
        <v>196.34621794117646</v>
      </c>
      <c r="AG42" s="13">
        <f>AC42*1.25*[1]Parametros!$B$3*(AB42-(AC42*1.25*[1]Parametros!$B$3/(0.85*[1]Parametros!$B$2*H42))/2)/1000000</f>
        <v>196.34621794117646</v>
      </c>
      <c r="AH42" s="13">
        <f t="shared" si="2"/>
        <v>169.51677525951555</v>
      </c>
      <c r="AI42" s="13">
        <f t="shared" si="3"/>
        <v>176.15899999999999</v>
      </c>
      <c r="AJ42" s="13">
        <f>0.17*SQRT([1]Parametros!$B$2)*H42*MIN(U42,AB42)/1000</f>
        <v>198.08885582262698</v>
      </c>
      <c r="AK42" s="13">
        <f>MAX(AI42/[1]Parametros!$B$6-AJ42,0)</f>
        <v>36.789810844039664</v>
      </c>
      <c r="AL42" s="13">
        <f>0.66*SQRT([1]Parametros!$B$2)*H42*MIN(U42,AB42)/1000</f>
        <v>769.05085201725785</v>
      </c>
      <c r="AM42" s="13" t="str">
        <f t="shared" si="4"/>
        <v>CUMPLE</v>
      </c>
      <c r="AN42" s="13" t="s">
        <v>64</v>
      </c>
      <c r="AO42" s="14">
        <v>2</v>
      </c>
      <c r="AP42" s="13">
        <f>ROUNDDOWN(MIN(IF(BC42+BD42=0,1000000000,AO42*BB42/(BC42+BD42)),MIN(U42,AB42)/4,8*[1]Parametros!$B$12,24*BA42,300,IF(AV42=0,1000000000,2*((H42-2*([1]Parametros!$B$7+[1]Parametros!$B$9/2))+(I42-2*([1]Parametros!$B$7+[1]Parametros!$B$9/2)))/8))/10,0)*10</f>
        <v>120</v>
      </c>
      <c r="AQ42" s="13">
        <f>ROUNDDOWN(MIN(IF(BC42+BD42=0,1000000000,AO42*BB42/(BC42+BD42)),IF(AK42&gt;0.33*SQRT([1]Parametros!$B$2)*H42*MIN(U42,AB42)/1000,MIN(U42,AB42)/4,MIN(U42,AB42)/2),600,IF(AV42=0,1000000000,2*((H42-2*([1]Parametros!$B$7+[1]Parametros!$B$9/2))+(I42-2*([1]Parametros!$B$7+[1]Parametros!$B$9/2)))/8))/10,0)*10</f>
        <v>240</v>
      </c>
      <c r="AR42" s="13">
        <f>[1]Parametros!$B$6*(AJ42+MAX(BE42-BD42,0)*[1]Parametros!$B$4*MIN(U42,AB42)/1000)</f>
        <v>330.97185436697026</v>
      </c>
      <c r="AS42" s="13" t="str">
        <f t="shared" si="5"/>
        <v>CUMPLE</v>
      </c>
      <c r="AT42" s="13">
        <f>[1]Parametros!$B$6*0.083*SQRT([1]Parametros!$B$2)*(H42*I42)^2/(2*(H42+I42))/1000000</f>
        <v>10.08878303333792</v>
      </c>
      <c r="AU42" s="13" t="str">
        <f t="shared" si="6"/>
        <v>DESPRECIABLE</v>
      </c>
      <c r="AV42" s="13">
        <f>IF(Q42&lt;=AT42,0,Q42*1000000/([1]Parametros!$B$6*2*0.85*(H42-2*([1]Parametros!$B$7+[1]Parametros!$B$9/2))*(I42-2*([1]Parametros!$B$7+[1]Parametros!$B$9/2))*[1]Parametros!$B$4))</f>
        <v>0</v>
      </c>
      <c r="AW42" s="13">
        <f>AV42*2*((H42-2*([1]Parametros!$B$7+[1]Parametros!$B$9/2))+(I42-2*([1]Parametros!$B$7+[1]Parametros!$B$9/2)))*[1]Parametros!$B$4/[1]Parametros!$B$3</f>
        <v>0</v>
      </c>
      <c r="AX42" s="14">
        <v>0</v>
      </c>
      <c r="AY42" s="13" t="str">
        <f t="shared" si="7"/>
        <v>DESPRECIABLE</v>
      </c>
      <c r="AZ42" s="13" t="str">
        <f t="shared" si="8"/>
        <v>CUMPLE</v>
      </c>
      <c r="BA42" s="14">
        <v>9.5</v>
      </c>
      <c r="BB42" s="14">
        <v>71</v>
      </c>
      <c r="BC42" s="13">
        <f>MAX(IF(AK42=0,0,AK42*1000/([1]Parametros!$B$4*MIN(U42,AB42))),MAX(0.062*SQRT([1]Parametros!$B$2)*H42/[1]Parametros!$B$4,0.35*H42/[1]Parametros!$B$4))</f>
        <v>0.375</v>
      </c>
      <c r="BD42" s="13">
        <f t="shared" si="9"/>
        <v>0</v>
      </c>
      <c r="BE42" s="13">
        <f t="shared" si="10"/>
        <v>1.1833333333333333</v>
      </c>
      <c r="BF42" s="13">
        <f>SQRT((AI42*1000/(H42*MIN(U42,AB42)))^2+(Q42*1000000*2*((H42-2*([1]Parametros!$B$7+[1]Parametros!$B$9/2))+(I42-2*([1]Parametros!$B$7+[1]Parametros!$B$9/2)))/(1.7*((H42-2*([1]Parametros!$B$7+[1]Parametros!$B$9/2))*(I42-2*([1]Parametros!$B$7+[1]Parametros!$B$9/2)))^2))^2)</f>
        <v>0.81583090647646306</v>
      </c>
      <c r="BG42" s="13">
        <f>[1]Parametros!$B$6*(AJ42*1000/(H42*MIN(U42,AB42))+0.66*SQRT([1]Parametros!$B$2))</f>
        <v>3.2939603822754151</v>
      </c>
      <c r="BH42" s="13" t="str">
        <f t="shared" si="11"/>
        <v>CUMPLE</v>
      </c>
      <c r="BI42" s="13">
        <f>AX42*[1]Parametros!$B$8</f>
        <v>0</v>
      </c>
      <c r="BJ42" s="15" t="str">
        <f t="shared" si="12"/>
        <v>CUMPLE</v>
      </c>
    </row>
    <row r="43" spans="1:62" x14ac:dyDescent="0.3">
      <c r="A43" s="11" t="s">
        <v>65</v>
      </c>
      <c r="B43" s="12">
        <v>946</v>
      </c>
      <c r="C43" s="13">
        <v>1</v>
      </c>
      <c r="D43" s="13">
        <v>3.4</v>
      </c>
      <c r="E43" s="13">
        <v>3.4</v>
      </c>
      <c r="F43" s="13">
        <v>450</v>
      </c>
      <c r="G43" s="13">
        <v>550</v>
      </c>
      <c r="H43" s="13">
        <v>450</v>
      </c>
      <c r="I43" s="13">
        <v>550</v>
      </c>
      <c r="J43" s="14">
        <v>94.174899999999994</v>
      </c>
      <c r="K43" s="13">
        <v>946</v>
      </c>
      <c r="L43" s="14">
        <v>65.865700000000004</v>
      </c>
      <c r="M43" s="13">
        <v>946</v>
      </c>
      <c r="N43" s="14">
        <v>54.002000000000002</v>
      </c>
      <c r="O43" s="14">
        <v>176.142</v>
      </c>
      <c r="P43" s="13">
        <v>946</v>
      </c>
      <c r="Q43" s="14">
        <v>4.4588999999999999</v>
      </c>
      <c r="R43" s="13">
        <f>MAX(MAX(1.4/[1]Parametros!$B$3,0.25*SQRT([1]Parametros!$B$2)/[1]Parametros!$B$3)*H43*U43,(0.85*[1]Parametros!$B$2/[1]Parametros!$B$3)*(1-SQRT(1-2*(J43*1000000/([1]Parametros!$B$5*H43*U43^2))/(0.85*[1]Parametros!$B$2)))*H43*U43)</f>
        <v>734.02500000000009</v>
      </c>
      <c r="S43" s="14">
        <v>4</v>
      </c>
      <c r="T43" s="14">
        <v>1</v>
      </c>
      <c r="U43" s="13">
        <f>IF(T43=1,I43-([1]Parametros!$B$7+[1]Parametros!$B$9+[1]Parametros!$B$12/2),I43-(ROUNDUP(S43/2,0)*([1]Parametros!$B$7+[1]Parametros!$B$9+[1]Parametros!$B$12/2)+ROUNDDOWN(S43/2,0)*([1]Parametros!$B$7+[1]Parametros!$B$9+[1]Parametros!$B$12/2+[1]Parametros!$B$12+[1]Parametros!$B$10))/S43)</f>
        <v>489.35</v>
      </c>
      <c r="V43" s="13">
        <f>S43*[1]Parametros!$B$8</f>
        <v>796</v>
      </c>
      <c r="W43" s="13">
        <f>[1]Parametros!$B$5*V43*[1]Parametros!$B$3*(U43-(V43*[1]Parametros!$B$3/(0.85*[1]Parametros!$B$2*H43))/2)/1000000</f>
        <v>142.54333009411764</v>
      </c>
      <c r="X43" s="13" t="str">
        <f t="shared" si="0"/>
        <v>CUMPLE</v>
      </c>
      <c r="Y43" s="13">
        <f>MAX(MAX(1.4/[1]Parametros!$B$3,0.25*SQRT([1]Parametros!$B$2)/[1]Parametros!$B$3)*H43*AB43,(0.85*[1]Parametros!$B$2/[1]Parametros!$B$3)*(1-SQRT(1-2*(L43*1000000/([1]Parametros!$B$5*H43*AB43^2))/(0.85*[1]Parametros!$B$2)))*H43*AB43)</f>
        <v>734.02500000000009</v>
      </c>
      <c r="Z43" s="14">
        <v>4</v>
      </c>
      <c r="AA43" s="14">
        <v>1</v>
      </c>
      <c r="AB43" s="13">
        <f>IF(AA43=1,I43-([1]Parametros!$B$7+[1]Parametros!$B$9+[1]Parametros!$B$12/2),I43-(ROUNDUP(Z43/2,0)*([1]Parametros!$B$7+[1]Parametros!$B$9+[1]Parametros!$B$12/2)+ROUNDDOWN(Z43/2,0)*([1]Parametros!$B$7+[1]Parametros!$B$9+[1]Parametros!$B$12/2+[1]Parametros!$B$12+[1]Parametros!$B$10))/Z43)</f>
        <v>489.35</v>
      </c>
      <c r="AC43" s="13">
        <f>Z43*[1]Parametros!$B$8</f>
        <v>796</v>
      </c>
      <c r="AD43" s="13">
        <f>[1]Parametros!$B$5*AC43*[1]Parametros!$B$3*(AB43-(AC43*[1]Parametros!$B$3/(0.85*[1]Parametros!$B$2*H43))/2)/1000000</f>
        <v>142.54333009411764</v>
      </c>
      <c r="AE43" s="13" t="str">
        <f t="shared" si="1"/>
        <v>CUMPLE</v>
      </c>
      <c r="AF43" s="13">
        <f>V43*1.25*[1]Parametros!$B$3*(U43-(V43*1.25*[1]Parametros!$B$3/(0.85*[1]Parametros!$B$2*H43))/2)/1000000</f>
        <v>196.34621794117646</v>
      </c>
      <c r="AG43" s="13">
        <f>AC43*1.25*[1]Parametros!$B$3*(AB43-(AC43*1.25*[1]Parametros!$B$3/(0.85*[1]Parametros!$B$2*H43))/2)/1000000</f>
        <v>196.34621794117646</v>
      </c>
      <c r="AH43" s="13">
        <f t="shared" si="2"/>
        <v>169.49977525951556</v>
      </c>
      <c r="AI43" s="13">
        <f t="shared" si="3"/>
        <v>176.142</v>
      </c>
      <c r="AJ43" s="13">
        <f>0.17*SQRT([1]Parametros!$B$2)*H43*MIN(U43,AB43)/1000</f>
        <v>198.08885582262698</v>
      </c>
      <c r="AK43" s="13">
        <f>MAX(AI43/[1]Parametros!$B$6-AJ43,0)</f>
        <v>36.767144177373012</v>
      </c>
      <c r="AL43" s="13">
        <f>0.66*SQRT([1]Parametros!$B$2)*H43*MIN(U43,AB43)/1000</f>
        <v>769.05085201725785</v>
      </c>
      <c r="AM43" s="13" t="str">
        <f t="shared" si="4"/>
        <v>CUMPLE</v>
      </c>
      <c r="AN43" s="13" t="s">
        <v>64</v>
      </c>
      <c r="AO43" s="14">
        <v>2</v>
      </c>
      <c r="AP43" s="13">
        <f>ROUNDDOWN(MIN(IF(BC43+BD43=0,1000000000,AO43*BB43/(BC43+BD43)),MIN(U43,AB43)/4,8*[1]Parametros!$B$12,24*BA43,300,IF(AV43=0,1000000000,2*((H43-2*([1]Parametros!$B$7+[1]Parametros!$B$9/2))+(I43-2*([1]Parametros!$B$7+[1]Parametros!$B$9/2)))/8))/10,0)*10</f>
        <v>120</v>
      </c>
      <c r="AQ43" s="13">
        <f>ROUNDDOWN(MIN(IF(BC43+BD43=0,1000000000,AO43*BB43/(BC43+BD43)),IF(AK43&gt;0.33*SQRT([1]Parametros!$B$2)*H43*MIN(U43,AB43)/1000,MIN(U43,AB43)/4,MIN(U43,AB43)/2),600,IF(AV43=0,1000000000,2*((H43-2*([1]Parametros!$B$7+[1]Parametros!$B$9/2))+(I43-2*([1]Parametros!$B$7+[1]Parametros!$B$9/2)))/8))/10,0)*10</f>
        <v>240</v>
      </c>
      <c r="AR43" s="13">
        <f>[1]Parametros!$B$6*(AJ43+MAX(BE43-BD43,0)*[1]Parametros!$B$4*MIN(U43,AB43)/1000)</f>
        <v>330.97185436697026</v>
      </c>
      <c r="AS43" s="13" t="str">
        <f t="shared" si="5"/>
        <v>CUMPLE</v>
      </c>
      <c r="AT43" s="13">
        <f>[1]Parametros!$B$6*0.083*SQRT([1]Parametros!$B$2)*(H43*I43)^2/(2*(H43+I43))/1000000</f>
        <v>10.08878303333792</v>
      </c>
      <c r="AU43" s="13" t="str">
        <f t="shared" si="6"/>
        <v>DESPRECIABLE</v>
      </c>
      <c r="AV43" s="13">
        <f>IF(Q43&lt;=AT43,0,Q43*1000000/([1]Parametros!$B$6*2*0.85*(H43-2*([1]Parametros!$B$7+[1]Parametros!$B$9/2))*(I43-2*([1]Parametros!$B$7+[1]Parametros!$B$9/2))*[1]Parametros!$B$4))</f>
        <v>0</v>
      </c>
      <c r="AW43" s="13">
        <f>AV43*2*((H43-2*([1]Parametros!$B$7+[1]Parametros!$B$9/2))+(I43-2*([1]Parametros!$B$7+[1]Parametros!$B$9/2)))*[1]Parametros!$B$4/[1]Parametros!$B$3</f>
        <v>0</v>
      </c>
      <c r="AX43" s="14">
        <v>0</v>
      </c>
      <c r="AY43" s="13" t="str">
        <f t="shared" si="7"/>
        <v>DESPRECIABLE</v>
      </c>
      <c r="AZ43" s="13" t="str">
        <f t="shared" si="8"/>
        <v>CUMPLE</v>
      </c>
      <c r="BA43" s="14">
        <v>9.5</v>
      </c>
      <c r="BB43" s="14">
        <v>71</v>
      </c>
      <c r="BC43" s="13">
        <f>MAX(IF(AK43=0,0,AK43*1000/([1]Parametros!$B$4*MIN(U43,AB43))),MAX(0.062*SQRT([1]Parametros!$B$2)*H43/[1]Parametros!$B$4,0.35*H43/[1]Parametros!$B$4))</f>
        <v>0.375</v>
      </c>
      <c r="BD43" s="13">
        <f t="shared" si="9"/>
        <v>0</v>
      </c>
      <c r="BE43" s="13">
        <f t="shared" si="10"/>
        <v>1.1833333333333333</v>
      </c>
      <c r="BF43" s="13">
        <f>SQRT((AI43*1000/(H43*MIN(U43,AB43)))^2+(Q43*1000000*2*((H43-2*([1]Parametros!$B$7+[1]Parametros!$B$9/2))+(I43-2*([1]Parametros!$B$7+[1]Parametros!$B$9/2)))/(1.7*((H43-2*([1]Parametros!$B$7+[1]Parametros!$B$9/2))*(I43-2*([1]Parametros!$B$7+[1]Parametros!$B$9/2)))^2))^2)</f>
        <v>0.81574816353414881</v>
      </c>
      <c r="BG43" s="13">
        <f>[1]Parametros!$B$6*(AJ43*1000/(H43*MIN(U43,AB43))+0.66*SQRT([1]Parametros!$B$2))</f>
        <v>3.2939603822754151</v>
      </c>
      <c r="BH43" s="13" t="str">
        <f t="shared" si="11"/>
        <v>CUMPLE</v>
      </c>
      <c r="BI43" s="13">
        <f>AX43*[1]Parametros!$B$8</f>
        <v>0</v>
      </c>
      <c r="BJ43" s="15" t="str">
        <f t="shared" si="12"/>
        <v>CUMPLE</v>
      </c>
    </row>
    <row r="44" spans="1:62" x14ac:dyDescent="0.3">
      <c r="A44" s="11" t="s">
        <v>65</v>
      </c>
      <c r="B44" s="12">
        <v>1001</v>
      </c>
      <c r="C44" s="13">
        <v>1</v>
      </c>
      <c r="D44" s="13">
        <v>3.4</v>
      </c>
      <c r="E44" s="13">
        <v>3.4</v>
      </c>
      <c r="F44" s="13">
        <v>450</v>
      </c>
      <c r="G44" s="13">
        <v>550</v>
      </c>
      <c r="H44" s="13">
        <v>450</v>
      </c>
      <c r="I44" s="13">
        <v>550</v>
      </c>
      <c r="J44" s="14">
        <v>48.023800000000001</v>
      </c>
      <c r="K44" s="13">
        <v>1001</v>
      </c>
      <c r="L44" s="14">
        <v>23.035499999999999</v>
      </c>
      <c r="M44" s="13">
        <v>1001</v>
      </c>
      <c r="N44" s="14">
        <v>31.741</v>
      </c>
      <c r="O44" s="14">
        <v>79.334999999999994</v>
      </c>
      <c r="P44" s="13">
        <v>1001</v>
      </c>
      <c r="Q44" s="14">
        <v>4.7619999999999996</v>
      </c>
      <c r="R44" s="13">
        <f>MAX(MAX(1.4/[1]Parametros!$B$3,0.25*SQRT([1]Parametros!$B$2)/[1]Parametros!$B$3)*H44*U44,(0.85*[1]Parametros!$B$2/[1]Parametros!$B$3)*(1-SQRT(1-2*(J44*1000000/([1]Parametros!$B$5*H44*U44^2))/(0.85*[1]Parametros!$B$2)))*H44*U44)</f>
        <v>734.02500000000009</v>
      </c>
      <c r="S44" s="14">
        <v>4</v>
      </c>
      <c r="T44" s="14">
        <v>1</v>
      </c>
      <c r="U44" s="13">
        <f>IF(T44=1,I44-([1]Parametros!$B$7+[1]Parametros!$B$9+[1]Parametros!$B$12/2),I44-(ROUNDUP(S44/2,0)*([1]Parametros!$B$7+[1]Parametros!$B$9+[1]Parametros!$B$12/2)+ROUNDDOWN(S44/2,0)*([1]Parametros!$B$7+[1]Parametros!$B$9+[1]Parametros!$B$12/2+[1]Parametros!$B$12+[1]Parametros!$B$10))/S44)</f>
        <v>489.35</v>
      </c>
      <c r="V44" s="13">
        <f>S44*[1]Parametros!$B$8</f>
        <v>796</v>
      </c>
      <c r="W44" s="13">
        <f>[1]Parametros!$B$5*V44*[1]Parametros!$B$3*(U44-(V44*[1]Parametros!$B$3/(0.85*[1]Parametros!$B$2*H44))/2)/1000000</f>
        <v>142.54333009411764</v>
      </c>
      <c r="X44" s="13" t="str">
        <f t="shared" si="0"/>
        <v>CUMPLE</v>
      </c>
      <c r="Y44" s="13">
        <f>MAX(MAX(1.4/[1]Parametros!$B$3,0.25*SQRT([1]Parametros!$B$2)/[1]Parametros!$B$3)*H44*AB44,(0.85*[1]Parametros!$B$2/[1]Parametros!$B$3)*(1-SQRT(1-2*(L44*1000000/([1]Parametros!$B$5*H44*AB44^2))/(0.85*[1]Parametros!$B$2)))*H44*AB44)</f>
        <v>734.02500000000009</v>
      </c>
      <c r="Z44" s="14">
        <v>4</v>
      </c>
      <c r="AA44" s="14">
        <v>1</v>
      </c>
      <c r="AB44" s="13">
        <f>IF(AA44=1,I44-([1]Parametros!$B$7+[1]Parametros!$B$9+[1]Parametros!$B$12/2),I44-(ROUNDUP(Z44/2,0)*([1]Parametros!$B$7+[1]Parametros!$B$9+[1]Parametros!$B$12/2)+ROUNDDOWN(Z44/2,0)*([1]Parametros!$B$7+[1]Parametros!$B$9+[1]Parametros!$B$12/2+[1]Parametros!$B$12+[1]Parametros!$B$10))/Z44)</f>
        <v>489.35</v>
      </c>
      <c r="AC44" s="13">
        <f>Z44*[1]Parametros!$B$8</f>
        <v>796</v>
      </c>
      <c r="AD44" s="13">
        <f>[1]Parametros!$B$5*AC44*[1]Parametros!$B$3*(AB44-(AC44*[1]Parametros!$B$3/(0.85*[1]Parametros!$B$2*H44))/2)/1000000</f>
        <v>142.54333009411764</v>
      </c>
      <c r="AE44" s="13" t="str">
        <f t="shared" si="1"/>
        <v>CUMPLE</v>
      </c>
      <c r="AF44" s="13">
        <f>V44*1.25*[1]Parametros!$B$3*(U44-(V44*1.25*[1]Parametros!$B$3/(0.85*[1]Parametros!$B$2*H44))/2)/1000000</f>
        <v>196.34621794117646</v>
      </c>
      <c r="AG44" s="13">
        <f>AC44*1.25*[1]Parametros!$B$3*(AB44-(AC44*1.25*[1]Parametros!$B$3/(0.85*[1]Parametros!$B$2*H44))/2)/1000000</f>
        <v>196.34621794117646</v>
      </c>
      <c r="AH44" s="13">
        <f t="shared" si="2"/>
        <v>147.23877525951556</v>
      </c>
      <c r="AI44" s="13">
        <f t="shared" si="3"/>
        <v>147.23877525951556</v>
      </c>
      <c r="AJ44" s="13">
        <f>0.17*SQRT([1]Parametros!$B$2)*H44*MIN(U44,AB44)/1000</f>
        <v>198.08885582262698</v>
      </c>
      <c r="AK44" s="13">
        <f>MAX(AI44/[1]Parametros!$B$6-AJ44,0)</f>
        <v>0</v>
      </c>
      <c r="AL44" s="13">
        <f>0.66*SQRT([1]Parametros!$B$2)*H44*MIN(U44,AB44)/1000</f>
        <v>769.05085201725785</v>
      </c>
      <c r="AM44" s="13" t="str">
        <f t="shared" si="4"/>
        <v>CUMPLE</v>
      </c>
      <c r="AN44" s="13" t="s">
        <v>64</v>
      </c>
      <c r="AO44" s="14">
        <v>2</v>
      </c>
      <c r="AP44" s="13">
        <f>ROUNDDOWN(MIN(IF(BC44+BD44=0,1000000000,AO44*BB44/(BC44+BD44)),MIN(U44,AB44)/4,8*[1]Parametros!$B$12,24*BA44,300,IF(AV44=0,1000000000,2*((H44-2*([1]Parametros!$B$7+[1]Parametros!$B$9/2))+(I44-2*([1]Parametros!$B$7+[1]Parametros!$B$9/2)))/8))/10,0)*10</f>
        <v>120</v>
      </c>
      <c r="AQ44" s="13">
        <f>ROUNDDOWN(MIN(IF(BC44+BD44=0,1000000000,AO44*BB44/(BC44+BD44)),IF(AK44&gt;0.33*SQRT([1]Parametros!$B$2)*H44*MIN(U44,AB44)/1000,MIN(U44,AB44)/4,MIN(U44,AB44)/2),600,IF(AV44=0,1000000000,2*((H44-2*([1]Parametros!$B$7+[1]Parametros!$B$9/2))+(I44-2*([1]Parametros!$B$7+[1]Parametros!$B$9/2)))/8))/10,0)*10</f>
        <v>240</v>
      </c>
      <c r="AR44" s="13">
        <f>[1]Parametros!$B$6*(AJ44+MAX(BE44-BD44,0)*[1]Parametros!$B$4*MIN(U44,AB44)/1000)</f>
        <v>330.97185436697026</v>
      </c>
      <c r="AS44" s="13" t="str">
        <f t="shared" si="5"/>
        <v>CUMPLE</v>
      </c>
      <c r="AT44" s="13">
        <f>[1]Parametros!$B$6*0.083*SQRT([1]Parametros!$B$2)*(H44*I44)^2/(2*(H44+I44))/1000000</f>
        <v>10.08878303333792</v>
      </c>
      <c r="AU44" s="13" t="str">
        <f t="shared" si="6"/>
        <v>DESPRECIABLE</v>
      </c>
      <c r="AV44" s="13">
        <f>IF(Q44&lt;=AT44,0,Q44*1000000/([1]Parametros!$B$6*2*0.85*(H44-2*([1]Parametros!$B$7+[1]Parametros!$B$9/2))*(I44-2*([1]Parametros!$B$7+[1]Parametros!$B$9/2))*[1]Parametros!$B$4))</f>
        <v>0</v>
      </c>
      <c r="AW44" s="13">
        <f>AV44*2*((H44-2*([1]Parametros!$B$7+[1]Parametros!$B$9/2))+(I44-2*([1]Parametros!$B$7+[1]Parametros!$B$9/2)))*[1]Parametros!$B$4/[1]Parametros!$B$3</f>
        <v>0</v>
      </c>
      <c r="AX44" s="14">
        <v>0</v>
      </c>
      <c r="AY44" s="13" t="str">
        <f t="shared" si="7"/>
        <v>DESPRECIABLE</v>
      </c>
      <c r="AZ44" s="13" t="str">
        <f t="shared" si="8"/>
        <v>CUMPLE</v>
      </c>
      <c r="BA44" s="14">
        <v>9.5</v>
      </c>
      <c r="BB44" s="14">
        <v>71</v>
      </c>
      <c r="BC44" s="13">
        <f>MAX(IF(AK44=0,0,AK44*1000/([1]Parametros!$B$4*MIN(U44,AB44))),MAX(0.062*SQRT([1]Parametros!$B$2)*H44/[1]Parametros!$B$4,0.35*H44/[1]Parametros!$B$4))</f>
        <v>0.375</v>
      </c>
      <c r="BD44" s="13">
        <f t="shared" si="9"/>
        <v>0</v>
      </c>
      <c r="BE44" s="13">
        <f t="shared" si="10"/>
        <v>1.1833333333333333</v>
      </c>
      <c r="BF44" s="13">
        <f>SQRT((AI44*1000/(H44*MIN(U44,AB44)))^2+(Q44*1000000*2*((H44-2*([1]Parametros!$B$7+[1]Parametros!$B$9/2))+(I44-2*([1]Parametros!$B$7+[1]Parametros!$B$9/2)))/(1.7*((H44-2*([1]Parametros!$B$7+[1]Parametros!$B$9/2))*(I44-2*([1]Parametros!$B$7+[1]Parametros!$B$9/2)))^2))^2)</f>
        <v>0.69014175376810494</v>
      </c>
      <c r="BG44" s="13">
        <f>[1]Parametros!$B$6*(AJ44*1000/(H44*MIN(U44,AB44))+0.66*SQRT([1]Parametros!$B$2))</f>
        <v>3.2939603822754151</v>
      </c>
      <c r="BH44" s="13" t="str">
        <f t="shared" si="11"/>
        <v>CUMPLE</v>
      </c>
      <c r="BI44" s="13">
        <f>AX44*[1]Parametros!$B$8</f>
        <v>0</v>
      </c>
      <c r="BJ44" s="15" t="str">
        <f t="shared" si="12"/>
        <v>CUMPLE</v>
      </c>
    </row>
    <row r="45" spans="1:62" x14ac:dyDescent="0.3">
      <c r="A45" s="11" t="s">
        <v>65</v>
      </c>
      <c r="B45" s="12">
        <v>1002</v>
      </c>
      <c r="C45" s="13">
        <v>1</v>
      </c>
      <c r="D45" s="13">
        <v>3.4</v>
      </c>
      <c r="E45" s="13">
        <v>3.4</v>
      </c>
      <c r="F45" s="13">
        <v>450</v>
      </c>
      <c r="G45" s="13">
        <v>550</v>
      </c>
      <c r="H45" s="13">
        <v>450</v>
      </c>
      <c r="I45" s="13">
        <v>550</v>
      </c>
      <c r="J45" s="14">
        <v>48.057099999999998</v>
      </c>
      <c r="K45" s="13">
        <v>1002</v>
      </c>
      <c r="L45" s="14">
        <v>23.0627</v>
      </c>
      <c r="M45" s="13">
        <v>1002</v>
      </c>
      <c r="N45" s="14">
        <v>31.756</v>
      </c>
      <c r="O45" s="14">
        <v>79.349999999999994</v>
      </c>
      <c r="P45" s="13">
        <v>1002</v>
      </c>
      <c r="Q45" s="14">
        <v>4.7624000000000004</v>
      </c>
      <c r="R45" s="13">
        <f>MAX(MAX(1.4/[1]Parametros!$B$3,0.25*SQRT([1]Parametros!$B$2)/[1]Parametros!$B$3)*H45*U45,(0.85*[1]Parametros!$B$2/[1]Parametros!$B$3)*(1-SQRT(1-2*(J45*1000000/([1]Parametros!$B$5*H45*U45^2))/(0.85*[1]Parametros!$B$2)))*H45*U45)</f>
        <v>734.02500000000009</v>
      </c>
      <c r="S45" s="14">
        <v>4</v>
      </c>
      <c r="T45" s="14">
        <v>1</v>
      </c>
      <c r="U45" s="13">
        <f>IF(T45=1,I45-([1]Parametros!$B$7+[1]Parametros!$B$9+[1]Parametros!$B$12/2),I45-(ROUNDUP(S45/2,0)*([1]Parametros!$B$7+[1]Parametros!$B$9+[1]Parametros!$B$12/2)+ROUNDDOWN(S45/2,0)*([1]Parametros!$B$7+[1]Parametros!$B$9+[1]Parametros!$B$12/2+[1]Parametros!$B$12+[1]Parametros!$B$10))/S45)</f>
        <v>489.35</v>
      </c>
      <c r="V45" s="13">
        <f>S45*[1]Parametros!$B$8</f>
        <v>796</v>
      </c>
      <c r="W45" s="13">
        <f>[1]Parametros!$B$5*V45*[1]Parametros!$B$3*(U45-(V45*[1]Parametros!$B$3/(0.85*[1]Parametros!$B$2*H45))/2)/1000000</f>
        <v>142.54333009411764</v>
      </c>
      <c r="X45" s="13" t="str">
        <f t="shared" si="0"/>
        <v>CUMPLE</v>
      </c>
      <c r="Y45" s="13">
        <f>MAX(MAX(1.4/[1]Parametros!$B$3,0.25*SQRT([1]Parametros!$B$2)/[1]Parametros!$B$3)*H45*AB45,(0.85*[1]Parametros!$B$2/[1]Parametros!$B$3)*(1-SQRT(1-2*(L45*1000000/([1]Parametros!$B$5*H45*AB45^2))/(0.85*[1]Parametros!$B$2)))*H45*AB45)</f>
        <v>734.02500000000009</v>
      </c>
      <c r="Z45" s="14">
        <v>4</v>
      </c>
      <c r="AA45" s="14">
        <v>1</v>
      </c>
      <c r="AB45" s="13">
        <f>IF(AA45=1,I45-([1]Parametros!$B$7+[1]Parametros!$B$9+[1]Parametros!$B$12/2),I45-(ROUNDUP(Z45/2,0)*([1]Parametros!$B$7+[1]Parametros!$B$9+[1]Parametros!$B$12/2)+ROUNDDOWN(Z45/2,0)*([1]Parametros!$B$7+[1]Parametros!$B$9+[1]Parametros!$B$12/2+[1]Parametros!$B$12+[1]Parametros!$B$10))/Z45)</f>
        <v>489.35</v>
      </c>
      <c r="AC45" s="13">
        <f>Z45*[1]Parametros!$B$8</f>
        <v>796</v>
      </c>
      <c r="AD45" s="13">
        <f>[1]Parametros!$B$5*AC45*[1]Parametros!$B$3*(AB45-(AC45*[1]Parametros!$B$3/(0.85*[1]Parametros!$B$2*H45))/2)/1000000</f>
        <v>142.54333009411764</v>
      </c>
      <c r="AE45" s="13" t="str">
        <f t="shared" si="1"/>
        <v>CUMPLE</v>
      </c>
      <c r="AF45" s="13">
        <f>V45*1.25*[1]Parametros!$B$3*(U45-(V45*1.25*[1]Parametros!$B$3/(0.85*[1]Parametros!$B$2*H45))/2)/1000000</f>
        <v>196.34621794117646</v>
      </c>
      <c r="AG45" s="13">
        <f>AC45*1.25*[1]Parametros!$B$3*(AB45-(AC45*1.25*[1]Parametros!$B$3/(0.85*[1]Parametros!$B$2*H45))/2)/1000000</f>
        <v>196.34621794117646</v>
      </c>
      <c r="AH45" s="13">
        <f t="shared" si="2"/>
        <v>147.25377525951558</v>
      </c>
      <c r="AI45" s="13">
        <f t="shared" si="3"/>
        <v>147.25377525951558</v>
      </c>
      <c r="AJ45" s="13">
        <f>0.17*SQRT([1]Parametros!$B$2)*H45*MIN(U45,AB45)/1000</f>
        <v>198.08885582262698</v>
      </c>
      <c r="AK45" s="13">
        <f>MAX(AI45/[1]Parametros!$B$6-AJ45,0)</f>
        <v>0</v>
      </c>
      <c r="AL45" s="13">
        <f>0.66*SQRT([1]Parametros!$B$2)*H45*MIN(U45,AB45)/1000</f>
        <v>769.05085201725785</v>
      </c>
      <c r="AM45" s="13" t="str">
        <f t="shared" si="4"/>
        <v>CUMPLE</v>
      </c>
      <c r="AN45" s="13" t="s">
        <v>64</v>
      </c>
      <c r="AO45" s="14">
        <v>2</v>
      </c>
      <c r="AP45" s="13">
        <f>ROUNDDOWN(MIN(IF(BC45+BD45=0,1000000000,AO45*BB45/(BC45+BD45)),MIN(U45,AB45)/4,8*[1]Parametros!$B$12,24*BA45,300,IF(AV45=0,1000000000,2*((H45-2*([1]Parametros!$B$7+[1]Parametros!$B$9/2))+(I45-2*([1]Parametros!$B$7+[1]Parametros!$B$9/2)))/8))/10,0)*10</f>
        <v>120</v>
      </c>
      <c r="AQ45" s="13">
        <f>ROUNDDOWN(MIN(IF(BC45+BD45=0,1000000000,AO45*BB45/(BC45+BD45)),IF(AK45&gt;0.33*SQRT([1]Parametros!$B$2)*H45*MIN(U45,AB45)/1000,MIN(U45,AB45)/4,MIN(U45,AB45)/2),600,IF(AV45=0,1000000000,2*((H45-2*([1]Parametros!$B$7+[1]Parametros!$B$9/2))+(I45-2*([1]Parametros!$B$7+[1]Parametros!$B$9/2)))/8))/10,0)*10</f>
        <v>240</v>
      </c>
      <c r="AR45" s="13">
        <f>[1]Parametros!$B$6*(AJ45+MAX(BE45-BD45,0)*[1]Parametros!$B$4*MIN(U45,AB45)/1000)</f>
        <v>330.97185436697026</v>
      </c>
      <c r="AS45" s="13" t="str">
        <f t="shared" si="5"/>
        <v>CUMPLE</v>
      </c>
      <c r="AT45" s="13">
        <f>[1]Parametros!$B$6*0.083*SQRT([1]Parametros!$B$2)*(H45*I45)^2/(2*(H45+I45))/1000000</f>
        <v>10.08878303333792</v>
      </c>
      <c r="AU45" s="13" t="str">
        <f t="shared" si="6"/>
        <v>DESPRECIABLE</v>
      </c>
      <c r="AV45" s="13">
        <f>IF(Q45&lt;=AT45,0,Q45*1000000/([1]Parametros!$B$6*2*0.85*(H45-2*([1]Parametros!$B$7+[1]Parametros!$B$9/2))*(I45-2*([1]Parametros!$B$7+[1]Parametros!$B$9/2))*[1]Parametros!$B$4))</f>
        <v>0</v>
      </c>
      <c r="AW45" s="13">
        <f>AV45*2*((H45-2*([1]Parametros!$B$7+[1]Parametros!$B$9/2))+(I45-2*([1]Parametros!$B$7+[1]Parametros!$B$9/2)))*[1]Parametros!$B$4/[1]Parametros!$B$3</f>
        <v>0</v>
      </c>
      <c r="AX45" s="14">
        <v>0</v>
      </c>
      <c r="AY45" s="13" t="str">
        <f t="shared" si="7"/>
        <v>DESPRECIABLE</v>
      </c>
      <c r="AZ45" s="13" t="str">
        <f t="shared" si="8"/>
        <v>CUMPLE</v>
      </c>
      <c r="BA45" s="14">
        <v>9.5</v>
      </c>
      <c r="BB45" s="14">
        <v>71</v>
      </c>
      <c r="BC45" s="13">
        <f>MAX(IF(AK45=0,0,AK45*1000/([1]Parametros!$B$4*MIN(U45,AB45))),MAX(0.062*SQRT([1]Parametros!$B$2)*H45/[1]Parametros!$B$4,0.35*H45/[1]Parametros!$B$4))</f>
        <v>0.375</v>
      </c>
      <c r="BD45" s="13">
        <f t="shared" si="9"/>
        <v>0</v>
      </c>
      <c r="BE45" s="13">
        <f t="shared" si="10"/>
        <v>1.1833333333333333</v>
      </c>
      <c r="BF45" s="13">
        <f>SQRT((AI45*1000/(H45*MIN(U45,AB45)))^2+(Q45*1000000*2*((H45-2*([1]Parametros!$B$7+[1]Parametros!$B$9/2))+(I45-2*([1]Parametros!$B$7+[1]Parametros!$B$9/2)))/(1.7*((H45-2*([1]Parametros!$B$7+[1]Parametros!$B$9/2))*(I45-2*([1]Parametros!$B$7+[1]Parametros!$B$9/2)))^2))^2)</f>
        <v>0.69021130527948904</v>
      </c>
      <c r="BG45" s="13">
        <f>[1]Parametros!$B$6*(AJ45*1000/(H45*MIN(U45,AB45))+0.66*SQRT([1]Parametros!$B$2))</f>
        <v>3.2939603822754151</v>
      </c>
      <c r="BH45" s="13" t="str">
        <f t="shared" si="11"/>
        <v>CUMPLE</v>
      </c>
      <c r="BI45" s="13">
        <f>AX45*[1]Parametros!$B$8</f>
        <v>0</v>
      </c>
      <c r="BJ45" s="15" t="str">
        <f t="shared" si="12"/>
        <v>CUMPLE</v>
      </c>
    </row>
    <row r="46" spans="1:62" x14ac:dyDescent="0.3">
      <c r="A46" s="11" t="s">
        <v>65</v>
      </c>
      <c r="B46" s="12">
        <v>1039</v>
      </c>
      <c r="C46" s="13">
        <v>1</v>
      </c>
      <c r="D46" s="13">
        <v>3.4</v>
      </c>
      <c r="E46" s="13">
        <v>3.4</v>
      </c>
      <c r="F46" s="13">
        <v>450</v>
      </c>
      <c r="G46" s="13">
        <v>550</v>
      </c>
      <c r="H46" s="13">
        <v>450</v>
      </c>
      <c r="I46" s="13">
        <v>550</v>
      </c>
      <c r="J46" s="14">
        <v>48.058599999999998</v>
      </c>
      <c r="K46" s="13">
        <v>1039</v>
      </c>
      <c r="L46" s="14">
        <v>23.0642</v>
      </c>
      <c r="M46" s="13">
        <v>1039</v>
      </c>
      <c r="N46" s="14">
        <v>31.757000000000001</v>
      </c>
      <c r="O46" s="14">
        <v>79.363</v>
      </c>
      <c r="P46" s="13">
        <v>1039</v>
      </c>
      <c r="Q46" s="14">
        <v>4.7647000000000004</v>
      </c>
      <c r="R46" s="13">
        <f>MAX(MAX(1.4/[1]Parametros!$B$3,0.25*SQRT([1]Parametros!$B$2)/[1]Parametros!$B$3)*H46*U46,(0.85*[1]Parametros!$B$2/[1]Parametros!$B$3)*(1-SQRT(1-2*(J46*1000000/([1]Parametros!$B$5*H46*U46^2))/(0.85*[1]Parametros!$B$2)))*H46*U46)</f>
        <v>734.02500000000009</v>
      </c>
      <c r="S46" s="14">
        <v>4</v>
      </c>
      <c r="T46" s="14">
        <v>1</v>
      </c>
      <c r="U46" s="13">
        <f>IF(T46=1,I46-([1]Parametros!$B$7+[1]Parametros!$B$9+[1]Parametros!$B$12/2),I46-(ROUNDUP(S46/2,0)*([1]Parametros!$B$7+[1]Parametros!$B$9+[1]Parametros!$B$12/2)+ROUNDDOWN(S46/2,0)*([1]Parametros!$B$7+[1]Parametros!$B$9+[1]Parametros!$B$12/2+[1]Parametros!$B$12+[1]Parametros!$B$10))/S46)</f>
        <v>489.35</v>
      </c>
      <c r="V46" s="13">
        <f>S46*[1]Parametros!$B$8</f>
        <v>796</v>
      </c>
      <c r="W46" s="13">
        <f>[1]Parametros!$B$5*V46*[1]Parametros!$B$3*(U46-(V46*[1]Parametros!$B$3/(0.85*[1]Parametros!$B$2*H46))/2)/1000000</f>
        <v>142.54333009411764</v>
      </c>
      <c r="X46" s="13" t="str">
        <f t="shared" si="0"/>
        <v>CUMPLE</v>
      </c>
      <c r="Y46" s="13">
        <f>MAX(MAX(1.4/[1]Parametros!$B$3,0.25*SQRT([1]Parametros!$B$2)/[1]Parametros!$B$3)*H46*AB46,(0.85*[1]Parametros!$B$2/[1]Parametros!$B$3)*(1-SQRT(1-2*(L46*1000000/([1]Parametros!$B$5*H46*AB46^2))/(0.85*[1]Parametros!$B$2)))*H46*AB46)</f>
        <v>734.02500000000009</v>
      </c>
      <c r="Z46" s="14">
        <v>4</v>
      </c>
      <c r="AA46" s="14">
        <v>1</v>
      </c>
      <c r="AB46" s="13">
        <f>IF(AA46=1,I46-([1]Parametros!$B$7+[1]Parametros!$B$9+[1]Parametros!$B$12/2),I46-(ROUNDUP(Z46/2,0)*([1]Parametros!$B$7+[1]Parametros!$B$9+[1]Parametros!$B$12/2)+ROUNDDOWN(Z46/2,0)*([1]Parametros!$B$7+[1]Parametros!$B$9+[1]Parametros!$B$12/2+[1]Parametros!$B$12+[1]Parametros!$B$10))/Z46)</f>
        <v>489.35</v>
      </c>
      <c r="AC46" s="13">
        <f>Z46*[1]Parametros!$B$8</f>
        <v>796</v>
      </c>
      <c r="AD46" s="13">
        <f>[1]Parametros!$B$5*AC46*[1]Parametros!$B$3*(AB46-(AC46*[1]Parametros!$B$3/(0.85*[1]Parametros!$B$2*H46))/2)/1000000</f>
        <v>142.54333009411764</v>
      </c>
      <c r="AE46" s="13" t="str">
        <f t="shared" si="1"/>
        <v>CUMPLE</v>
      </c>
      <c r="AF46" s="13">
        <f>V46*1.25*[1]Parametros!$B$3*(U46-(V46*1.25*[1]Parametros!$B$3/(0.85*[1]Parametros!$B$2*H46))/2)/1000000</f>
        <v>196.34621794117646</v>
      </c>
      <c r="AG46" s="13">
        <f>AC46*1.25*[1]Parametros!$B$3*(AB46-(AC46*1.25*[1]Parametros!$B$3/(0.85*[1]Parametros!$B$2*H46))/2)/1000000</f>
        <v>196.34621794117646</v>
      </c>
      <c r="AH46" s="13">
        <f t="shared" si="2"/>
        <v>147.25477525951555</v>
      </c>
      <c r="AI46" s="13">
        <f t="shared" si="3"/>
        <v>147.25477525951555</v>
      </c>
      <c r="AJ46" s="13">
        <f>0.17*SQRT([1]Parametros!$B$2)*H46*MIN(U46,AB46)/1000</f>
        <v>198.08885582262698</v>
      </c>
      <c r="AK46" s="13">
        <f>MAX(AI46/[1]Parametros!$B$6-AJ46,0)</f>
        <v>0</v>
      </c>
      <c r="AL46" s="13">
        <f>0.66*SQRT([1]Parametros!$B$2)*H46*MIN(U46,AB46)/1000</f>
        <v>769.05085201725785</v>
      </c>
      <c r="AM46" s="13" t="str">
        <f t="shared" si="4"/>
        <v>CUMPLE</v>
      </c>
      <c r="AN46" s="13" t="s">
        <v>64</v>
      </c>
      <c r="AO46" s="14">
        <v>2</v>
      </c>
      <c r="AP46" s="13">
        <f>ROUNDDOWN(MIN(IF(BC46+BD46=0,1000000000,AO46*BB46/(BC46+BD46)),MIN(U46,AB46)/4,8*[1]Parametros!$B$12,24*BA46,300,IF(AV46=0,1000000000,2*((H46-2*([1]Parametros!$B$7+[1]Parametros!$B$9/2))+(I46-2*([1]Parametros!$B$7+[1]Parametros!$B$9/2)))/8))/10,0)*10</f>
        <v>120</v>
      </c>
      <c r="AQ46" s="13">
        <f>ROUNDDOWN(MIN(IF(BC46+BD46=0,1000000000,AO46*BB46/(BC46+BD46)),IF(AK46&gt;0.33*SQRT([1]Parametros!$B$2)*H46*MIN(U46,AB46)/1000,MIN(U46,AB46)/4,MIN(U46,AB46)/2),600,IF(AV46=0,1000000000,2*((H46-2*([1]Parametros!$B$7+[1]Parametros!$B$9/2))+(I46-2*([1]Parametros!$B$7+[1]Parametros!$B$9/2)))/8))/10,0)*10</f>
        <v>240</v>
      </c>
      <c r="AR46" s="13">
        <f>[1]Parametros!$B$6*(AJ46+MAX(BE46-BD46,0)*[1]Parametros!$B$4*MIN(U46,AB46)/1000)</f>
        <v>330.97185436697026</v>
      </c>
      <c r="AS46" s="13" t="str">
        <f t="shared" si="5"/>
        <v>CUMPLE</v>
      </c>
      <c r="AT46" s="13">
        <f>[1]Parametros!$B$6*0.083*SQRT([1]Parametros!$B$2)*(H46*I46)^2/(2*(H46+I46))/1000000</f>
        <v>10.08878303333792</v>
      </c>
      <c r="AU46" s="13" t="str">
        <f t="shared" si="6"/>
        <v>DESPRECIABLE</v>
      </c>
      <c r="AV46" s="13">
        <f>IF(Q46&lt;=AT46,0,Q46*1000000/([1]Parametros!$B$6*2*0.85*(H46-2*([1]Parametros!$B$7+[1]Parametros!$B$9/2))*(I46-2*([1]Parametros!$B$7+[1]Parametros!$B$9/2))*[1]Parametros!$B$4))</f>
        <v>0</v>
      </c>
      <c r="AW46" s="13">
        <f>AV46*2*((H46-2*([1]Parametros!$B$7+[1]Parametros!$B$9/2))+(I46-2*([1]Parametros!$B$7+[1]Parametros!$B$9/2)))*[1]Parametros!$B$4/[1]Parametros!$B$3</f>
        <v>0</v>
      </c>
      <c r="AX46" s="14">
        <v>0</v>
      </c>
      <c r="AY46" s="13" t="str">
        <f t="shared" si="7"/>
        <v>DESPRECIABLE</v>
      </c>
      <c r="AZ46" s="13" t="str">
        <f t="shared" si="8"/>
        <v>CUMPLE</v>
      </c>
      <c r="BA46" s="14">
        <v>9.5</v>
      </c>
      <c r="BB46" s="14">
        <v>71</v>
      </c>
      <c r="BC46" s="13">
        <f>MAX(IF(AK46=0,0,AK46*1000/([1]Parametros!$B$4*MIN(U46,AB46))),MAX(0.062*SQRT([1]Parametros!$B$2)*H46/[1]Parametros!$B$4,0.35*H46/[1]Parametros!$B$4))</f>
        <v>0.375</v>
      </c>
      <c r="BD46" s="13">
        <f t="shared" si="9"/>
        <v>0</v>
      </c>
      <c r="BE46" s="13">
        <f t="shared" si="10"/>
        <v>1.1833333333333333</v>
      </c>
      <c r="BF46" s="13">
        <f>SQRT((AI46*1000/(H46*MIN(U46,AB46)))^2+(Q46*1000000*2*((H46-2*([1]Parametros!$B$7+[1]Parametros!$B$9/2))+(I46-2*([1]Parametros!$B$7+[1]Parametros!$B$9/2)))/(1.7*((H46-2*([1]Parametros!$B$7+[1]Parametros!$B$9/2))*(I46-2*([1]Parametros!$B$7+[1]Parametros!$B$9/2)))^2))^2)</f>
        <v>0.69023615909837865</v>
      </c>
      <c r="BG46" s="13">
        <f>[1]Parametros!$B$6*(AJ46*1000/(H46*MIN(U46,AB46))+0.66*SQRT([1]Parametros!$B$2))</f>
        <v>3.2939603822754151</v>
      </c>
      <c r="BH46" s="13" t="str">
        <f t="shared" si="11"/>
        <v>CUMPLE</v>
      </c>
      <c r="BI46" s="13">
        <f>AX46*[1]Parametros!$B$8</f>
        <v>0</v>
      </c>
      <c r="BJ46" s="15" t="str">
        <f t="shared" si="12"/>
        <v>CUMPLE</v>
      </c>
    </row>
    <row r="47" spans="1:62" x14ac:dyDescent="0.3">
      <c r="A47" s="11" t="s">
        <v>65</v>
      </c>
      <c r="B47" s="12">
        <v>1040</v>
      </c>
      <c r="C47" s="13">
        <v>1</v>
      </c>
      <c r="D47" s="13">
        <v>3.4</v>
      </c>
      <c r="E47" s="13">
        <v>3.4</v>
      </c>
      <c r="F47" s="13">
        <v>450</v>
      </c>
      <c r="G47" s="13">
        <v>550</v>
      </c>
      <c r="H47" s="13">
        <v>450</v>
      </c>
      <c r="I47" s="13">
        <v>550</v>
      </c>
      <c r="J47" s="14">
        <v>48.034700000000001</v>
      </c>
      <c r="K47" s="13">
        <v>1040</v>
      </c>
      <c r="L47" s="14">
        <v>23.044799999999999</v>
      </c>
      <c r="M47" s="13">
        <v>1040</v>
      </c>
      <c r="N47" s="14">
        <v>31.745999999999999</v>
      </c>
      <c r="O47" s="14">
        <v>79.352000000000004</v>
      </c>
      <c r="P47" s="13">
        <v>1040</v>
      </c>
      <c r="Q47" s="14">
        <v>4.7641</v>
      </c>
      <c r="R47" s="13">
        <f>MAX(MAX(1.4/[1]Parametros!$B$3,0.25*SQRT([1]Parametros!$B$2)/[1]Parametros!$B$3)*H47*U47,(0.85*[1]Parametros!$B$2/[1]Parametros!$B$3)*(1-SQRT(1-2*(J47*1000000/([1]Parametros!$B$5*H47*U47^2))/(0.85*[1]Parametros!$B$2)))*H47*U47)</f>
        <v>734.02500000000009</v>
      </c>
      <c r="S47" s="14">
        <v>4</v>
      </c>
      <c r="T47" s="14">
        <v>1</v>
      </c>
      <c r="U47" s="13">
        <f>IF(T47=1,I47-([1]Parametros!$B$7+[1]Parametros!$B$9+[1]Parametros!$B$12/2),I47-(ROUNDUP(S47/2,0)*([1]Parametros!$B$7+[1]Parametros!$B$9+[1]Parametros!$B$12/2)+ROUNDDOWN(S47/2,0)*([1]Parametros!$B$7+[1]Parametros!$B$9+[1]Parametros!$B$12/2+[1]Parametros!$B$12+[1]Parametros!$B$10))/S47)</f>
        <v>489.35</v>
      </c>
      <c r="V47" s="13">
        <f>S47*[1]Parametros!$B$8</f>
        <v>796</v>
      </c>
      <c r="W47" s="13">
        <f>[1]Parametros!$B$5*V47*[1]Parametros!$B$3*(U47-(V47*[1]Parametros!$B$3/(0.85*[1]Parametros!$B$2*H47))/2)/1000000</f>
        <v>142.54333009411764</v>
      </c>
      <c r="X47" s="13" t="str">
        <f t="shared" si="0"/>
        <v>CUMPLE</v>
      </c>
      <c r="Y47" s="13">
        <f>MAX(MAX(1.4/[1]Parametros!$B$3,0.25*SQRT([1]Parametros!$B$2)/[1]Parametros!$B$3)*H47*AB47,(0.85*[1]Parametros!$B$2/[1]Parametros!$B$3)*(1-SQRT(1-2*(L47*1000000/([1]Parametros!$B$5*H47*AB47^2))/(0.85*[1]Parametros!$B$2)))*H47*AB47)</f>
        <v>734.02500000000009</v>
      </c>
      <c r="Z47" s="14">
        <v>4</v>
      </c>
      <c r="AA47" s="14">
        <v>1</v>
      </c>
      <c r="AB47" s="13">
        <f>IF(AA47=1,I47-([1]Parametros!$B$7+[1]Parametros!$B$9+[1]Parametros!$B$12/2),I47-(ROUNDUP(Z47/2,0)*([1]Parametros!$B$7+[1]Parametros!$B$9+[1]Parametros!$B$12/2)+ROUNDDOWN(Z47/2,0)*([1]Parametros!$B$7+[1]Parametros!$B$9+[1]Parametros!$B$12/2+[1]Parametros!$B$12+[1]Parametros!$B$10))/Z47)</f>
        <v>489.35</v>
      </c>
      <c r="AC47" s="13">
        <f>Z47*[1]Parametros!$B$8</f>
        <v>796</v>
      </c>
      <c r="AD47" s="13">
        <f>[1]Parametros!$B$5*AC47*[1]Parametros!$B$3*(AB47-(AC47*[1]Parametros!$B$3/(0.85*[1]Parametros!$B$2*H47))/2)/1000000</f>
        <v>142.54333009411764</v>
      </c>
      <c r="AE47" s="13" t="str">
        <f t="shared" si="1"/>
        <v>CUMPLE</v>
      </c>
      <c r="AF47" s="13">
        <f>V47*1.25*[1]Parametros!$B$3*(U47-(V47*1.25*[1]Parametros!$B$3/(0.85*[1]Parametros!$B$2*H47))/2)/1000000</f>
        <v>196.34621794117646</v>
      </c>
      <c r="AG47" s="13">
        <f>AC47*1.25*[1]Parametros!$B$3*(AB47-(AC47*1.25*[1]Parametros!$B$3/(0.85*[1]Parametros!$B$2*H47))/2)/1000000</f>
        <v>196.34621794117646</v>
      </c>
      <c r="AH47" s="13">
        <f t="shared" si="2"/>
        <v>147.24377525951556</v>
      </c>
      <c r="AI47" s="13">
        <f t="shared" si="3"/>
        <v>147.24377525951556</v>
      </c>
      <c r="AJ47" s="13">
        <f>0.17*SQRT([1]Parametros!$B$2)*H47*MIN(U47,AB47)/1000</f>
        <v>198.08885582262698</v>
      </c>
      <c r="AK47" s="13">
        <f>MAX(AI47/[1]Parametros!$B$6-AJ47,0)</f>
        <v>0</v>
      </c>
      <c r="AL47" s="13">
        <f>0.66*SQRT([1]Parametros!$B$2)*H47*MIN(U47,AB47)/1000</f>
        <v>769.05085201725785</v>
      </c>
      <c r="AM47" s="13" t="str">
        <f t="shared" si="4"/>
        <v>CUMPLE</v>
      </c>
      <c r="AN47" s="13" t="s">
        <v>64</v>
      </c>
      <c r="AO47" s="14">
        <v>2</v>
      </c>
      <c r="AP47" s="13">
        <f>ROUNDDOWN(MIN(IF(BC47+BD47=0,1000000000,AO47*BB47/(BC47+BD47)),MIN(U47,AB47)/4,8*[1]Parametros!$B$12,24*BA47,300,IF(AV47=0,1000000000,2*((H47-2*([1]Parametros!$B$7+[1]Parametros!$B$9/2))+(I47-2*([1]Parametros!$B$7+[1]Parametros!$B$9/2)))/8))/10,0)*10</f>
        <v>120</v>
      </c>
      <c r="AQ47" s="13">
        <f>ROUNDDOWN(MIN(IF(BC47+BD47=0,1000000000,AO47*BB47/(BC47+BD47)),IF(AK47&gt;0.33*SQRT([1]Parametros!$B$2)*H47*MIN(U47,AB47)/1000,MIN(U47,AB47)/4,MIN(U47,AB47)/2),600,IF(AV47=0,1000000000,2*((H47-2*([1]Parametros!$B$7+[1]Parametros!$B$9/2))+(I47-2*([1]Parametros!$B$7+[1]Parametros!$B$9/2)))/8))/10,0)*10</f>
        <v>240</v>
      </c>
      <c r="AR47" s="13">
        <f>[1]Parametros!$B$6*(AJ47+MAX(BE47-BD47,0)*[1]Parametros!$B$4*MIN(U47,AB47)/1000)</f>
        <v>330.97185436697026</v>
      </c>
      <c r="AS47" s="13" t="str">
        <f t="shared" si="5"/>
        <v>CUMPLE</v>
      </c>
      <c r="AT47" s="13">
        <f>[1]Parametros!$B$6*0.083*SQRT([1]Parametros!$B$2)*(H47*I47)^2/(2*(H47+I47))/1000000</f>
        <v>10.08878303333792</v>
      </c>
      <c r="AU47" s="13" t="str">
        <f t="shared" si="6"/>
        <v>DESPRECIABLE</v>
      </c>
      <c r="AV47" s="13">
        <f>IF(Q47&lt;=AT47,0,Q47*1000000/([1]Parametros!$B$6*2*0.85*(H47-2*([1]Parametros!$B$7+[1]Parametros!$B$9/2))*(I47-2*([1]Parametros!$B$7+[1]Parametros!$B$9/2))*[1]Parametros!$B$4))</f>
        <v>0</v>
      </c>
      <c r="AW47" s="13">
        <f>AV47*2*((H47-2*([1]Parametros!$B$7+[1]Parametros!$B$9/2))+(I47-2*([1]Parametros!$B$7+[1]Parametros!$B$9/2)))*[1]Parametros!$B$4/[1]Parametros!$B$3</f>
        <v>0</v>
      </c>
      <c r="AX47" s="14">
        <v>0</v>
      </c>
      <c r="AY47" s="13" t="str">
        <f t="shared" si="7"/>
        <v>DESPRECIABLE</v>
      </c>
      <c r="AZ47" s="13" t="str">
        <f t="shared" si="8"/>
        <v>CUMPLE</v>
      </c>
      <c r="BA47" s="14">
        <v>9.5</v>
      </c>
      <c r="BB47" s="14">
        <v>71</v>
      </c>
      <c r="BC47" s="13">
        <f>MAX(IF(AK47=0,0,AK47*1000/([1]Parametros!$B$4*MIN(U47,AB47))),MAX(0.062*SQRT([1]Parametros!$B$2)*H47/[1]Parametros!$B$4,0.35*H47/[1]Parametros!$B$4))</f>
        <v>0.375</v>
      </c>
      <c r="BD47" s="13">
        <f t="shared" si="9"/>
        <v>0</v>
      </c>
      <c r="BE47" s="13">
        <f t="shared" si="10"/>
        <v>1.1833333333333333</v>
      </c>
      <c r="BF47" s="13">
        <f>SQRT((AI47*1000/(H47*MIN(U47,AB47)))^2+(Q47*1000000*2*((H47-2*([1]Parametros!$B$7+[1]Parametros!$B$9/2))+(I47-2*([1]Parametros!$B$7+[1]Parametros!$B$9/2)))/(1.7*((H47-2*([1]Parametros!$B$7+[1]Parametros!$B$9/2))*(I47-2*([1]Parametros!$B$7+[1]Parametros!$B$9/2)))^2))^2)</f>
        <v>0.6901824271149859</v>
      </c>
      <c r="BG47" s="13">
        <f>[1]Parametros!$B$6*(AJ47*1000/(H47*MIN(U47,AB47))+0.66*SQRT([1]Parametros!$B$2))</f>
        <v>3.2939603822754151</v>
      </c>
      <c r="BH47" s="13" t="str">
        <f t="shared" si="11"/>
        <v>CUMPLE</v>
      </c>
      <c r="BI47" s="13">
        <f>AX47*[1]Parametros!$B$8</f>
        <v>0</v>
      </c>
      <c r="BJ47" s="15" t="str">
        <f t="shared" si="12"/>
        <v>CUMPLE</v>
      </c>
    </row>
    <row r="48" spans="1:62" x14ac:dyDescent="0.3">
      <c r="A48" s="11" t="s">
        <v>65</v>
      </c>
      <c r="B48" s="12">
        <v>1363</v>
      </c>
      <c r="C48" s="13">
        <v>1</v>
      </c>
      <c r="D48" s="13">
        <v>3.15</v>
      </c>
      <c r="E48" s="13">
        <v>3.15</v>
      </c>
      <c r="F48" s="13">
        <v>450</v>
      </c>
      <c r="G48" s="13">
        <v>550</v>
      </c>
      <c r="H48" s="13">
        <v>450</v>
      </c>
      <c r="I48" s="13">
        <v>550</v>
      </c>
      <c r="J48" s="14">
        <v>139.60939999999999</v>
      </c>
      <c r="K48" s="13">
        <v>1363</v>
      </c>
      <c r="L48" s="14">
        <v>126.5889</v>
      </c>
      <c r="M48" s="13">
        <v>1363</v>
      </c>
      <c r="N48" s="14">
        <v>84.108000000000004</v>
      </c>
      <c r="O48" s="14">
        <v>348.75599999999997</v>
      </c>
      <c r="P48" s="13">
        <v>1363</v>
      </c>
      <c r="Q48" s="14">
        <v>3.855</v>
      </c>
      <c r="R48" s="13">
        <f>MAX(MAX(1.4/[1]Parametros!$B$3,0.25*SQRT([1]Parametros!$B$2)/[1]Parametros!$B$3)*H48*U48,(0.85*[1]Parametros!$B$2/[1]Parametros!$B$3)*(1-SQRT(1-2*(J48*1000000/([1]Parametros!$B$5*H48*U48^2))/(0.85*[1]Parametros!$B$2)))*H48*U48)</f>
        <v>779.07024891495917</v>
      </c>
      <c r="S48" s="14">
        <v>4</v>
      </c>
      <c r="T48" s="14">
        <v>1</v>
      </c>
      <c r="U48" s="13">
        <f>IF(T48=1,I48-([1]Parametros!$B$7+[1]Parametros!$B$9+[1]Parametros!$B$12/2),I48-(ROUNDUP(S48/2,0)*([1]Parametros!$B$7+[1]Parametros!$B$9+[1]Parametros!$B$12/2)+ROUNDDOWN(S48/2,0)*([1]Parametros!$B$7+[1]Parametros!$B$9+[1]Parametros!$B$12/2+[1]Parametros!$B$12+[1]Parametros!$B$10))/S48)</f>
        <v>489.35</v>
      </c>
      <c r="V48" s="13">
        <f>S48*[1]Parametros!$B$8</f>
        <v>796</v>
      </c>
      <c r="W48" s="13">
        <f>[1]Parametros!$B$5*V48*[1]Parametros!$B$3*(U48-(V48*[1]Parametros!$B$3/(0.85*[1]Parametros!$B$2*H48))/2)/1000000</f>
        <v>142.54333009411764</v>
      </c>
      <c r="X48" s="13" t="str">
        <f t="shared" si="0"/>
        <v>CUMPLE</v>
      </c>
      <c r="Y48" s="13">
        <f>MAX(MAX(1.4/[1]Parametros!$B$3,0.25*SQRT([1]Parametros!$B$2)/[1]Parametros!$B$3)*H48*AB48,(0.85*[1]Parametros!$B$2/[1]Parametros!$B$3)*(1-SQRT(1-2*(L48*1000000/([1]Parametros!$B$5*H48*AB48^2))/(0.85*[1]Parametros!$B$2)))*H48*AB48)</f>
        <v>734.02500000000009</v>
      </c>
      <c r="Z48" s="14">
        <v>4</v>
      </c>
      <c r="AA48" s="14">
        <v>1</v>
      </c>
      <c r="AB48" s="13">
        <f>IF(AA48=1,I48-([1]Parametros!$B$7+[1]Parametros!$B$9+[1]Parametros!$B$12/2),I48-(ROUNDUP(Z48/2,0)*([1]Parametros!$B$7+[1]Parametros!$B$9+[1]Parametros!$B$12/2)+ROUNDDOWN(Z48/2,0)*([1]Parametros!$B$7+[1]Parametros!$B$9+[1]Parametros!$B$12/2+[1]Parametros!$B$12+[1]Parametros!$B$10))/Z48)</f>
        <v>489.35</v>
      </c>
      <c r="AC48" s="13">
        <f>Z48*[1]Parametros!$B$8</f>
        <v>796</v>
      </c>
      <c r="AD48" s="13">
        <f>[1]Parametros!$B$5*AC48*[1]Parametros!$B$3*(AB48-(AC48*[1]Parametros!$B$3/(0.85*[1]Parametros!$B$2*H48))/2)/1000000</f>
        <v>142.54333009411764</v>
      </c>
      <c r="AE48" s="13" t="str">
        <f t="shared" si="1"/>
        <v>CUMPLE</v>
      </c>
      <c r="AF48" s="13">
        <f>V48*1.25*[1]Parametros!$B$3*(U48-(V48*1.25*[1]Parametros!$B$3/(0.85*[1]Parametros!$B$2*H48))/2)/1000000</f>
        <v>196.34621794117646</v>
      </c>
      <c r="AG48" s="13">
        <f>AC48*1.25*[1]Parametros!$B$3*(AB48-(AC48*1.25*[1]Parametros!$B$3/(0.85*[1]Parametros!$B$2*H48))/2)/1000000</f>
        <v>196.34621794117646</v>
      </c>
      <c r="AH48" s="13">
        <f t="shared" si="2"/>
        <v>208.77226535947713</v>
      </c>
      <c r="AI48" s="13">
        <f t="shared" si="3"/>
        <v>348.75599999999997</v>
      </c>
      <c r="AJ48" s="13">
        <f>0.17*SQRT([1]Parametros!$B$2)*H48*MIN(U48,AB48)/1000</f>
        <v>198.08885582262698</v>
      </c>
      <c r="AK48" s="13">
        <f>MAX(AI48/[1]Parametros!$B$6-AJ48,0)</f>
        <v>266.91914417737303</v>
      </c>
      <c r="AL48" s="13">
        <f>0.66*SQRT([1]Parametros!$B$2)*H48*MIN(U48,AB48)/1000</f>
        <v>769.05085201725785</v>
      </c>
      <c r="AM48" s="13" t="str">
        <f t="shared" si="4"/>
        <v>CUMPLE</v>
      </c>
      <c r="AN48" s="13" t="s">
        <v>64</v>
      </c>
      <c r="AO48" s="14">
        <v>2</v>
      </c>
      <c r="AP48" s="13">
        <f>ROUNDDOWN(MIN(IF(BC48+BD48=0,1000000000,AO48*BB48/(BC48+BD48)),MIN(U48,AB48)/4,8*[1]Parametros!$B$12,24*BA48,300,IF(AV48=0,1000000000,2*((H48-2*([1]Parametros!$B$7+[1]Parametros!$B$9/2))+(I48-2*([1]Parametros!$B$7+[1]Parametros!$B$9/2)))/8))/10,0)*10</f>
        <v>100</v>
      </c>
      <c r="AQ48" s="13">
        <f>ROUNDDOWN(MIN(IF(BC48+BD48=0,1000000000,AO48*BB48/(BC48+BD48)),IF(AK48&gt;0.33*SQRT([1]Parametros!$B$2)*H48*MIN(U48,AB48)/1000,MIN(U48,AB48)/4,MIN(U48,AB48)/2),600,IF(AV48=0,1000000000,2*((H48-2*([1]Parametros!$B$7+[1]Parametros!$B$9/2))+(I48-2*([1]Parametros!$B$7+[1]Parametros!$B$9/2)))/8))/10,0)*10</f>
        <v>100</v>
      </c>
      <c r="AR48" s="13">
        <f>[1]Parametros!$B$6*(AJ48+MAX(BE48-BD48,0)*[1]Parametros!$B$4*MIN(U48,AB48)/1000)</f>
        <v>367.45289686697026</v>
      </c>
      <c r="AS48" s="13" t="str">
        <f t="shared" si="5"/>
        <v>CUMPLE</v>
      </c>
      <c r="AT48" s="13">
        <f>[1]Parametros!$B$6*0.083*SQRT([1]Parametros!$B$2)*(H48*I48)^2/(2*(H48+I48))/1000000</f>
        <v>10.08878303333792</v>
      </c>
      <c r="AU48" s="13" t="str">
        <f t="shared" si="6"/>
        <v>DESPRECIABLE</v>
      </c>
      <c r="AV48" s="13">
        <f>IF(Q48&lt;=AT48,0,Q48*1000000/([1]Parametros!$B$6*2*0.85*(H48-2*([1]Parametros!$B$7+[1]Parametros!$B$9/2))*(I48-2*([1]Parametros!$B$7+[1]Parametros!$B$9/2))*[1]Parametros!$B$4))</f>
        <v>0</v>
      </c>
      <c r="AW48" s="13">
        <f>AV48*2*((H48-2*([1]Parametros!$B$7+[1]Parametros!$B$9/2))+(I48-2*([1]Parametros!$B$7+[1]Parametros!$B$9/2)))*[1]Parametros!$B$4/[1]Parametros!$B$3</f>
        <v>0</v>
      </c>
      <c r="AX48" s="14">
        <v>0</v>
      </c>
      <c r="AY48" s="13" t="str">
        <f t="shared" si="7"/>
        <v>DESPRECIABLE</v>
      </c>
      <c r="AZ48" s="13" t="str">
        <f t="shared" si="8"/>
        <v>CUMPLE</v>
      </c>
      <c r="BA48" s="14">
        <v>9.5</v>
      </c>
      <c r="BB48" s="14">
        <v>71</v>
      </c>
      <c r="BC48" s="13">
        <f>MAX(IF(AK48=0,0,AK48*1000/([1]Parametros!$B$4*MIN(U48,AB48))),MAX(0.062*SQRT([1]Parametros!$B$2)*H48/[1]Parametros!$B$4,0.35*H48/[1]Parametros!$B$4))</f>
        <v>1.298705981099189</v>
      </c>
      <c r="BD48" s="13">
        <f t="shared" si="9"/>
        <v>0</v>
      </c>
      <c r="BE48" s="13">
        <f t="shared" si="10"/>
        <v>1.42</v>
      </c>
      <c r="BF48" s="13">
        <f>SQRT((AI48*1000/(H48*MIN(U48,AB48)))^2+(Q48*1000000*2*((H48-2*([1]Parametros!$B$7+[1]Parametros!$B$9/2))+(I48-2*([1]Parametros!$B$7+[1]Parametros!$B$9/2)))/(1.7*((H48-2*([1]Parametros!$B$7+[1]Parametros!$B$9/2))*(I48-2*([1]Parametros!$B$7+[1]Parametros!$B$9/2)))^2))^2)</f>
        <v>1.5897949298074794</v>
      </c>
      <c r="BG48" s="13">
        <f>[1]Parametros!$B$6*(AJ48*1000/(H48*MIN(U48,AB48))+0.66*SQRT([1]Parametros!$B$2))</f>
        <v>3.2939603822754151</v>
      </c>
      <c r="BH48" s="13" t="str">
        <f t="shared" si="11"/>
        <v>CUMPLE</v>
      </c>
      <c r="BI48" s="13">
        <f>AX48*[1]Parametros!$B$8</f>
        <v>0</v>
      </c>
      <c r="BJ48" s="15" t="str">
        <f t="shared" si="12"/>
        <v>CUMPLE</v>
      </c>
    </row>
    <row r="49" spans="1:62" x14ac:dyDescent="0.3">
      <c r="A49" s="11" t="s">
        <v>65</v>
      </c>
      <c r="B49" s="12">
        <v>1364</v>
      </c>
      <c r="C49" s="13">
        <v>1</v>
      </c>
      <c r="D49" s="13">
        <v>3.15</v>
      </c>
      <c r="E49" s="13">
        <v>3.15</v>
      </c>
      <c r="F49" s="13">
        <v>450</v>
      </c>
      <c r="G49" s="13">
        <v>550</v>
      </c>
      <c r="H49" s="13">
        <v>450</v>
      </c>
      <c r="I49" s="13">
        <v>550</v>
      </c>
      <c r="J49" s="14">
        <v>139.62880000000001</v>
      </c>
      <c r="K49" s="13">
        <v>1364</v>
      </c>
      <c r="L49" s="14">
        <v>126.6067</v>
      </c>
      <c r="M49" s="13">
        <v>1364</v>
      </c>
      <c r="N49" s="14">
        <v>84.117999999999995</v>
      </c>
      <c r="O49" s="14">
        <v>348.76600000000002</v>
      </c>
      <c r="P49" s="13">
        <v>1364</v>
      </c>
      <c r="Q49" s="14">
        <v>3.8555000000000001</v>
      </c>
      <c r="R49" s="13">
        <f>MAX(MAX(1.4/[1]Parametros!$B$3,0.25*SQRT([1]Parametros!$B$2)/[1]Parametros!$B$3)*H49*U49,(0.85*[1]Parametros!$B$2/[1]Parametros!$B$3)*(1-SQRT(1-2*(J49*1000000/([1]Parametros!$B$5*H49*U49^2))/(0.85*[1]Parametros!$B$2)))*H49*U49)</f>
        <v>779.18211289749115</v>
      </c>
      <c r="S49" s="14">
        <v>4</v>
      </c>
      <c r="T49" s="14">
        <v>1</v>
      </c>
      <c r="U49" s="13">
        <f>IF(T49=1,I49-([1]Parametros!$B$7+[1]Parametros!$B$9+[1]Parametros!$B$12/2),I49-(ROUNDUP(S49/2,0)*([1]Parametros!$B$7+[1]Parametros!$B$9+[1]Parametros!$B$12/2)+ROUNDDOWN(S49/2,0)*([1]Parametros!$B$7+[1]Parametros!$B$9+[1]Parametros!$B$12/2+[1]Parametros!$B$12+[1]Parametros!$B$10))/S49)</f>
        <v>489.35</v>
      </c>
      <c r="V49" s="13">
        <f>S49*[1]Parametros!$B$8</f>
        <v>796</v>
      </c>
      <c r="W49" s="13">
        <f>[1]Parametros!$B$5*V49*[1]Parametros!$B$3*(U49-(V49*[1]Parametros!$B$3/(0.85*[1]Parametros!$B$2*H49))/2)/1000000</f>
        <v>142.54333009411764</v>
      </c>
      <c r="X49" s="13" t="str">
        <f t="shared" si="0"/>
        <v>CUMPLE</v>
      </c>
      <c r="Y49" s="13">
        <f>MAX(MAX(1.4/[1]Parametros!$B$3,0.25*SQRT([1]Parametros!$B$2)/[1]Parametros!$B$3)*H49*AB49,(0.85*[1]Parametros!$B$2/[1]Parametros!$B$3)*(1-SQRT(1-2*(L49*1000000/([1]Parametros!$B$5*H49*AB49^2))/(0.85*[1]Parametros!$B$2)))*H49*AB49)</f>
        <v>734.02500000000009</v>
      </c>
      <c r="Z49" s="14">
        <v>4</v>
      </c>
      <c r="AA49" s="14">
        <v>1</v>
      </c>
      <c r="AB49" s="13">
        <f>IF(AA49=1,I49-([1]Parametros!$B$7+[1]Parametros!$B$9+[1]Parametros!$B$12/2),I49-(ROUNDUP(Z49/2,0)*([1]Parametros!$B$7+[1]Parametros!$B$9+[1]Parametros!$B$12/2)+ROUNDDOWN(Z49/2,0)*([1]Parametros!$B$7+[1]Parametros!$B$9+[1]Parametros!$B$12/2+[1]Parametros!$B$12+[1]Parametros!$B$10))/Z49)</f>
        <v>489.35</v>
      </c>
      <c r="AC49" s="13">
        <f>Z49*[1]Parametros!$B$8</f>
        <v>796</v>
      </c>
      <c r="AD49" s="13">
        <f>[1]Parametros!$B$5*AC49*[1]Parametros!$B$3*(AB49-(AC49*[1]Parametros!$B$3/(0.85*[1]Parametros!$B$2*H49))/2)/1000000</f>
        <v>142.54333009411764</v>
      </c>
      <c r="AE49" s="13" t="str">
        <f t="shared" si="1"/>
        <v>CUMPLE</v>
      </c>
      <c r="AF49" s="13">
        <f>V49*1.25*[1]Parametros!$B$3*(U49-(V49*1.25*[1]Parametros!$B$3/(0.85*[1]Parametros!$B$2*H49))/2)/1000000</f>
        <v>196.34621794117646</v>
      </c>
      <c r="AG49" s="13">
        <f>AC49*1.25*[1]Parametros!$B$3*(AB49-(AC49*1.25*[1]Parametros!$B$3/(0.85*[1]Parametros!$B$2*H49))/2)/1000000</f>
        <v>196.34621794117646</v>
      </c>
      <c r="AH49" s="13">
        <f t="shared" si="2"/>
        <v>208.78226535947712</v>
      </c>
      <c r="AI49" s="13">
        <f t="shared" si="3"/>
        <v>348.76600000000002</v>
      </c>
      <c r="AJ49" s="13">
        <f>0.17*SQRT([1]Parametros!$B$2)*H49*MIN(U49,AB49)/1000</f>
        <v>198.08885582262698</v>
      </c>
      <c r="AK49" s="13">
        <f>MAX(AI49/[1]Parametros!$B$6-AJ49,0)</f>
        <v>266.93247751070635</v>
      </c>
      <c r="AL49" s="13">
        <f>0.66*SQRT([1]Parametros!$B$2)*H49*MIN(U49,AB49)/1000</f>
        <v>769.05085201725785</v>
      </c>
      <c r="AM49" s="13" t="str">
        <f t="shared" si="4"/>
        <v>CUMPLE</v>
      </c>
      <c r="AN49" s="13" t="s">
        <v>64</v>
      </c>
      <c r="AO49" s="14">
        <v>2</v>
      </c>
      <c r="AP49" s="13">
        <f>ROUNDDOWN(MIN(IF(BC49+BD49=0,1000000000,AO49*BB49/(BC49+BD49)),MIN(U49,AB49)/4,8*[1]Parametros!$B$12,24*BA49,300,IF(AV49=0,1000000000,2*((H49-2*([1]Parametros!$B$7+[1]Parametros!$B$9/2))+(I49-2*([1]Parametros!$B$7+[1]Parametros!$B$9/2)))/8))/10,0)*10</f>
        <v>100</v>
      </c>
      <c r="AQ49" s="13">
        <f>ROUNDDOWN(MIN(IF(BC49+BD49=0,1000000000,AO49*BB49/(BC49+BD49)),IF(AK49&gt;0.33*SQRT([1]Parametros!$B$2)*H49*MIN(U49,AB49)/1000,MIN(U49,AB49)/4,MIN(U49,AB49)/2),600,IF(AV49=0,1000000000,2*((H49-2*([1]Parametros!$B$7+[1]Parametros!$B$9/2))+(I49-2*([1]Parametros!$B$7+[1]Parametros!$B$9/2)))/8))/10,0)*10</f>
        <v>100</v>
      </c>
      <c r="AR49" s="13">
        <f>[1]Parametros!$B$6*(AJ49+MAX(BE49-BD49,0)*[1]Parametros!$B$4*MIN(U49,AB49)/1000)</f>
        <v>367.45289686697026</v>
      </c>
      <c r="AS49" s="13" t="str">
        <f t="shared" si="5"/>
        <v>CUMPLE</v>
      </c>
      <c r="AT49" s="13">
        <f>[1]Parametros!$B$6*0.083*SQRT([1]Parametros!$B$2)*(H49*I49)^2/(2*(H49+I49))/1000000</f>
        <v>10.08878303333792</v>
      </c>
      <c r="AU49" s="13" t="str">
        <f t="shared" si="6"/>
        <v>DESPRECIABLE</v>
      </c>
      <c r="AV49" s="13">
        <f>IF(Q49&lt;=AT49,0,Q49*1000000/([1]Parametros!$B$6*2*0.85*(H49-2*([1]Parametros!$B$7+[1]Parametros!$B$9/2))*(I49-2*([1]Parametros!$B$7+[1]Parametros!$B$9/2))*[1]Parametros!$B$4))</f>
        <v>0</v>
      </c>
      <c r="AW49" s="13">
        <f>AV49*2*((H49-2*([1]Parametros!$B$7+[1]Parametros!$B$9/2))+(I49-2*([1]Parametros!$B$7+[1]Parametros!$B$9/2)))*[1]Parametros!$B$4/[1]Parametros!$B$3</f>
        <v>0</v>
      </c>
      <c r="AX49" s="14">
        <v>0</v>
      </c>
      <c r="AY49" s="13" t="str">
        <f t="shared" si="7"/>
        <v>DESPRECIABLE</v>
      </c>
      <c r="AZ49" s="13" t="str">
        <f t="shared" si="8"/>
        <v>CUMPLE</v>
      </c>
      <c r="BA49" s="14">
        <v>9.5</v>
      </c>
      <c r="BB49" s="14">
        <v>71</v>
      </c>
      <c r="BC49" s="13">
        <f>MAX(IF(AK49=0,0,AK49*1000/([1]Parametros!$B$4*MIN(U49,AB49))),MAX(0.062*SQRT([1]Parametros!$B$2)*H49/[1]Parametros!$B$4,0.35*H49/[1]Parametros!$B$4))</f>
        <v>1.2987708549762627</v>
      </c>
      <c r="BD49" s="13">
        <f t="shared" si="9"/>
        <v>0</v>
      </c>
      <c r="BE49" s="13">
        <f t="shared" si="10"/>
        <v>1.42</v>
      </c>
      <c r="BF49" s="13">
        <f>SQRT((AI49*1000/(H49*MIN(U49,AB49)))^2+(Q49*1000000*2*((H49-2*([1]Parametros!$B$7+[1]Parametros!$B$9/2))+(I49-2*([1]Parametros!$B$7+[1]Parametros!$B$9/2)))/(1.7*((H49-2*([1]Parametros!$B$7+[1]Parametros!$B$9/2))*(I49-2*([1]Parametros!$B$7+[1]Parametros!$B$9/2)))^2))^2)</f>
        <v>1.5898417315302076</v>
      </c>
      <c r="BG49" s="13">
        <f>[1]Parametros!$B$6*(AJ49*1000/(H49*MIN(U49,AB49))+0.66*SQRT([1]Parametros!$B$2))</f>
        <v>3.2939603822754151</v>
      </c>
      <c r="BH49" s="13" t="str">
        <f t="shared" si="11"/>
        <v>CUMPLE</v>
      </c>
      <c r="BI49" s="13">
        <f>AX49*[1]Parametros!$B$8</f>
        <v>0</v>
      </c>
      <c r="BJ49" s="15" t="str">
        <f t="shared" si="12"/>
        <v>CUMPLE</v>
      </c>
    </row>
    <row r="50" spans="1:62" x14ac:dyDescent="0.3">
      <c r="A50" s="11" t="s">
        <v>65</v>
      </c>
      <c r="B50" s="12">
        <v>1365</v>
      </c>
      <c r="C50" s="13">
        <v>1</v>
      </c>
      <c r="D50" s="13">
        <v>3.15</v>
      </c>
      <c r="E50" s="13">
        <v>3.15</v>
      </c>
      <c r="F50" s="13">
        <v>450</v>
      </c>
      <c r="G50" s="13">
        <v>550</v>
      </c>
      <c r="H50" s="13">
        <v>450</v>
      </c>
      <c r="I50" s="13">
        <v>550</v>
      </c>
      <c r="J50" s="14">
        <v>139.6405</v>
      </c>
      <c r="K50" s="13">
        <v>1365</v>
      </c>
      <c r="L50" s="14">
        <v>126.6191</v>
      </c>
      <c r="M50" s="13">
        <v>1365</v>
      </c>
      <c r="N50" s="14">
        <v>84.123999999999995</v>
      </c>
      <c r="O50" s="14">
        <v>348.79599999999999</v>
      </c>
      <c r="P50" s="13">
        <v>1365</v>
      </c>
      <c r="Q50" s="14">
        <v>3.8555999999999999</v>
      </c>
      <c r="R50" s="13">
        <f>MAX(MAX(1.4/[1]Parametros!$B$3,0.25*SQRT([1]Parametros!$B$2)/[1]Parametros!$B$3)*H50*U50,(0.85*[1]Parametros!$B$2/[1]Parametros!$B$3)*(1-SQRT(1-2*(J50*1000000/([1]Parametros!$B$5*H50*U50^2))/(0.85*[1]Parametros!$B$2)))*H50*U50)</f>
        <v>779.24957777514669</v>
      </c>
      <c r="S50" s="14">
        <v>4</v>
      </c>
      <c r="T50" s="14">
        <v>1</v>
      </c>
      <c r="U50" s="13">
        <f>IF(T50=1,I50-([1]Parametros!$B$7+[1]Parametros!$B$9+[1]Parametros!$B$12/2),I50-(ROUNDUP(S50/2,0)*([1]Parametros!$B$7+[1]Parametros!$B$9+[1]Parametros!$B$12/2)+ROUNDDOWN(S50/2,0)*([1]Parametros!$B$7+[1]Parametros!$B$9+[1]Parametros!$B$12/2+[1]Parametros!$B$12+[1]Parametros!$B$10))/S50)</f>
        <v>489.35</v>
      </c>
      <c r="V50" s="13">
        <f>S50*[1]Parametros!$B$8</f>
        <v>796</v>
      </c>
      <c r="W50" s="13">
        <f>[1]Parametros!$B$5*V50*[1]Parametros!$B$3*(U50-(V50*[1]Parametros!$B$3/(0.85*[1]Parametros!$B$2*H50))/2)/1000000</f>
        <v>142.54333009411764</v>
      </c>
      <c r="X50" s="13" t="str">
        <f t="shared" si="0"/>
        <v>CUMPLE</v>
      </c>
      <c r="Y50" s="13">
        <f>MAX(MAX(1.4/[1]Parametros!$B$3,0.25*SQRT([1]Parametros!$B$2)/[1]Parametros!$B$3)*H50*AB50,(0.85*[1]Parametros!$B$2/[1]Parametros!$B$3)*(1-SQRT(1-2*(L50*1000000/([1]Parametros!$B$5*H50*AB50^2))/(0.85*[1]Parametros!$B$2)))*H50*AB50)</f>
        <v>734.02500000000009</v>
      </c>
      <c r="Z50" s="14">
        <v>4</v>
      </c>
      <c r="AA50" s="14">
        <v>1</v>
      </c>
      <c r="AB50" s="13">
        <f>IF(AA50=1,I50-([1]Parametros!$B$7+[1]Parametros!$B$9+[1]Parametros!$B$12/2),I50-(ROUNDUP(Z50/2,0)*([1]Parametros!$B$7+[1]Parametros!$B$9+[1]Parametros!$B$12/2)+ROUNDDOWN(Z50/2,0)*([1]Parametros!$B$7+[1]Parametros!$B$9+[1]Parametros!$B$12/2+[1]Parametros!$B$12+[1]Parametros!$B$10))/Z50)</f>
        <v>489.35</v>
      </c>
      <c r="AC50" s="13">
        <f>Z50*[1]Parametros!$B$8</f>
        <v>796</v>
      </c>
      <c r="AD50" s="13">
        <f>[1]Parametros!$B$5*AC50*[1]Parametros!$B$3*(AB50-(AC50*[1]Parametros!$B$3/(0.85*[1]Parametros!$B$2*H50))/2)/1000000</f>
        <v>142.54333009411764</v>
      </c>
      <c r="AE50" s="13" t="str">
        <f t="shared" si="1"/>
        <v>CUMPLE</v>
      </c>
      <c r="AF50" s="13">
        <f>V50*1.25*[1]Parametros!$B$3*(U50-(V50*1.25*[1]Parametros!$B$3/(0.85*[1]Parametros!$B$2*H50))/2)/1000000</f>
        <v>196.34621794117646</v>
      </c>
      <c r="AG50" s="13">
        <f>AC50*1.25*[1]Parametros!$B$3*(AB50-(AC50*1.25*[1]Parametros!$B$3/(0.85*[1]Parametros!$B$2*H50))/2)/1000000</f>
        <v>196.34621794117646</v>
      </c>
      <c r="AH50" s="13">
        <f t="shared" si="2"/>
        <v>208.78826535947712</v>
      </c>
      <c r="AI50" s="13">
        <f t="shared" si="3"/>
        <v>348.79599999999999</v>
      </c>
      <c r="AJ50" s="13">
        <f>0.17*SQRT([1]Parametros!$B$2)*H50*MIN(U50,AB50)/1000</f>
        <v>198.08885582262698</v>
      </c>
      <c r="AK50" s="13">
        <f>MAX(AI50/[1]Parametros!$B$6-AJ50,0)</f>
        <v>266.97247751070631</v>
      </c>
      <c r="AL50" s="13">
        <f>0.66*SQRT([1]Parametros!$B$2)*H50*MIN(U50,AB50)/1000</f>
        <v>769.05085201725785</v>
      </c>
      <c r="AM50" s="13" t="str">
        <f t="shared" si="4"/>
        <v>CUMPLE</v>
      </c>
      <c r="AN50" s="13" t="s">
        <v>64</v>
      </c>
      <c r="AO50" s="14">
        <v>2</v>
      </c>
      <c r="AP50" s="13">
        <f>ROUNDDOWN(MIN(IF(BC50+BD50=0,1000000000,AO50*BB50/(BC50+BD50)),MIN(U50,AB50)/4,8*[1]Parametros!$B$12,24*BA50,300,IF(AV50=0,1000000000,2*((H50-2*([1]Parametros!$B$7+[1]Parametros!$B$9/2))+(I50-2*([1]Parametros!$B$7+[1]Parametros!$B$9/2)))/8))/10,0)*10</f>
        <v>100</v>
      </c>
      <c r="AQ50" s="13">
        <f>ROUNDDOWN(MIN(IF(BC50+BD50=0,1000000000,AO50*BB50/(BC50+BD50)),IF(AK50&gt;0.33*SQRT([1]Parametros!$B$2)*H50*MIN(U50,AB50)/1000,MIN(U50,AB50)/4,MIN(U50,AB50)/2),600,IF(AV50=0,1000000000,2*((H50-2*([1]Parametros!$B$7+[1]Parametros!$B$9/2))+(I50-2*([1]Parametros!$B$7+[1]Parametros!$B$9/2)))/8))/10,0)*10</f>
        <v>100</v>
      </c>
      <c r="AR50" s="13">
        <f>[1]Parametros!$B$6*(AJ50+MAX(BE50-BD50,0)*[1]Parametros!$B$4*MIN(U50,AB50)/1000)</f>
        <v>367.45289686697026</v>
      </c>
      <c r="AS50" s="13" t="str">
        <f t="shared" si="5"/>
        <v>CUMPLE</v>
      </c>
      <c r="AT50" s="13">
        <f>[1]Parametros!$B$6*0.083*SQRT([1]Parametros!$B$2)*(H50*I50)^2/(2*(H50+I50))/1000000</f>
        <v>10.08878303333792</v>
      </c>
      <c r="AU50" s="13" t="str">
        <f t="shared" si="6"/>
        <v>DESPRECIABLE</v>
      </c>
      <c r="AV50" s="13">
        <f>IF(Q50&lt;=AT50,0,Q50*1000000/([1]Parametros!$B$6*2*0.85*(H50-2*([1]Parametros!$B$7+[1]Parametros!$B$9/2))*(I50-2*([1]Parametros!$B$7+[1]Parametros!$B$9/2))*[1]Parametros!$B$4))</f>
        <v>0</v>
      </c>
      <c r="AW50" s="13">
        <f>AV50*2*((H50-2*([1]Parametros!$B$7+[1]Parametros!$B$9/2))+(I50-2*([1]Parametros!$B$7+[1]Parametros!$B$9/2)))*[1]Parametros!$B$4/[1]Parametros!$B$3</f>
        <v>0</v>
      </c>
      <c r="AX50" s="14">
        <v>0</v>
      </c>
      <c r="AY50" s="13" t="str">
        <f t="shared" si="7"/>
        <v>DESPRECIABLE</v>
      </c>
      <c r="AZ50" s="13" t="str">
        <f t="shared" si="8"/>
        <v>CUMPLE</v>
      </c>
      <c r="BA50" s="14">
        <v>9.5</v>
      </c>
      <c r="BB50" s="14">
        <v>71</v>
      </c>
      <c r="BC50" s="13">
        <f>MAX(IF(AK50=0,0,AK50*1000/([1]Parametros!$B$4*MIN(U50,AB50))),MAX(0.062*SQRT([1]Parametros!$B$2)*H50/[1]Parametros!$B$4,0.35*H50/[1]Parametros!$B$4))</f>
        <v>1.2989654766074836</v>
      </c>
      <c r="BD50" s="13">
        <f t="shared" si="9"/>
        <v>0</v>
      </c>
      <c r="BE50" s="13">
        <f t="shared" si="10"/>
        <v>1.42</v>
      </c>
      <c r="BF50" s="13">
        <f>SQRT((AI50*1000/(H50*MIN(U50,AB50)))^2+(Q50*1000000*2*((H50-2*([1]Parametros!$B$7+[1]Parametros!$B$9/2))+(I50-2*([1]Parametros!$B$7+[1]Parametros!$B$9/2)))/(1.7*((H50-2*([1]Parametros!$B$7+[1]Parametros!$B$9/2))*(I50-2*([1]Parametros!$B$7+[1]Parametros!$B$9/2)))^2))^2)</f>
        <v>1.5899777619948217</v>
      </c>
      <c r="BG50" s="13">
        <f>[1]Parametros!$B$6*(AJ50*1000/(H50*MIN(U50,AB50))+0.66*SQRT([1]Parametros!$B$2))</f>
        <v>3.2939603822754151</v>
      </c>
      <c r="BH50" s="13" t="str">
        <f t="shared" si="11"/>
        <v>CUMPLE</v>
      </c>
      <c r="BI50" s="13">
        <f>AX50*[1]Parametros!$B$8</f>
        <v>0</v>
      </c>
      <c r="BJ50" s="15" t="str">
        <f t="shared" si="12"/>
        <v>CUMPLE</v>
      </c>
    </row>
    <row r="51" spans="1:62" x14ac:dyDescent="0.3">
      <c r="A51" s="11" t="s">
        <v>65</v>
      </c>
      <c r="B51" s="12">
        <v>1366</v>
      </c>
      <c r="C51" s="13">
        <v>1</v>
      </c>
      <c r="D51" s="13">
        <v>3.15</v>
      </c>
      <c r="E51" s="13">
        <v>3.15</v>
      </c>
      <c r="F51" s="13">
        <v>450</v>
      </c>
      <c r="G51" s="13">
        <v>550</v>
      </c>
      <c r="H51" s="13">
        <v>450</v>
      </c>
      <c r="I51" s="13">
        <v>550</v>
      </c>
      <c r="J51" s="14">
        <v>139.6157</v>
      </c>
      <c r="K51" s="13">
        <v>1366</v>
      </c>
      <c r="L51" s="14">
        <v>126.5932</v>
      </c>
      <c r="M51" s="13">
        <v>1366</v>
      </c>
      <c r="N51" s="14">
        <v>84.111000000000004</v>
      </c>
      <c r="O51" s="14">
        <v>348.78199999999998</v>
      </c>
      <c r="P51" s="13">
        <v>1366</v>
      </c>
      <c r="Q51" s="14">
        <v>3.855</v>
      </c>
      <c r="R51" s="13">
        <f>MAX(MAX(1.4/[1]Parametros!$B$3,0.25*SQRT([1]Parametros!$B$2)/[1]Parametros!$B$3)*H51*U51,(0.85*[1]Parametros!$B$2/[1]Parametros!$B$3)*(1-SQRT(1-2*(J51*1000000/([1]Parametros!$B$5*H51*U51^2))/(0.85*[1]Parametros!$B$2)))*H51*U51)</f>
        <v>779.1065757610852</v>
      </c>
      <c r="S51" s="14">
        <v>4</v>
      </c>
      <c r="T51" s="14">
        <v>1</v>
      </c>
      <c r="U51" s="13">
        <f>IF(T51=1,I51-([1]Parametros!$B$7+[1]Parametros!$B$9+[1]Parametros!$B$12/2),I51-(ROUNDUP(S51/2,0)*([1]Parametros!$B$7+[1]Parametros!$B$9+[1]Parametros!$B$12/2)+ROUNDDOWN(S51/2,0)*([1]Parametros!$B$7+[1]Parametros!$B$9+[1]Parametros!$B$12/2+[1]Parametros!$B$12+[1]Parametros!$B$10))/S51)</f>
        <v>489.35</v>
      </c>
      <c r="V51" s="13">
        <f>S51*[1]Parametros!$B$8</f>
        <v>796</v>
      </c>
      <c r="W51" s="13">
        <f>[1]Parametros!$B$5*V51*[1]Parametros!$B$3*(U51-(V51*[1]Parametros!$B$3/(0.85*[1]Parametros!$B$2*H51))/2)/1000000</f>
        <v>142.54333009411764</v>
      </c>
      <c r="X51" s="13" t="str">
        <f t="shared" si="0"/>
        <v>CUMPLE</v>
      </c>
      <c r="Y51" s="13">
        <f>MAX(MAX(1.4/[1]Parametros!$B$3,0.25*SQRT([1]Parametros!$B$2)/[1]Parametros!$B$3)*H51*AB51,(0.85*[1]Parametros!$B$2/[1]Parametros!$B$3)*(1-SQRT(1-2*(L51*1000000/([1]Parametros!$B$5*H51*AB51^2))/(0.85*[1]Parametros!$B$2)))*H51*AB51)</f>
        <v>734.02500000000009</v>
      </c>
      <c r="Z51" s="14">
        <v>4</v>
      </c>
      <c r="AA51" s="14">
        <v>1</v>
      </c>
      <c r="AB51" s="13">
        <f>IF(AA51=1,I51-([1]Parametros!$B$7+[1]Parametros!$B$9+[1]Parametros!$B$12/2),I51-(ROUNDUP(Z51/2,0)*([1]Parametros!$B$7+[1]Parametros!$B$9+[1]Parametros!$B$12/2)+ROUNDDOWN(Z51/2,0)*([1]Parametros!$B$7+[1]Parametros!$B$9+[1]Parametros!$B$12/2+[1]Parametros!$B$12+[1]Parametros!$B$10))/Z51)</f>
        <v>489.35</v>
      </c>
      <c r="AC51" s="13">
        <f>Z51*[1]Parametros!$B$8</f>
        <v>796</v>
      </c>
      <c r="AD51" s="13">
        <f>[1]Parametros!$B$5*AC51*[1]Parametros!$B$3*(AB51-(AC51*[1]Parametros!$B$3/(0.85*[1]Parametros!$B$2*H51))/2)/1000000</f>
        <v>142.54333009411764</v>
      </c>
      <c r="AE51" s="13" t="str">
        <f t="shared" si="1"/>
        <v>CUMPLE</v>
      </c>
      <c r="AF51" s="13">
        <f>V51*1.25*[1]Parametros!$B$3*(U51-(V51*1.25*[1]Parametros!$B$3/(0.85*[1]Parametros!$B$2*H51))/2)/1000000</f>
        <v>196.34621794117646</v>
      </c>
      <c r="AG51" s="13">
        <f>AC51*1.25*[1]Parametros!$B$3*(AB51-(AC51*1.25*[1]Parametros!$B$3/(0.85*[1]Parametros!$B$2*H51))/2)/1000000</f>
        <v>196.34621794117646</v>
      </c>
      <c r="AH51" s="13">
        <f t="shared" si="2"/>
        <v>208.77526535947715</v>
      </c>
      <c r="AI51" s="13">
        <f t="shared" si="3"/>
        <v>348.78199999999998</v>
      </c>
      <c r="AJ51" s="13">
        <f>0.17*SQRT([1]Parametros!$B$2)*H51*MIN(U51,AB51)/1000</f>
        <v>198.08885582262698</v>
      </c>
      <c r="AK51" s="13">
        <f>MAX(AI51/[1]Parametros!$B$6-AJ51,0)</f>
        <v>266.95381084403971</v>
      </c>
      <c r="AL51" s="13">
        <f>0.66*SQRT([1]Parametros!$B$2)*H51*MIN(U51,AB51)/1000</f>
        <v>769.05085201725785</v>
      </c>
      <c r="AM51" s="13" t="str">
        <f t="shared" si="4"/>
        <v>CUMPLE</v>
      </c>
      <c r="AN51" s="13" t="s">
        <v>64</v>
      </c>
      <c r="AO51" s="14">
        <v>2</v>
      </c>
      <c r="AP51" s="13">
        <f>ROUNDDOWN(MIN(IF(BC51+BD51=0,1000000000,AO51*BB51/(BC51+BD51)),MIN(U51,AB51)/4,8*[1]Parametros!$B$12,24*BA51,300,IF(AV51=0,1000000000,2*((H51-2*([1]Parametros!$B$7+[1]Parametros!$B$9/2))+(I51-2*([1]Parametros!$B$7+[1]Parametros!$B$9/2)))/8))/10,0)*10</f>
        <v>100</v>
      </c>
      <c r="AQ51" s="13">
        <f>ROUNDDOWN(MIN(IF(BC51+BD51=0,1000000000,AO51*BB51/(BC51+BD51)),IF(AK51&gt;0.33*SQRT([1]Parametros!$B$2)*H51*MIN(U51,AB51)/1000,MIN(U51,AB51)/4,MIN(U51,AB51)/2),600,IF(AV51=0,1000000000,2*((H51-2*([1]Parametros!$B$7+[1]Parametros!$B$9/2))+(I51-2*([1]Parametros!$B$7+[1]Parametros!$B$9/2)))/8))/10,0)*10</f>
        <v>100</v>
      </c>
      <c r="AR51" s="13">
        <f>[1]Parametros!$B$6*(AJ51+MAX(BE51-BD51,0)*[1]Parametros!$B$4*MIN(U51,AB51)/1000)</f>
        <v>367.45289686697026</v>
      </c>
      <c r="AS51" s="13" t="str">
        <f t="shared" si="5"/>
        <v>CUMPLE</v>
      </c>
      <c r="AT51" s="13">
        <f>[1]Parametros!$B$6*0.083*SQRT([1]Parametros!$B$2)*(H51*I51)^2/(2*(H51+I51))/1000000</f>
        <v>10.08878303333792</v>
      </c>
      <c r="AU51" s="13" t="str">
        <f t="shared" si="6"/>
        <v>DESPRECIABLE</v>
      </c>
      <c r="AV51" s="13">
        <f>IF(Q51&lt;=AT51,0,Q51*1000000/([1]Parametros!$B$6*2*0.85*(H51-2*([1]Parametros!$B$7+[1]Parametros!$B$9/2))*(I51-2*([1]Parametros!$B$7+[1]Parametros!$B$9/2))*[1]Parametros!$B$4))</f>
        <v>0</v>
      </c>
      <c r="AW51" s="13">
        <f>AV51*2*((H51-2*([1]Parametros!$B$7+[1]Parametros!$B$9/2))+(I51-2*([1]Parametros!$B$7+[1]Parametros!$B$9/2)))*[1]Parametros!$B$4/[1]Parametros!$B$3</f>
        <v>0</v>
      </c>
      <c r="AX51" s="14">
        <v>0</v>
      </c>
      <c r="AY51" s="13" t="str">
        <f t="shared" si="7"/>
        <v>DESPRECIABLE</v>
      </c>
      <c r="AZ51" s="13" t="str">
        <f t="shared" si="8"/>
        <v>CUMPLE</v>
      </c>
      <c r="BA51" s="14">
        <v>9.5</v>
      </c>
      <c r="BB51" s="14">
        <v>71</v>
      </c>
      <c r="BC51" s="13">
        <f>MAX(IF(AK51=0,0,AK51*1000/([1]Parametros!$B$4*MIN(U51,AB51))),MAX(0.062*SQRT([1]Parametros!$B$2)*H51/[1]Parametros!$B$4,0.35*H51/[1]Parametros!$B$4))</f>
        <v>1.298874653179581</v>
      </c>
      <c r="BD51" s="13">
        <f t="shared" si="9"/>
        <v>0</v>
      </c>
      <c r="BE51" s="13">
        <f t="shared" si="10"/>
        <v>1.42</v>
      </c>
      <c r="BF51" s="13">
        <f>SQRT((AI51*1000/(H51*MIN(U51,AB51)))^2+(Q51*1000000*2*((H51-2*([1]Parametros!$B$7+[1]Parametros!$B$9/2))+(I51-2*([1]Parametros!$B$7+[1]Parametros!$B$9/2)))/(1.7*((H51-2*([1]Parametros!$B$7+[1]Parametros!$B$9/2))*(I51-2*([1]Parametros!$B$7+[1]Parametros!$B$9/2)))^2))^2)</f>
        <v>1.5899125521537165</v>
      </c>
      <c r="BG51" s="13">
        <f>[1]Parametros!$B$6*(AJ51*1000/(H51*MIN(U51,AB51))+0.66*SQRT([1]Parametros!$B$2))</f>
        <v>3.2939603822754151</v>
      </c>
      <c r="BH51" s="13" t="str">
        <f t="shared" si="11"/>
        <v>CUMPLE</v>
      </c>
      <c r="BI51" s="13">
        <f>AX51*[1]Parametros!$B$8</f>
        <v>0</v>
      </c>
      <c r="BJ51" s="15" t="str">
        <f t="shared" si="12"/>
        <v>CUMPLE</v>
      </c>
    </row>
    <row r="52" spans="1:62" x14ac:dyDescent="0.3">
      <c r="A52" s="11" t="s">
        <v>65</v>
      </c>
      <c r="B52" s="12">
        <v>1367</v>
      </c>
      <c r="C52" s="13">
        <v>1</v>
      </c>
      <c r="D52" s="13">
        <v>3.15</v>
      </c>
      <c r="E52" s="13">
        <v>3.15</v>
      </c>
      <c r="F52" s="13">
        <v>450</v>
      </c>
      <c r="G52" s="13">
        <v>550</v>
      </c>
      <c r="H52" s="13">
        <v>450</v>
      </c>
      <c r="I52" s="13">
        <v>550</v>
      </c>
      <c r="J52" s="14">
        <v>114.57089999999999</v>
      </c>
      <c r="K52" s="13">
        <v>1367</v>
      </c>
      <c r="L52" s="14">
        <v>102.5866</v>
      </c>
      <c r="M52" s="13">
        <v>1367</v>
      </c>
      <c r="N52" s="14">
        <v>71.03</v>
      </c>
      <c r="O52" s="14">
        <v>277.76299999999998</v>
      </c>
      <c r="P52" s="13">
        <v>1367</v>
      </c>
      <c r="Q52" s="14">
        <v>3.2717000000000001</v>
      </c>
      <c r="R52" s="13">
        <f>MAX(MAX(1.4/[1]Parametros!$B$3,0.25*SQRT([1]Parametros!$B$2)/[1]Parametros!$B$3)*H52*U52,(0.85*[1]Parametros!$B$2/[1]Parametros!$B$3)*(1-SQRT(1-2*(J52*1000000/([1]Parametros!$B$5*H52*U52^2))/(0.85*[1]Parametros!$B$2)))*H52*U52)</f>
        <v>734.02500000000009</v>
      </c>
      <c r="S52" s="14">
        <v>4</v>
      </c>
      <c r="T52" s="14">
        <v>1</v>
      </c>
      <c r="U52" s="13">
        <f>IF(T52=1,I52-([1]Parametros!$B$7+[1]Parametros!$B$9+[1]Parametros!$B$12/2),I52-(ROUNDUP(S52/2,0)*([1]Parametros!$B$7+[1]Parametros!$B$9+[1]Parametros!$B$12/2)+ROUNDDOWN(S52/2,0)*([1]Parametros!$B$7+[1]Parametros!$B$9+[1]Parametros!$B$12/2+[1]Parametros!$B$12+[1]Parametros!$B$10))/S52)</f>
        <v>489.35</v>
      </c>
      <c r="V52" s="13">
        <f>S52*[1]Parametros!$B$8</f>
        <v>796</v>
      </c>
      <c r="W52" s="13">
        <f>[1]Parametros!$B$5*V52*[1]Parametros!$B$3*(U52-(V52*[1]Parametros!$B$3/(0.85*[1]Parametros!$B$2*H52))/2)/1000000</f>
        <v>142.54333009411764</v>
      </c>
      <c r="X52" s="13" t="str">
        <f t="shared" si="0"/>
        <v>CUMPLE</v>
      </c>
      <c r="Y52" s="13">
        <f>MAX(MAX(1.4/[1]Parametros!$B$3,0.25*SQRT([1]Parametros!$B$2)/[1]Parametros!$B$3)*H52*AB52,(0.85*[1]Parametros!$B$2/[1]Parametros!$B$3)*(1-SQRT(1-2*(L52*1000000/([1]Parametros!$B$5*H52*AB52^2))/(0.85*[1]Parametros!$B$2)))*H52*AB52)</f>
        <v>734.02500000000009</v>
      </c>
      <c r="Z52" s="14">
        <v>4</v>
      </c>
      <c r="AA52" s="14">
        <v>1</v>
      </c>
      <c r="AB52" s="13">
        <f>IF(AA52=1,I52-([1]Parametros!$B$7+[1]Parametros!$B$9+[1]Parametros!$B$12/2),I52-(ROUNDUP(Z52/2,0)*([1]Parametros!$B$7+[1]Parametros!$B$9+[1]Parametros!$B$12/2)+ROUNDDOWN(Z52/2,0)*([1]Parametros!$B$7+[1]Parametros!$B$9+[1]Parametros!$B$12/2+[1]Parametros!$B$12+[1]Parametros!$B$10))/Z52)</f>
        <v>489.35</v>
      </c>
      <c r="AC52" s="13">
        <f>Z52*[1]Parametros!$B$8</f>
        <v>796</v>
      </c>
      <c r="AD52" s="13">
        <f>[1]Parametros!$B$5*AC52*[1]Parametros!$B$3*(AB52-(AC52*[1]Parametros!$B$3/(0.85*[1]Parametros!$B$2*H52))/2)/1000000</f>
        <v>142.54333009411764</v>
      </c>
      <c r="AE52" s="13" t="str">
        <f t="shared" si="1"/>
        <v>CUMPLE</v>
      </c>
      <c r="AF52" s="13">
        <f>V52*1.25*[1]Parametros!$B$3*(U52-(V52*1.25*[1]Parametros!$B$3/(0.85*[1]Parametros!$B$2*H52))/2)/1000000</f>
        <v>196.34621794117646</v>
      </c>
      <c r="AG52" s="13">
        <f>AC52*1.25*[1]Parametros!$B$3*(AB52-(AC52*1.25*[1]Parametros!$B$3/(0.85*[1]Parametros!$B$2*H52))/2)/1000000</f>
        <v>196.34621794117646</v>
      </c>
      <c r="AH52" s="13">
        <f t="shared" si="2"/>
        <v>195.69426535947713</v>
      </c>
      <c r="AI52" s="13">
        <f t="shared" si="3"/>
        <v>277.76299999999998</v>
      </c>
      <c r="AJ52" s="13">
        <f>0.17*SQRT([1]Parametros!$B$2)*H52*MIN(U52,AB52)/1000</f>
        <v>198.08885582262698</v>
      </c>
      <c r="AK52" s="13">
        <f>MAX(AI52/[1]Parametros!$B$6-AJ52,0)</f>
        <v>172.26181084403967</v>
      </c>
      <c r="AL52" s="13">
        <f>0.66*SQRT([1]Parametros!$B$2)*H52*MIN(U52,AB52)/1000</f>
        <v>769.05085201725785</v>
      </c>
      <c r="AM52" s="13" t="str">
        <f t="shared" si="4"/>
        <v>CUMPLE</v>
      </c>
      <c r="AN52" s="13" t="s">
        <v>64</v>
      </c>
      <c r="AO52" s="14">
        <v>2</v>
      </c>
      <c r="AP52" s="13">
        <f>ROUNDDOWN(MIN(IF(BC52+BD52=0,1000000000,AO52*BB52/(BC52+BD52)),MIN(U52,AB52)/4,8*[1]Parametros!$B$12,24*BA52,300,IF(AV52=0,1000000000,2*((H52-2*([1]Parametros!$B$7+[1]Parametros!$B$9/2))+(I52-2*([1]Parametros!$B$7+[1]Parametros!$B$9/2)))/8))/10,0)*10</f>
        <v>120</v>
      </c>
      <c r="AQ52" s="13">
        <f>ROUNDDOWN(MIN(IF(BC52+BD52=0,1000000000,AO52*BB52/(BC52+BD52)),IF(AK52&gt;0.33*SQRT([1]Parametros!$B$2)*H52*MIN(U52,AB52)/1000,MIN(U52,AB52)/4,MIN(U52,AB52)/2),600,IF(AV52=0,1000000000,2*((H52-2*([1]Parametros!$B$7+[1]Parametros!$B$9/2))+(I52-2*([1]Parametros!$B$7+[1]Parametros!$B$9/2)))/8))/10,0)*10</f>
        <v>160</v>
      </c>
      <c r="AR52" s="13">
        <f>[1]Parametros!$B$6*(AJ52+MAX(BE52-BD52,0)*[1]Parametros!$B$4*MIN(U52,AB52)/1000)</f>
        <v>330.97185436697026</v>
      </c>
      <c r="AS52" s="13" t="str">
        <f t="shared" si="5"/>
        <v>CUMPLE</v>
      </c>
      <c r="AT52" s="13">
        <f>[1]Parametros!$B$6*0.083*SQRT([1]Parametros!$B$2)*(H52*I52)^2/(2*(H52+I52))/1000000</f>
        <v>10.08878303333792</v>
      </c>
      <c r="AU52" s="13" t="str">
        <f t="shared" si="6"/>
        <v>DESPRECIABLE</v>
      </c>
      <c r="AV52" s="13">
        <f>IF(Q52&lt;=AT52,0,Q52*1000000/([1]Parametros!$B$6*2*0.85*(H52-2*([1]Parametros!$B$7+[1]Parametros!$B$9/2))*(I52-2*([1]Parametros!$B$7+[1]Parametros!$B$9/2))*[1]Parametros!$B$4))</f>
        <v>0</v>
      </c>
      <c r="AW52" s="13">
        <f>AV52*2*((H52-2*([1]Parametros!$B$7+[1]Parametros!$B$9/2))+(I52-2*([1]Parametros!$B$7+[1]Parametros!$B$9/2)))*[1]Parametros!$B$4/[1]Parametros!$B$3</f>
        <v>0</v>
      </c>
      <c r="AX52" s="14">
        <v>0</v>
      </c>
      <c r="AY52" s="13" t="str">
        <f t="shared" si="7"/>
        <v>DESPRECIABLE</v>
      </c>
      <c r="AZ52" s="13" t="str">
        <f t="shared" si="8"/>
        <v>CUMPLE</v>
      </c>
      <c r="BA52" s="14">
        <v>9.5</v>
      </c>
      <c r="BB52" s="14">
        <v>71</v>
      </c>
      <c r="BC52" s="13">
        <f>MAX(IF(AK52=0,0,AK52*1000/([1]Parametros!$B$4*MIN(U52,AB52))),MAX(0.062*SQRT([1]Parametros!$B$2)*H52/[1]Parametros!$B$4,0.35*H52/[1]Parametros!$B$4))</f>
        <v>0.83814686558962892</v>
      </c>
      <c r="BD52" s="13">
        <f t="shared" si="9"/>
        <v>0</v>
      </c>
      <c r="BE52" s="13">
        <f t="shared" si="10"/>
        <v>1.1833333333333333</v>
      </c>
      <c r="BF52" s="13">
        <f>SQRT((AI52*1000/(H52*MIN(U52,AB52)))^2+(Q52*1000000*2*((H52-2*([1]Parametros!$B$7+[1]Parametros!$B$9/2))+(I52-2*([1]Parametros!$B$7+[1]Parametros!$B$9/2)))/(1.7*((H52-2*([1]Parametros!$B$7+[1]Parametros!$B$9/2))*(I52-2*([1]Parametros!$B$7+[1]Parametros!$B$9/2)))^2))^2)</f>
        <v>1.2668250912085117</v>
      </c>
      <c r="BG52" s="13">
        <f>[1]Parametros!$B$6*(AJ52*1000/(H52*MIN(U52,AB52))+0.66*SQRT([1]Parametros!$B$2))</f>
        <v>3.2939603822754151</v>
      </c>
      <c r="BH52" s="13" t="str">
        <f t="shared" si="11"/>
        <v>CUMPLE</v>
      </c>
      <c r="BI52" s="13">
        <f>AX52*[1]Parametros!$B$8</f>
        <v>0</v>
      </c>
      <c r="BJ52" s="15" t="str">
        <f t="shared" si="12"/>
        <v>CUMPLE</v>
      </c>
    </row>
    <row r="53" spans="1:62" x14ac:dyDescent="0.3">
      <c r="A53" s="11" t="s">
        <v>65</v>
      </c>
      <c r="B53" s="12">
        <v>1368</v>
      </c>
      <c r="C53" s="13">
        <v>1</v>
      </c>
      <c r="D53" s="13">
        <v>3.15</v>
      </c>
      <c r="E53" s="13">
        <v>3.15</v>
      </c>
      <c r="F53" s="13">
        <v>450</v>
      </c>
      <c r="G53" s="13">
        <v>550</v>
      </c>
      <c r="H53" s="13">
        <v>450</v>
      </c>
      <c r="I53" s="13">
        <v>550</v>
      </c>
      <c r="J53" s="14">
        <v>114.6026</v>
      </c>
      <c r="K53" s="13">
        <v>1368</v>
      </c>
      <c r="L53" s="14">
        <v>102.62130000000001</v>
      </c>
      <c r="M53" s="13">
        <v>1368</v>
      </c>
      <c r="N53" s="14">
        <v>71.048000000000002</v>
      </c>
      <c r="O53" s="14">
        <v>277.77999999999997</v>
      </c>
      <c r="P53" s="13">
        <v>1368</v>
      </c>
      <c r="Q53" s="14">
        <v>3.2726000000000002</v>
      </c>
      <c r="R53" s="13">
        <f>MAX(MAX(1.4/[1]Parametros!$B$3,0.25*SQRT([1]Parametros!$B$2)/[1]Parametros!$B$3)*H53*U53,(0.85*[1]Parametros!$B$2/[1]Parametros!$B$3)*(1-SQRT(1-2*(J53*1000000/([1]Parametros!$B$5*H53*U53^2))/(0.85*[1]Parametros!$B$2)))*H53*U53)</f>
        <v>734.02500000000009</v>
      </c>
      <c r="S53" s="14">
        <v>4</v>
      </c>
      <c r="T53" s="14">
        <v>1</v>
      </c>
      <c r="U53" s="13">
        <f>IF(T53=1,I53-([1]Parametros!$B$7+[1]Parametros!$B$9+[1]Parametros!$B$12/2),I53-(ROUNDUP(S53/2,0)*([1]Parametros!$B$7+[1]Parametros!$B$9+[1]Parametros!$B$12/2)+ROUNDDOWN(S53/2,0)*([1]Parametros!$B$7+[1]Parametros!$B$9+[1]Parametros!$B$12/2+[1]Parametros!$B$12+[1]Parametros!$B$10))/S53)</f>
        <v>489.35</v>
      </c>
      <c r="V53" s="13">
        <f>S53*[1]Parametros!$B$8</f>
        <v>796</v>
      </c>
      <c r="W53" s="13">
        <f>[1]Parametros!$B$5*V53*[1]Parametros!$B$3*(U53-(V53*[1]Parametros!$B$3/(0.85*[1]Parametros!$B$2*H53))/2)/1000000</f>
        <v>142.54333009411764</v>
      </c>
      <c r="X53" s="13" t="str">
        <f t="shared" si="0"/>
        <v>CUMPLE</v>
      </c>
      <c r="Y53" s="13">
        <f>MAX(MAX(1.4/[1]Parametros!$B$3,0.25*SQRT([1]Parametros!$B$2)/[1]Parametros!$B$3)*H53*AB53,(0.85*[1]Parametros!$B$2/[1]Parametros!$B$3)*(1-SQRT(1-2*(L53*1000000/([1]Parametros!$B$5*H53*AB53^2))/(0.85*[1]Parametros!$B$2)))*H53*AB53)</f>
        <v>734.02500000000009</v>
      </c>
      <c r="Z53" s="14">
        <v>4</v>
      </c>
      <c r="AA53" s="14">
        <v>1</v>
      </c>
      <c r="AB53" s="13">
        <f>IF(AA53=1,I53-([1]Parametros!$B$7+[1]Parametros!$B$9+[1]Parametros!$B$12/2),I53-(ROUNDUP(Z53/2,0)*([1]Parametros!$B$7+[1]Parametros!$B$9+[1]Parametros!$B$12/2)+ROUNDDOWN(Z53/2,0)*([1]Parametros!$B$7+[1]Parametros!$B$9+[1]Parametros!$B$12/2+[1]Parametros!$B$12+[1]Parametros!$B$10))/Z53)</f>
        <v>489.35</v>
      </c>
      <c r="AC53" s="13">
        <f>Z53*[1]Parametros!$B$8</f>
        <v>796</v>
      </c>
      <c r="AD53" s="13">
        <f>[1]Parametros!$B$5*AC53*[1]Parametros!$B$3*(AB53-(AC53*[1]Parametros!$B$3/(0.85*[1]Parametros!$B$2*H53))/2)/1000000</f>
        <v>142.54333009411764</v>
      </c>
      <c r="AE53" s="13" t="str">
        <f t="shared" si="1"/>
        <v>CUMPLE</v>
      </c>
      <c r="AF53" s="13">
        <f>V53*1.25*[1]Parametros!$B$3*(U53-(V53*1.25*[1]Parametros!$B$3/(0.85*[1]Parametros!$B$2*H53))/2)/1000000</f>
        <v>196.34621794117646</v>
      </c>
      <c r="AG53" s="13">
        <f>AC53*1.25*[1]Parametros!$B$3*(AB53-(AC53*1.25*[1]Parametros!$B$3/(0.85*[1]Parametros!$B$2*H53))/2)/1000000</f>
        <v>196.34621794117646</v>
      </c>
      <c r="AH53" s="13">
        <f t="shared" si="2"/>
        <v>195.71226535947713</v>
      </c>
      <c r="AI53" s="13">
        <f t="shared" si="3"/>
        <v>277.77999999999997</v>
      </c>
      <c r="AJ53" s="13">
        <f>0.17*SQRT([1]Parametros!$B$2)*H53*MIN(U53,AB53)/1000</f>
        <v>198.08885582262698</v>
      </c>
      <c r="AK53" s="13">
        <f>MAX(AI53/[1]Parametros!$B$6-AJ53,0)</f>
        <v>172.2844775107063</v>
      </c>
      <c r="AL53" s="13">
        <f>0.66*SQRT([1]Parametros!$B$2)*H53*MIN(U53,AB53)/1000</f>
        <v>769.05085201725785</v>
      </c>
      <c r="AM53" s="13" t="str">
        <f t="shared" si="4"/>
        <v>CUMPLE</v>
      </c>
      <c r="AN53" s="13" t="s">
        <v>64</v>
      </c>
      <c r="AO53" s="14">
        <v>2</v>
      </c>
      <c r="AP53" s="13">
        <f>ROUNDDOWN(MIN(IF(BC53+BD53=0,1000000000,AO53*BB53/(BC53+BD53)),MIN(U53,AB53)/4,8*[1]Parametros!$B$12,24*BA53,300,IF(AV53=0,1000000000,2*((H53-2*([1]Parametros!$B$7+[1]Parametros!$B$9/2))+(I53-2*([1]Parametros!$B$7+[1]Parametros!$B$9/2)))/8))/10,0)*10</f>
        <v>120</v>
      </c>
      <c r="AQ53" s="13">
        <f>ROUNDDOWN(MIN(IF(BC53+BD53=0,1000000000,AO53*BB53/(BC53+BD53)),IF(AK53&gt;0.33*SQRT([1]Parametros!$B$2)*H53*MIN(U53,AB53)/1000,MIN(U53,AB53)/4,MIN(U53,AB53)/2),600,IF(AV53=0,1000000000,2*((H53-2*([1]Parametros!$B$7+[1]Parametros!$B$9/2))+(I53-2*([1]Parametros!$B$7+[1]Parametros!$B$9/2)))/8))/10,0)*10</f>
        <v>160</v>
      </c>
      <c r="AR53" s="13">
        <f>[1]Parametros!$B$6*(AJ53+MAX(BE53-BD53,0)*[1]Parametros!$B$4*MIN(U53,AB53)/1000)</f>
        <v>330.97185436697026</v>
      </c>
      <c r="AS53" s="13" t="str">
        <f t="shared" si="5"/>
        <v>CUMPLE</v>
      </c>
      <c r="AT53" s="13">
        <f>[1]Parametros!$B$6*0.083*SQRT([1]Parametros!$B$2)*(H53*I53)^2/(2*(H53+I53))/1000000</f>
        <v>10.08878303333792</v>
      </c>
      <c r="AU53" s="13" t="str">
        <f t="shared" si="6"/>
        <v>DESPRECIABLE</v>
      </c>
      <c r="AV53" s="13">
        <f>IF(Q53&lt;=AT53,0,Q53*1000000/([1]Parametros!$B$6*2*0.85*(H53-2*([1]Parametros!$B$7+[1]Parametros!$B$9/2))*(I53-2*([1]Parametros!$B$7+[1]Parametros!$B$9/2))*[1]Parametros!$B$4))</f>
        <v>0</v>
      </c>
      <c r="AW53" s="13">
        <f>AV53*2*((H53-2*([1]Parametros!$B$7+[1]Parametros!$B$9/2))+(I53-2*([1]Parametros!$B$7+[1]Parametros!$B$9/2)))*[1]Parametros!$B$4/[1]Parametros!$B$3</f>
        <v>0</v>
      </c>
      <c r="AX53" s="14">
        <v>0</v>
      </c>
      <c r="AY53" s="13" t="str">
        <f t="shared" si="7"/>
        <v>DESPRECIABLE</v>
      </c>
      <c r="AZ53" s="13" t="str">
        <f t="shared" si="8"/>
        <v>CUMPLE</v>
      </c>
      <c r="BA53" s="14">
        <v>9.5</v>
      </c>
      <c r="BB53" s="14">
        <v>71</v>
      </c>
      <c r="BC53" s="13">
        <f>MAX(IF(AK53=0,0,AK53*1000/([1]Parametros!$B$4*MIN(U53,AB53))),MAX(0.062*SQRT([1]Parametros!$B$2)*H53/[1]Parametros!$B$4,0.35*H53/[1]Parametros!$B$4))</f>
        <v>0.83825715118065403</v>
      </c>
      <c r="BD53" s="13">
        <f t="shared" si="9"/>
        <v>0</v>
      </c>
      <c r="BE53" s="13">
        <f t="shared" si="10"/>
        <v>1.1833333333333333</v>
      </c>
      <c r="BF53" s="13">
        <f>SQRT((AI53*1000/(H53*MIN(U53,AB53)))^2+(Q53*1000000*2*((H53-2*([1]Parametros!$B$7+[1]Parametros!$B$9/2))+(I53-2*([1]Parametros!$B$7+[1]Parametros!$B$9/2)))/(1.7*((H53-2*([1]Parametros!$B$7+[1]Parametros!$B$9/2))*(I53-2*([1]Parametros!$B$7+[1]Parametros!$B$9/2)))^2))^2)</f>
        <v>1.2669049540148594</v>
      </c>
      <c r="BG53" s="13">
        <f>[1]Parametros!$B$6*(AJ53*1000/(H53*MIN(U53,AB53))+0.66*SQRT([1]Parametros!$B$2))</f>
        <v>3.2939603822754151</v>
      </c>
      <c r="BH53" s="13" t="str">
        <f t="shared" si="11"/>
        <v>CUMPLE</v>
      </c>
      <c r="BI53" s="13">
        <f>AX53*[1]Parametros!$B$8</f>
        <v>0</v>
      </c>
      <c r="BJ53" s="15" t="str">
        <f t="shared" si="12"/>
        <v>CUMPLE</v>
      </c>
    </row>
    <row r="54" spans="1:62" x14ac:dyDescent="0.3">
      <c r="A54" s="11" t="s">
        <v>65</v>
      </c>
      <c r="B54" s="12">
        <v>1369</v>
      </c>
      <c r="C54" s="13">
        <v>1</v>
      </c>
      <c r="D54" s="13">
        <v>3.15</v>
      </c>
      <c r="E54" s="13">
        <v>3.15</v>
      </c>
      <c r="F54" s="13">
        <v>450</v>
      </c>
      <c r="G54" s="13">
        <v>550</v>
      </c>
      <c r="H54" s="13">
        <v>450</v>
      </c>
      <c r="I54" s="13">
        <v>550</v>
      </c>
      <c r="J54" s="14">
        <v>114.6073</v>
      </c>
      <c r="K54" s="13">
        <v>1369</v>
      </c>
      <c r="L54" s="14">
        <v>102.6247</v>
      </c>
      <c r="M54" s="13">
        <v>1369</v>
      </c>
      <c r="N54" s="14">
        <v>71.05</v>
      </c>
      <c r="O54" s="14">
        <v>277.80500000000001</v>
      </c>
      <c r="P54" s="13">
        <v>1369</v>
      </c>
      <c r="Q54" s="14">
        <v>3.2713000000000001</v>
      </c>
      <c r="R54" s="13">
        <f>MAX(MAX(1.4/[1]Parametros!$B$3,0.25*SQRT([1]Parametros!$B$2)/[1]Parametros!$B$3)*H54*U54,(0.85*[1]Parametros!$B$2/[1]Parametros!$B$3)*(1-SQRT(1-2*(J54*1000000/([1]Parametros!$B$5*H54*U54^2))/(0.85*[1]Parametros!$B$2)))*H54*U54)</f>
        <v>734.02500000000009</v>
      </c>
      <c r="S54" s="14">
        <v>4</v>
      </c>
      <c r="T54" s="14">
        <v>1</v>
      </c>
      <c r="U54" s="13">
        <f>IF(T54=1,I54-([1]Parametros!$B$7+[1]Parametros!$B$9+[1]Parametros!$B$12/2),I54-(ROUNDUP(S54/2,0)*([1]Parametros!$B$7+[1]Parametros!$B$9+[1]Parametros!$B$12/2)+ROUNDDOWN(S54/2,0)*([1]Parametros!$B$7+[1]Parametros!$B$9+[1]Parametros!$B$12/2+[1]Parametros!$B$12+[1]Parametros!$B$10))/S54)</f>
        <v>489.35</v>
      </c>
      <c r="V54" s="13">
        <f>S54*[1]Parametros!$B$8</f>
        <v>796</v>
      </c>
      <c r="W54" s="13">
        <f>[1]Parametros!$B$5*V54*[1]Parametros!$B$3*(U54-(V54*[1]Parametros!$B$3/(0.85*[1]Parametros!$B$2*H54))/2)/1000000</f>
        <v>142.54333009411764</v>
      </c>
      <c r="X54" s="13" t="str">
        <f t="shared" si="0"/>
        <v>CUMPLE</v>
      </c>
      <c r="Y54" s="13">
        <f>MAX(MAX(1.4/[1]Parametros!$B$3,0.25*SQRT([1]Parametros!$B$2)/[1]Parametros!$B$3)*H54*AB54,(0.85*[1]Parametros!$B$2/[1]Parametros!$B$3)*(1-SQRT(1-2*(L54*1000000/([1]Parametros!$B$5*H54*AB54^2))/(0.85*[1]Parametros!$B$2)))*H54*AB54)</f>
        <v>734.02500000000009</v>
      </c>
      <c r="Z54" s="14">
        <v>4</v>
      </c>
      <c r="AA54" s="14">
        <v>1</v>
      </c>
      <c r="AB54" s="13">
        <f>IF(AA54=1,I54-([1]Parametros!$B$7+[1]Parametros!$B$9+[1]Parametros!$B$12/2),I54-(ROUNDUP(Z54/2,0)*([1]Parametros!$B$7+[1]Parametros!$B$9+[1]Parametros!$B$12/2)+ROUNDDOWN(Z54/2,0)*([1]Parametros!$B$7+[1]Parametros!$B$9+[1]Parametros!$B$12/2+[1]Parametros!$B$12+[1]Parametros!$B$10))/Z54)</f>
        <v>489.35</v>
      </c>
      <c r="AC54" s="13">
        <f>Z54*[1]Parametros!$B$8</f>
        <v>796</v>
      </c>
      <c r="AD54" s="13">
        <f>[1]Parametros!$B$5*AC54*[1]Parametros!$B$3*(AB54-(AC54*[1]Parametros!$B$3/(0.85*[1]Parametros!$B$2*H54))/2)/1000000</f>
        <v>142.54333009411764</v>
      </c>
      <c r="AE54" s="13" t="str">
        <f t="shared" si="1"/>
        <v>CUMPLE</v>
      </c>
      <c r="AF54" s="13">
        <f>V54*1.25*[1]Parametros!$B$3*(U54-(V54*1.25*[1]Parametros!$B$3/(0.85*[1]Parametros!$B$2*H54))/2)/1000000</f>
        <v>196.34621794117646</v>
      </c>
      <c r="AG54" s="13">
        <f>AC54*1.25*[1]Parametros!$B$3*(AB54-(AC54*1.25*[1]Parametros!$B$3/(0.85*[1]Parametros!$B$2*H54))/2)/1000000</f>
        <v>196.34621794117646</v>
      </c>
      <c r="AH54" s="13">
        <f t="shared" si="2"/>
        <v>195.71426535947711</v>
      </c>
      <c r="AI54" s="13">
        <f t="shared" si="3"/>
        <v>277.80500000000001</v>
      </c>
      <c r="AJ54" s="13">
        <f>0.17*SQRT([1]Parametros!$B$2)*H54*MIN(U54,AB54)/1000</f>
        <v>198.08885582262698</v>
      </c>
      <c r="AK54" s="13">
        <f>MAX(AI54/[1]Parametros!$B$6-AJ54,0)</f>
        <v>172.31781084403971</v>
      </c>
      <c r="AL54" s="13">
        <f>0.66*SQRT([1]Parametros!$B$2)*H54*MIN(U54,AB54)/1000</f>
        <v>769.05085201725785</v>
      </c>
      <c r="AM54" s="13" t="str">
        <f t="shared" si="4"/>
        <v>CUMPLE</v>
      </c>
      <c r="AN54" s="13" t="s">
        <v>64</v>
      </c>
      <c r="AO54" s="14">
        <v>2</v>
      </c>
      <c r="AP54" s="13">
        <f>ROUNDDOWN(MIN(IF(BC54+BD54=0,1000000000,AO54*BB54/(BC54+BD54)),MIN(U54,AB54)/4,8*[1]Parametros!$B$12,24*BA54,300,IF(AV54=0,1000000000,2*((H54-2*([1]Parametros!$B$7+[1]Parametros!$B$9/2))+(I54-2*([1]Parametros!$B$7+[1]Parametros!$B$9/2)))/8))/10,0)*10</f>
        <v>120</v>
      </c>
      <c r="AQ54" s="13">
        <f>ROUNDDOWN(MIN(IF(BC54+BD54=0,1000000000,AO54*BB54/(BC54+BD54)),IF(AK54&gt;0.33*SQRT([1]Parametros!$B$2)*H54*MIN(U54,AB54)/1000,MIN(U54,AB54)/4,MIN(U54,AB54)/2),600,IF(AV54=0,1000000000,2*((H54-2*([1]Parametros!$B$7+[1]Parametros!$B$9/2))+(I54-2*([1]Parametros!$B$7+[1]Parametros!$B$9/2)))/8))/10,0)*10</f>
        <v>160</v>
      </c>
      <c r="AR54" s="13">
        <f>[1]Parametros!$B$6*(AJ54+MAX(BE54-BD54,0)*[1]Parametros!$B$4*MIN(U54,AB54)/1000)</f>
        <v>330.97185436697026</v>
      </c>
      <c r="AS54" s="13" t="str">
        <f t="shared" si="5"/>
        <v>CUMPLE</v>
      </c>
      <c r="AT54" s="13">
        <f>[1]Parametros!$B$6*0.083*SQRT([1]Parametros!$B$2)*(H54*I54)^2/(2*(H54+I54))/1000000</f>
        <v>10.08878303333792</v>
      </c>
      <c r="AU54" s="13" t="str">
        <f t="shared" si="6"/>
        <v>DESPRECIABLE</v>
      </c>
      <c r="AV54" s="13">
        <f>IF(Q54&lt;=AT54,0,Q54*1000000/([1]Parametros!$B$6*2*0.85*(H54-2*([1]Parametros!$B$7+[1]Parametros!$B$9/2))*(I54-2*([1]Parametros!$B$7+[1]Parametros!$B$9/2))*[1]Parametros!$B$4))</f>
        <v>0</v>
      </c>
      <c r="AW54" s="13">
        <f>AV54*2*((H54-2*([1]Parametros!$B$7+[1]Parametros!$B$9/2))+(I54-2*([1]Parametros!$B$7+[1]Parametros!$B$9/2)))*[1]Parametros!$B$4/[1]Parametros!$B$3</f>
        <v>0</v>
      </c>
      <c r="AX54" s="14">
        <v>0</v>
      </c>
      <c r="AY54" s="13" t="str">
        <f t="shared" si="7"/>
        <v>DESPRECIABLE</v>
      </c>
      <c r="AZ54" s="13" t="str">
        <f t="shared" si="8"/>
        <v>CUMPLE</v>
      </c>
      <c r="BA54" s="14">
        <v>9.5</v>
      </c>
      <c r="BB54" s="14">
        <v>71</v>
      </c>
      <c r="BC54" s="13">
        <f>MAX(IF(AK54=0,0,AK54*1000/([1]Parametros!$B$4*MIN(U54,AB54))),MAX(0.062*SQRT([1]Parametros!$B$2)*H54/[1]Parametros!$B$4,0.35*H54/[1]Parametros!$B$4))</f>
        <v>0.83841933587333883</v>
      </c>
      <c r="BD54" s="13">
        <f t="shared" si="9"/>
        <v>0</v>
      </c>
      <c r="BE54" s="13">
        <f t="shared" si="10"/>
        <v>1.1833333333333333</v>
      </c>
      <c r="BF54" s="13">
        <f>SQRT((AI54*1000/(H54*MIN(U54,AB54)))^2+(Q54*1000000*2*((H54-2*([1]Parametros!$B$7+[1]Parametros!$B$9/2))+(I54-2*([1]Parametros!$B$7+[1]Parametros!$B$9/2)))/(1.7*((H54-2*([1]Parametros!$B$7+[1]Parametros!$B$9/2))*(I54-2*([1]Parametros!$B$7+[1]Parametros!$B$9/2)))^2))^2)</f>
        <v>1.2670136682555484</v>
      </c>
      <c r="BG54" s="13">
        <f>[1]Parametros!$B$6*(AJ54*1000/(H54*MIN(U54,AB54))+0.66*SQRT([1]Parametros!$B$2))</f>
        <v>3.2939603822754151</v>
      </c>
      <c r="BH54" s="13" t="str">
        <f t="shared" si="11"/>
        <v>CUMPLE</v>
      </c>
      <c r="BI54" s="13">
        <f>AX54*[1]Parametros!$B$8</f>
        <v>0</v>
      </c>
      <c r="BJ54" s="15" t="str">
        <f t="shared" si="12"/>
        <v>CUMPLE</v>
      </c>
    </row>
    <row r="55" spans="1:62" x14ac:dyDescent="0.3">
      <c r="A55" s="11" t="s">
        <v>65</v>
      </c>
      <c r="B55" s="12">
        <v>1370</v>
      </c>
      <c r="C55" s="13">
        <v>1</v>
      </c>
      <c r="D55" s="13">
        <v>3.15</v>
      </c>
      <c r="E55" s="13">
        <v>3.15</v>
      </c>
      <c r="F55" s="13">
        <v>450</v>
      </c>
      <c r="G55" s="13">
        <v>550</v>
      </c>
      <c r="H55" s="13">
        <v>450</v>
      </c>
      <c r="I55" s="13">
        <v>550</v>
      </c>
      <c r="J55" s="14">
        <v>114.58029999999999</v>
      </c>
      <c r="K55" s="13">
        <v>1370</v>
      </c>
      <c r="L55" s="14">
        <v>102.5964</v>
      </c>
      <c r="M55" s="13">
        <v>1370</v>
      </c>
      <c r="N55" s="14">
        <v>71.034999999999997</v>
      </c>
      <c r="O55" s="14">
        <v>277.79000000000002</v>
      </c>
      <c r="P55" s="13">
        <v>1370</v>
      </c>
      <c r="Q55" s="14">
        <v>3.2705000000000002</v>
      </c>
      <c r="R55" s="13">
        <f>MAX(MAX(1.4/[1]Parametros!$B$3,0.25*SQRT([1]Parametros!$B$2)/[1]Parametros!$B$3)*H55*U55,(0.85*[1]Parametros!$B$2/[1]Parametros!$B$3)*(1-SQRT(1-2*(J55*1000000/([1]Parametros!$B$5*H55*U55^2))/(0.85*[1]Parametros!$B$2)))*H55*U55)</f>
        <v>734.02500000000009</v>
      </c>
      <c r="S55" s="14">
        <v>4</v>
      </c>
      <c r="T55" s="14">
        <v>1</v>
      </c>
      <c r="U55" s="13">
        <f>IF(T55=1,I55-([1]Parametros!$B$7+[1]Parametros!$B$9+[1]Parametros!$B$12/2),I55-(ROUNDUP(S55/2,0)*([1]Parametros!$B$7+[1]Parametros!$B$9+[1]Parametros!$B$12/2)+ROUNDDOWN(S55/2,0)*([1]Parametros!$B$7+[1]Parametros!$B$9+[1]Parametros!$B$12/2+[1]Parametros!$B$12+[1]Parametros!$B$10))/S55)</f>
        <v>489.35</v>
      </c>
      <c r="V55" s="13">
        <f>S55*[1]Parametros!$B$8</f>
        <v>796</v>
      </c>
      <c r="W55" s="13">
        <f>[1]Parametros!$B$5*V55*[1]Parametros!$B$3*(U55-(V55*[1]Parametros!$B$3/(0.85*[1]Parametros!$B$2*H55))/2)/1000000</f>
        <v>142.54333009411764</v>
      </c>
      <c r="X55" s="13" t="str">
        <f t="shared" si="0"/>
        <v>CUMPLE</v>
      </c>
      <c r="Y55" s="13">
        <f>MAX(MAX(1.4/[1]Parametros!$B$3,0.25*SQRT([1]Parametros!$B$2)/[1]Parametros!$B$3)*H55*AB55,(0.85*[1]Parametros!$B$2/[1]Parametros!$B$3)*(1-SQRT(1-2*(L55*1000000/([1]Parametros!$B$5*H55*AB55^2))/(0.85*[1]Parametros!$B$2)))*H55*AB55)</f>
        <v>734.02500000000009</v>
      </c>
      <c r="Z55" s="14">
        <v>4</v>
      </c>
      <c r="AA55" s="14">
        <v>1</v>
      </c>
      <c r="AB55" s="13">
        <f>IF(AA55=1,I55-([1]Parametros!$B$7+[1]Parametros!$B$9+[1]Parametros!$B$12/2),I55-(ROUNDUP(Z55/2,0)*([1]Parametros!$B$7+[1]Parametros!$B$9+[1]Parametros!$B$12/2)+ROUNDDOWN(Z55/2,0)*([1]Parametros!$B$7+[1]Parametros!$B$9+[1]Parametros!$B$12/2+[1]Parametros!$B$12+[1]Parametros!$B$10))/Z55)</f>
        <v>489.35</v>
      </c>
      <c r="AC55" s="13">
        <f>Z55*[1]Parametros!$B$8</f>
        <v>796</v>
      </c>
      <c r="AD55" s="13">
        <f>[1]Parametros!$B$5*AC55*[1]Parametros!$B$3*(AB55-(AC55*[1]Parametros!$B$3/(0.85*[1]Parametros!$B$2*H55))/2)/1000000</f>
        <v>142.54333009411764</v>
      </c>
      <c r="AE55" s="13" t="str">
        <f t="shared" si="1"/>
        <v>CUMPLE</v>
      </c>
      <c r="AF55" s="13">
        <f>V55*1.25*[1]Parametros!$B$3*(U55-(V55*1.25*[1]Parametros!$B$3/(0.85*[1]Parametros!$B$2*H55))/2)/1000000</f>
        <v>196.34621794117646</v>
      </c>
      <c r="AG55" s="13">
        <f>AC55*1.25*[1]Parametros!$B$3*(AB55-(AC55*1.25*[1]Parametros!$B$3/(0.85*[1]Parametros!$B$2*H55))/2)/1000000</f>
        <v>196.34621794117646</v>
      </c>
      <c r="AH55" s="13">
        <f t="shared" si="2"/>
        <v>195.69926535947712</v>
      </c>
      <c r="AI55" s="13">
        <f t="shared" si="3"/>
        <v>277.79000000000002</v>
      </c>
      <c r="AJ55" s="13">
        <f>0.17*SQRT([1]Parametros!$B$2)*H55*MIN(U55,AB55)/1000</f>
        <v>198.08885582262698</v>
      </c>
      <c r="AK55" s="13">
        <f>MAX(AI55/[1]Parametros!$B$6-AJ55,0)</f>
        <v>172.29781084403973</v>
      </c>
      <c r="AL55" s="13">
        <f>0.66*SQRT([1]Parametros!$B$2)*H55*MIN(U55,AB55)/1000</f>
        <v>769.05085201725785</v>
      </c>
      <c r="AM55" s="13" t="str">
        <f t="shared" si="4"/>
        <v>CUMPLE</v>
      </c>
      <c r="AN55" s="13" t="s">
        <v>64</v>
      </c>
      <c r="AO55" s="14">
        <v>2</v>
      </c>
      <c r="AP55" s="13">
        <f>ROUNDDOWN(MIN(IF(BC55+BD55=0,1000000000,AO55*BB55/(BC55+BD55)),MIN(U55,AB55)/4,8*[1]Parametros!$B$12,24*BA55,300,IF(AV55=0,1000000000,2*((H55-2*([1]Parametros!$B$7+[1]Parametros!$B$9/2))+(I55-2*([1]Parametros!$B$7+[1]Parametros!$B$9/2)))/8))/10,0)*10</f>
        <v>120</v>
      </c>
      <c r="AQ55" s="13">
        <f>ROUNDDOWN(MIN(IF(BC55+BD55=0,1000000000,AO55*BB55/(BC55+BD55)),IF(AK55&gt;0.33*SQRT([1]Parametros!$B$2)*H55*MIN(U55,AB55)/1000,MIN(U55,AB55)/4,MIN(U55,AB55)/2),600,IF(AV55=0,1000000000,2*((H55-2*([1]Parametros!$B$7+[1]Parametros!$B$9/2))+(I55-2*([1]Parametros!$B$7+[1]Parametros!$B$9/2)))/8))/10,0)*10</f>
        <v>160</v>
      </c>
      <c r="AR55" s="13">
        <f>[1]Parametros!$B$6*(AJ55+MAX(BE55-BD55,0)*[1]Parametros!$B$4*MIN(U55,AB55)/1000)</f>
        <v>330.97185436697026</v>
      </c>
      <c r="AS55" s="13" t="str">
        <f t="shared" si="5"/>
        <v>CUMPLE</v>
      </c>
      <c r="AT55" s="13">
        <f>[1]Parametros!$B$6*0.083*SQRT([1]Parametros!$B$2)*(H55*I55)^2/(2*(H55+I55))/1000000</f>
        <v>10.08878303333792</v>
      </c>
      <c r="AU55" s="13" t="str">
        <f t="shared" si="6"/>
        <v>DESPRECIABLE</v>
      </c>
      <c r="AV55" s="13">
        <f>IF(Q55&lt;=AT55,0,Q55*1000000/([1]Parametros!$B$6*2*0.85*(H55-2*([1]Parametros!$B$7+[1]Parametros!$B$9/2))*(I55-2*([1]Parametros!$B$7+[1]Parametros!$B$9/2))*[1]Parametros!$B$4))</f>
        <v>0</v>
      </c>
      <c r="AW55" s="13">
        <f>AV55*2*((H55-2*([1]Parametros!$B$7+[1]Parametros!$B$9/2))+(I55-2*([1]Parametros!$B$7+[1]Parametros!$B$9/2)))*[1]Parametros!$B$4/[1]Parametros!$B$3</f>
        <v>0</v>
      </c>
      <c r="AX55" s="14">
        <v>0</v>
      </c>
      <c r="AY55" s="13" t="str">
        <f t="shared" si="7"/>
        <v>DESPRECIABLE</v>
      </c>
      <c r="AZ55" s="13" t="str">
        <f t="shared" si="8"/>
        <v>CUMPLE</v>
      </c>
      <c r="BA55" s="14">
        <v>9.5</v>
      </c>
      <c r="BB55" s="14">
        <v>71</v>
      </c>
      <c r="BC55" s="13">
        <f>MAX(IF(AK55=0,0,AK55*1000/([1]Parametros!$B$4*MIN(U55,AB55))),MAX(0.062*SQRT([1]Parametros!$B$2)*H55/[1]Parametros!$B$4,0.35*H55/[1]Parametros!$B$4))</f>
        <v>0.83832202505772824</v>
      </c>
      <c r="BD55" s="13">
        <f t="shared" si="9"/>
        <v>0</v>
      </c>
      <c r="BE55" s="13">
        <f t="shared" si="10"/>
        <v>1.1833333333333333</v>
      </c>
      <c r="BF55" s="13">
        <f>SQRT((AI55*1000/(H55*MIN(U55,AB55)))^2+(Q55*1000000*2*((H55-2*([1]Parametros!$B$7+[1]Parametros!$B$9/2))+(I55-2*([1]Parametros!$B$7+[1]Parametros!$B$9/2)))/(1.7*((H55-2*([1]Parametros!$B$7+[1]Parametros!$B$9/2))*(I55-2*([1]Parametros!$B$7+[1]Parametros!$B$9/2)))^2))^2)</f>
        <v>1.2669431824736506</v>
      </c>
      <c r="BG55" s="13">
        <f>[1]Parametros!$B$6*(AJ55*1000/(H55*MIN(U55,AB55))+0.66*SQRT([1]Parametros!$B$2))</f>
        <v>3.2939603822754151</v>
      </c>
      <c r="BH55" s="13" t="str">
        <f t="shared" si="11"/>
        <v>CUMPLE</v>
      </c>
      <c r="BI55" s="13">
        <f>AX55*[1]Parametros!$B$8</f>
        <v>0</v>
      </c>
      <c r="BJ55" s="15" t="str">
        <f t="shared" si="12"/>
        <v>CUMPLE</v>
      </c>
    </row>
    <row r="56" spans="1:62" x14ac:dyDescent="0.3">
      <c r="A56" s="11" t="s">
        <v>65</v>
      </c>
      <c r="B56" s="12">
        <v>1371</v>
      </c>
      <c r="C56" s="13">
        <v>1</v>
      </c>
      <c r="D56" s="13">
        <v>3.15</v>
      </c>
      <c r="E56" s="13">
        <v>3.15</v>
      </c>
      <c r="F56" s="13">
        <v>450</v>
      </c>
      <c r="G56" s="13">
        <v>550</v>
      </c>
      <c r="H56" s="13">
        <v>450</v>
      </c>
      <c r="I56" s="13">
        <v>550</v>
      </c>
      <c r="J56" s="14">
        <v>82.047300000000007</v>
      </c>
      <c r="K56" s="13">
        <v>1371</v>
      </c>
      <c r="L56" s="14">
        <v>70.289699999999996</v>
      </c>
      <c r="M56" s="13">
        <v>1371</v>
      </c>
      <c r="N56" s="14">
        <v>53.744999999999997</v>
      </c>
      <c r="O56" s="14">
        <v>187.29499999999999</v>
      </c>
      <c r="P56" s="13">
        <v>1371</v>
      </c>
      <c r="Q56" s="14">
        <v>2.3990999999999998</v>
      </c>
      <c r="R56" s="13">
        <f>MAX(MAX(1.4/[1]Parametros!$B$3,0.25*SQRT([1]Parametros!$B$2)/[1]Parametros!$B$3)*H56*U56,(0.85*[1]Parametros!$B$2/[1]Parametros!$B$3)*(1-SQRT(1-2*(J56*1000000/([1]Parametros!$B$5*H56*U56^2))/(0.85*[1]Parametros!$B$2)))*H56*U56)</f>
        <v>734.02500000000009</v>
      </c>
      <c r="S56" s="14">
        <v>4</v>
      </c>
      <c r="T56" s="14">
        <v>1</v>
      </c>
      <c r="U56" s="13">
        <f>IF(T56=1,I56-([1]Parametros!$B$7+[1]Parametros!$B$9+[1]Parametros!$B$12/2),I56-(ROUNDUP(S56/2,0)*([1]Parametros!$B$7+[1]Parametros!$B$9+[1]Parametros!$B$12/2)+ROUNDDOWN(S56/2,0)*([1]Parametros!$B$7+[1]Parametros!$B$9+[1]Parametros!$B$12/2+[1]Parametros!$B$12+[1]Parametros!$B$10))/S56)</f>
        <v>489.35</v>
      </c>
      <c r="V56" s="13">
        <f>S56*[1]Parametros!$B$8</f>
        <v>796</v>
      </c>
      <c r="W56" s="13">
        <f>[1]Parametros!$B$5*V56*[1]Parametros!$B$3*(U56-(V56*[1]Parametros!$B$3/(0.85*[1]Parametros!$B$2*H56))/2)/1000000</f>
        <v>142.54333009411764</v>
      </c>
      <c r="X56" s="13" t="str">
        <f t="shared" si="0"/>
        <v>CUMPLE</v>
      </c>
      <c r="Y56" s="13">
        <f>MAX(MAX(1.4/[1]Parametros!$B$3,0.25*SQRT([1]Parametros!$B$2)/[1]Parametros!$B$3)*H56*AB56,(0.85*[1]Parametros!$B$2/[1]Parametros!$B$3)*(1-SQRT(1-2*(L56*1000000/([1]Parametros!$B$5*H56*AB56^2))/(0.85*[1]Parametros!$B$2)))*H56*AB56)</f>
        <v>734.02500000000009</v>
      </c>
      <c r="Z56" s="14">
        <v>4</v>
      </c>
      <c r="AA56" s="14">
        <v>1</v>
      </c>
      <c r="AB56" s="13">
        <f>IF(AA56=1,I56-([1]Parametros!$B$7+[1]Parametros!$B$9+[1]Parametros!$B$12/2),I56-(ROUNDUP(Z56/2,0)*([1]Parametros!$B$7+[1]Parametros!$B$9+[1]Parametros!$B$12/2)+ROUNDDOWN(Z56/2,0)*([1]Parametros!$B$7+[1]Parametros!$B$9+[1]Parametros!$B$12/2+[1]Parametros!$B$12+[1]Parametros!$B$10))/Z56)</f>
        <v>489.35</v>
      </c>
      <c r="AC56" s="13">
        <f>Z56*[1]Parametros!$B$8</f>
        <v>796</v>
      </c>
      <c r="AD56" s="13">
        <f>[1]Parametros!$B$5*AC56*[1]Parametros!$B$3*(AB56-(AC56*[1]Parametros!$B$3/(0.85*[1]Parametros!$B$2*H56))/2)/1000000</f>
        <v>142.54333009411764</v>
      </c>
      <c r="AE56" s="13" t="str">
        <f t="shared" si="1"/>
        <v>CUMPLE</v>
      </c>
      <c r="AF56" s="13">
        <f>V56*1.25*[1]Parametros!$B$3*(U56-(V56*1.25*[1]Parametros!$B$3/(0.85*[1]Parametros!$B$2*H56))/2)/1000000</f>
        <v>196.34621794117646</v>
      </c>
      <c r="AG56" s="13">
        <f>AC56*1.25*[1]Parametros!$B$3*(AB56-(AC56*1.25*[1]Parametros!$B$3/(0.85*[1]Parametros!$B$2*H56))/2)/1000000</f>
        <v>196.34621794117646</v>
      </c>
      <c r="AH56" s="13">
        <f t="shared" si="2"/>
        <v>178.40926535947713</v>
      </c>
      <c r="AI56" s="13">
        <f t="shared" si="3"/>
        <v>187.29499999999999</v>
      </c>
      <c r="AJ56" s="13">
        <f>0.17*SQRT([1]Parametros!$B$2)*H56*MIN(U56,AB56)/1000</f>
        <v>198.08885582262698</v>
      </c>
      <c r="AK56" s="13">
        <f>MAX(AI56/[1]Parametros!$B$6-AJ56,0)</f>
        <v>51.637810844039677</v>
      </c>
      <c r="AL56" s="13">
        <f>0.66*SQRT([1]Parametros!$B$2)*H56*MIN(U56,AB56)/1000</f>
        <v>769.05085201725785</v>
      </c>
      <c r="AM56" s="13" t="str">
        <f t="shared" si="4"/>
        <v>CUMPLE</v>
      </c>
      <c r="AN56" s="13" t="s">
        <v>64</v>
      </c>
      <c r="AO56" s="14">
        <v>2</v>
      </c>
      <c r="AP56" s="13">
        <f>ROUNDDOWN(MIN(IF(BC56+BD56=0,1000000000,AO56*BB56/(BC56+BD56)),MIN(U56,AB56)/4,8*[1]Parametros!$B$12,24*BA56,300,IF(AV56=0,1000000000,2*((H56-2*([1]Parametros!$B$7+[1]Parametros!$B$9/2))+(I56-2*([1]Parametros!$B$7+[1]Parametros!$B$9/2)))/8))/10,0)*10</f>
        <v>120</v>
      </c>
      <c r="AQ56" s="13">
        <f>ROUNDDOWN(MIN(IF(BC56+BD56=0,1000000000,AO56*BB56/(BC56+BD56)),IF(AK56&gt;0.33*SQRT([1]Parametros!$B$2)*H56*MIN(U56,AB56)/1000,MIN(U56,AB56)/4,MIN(U56,AB56)/2),600,IF(AV56=0,1000000000,2*((H56-2*([1]Parametros!$B$7+[1]Parametros!$B$9/2))+(I56-2*([1]Parametros!$B$7+[1]Parametros!$B$9/2)))/8))/10,0)*10</f>
        <v>240</v>
      </c>
      <c r="AR56" s="13">
        <f>[1]Parametros!$B$6*(AJ56+MAX(BE56-BD56,0)*[1]Parametros!$B$4*MIN(U56,AB56)/1000)</f>
        <v>330.97185436697026</v>
      </c>
      <c r="AS56" s="13" t="str">
        <f t="shared" si="5"/>
        <v>CUMPLE</v>
      </c>
      <c r="AT56" s="13">
        <f>[1]Parametros!$B$6*0.083*SQRT([1]Parametros!$B$2)*(H56*I56)^2/(2*(H56+I56))/1000000</f>
        <v>10.08878303333792</v>
      </c>
      <c r="AU56" s="13" t="str">
        <f t="shared" si="6"/>
        <v>DESPRECIABLE</v>
      </c>
      <c r="AV56" s="13">
        <f>IF(Q56&lt;=AT56,0,Q56*1000000/([1]Parametros!$B$6*2*0.85*(H56-2*([1]Parametros!$B$7+[1]Parametros!$B$9/2))*(I56-2*([1]Parametros!$B$7+[1]Parametros!$B$9/2))*[1]Parametros!$B$4))</f>
        <v>0</v>
      </c>
      <c r="AW56" s="13">
        <f>AV56*2*((H56-2*([1]Parametros!$B$7+[1]Parametros!$B$9/2))+(I56-2*([1]Parametros!$B$7+[1]Parametros!$B$9/2)))*[1]Parametros!$B$4/[1]Parametros!$B$3</f>
        <v>0</v>
      </c>
      <c r="AX56" s="14">
        <v>0</v>
      </c>
      <c r="AY56" s="13" t="str">
        <f t="shared" si="7"/>
        <v>DESPRECIABLE</v>
      </c>
      <c r="AZ56" s="13" t="str">
        <f t="shared" si="8"/>
        <v>CUMPLE</v>
      </c>
      <c r="BA56" s="14">
        <v>9.5</v>
      </c>
      <c r="BB56" s="14">
        <v>71</v>
      </c>
      <c r="BC56" s="13">
        <f>MAX(IF(AK56=0,0,AK56*1000/([1]Parametros!$B$4*MIN(U56,AB56))),MAX(0.062*SQRT([1]Parametros!$B$2)*H56/[1]Parametros!$B$4,0.35*H56/[1]Parametros!$B$4))</f>
        <v>0.375</v>
      </c>
      <c r="BD56" s="13">
        <f t="shared" si="9"/>
        <v>0</v>
      </c>
      <c r="BE56" s="13">
        <f t="shared" si="10"/>
        <v>1.1833333333333333</v>
      </c>
      <c r="BF56" s="13">
        <f>SQRT((AI56*1000/(H56*MIN(U56,AB56)))^2+(Q56*1000000*2*((H56-2*([1]Parametros!$B$7+[1]Parametros!$B$9/2))+(I56-2*([1]Parametros!$B$7+[1]Parametros!$B$9/2)))/(1.7*((H56-2*([1]Parametros!$B$7+[1]Parametros!$B$9/2))*(I56-2*([1]Parametros!$B$7+[1]Parametros!$B$9/2)))^2))^2)</f>
        <v>0.85488758062972514</v>
      </c>
      <c r="BG56" s="13">
        <f>[1]Parametros!$B$6*(AJ56*1000/(H56*MIN(U56,AB56))+0.66*SQRT([1]Parametros!$B$2))</f>
        <v>3.2939603822754151</v>
      </c>
      <c r="BH56" s="13" t="str">
        <f t="shared" si="11"/>
        <v>CUMPLE</v>
      </c>
      <c r="BI56" s="13">
        <f>AX56*[1]Parametros!$B$8</f>
        <v>0</v>
      </c>
      <c r="BJ56" s="15" t="str">
        <f t="shared" si="12"/>
        <v>CUMPLE</v>
      </c>
    </row>
    <row r="57" spans="1:62" x14ac:dyDescent="0.3">
      <c r="A57" s="11" t="s">
        <v>65</v>
      </c>
      <c r="B57" s="12">
        <v>1372</v>
      </c>
      <c r="C57" s="13">
        <v>1</v>
      </c>
      <c r="D57" s="13">
        <v>3.15</v>
      </c>
      <c r="E57" s="13">
        <v>3.15</v>
      </c>
      <c r="F57" s="13">
        <v>450</v>
      </c>
      <c r="G57" s="13">
        <v>550</v>
      </c>
      <c r="H57" s="13">
        <v>450</v>
      </c>
      <c r="I57" s="13">
        <v>550</v>
      </c>
      <c r="J57" s="14">
        <v>82.087999999999994</v>
      </c>
      <c r="K57" s="13">
        <v>1372</v>
      </c>
      <c r="L57" s="14">
        <v>70.331699999999998</v>
      </c>
      <c r="M57" s="13">
        <v>1372</v>
      </c>
      <c r="N57" s="14">
        <v>53.767000000000003</v>
      </c>
      <c r="O57" s="14">
        <v>187.31700000000001</v>
      </c>
      <c r="P57" s="13">
        <v>1372</v>
      </c>
      <c r="Q57" s="14">
        <v>2.3999000000000001</v>
      </c>
      <c r="R57" s="13">
        <f>MAX(MAX(1.4/[1]Parametros!$B$3,0.25*SQRT([1]Parametros!$B$2)/[1]Parametros!$B$3)*H57*U57,(0.85*[1]Parametros!$B$2/[1]Parametros!$B$3)*(1-SQRT(1-2*(J57*1000000/([1]Parametros!$B$5*H57*U57^2))/(0.85*[1]Parametros!$B$2)))*H57*U57)</f>
        <v>734.02500000000009</v>
      </c>
      <c r="S57" s="14">
        <v>4</v>
      </c>
      <c r="T57" s="14">
        <v>1</v>
      </c>
      <c r="U57" s="13">
        <f>IF(T57=1,I57-([1]Parametros!$B$7+[1]Parametros!$B$9+[1]Parametros!$B$12/2),I57-(ROUNDUP(S57/2,0)*([1]Parametros!$B$7+[1]Parametros!$B$9+[1]Parametros!$B$12/2)+ROUNDDOWN(S57/2,0)*([1]Parametros!$B$7+[1]Parametros!$B$9+[1]Parametros!$B$12/2+[1]Parametros!$B$12+[1]Parametros!$B$10))/S57)</f>
        <v>489.35</v>
      </c>
      <c r="V57" s="13">
        <f>S57*[1]Parametros!$B$8</f>
        <v>796</v>
      </c>
      <c r="W57" s="13">
        <f>[1]Parametros!$B$5*V57*[1]Parametros!$B$3*(U57-(V57*[1]Parametros!$B$3/(0.85*[1]Parametros!$B$2*H57))/2)/1000000</f>
        <v>142.54333009411764</v>
      </c>
      <c r="X57" s="13" t="str">
        <f t="shared" si="0"/>
        <v>CUMPLE</v>
      </c>
      <c r="Y57" s="13">
        <f>MAX(MAX(1.4/[1]Parametros!$B$3,0.25*SQRT([1]Parametros!$B$2)/[1]Parametros!$B$3)*H57*AB57,(0.85*[1]Parametros!$B$2/[1]Parametros!$B$3)*(1-SQRT(1-2*(L57*1000000/([1]Parametros!$B$5*H57*AB57^2))/(0.85*[1]Parametros!$B$2)))*H57*AB57)</f>
        <v>734.02500000000009</v>
      </c>
      <c r="Z57" s="14">
        <v>4</v>
      </c>
      <c r="AA57" s="14">
        <v>1</v>
      </c>
      <c r="AB57" s="13">
        <f>IF(AA57=1,I57-([1]Parametros!$B$7+[1]Parametros!$B$9+[1]Parametros!$B$12/2),I57-(ROUNDUP(Z57/2,0)*([1]Parametros!$B$7+[1]Parametros!$B$9+[1]Parametros!$B$12/2)+ROUNDDOWN(Z57/2,0)*([1]Parametros!$B$7+[1]Parametros!$B$9+[1]Parametros!$B$12/2+[1]Parametros!$B$12+[1]Parametros!$B$10))/Z57)</f>
        <v>489.35</v>
      </c>
      <c r="AC57" s="13">
        <f>Z57*[1]Parametros!$B$8</f>
        <v>796</v>
      </c>
      <c r="AD57" s="13">
        <f>[1]Parametros!$B$5*AC57*[1]Parametros!$B$3*(AB57-(AC57*[1]Parametros!$B$3/(0.85*[1]Parametros!$B$2*H57))/2)/1000000</f>
        <v>142.54333009411764</v>
      </c>
      <c r="AE57" s="13" t="str">
        <f t="shared" si="1"/>
        <v>CUMPLE</v>
      </c>
      <c r="AF57" s="13">
        <f>V57*1.25*[1]Parametros!$B$3*(U57-(V57*1.25*[1]Parametros!$B$3/(0.85*[1]Parametros!$B$2*H57))/2)/1000000</f>
        <v>196.34621794117646</v>
      </c>
      <c r="AG57" s="13">
        <f>AC57*1.25*[1]Parametros!$B$3*(AB57-(AC57*1.25*[1]Parametros!$B$3/(0.85*[1]Parametros!$B$2*H57))/2)/1000000</f>
        <v>196.34621794117646</v>
      </c>
      <c r="AH57" s="13">
        <f t="shared" si="2"/>
        <v>178.43126535947712</v>
      </c>
      <c r="AI57" s="13">
        <f t="shared" si="3"/>
        <v>187.31700000000001</v>
      </c>
      <c r="AJ57" s="13">
        <f>0.17*SQRT([1]Parametros!$B$2)*H57*MIN(U57,AB57)/1000</f>
        <v>198.08885582262698</v>
      </c>
      <c r="AK57" s="13">
        <f>MAX(AI57/[1]Parametros!$B$6-AJ57,0)</f>
        <v>51.667144177373018</v>
      </c>
      <c r="AL57" s="13">
        <f>0.66*SQRT([1]Parametros!$B$2)*H57*MIN(U57,AB57)/1000</f>
        <v>769.05085201725785</v>
      </c>
      <c r="AM57" s="13" t="str">
        <f t="shared" si="4"/>
        <v>CUMPLE</v>
      </c>
      <c r="AN57" s="13" t="s">
        <v>64</v>
      </c>
      <c r="AO57" s="14">
        <v>2</v>
      </c>
      <c r="AP57" s="13">
        <f>ROUNDDOWN(MIN(IF(BC57+BD57=0,1000000000,AO57*BB57/(BC57+BD57)),MIN(U57,AB57)/4,8*[1]Parametros!$B$12,24*BA57,300,IF(AV57=0,1000000000,2*((H57-2*([1]Parametros!$B$7+[1]Parametros!$B$9/2))+(I57-2*([1]Parametros!$B$7+[1]Parametros!$B$9/2)))/8))/10,0)*10</f>
        <v>120</v>
      </c>
      <c r="AQ57" s="13">
        <f>ROUNDDOWN(MIN(IF(BC57+BD57=0,1000000000,AO57*BB57/(BC57+BD57)),IF(AK57&gt;0.33*SQRT([1]Parametros!$B$2)*H57*MIN(U57,AB57)/1000,MIN(U57,AB57)/4,MIN(U57,AB57)/2),600,IF(AV57=0,1000000000,2*((H57-2*([1]Parametros!$B$7+[1]Parametros!$B$9/2))+(I57-2*([1]Parametros!$B$7+[1]Parametros!$B$9/2)))/8))/10,0)*10</f>
        <v>240</v>
      </c>
      <c r="AR57" s="13">
        <f>[1]Parametros!$B$6*(AJ57+MAX(BE57-BD57,0)*[1]Parametros!$B$4*MIN(U57,AB57)/1000)</f>
        <v>330.97185436697026</v>
      </c>
      <c r="AS57" s="13" t="str">
        <f t="shared" si="5"/>
        <v>CUMPLE</v>
      </c>
      <c r="AT57" s="13">
        <f>[1]Parametros!$B$6*0.083*SQRT([1]Parametros!$B$2)*(H57*I57)^2/(2*(H57+I57))/1000000</f>
        <v>10.08878303333792</v>
      </c>
      <c r="AU57" s="13" t="str">
        <f t="shared" si="6"/>
        <v>DESPRECIABLE</v>
      </c>
      <c r="AV57" s="13">
        <f>IF(Q57&lt;=AT57,0,Q57*1000000/([1]Parametros!$B$6*2*0.85*(H57-2*([1]Parametros!$B$7+[1]Parametros!$B$9/2))*(I57-2*([1]Parametros!$B$7+[1]Parametros!$B$9/2))*[1]Parametros!$B$4))</f>
        <v>0</v>
      </c>
      <c r="AW57" s="13">
        <f>AV57*2*((H57-2*([1]Parametros!$B$7+[1]Parametros!$B$9/2))+(I57-2*([1]Parametros!$B$7+[1]Parametros!$B$9/2)))*[1]Parametros!$B$4/[1]Parametros!$B$3</f>
        <v>0</v>
      </c>
      <c r="AX57" s="14">
        <v>0</v>
      </c>
      <c r="AY57" s="13" t="str">
        <f t="shared" si="7"/>
        <v>DESPRECIABLE</v>
      </c>
      <c r="AZ57" s="13" t="str">
        <f t="shared" si="8"/>
        <v>CUMPLE</v>
      </c>
      <c r="BA57" s="14">
        <v>9.5</v>
      </c>
      <c r="BB57" s="14">
        <v>71</v>
      </c>
      <c r="BC57" s="13">
        <f>MAX(IF(AK57=0,0,AK57*1000/([1]Parametros!$B$4*MIN(U57,AB57))),MAX(0.062*SQRT([1]Parametros!$B$2)*H57/[1]Parametros!$B$4,0.35*H57/[1]Parametros!$B$4))</f>
        <v>0.375</v>
      </c>
      <c r="BD57" s="13">
        <f t="shared" si="9"/>
        <v>0</v>
      </c>
      <c r="BE57" s="13">
        <f t="shared" si="10"/>
        <v>1.1833333333333333</v>
      </c>
      <c r="BF57" s="13">
        <f>SQRT((AI57*1000/(H57*MIN(U57,AB57)))^2+(Q57*1000000*2*((H57-2*([1]Parametros!$B$7+[1]Parametros!$B$9/2))+(I57-2*([1]Parametros!$B$7+[1]Parametros!$B$9/2)))/(1.7*((H57-2*([1]Parametros!$B$7+[1]Parametros!$B$9/2))*(I57-2*([1]Parametros!$B$7+[1]Parametros!$B$9/2)))^2))^2)</f>
        <v>0.85498987133836057</v>
      </c>
      <c r="BG57" s="13">
        <f>[1]Parametros!$B$6*(AJ57*1000/(H57*MIN(U57,AB57))+0.66*SQRT([1]Parametros!$B$2))</f>
        <v>3.2939603822754151</v>
      </c>
      <c r="BH57" s="13" t="str">
        <f t="shared" si="11"/>
        <v>CUMPLE</v>
      </c>
      <c r="BI57" s="13">
        <f>AX57*[1]Parametros!$B$8</f>
        <v>0</v>
      </c>
      <c r="BJ57" s="15" t="str">
        <f t="shared" si="12"/>
        <v>CUMPLE</v>
      </c>
    </row>
    <row r="58" spans="1:62" x14ac:dyDescent="0.3">
      <c r="A58" s="11" t="s">
        <v>65</v>
      </c>
      <c r="B58" s="12">
        <v>1373</v>
      </c>
      <c r="C58" s="13">
        <v>1</v>
      </c>
      <c r="D58" s="13">
        <v>3.15</v>
      </c>
      <c r="E58" s="13">
        <v>3.15</v>
      </c>
      <c r="F58" s="13">
        <v>450</v>
      </c>
      <c r="G58" s="13">
        <v>550</v>
      </c>
      <c r="H58" s="13">
        <v>450</v>
      </c>
      <c r="I58" s="13">
        <v>550</v>
      </c>
      <c r="J58" s="14">
        <v>82.088300000000004</v>
      </c>
      <c r="K58" s="13">
        <v>1373</v>
      </c>
      <c r="L58" s="14">
        <v>70.331100000000006</v>
      </c>
      <c r="M58" s="13">
        <v>1373</v>
      </c>
      <c r="N58" s="14">
        <v>53.767000000000003</v>
      </c>
      <c r="O58" s="14">
        <v>187.33699999999999</v>
      </c>
      <c r="P58" s="13">
        <v>1373</v>
      </c>
      <c r="Q58" s="14">
        <v>2.3994</v>
      </c>
      <c r="R58" s="13">
        <f>MAX(MAX(1.4/[1]Parametros!$B$3,0.25*SQRT([1]Parametros!$B$2)/[1]Parametros!$B$3)*H58*U58,(0.85*[1]Parametros!$B$2/[1]Parametros!$B$3)*(1-SQRT(1-2*(J58*1000000/([1]Parametros!$B$5*H58*U58^2))/(0.85*[1]Parametros!$B$2)))*H58*U58)</f>
        <v>734.02500000000009</v>
      </c>
      <c r="S58" s="14">
        <v>4</v>
      </c>
      <c r="T58" s="14">
        <v>1</v>
      </c>
      <c r="U58" s="13">
        <f>IF(T58=1,I58-([1]Parametros!$B$7+[1]Parametros!$B$9+[1]Parametros!$B$12/2),I58-(ROUNDUP(S58/2,0)*([1]Parametros!$B$7+[1]Parametros!$B$9+[1]Parametros!$B$12/2)+ROUNDDOWN(S58/2,0)*([1]Parametros!$B$7+[1]Parametros!$B$9+[1]Parametros!$B$12/2+[1]Parametros!$B$12+[1]Parametros!$B$10))/S58)</f>
        <v>489.35</v>
      </c>
      <c r="V58" s="13">
        <f>S58*[1]Parametros!$B$8</f>
        <v>796</v>
      </c>
      <c r="W58" s="13">
        <f>[1]Parametros!$B$5*V58*[1]Parametros!$B$3*(U58-(V58*[1]Parametros!$B$3/(0.85*[1]Parametros!$B$2*H58))/2)/1000000</f>
        <v>142.54333009411764</v>
      </c>
      <c r="X58" s="13" t="str">
        <f t="shared" si="0"/>
        <v>CUMPLE</v>
      </c>
      <c r="Y58" s="13">
        <f>MAX(MAX(1.4/[1]Parametros!$B$3,0.25*SQRT([1]Parametros!$B$2)/[1]Parametros!$B$3)*H58*AB58,(0.85*[1]Parametros!$B$2/[1]Parametros!$B$3)*(1-SQRT(1-2*(L58*1000000/([1]Parametros!$B$5*H58*AB58^2))/(0.85*[1]Parametros!$B$2)))*H58*AB58)</f>
        <v>734.02500000000009</v>
      </c>
      <c r="Z58" s="14">
        <v>4</v>
      </c>
      <c r="AA58" s="14">
        <v>1</v>
      </c>
      <c r="AB58" s="13">
        <f>IF(AA58=1,I58-([1]Parametros!$B$7+[1]Parametros!$B$9+[1]Parametros!$B$12/2),I58-(ROUNDUP(Z58/2,0)*([1]Parametros!$B$7+[1]Parametros!$B$9+[1]Parametros!$B$12/2)+ROUNDDOWN(Z58/2,0)*([1]Parametros!$B$7+[1]Parametros!$B$9+[1]Parametros!$B$12/2+[1]Parametros!$B$12+[1]Parametros!$B$10))/Z58)</f>
        <v>489.35</v>
      </c>
      <c r="AC58" s="13">
        <f>Z58*[1]Parametros!$B$8</f>
        <v>796</v>
      </c>
      <c r="AD58" s="13">
        <f>[1]Parametros!$B$5*AC58*[1]Parametros!$B$3*(AB58-(AC58*[1]Parametros!$B$3/(0.85*[1]Parametros!$B$2*H58))/2)/1000000</f>
        <v>142.54333009411764</v>
      </c>
      <c r="AE58" s="13" t="str">
        <f t="shared" si="1"/>
        <v>CUMPLE</v>
      </c>
      <c r="AF58" s="13">
        <f>V58*1.25*[1]Parametros!$B$3*(U58-(V58*1.25*[1]Parametros!$B$3/(0.85*[1]Parametros!$B$2*H58))/2)/1000000</f>
        <v>196.34621794117646</v>
      </c>
      <c r="AG58" s="13">
        <f>AC58*1.25*[1]Parametros!$B$3*(AB58-(AC58*1.25*[1]Parametros!$B$3/(0.85*[1]Parametros!$B$2*H58))/2)/1000000</f>
        <v>196.34621794117646</v>
      </c>
      <c r="AH58" s="13">
        <f t="shared" si="2"/>
        <v>178.43126535947712</v>
      </c>
      <c r="AI58" s="13">
        <f t="shared" si="3"/>
        <v>187.33699999999999</v>
      </c>
      <c r="AJ58" s="13">
        <f>0.17*SQRT([1]Parametros!$B$2)*H58*MIN(U58,AB58)/1000</f>
        <v>198.08885582262698</v>
      </c>
      <c r="AK58" s="13">
        <f>MAX(AI58/[1]Parametros!$B$6-AJ58,0)</f>
        <v>51.69381084403966</v>
      </c>
      <c r="AL58" s="13">
        <f>0.66*SQRT([1]Parametros!$B$2)*H58*MIN(U58,AB58)/1000</f>
        <v>769.05085201725785</v>
      </c>
      <c r="AM58" s="13" t="str">
        <f t="shared" si="4"/>
        <v>CUMPLE</v>
      </c>
      <c r="AN58" s="13" t="s">
        <v>64</v>
      </c>
      <c r="AO58" s="14">
        <v>2</v>
      </c>
      <c r="AP58" s="13">
        <f>ROUNDDOWN(MIN(IF(BC58+BD58=0,1000000000,AO58*BB58/(BC58+BD58)),MIN(U58,AB58)/4,8*[1]Parametros!$B$12,24*BA58,300,IF(AV58=0,1000000000,2*((H58-2*([1]Parametros!$B$7+[1]Parametros!$B$9/2))+(I58-2*([1]Parametros!$B$7+[1]Parametros!$B$9/2)))/8))/10,0)*10</f>
        <v>120</v>
      </c>
      <c r="AQ58" s="13">
        <f>ROUNDDOWN(MIN(IF(BC58+BD58=0,1000000000,AO58*BB58/(BC58+BD58)),IF(AK58&gt;0.33*SQRT([1]Parametros!$B$2)*H58*MIN(U58,AB58)/1000,MIN(U58,AB58)/4,MIN(U58,AB58)/2),600,IF(AV58=0,1000000000,2*((H58-2*([1]Parametros!$B$7+[1]Parametros!$B$9/2))+(I58-2*([1]Parametros!$B$7+[1]Parametros!$B$9/2)))/8))/10,0)*10</f>
        <v>240</v>
      </c>
      <c r="AR58" s="13">
        <f>[1]Parametros!$B$6*(AJ58+MAX(BE58-BD58,0)*[1]Parametros!$B$4*MIN(U58,AB58)/1000)</f>
        <v>330.97185436697026</v>
      </c>
      <c r="AS58" s="13" t="str">
        <f t="shared" si="5"/>
        <v>CUMPLE</v>
      </c>
      <c r="AT58" s="13">
        <f>[1]Parametros!$B$6*0.083*SQRT([1]Parametros!$B$2)*(H58*I58)^2/(2*(H58+I58))/1000000</f>
        <v>10.08878303333792</v>
      </c>
      <c r="AU58" s="13" t="str">
        <f t="shared" si="6"/>
        <v>DESPRECIABLE</v>
      </c>
      <c r="AV58" s="13">
        <f>IF(Q58&lt;=AT58,0,Q58*1000000/([1]Parametros!$B$6*2*0.85*(H58-2*([1]Parametros!$B$7+[1]Parametros!$B$9/2))*(I58-2*([1]Parametros!$B$7+[1]Parametros!$B$9/2))*[1]Parametros!$B$4))</f>
        <v>0</v>
      </c>
      <c r="AW58" s="13">
        <f>AV58*2*((H58-2*([1]Parametros!$B$7+[1]Parametros!$B$9/2))+(I58-2*([1]Parametros!$B$7+[1]Parametros!$B$9/2)))*[1]Parametros!$B$4/[1]Parametros!$B$3</f>
        <v>0</v>
      </c>
      <c r="AX58" s="14">
        <v>0</v>
      </c>
      <c r="AY58" s="13" t="str">
        <f t="shared" si="7"/>
        <v>DESPRECIABLE</v>
      </c>
      <c r="AZ58" s="13" t="str">
        <f t="shared" si="8"/>
        <v>CUMPLE</v>
      </c>
      <c r="BA58" s="14">
        <v>9.5</v>
      </c>
      <c r="BB58" s="14">
        <v>71</v>
      </c>
      <c r="BC58" s="13">
        <f>MAX(IF(AK58=0,0,AK58*1000/([1]Parametros!$B$4*MIN(U58,AB58))),MAX(0.062*SQRT([1]Parametros!$B$2)*H58/[1]Parametros!$B$4,0.35*H58/[1]Parametros!$B$4))</f>
        <v>0.375</v>
      </c>
      <c r="BD58" s="13">
        <f t="shared" si="9"/>
        <v>0</v>
      </c>
      <c r="BE58" s="13">
        <f t="shared" si="10"/>
        <v>1.1833333333333333</v>
      </c>
      <c r="BF58" s="13">
        <f>SQRT((AI58*1000/(H58*MIN(U58,AB58)))^2+(Q58*1000000*2*((H58-2*([1]Parametros!$B$7+[1]Parametros!$B$9/2))+(I58-2*([1]Parametros!$B$7+[1]Parametros!$B$9/2)))/(1.7*((H58-2*([1]Parametros!$B$7+[1]Parametros!$B$9/2))*(I58-2*([1]Parametros!$B$7+[1]Parametros!$B$9/2)))^2))^2)</f>
        <v>0.85507842447775462</v>
      </c>
      <c r="BG58" s="13">
        <f>[1]Parametros!$B$6*(AJ58*1000/(H58*MIN(U58,AB58))+0.66*SQRT([1]Parametros!$B$2))</f>
        <v>3.2939603822754151</v>
      </c>
      <c r="BH58" s="13" t="str">
        <f t="shared" si="11"/>
        <v>CUMPLE</v>
      </c>
      <c r="BI58" s="13">
        <f>AX58*[1]Parametros!$B$8</f>
        <v>0</v>
      </c>
      <c r="BJ58" s="15" t="str">
        <f t="shared" si="12"/>
        <v>CUMPLE</v>
      </c>
    </row>
    <row r="59" spans="1:62" x14ac:dyDescent="0.3">
      <c r="A59" s="11" t="s">
        <v>65</v>
      </c>
      <c r="B59" s="12">
        <v>1374</v>
      </c>
      <c r="C59" s="13">
        <v>1</v>
      </c>
      <c r="D59" s="13">
        <v>3.15</v>
      </c>
      <c r="E59" s="13">
        <v>3.15</v>
      </c>
      <c r="F59" s="13">
        <v>450</v>
      </c>
      <c r="G59" s="13">
        <v>550</v>
      </c>
      <c r="H59" s="13">
        <v>450</v>
      </c>
      <c r="I59" s="13">
        <v>550</v>
      </c>
      <c r="J59" s="14">
        <v>82.058899999999994</v>
      </c>
      <c r="K59" s="13">
        <v>1374</v>
      </c>
      <c r="L59" s="14">
        <v>70.300899999999999</v>
      </c>
      <c r="M59" s="13">
        <v>1374</v>
      </c>
      <c r="N59" s="14">
        <v>53.750999999999998</v>
      </c>
      <c r="O59" s="14">
        <v>187.321</v>
      </c>
      <c r="P59" s="13">
        <v>1374</v>
      </c>
      <c r="Q59" s="14">
        <v>2.3986000000000001</v>
      </c>
      <c r="R59" s="13">
        <f>MAX(MAX(1.4/[1]Parametros!$B$3,0.25*SQRT([1]Parametros!$B$2)/[1]Parametros!$B$3)*H59*U59,(0.85*[1]Parametros!$B$2/[1]Parametros!$B$3)*(1-SQRT(1-2*(J59*1000000/([1]Parametros!$B$5*H59*U59^2))/(0.85*[1]Parametros!$B$2)))*H59*U59)</f>
        <v>734.02500000000009</v>
      </c>
      <c r="S59" s="14">
        <v>4</v>
      </c>
      <c r="T59" s="14">
        <v>1</v>
      </c>
      <c r="U59" s="13">
        <f>IF(T59=1,I59-([1]Parametros!$B$7+[1]Parametros!$B$9+[1]Parametros!$B$12/2),I59-(ROUNDUP(S59/2,0)*([1]Parametros!$B$7+[1]Parametros!$B$9+[1]Parametros!$B$12/2)+ROUNDDOWN(S59/2,0)*([1]Parametros!$B$7+[1]Parametros!$B$9+[1]Parametros!$B$12/2+[1]Parametros!$B$12+[1]Parametros!$B$10))/S59)</f>
        <v>489.35</v>
      </c>
      <c r="V59" s="13">
        <f>S59*[1]Parametros!$B$8</f>
        <v>796</v>
      </c>
      <c r="W59" s="13">
        <f>[1]Parametros!$B$5*V59*[1]Parametros!$B$3*(U59-(V59*[1]Parametros!$B$3/(0.85*[1]Parametros!$B$2*H59))/2)/1000000</f>
        <v>142.54333009411764</v>
      </c>
      <c r="X59" s="13" t="str">
        <f t="shared" si="0"/>
        <v>CUMPLE</v>
      </c>
      <c r="Y59" s="13">
        <f>MAX(MAX(1.4/[1]Parametros!$B$3,0.25*SQRT([1]Parametros!$B$2)/[1]Parametros!$B$3)*H59*AB59,(0.85*[1]Parametros!$B$2/[1]Parametros!$B$3)*(1-SQRT(1-2*(L59*1000000/([1]Parametros!$B$5*H59*AB59^2))/(0.85*[1]Parametros!$B$2)))*H59*AB59)</f>
        <v>734.02500000000009</v>
      </c>
      <c r="Z59" s="14">
        <v>4</v>
      </c>
      <c r="AA59" s="14">
        <v>1</v>
      </c>
      <c r="AB59" s="13">
        <f>IF(AA59=1,I59-([1]Parametros!$B$7+[1]Parametros!$B$9+[1]Parametros!$B$12/2),I59-(ROUNDUP(Z59/2,0)*([1]Parametros!$B$7+[1]Parametros!$B$9+[1]Parametros!$B$12/2)+ROUNDDOWN(Z59/2,0)*([1]Parametros!$B$7+[1]Parametros!$B$9+[1]Parametros!$B$12/2+[1]Parametros!$B$12+[1]Parametros!$B$10))/Z59)</f>
        <v>489.35</v>
      </c>
      <c r="AC59" s="13">
        <f>Z59*[1]Parametros!$B$8</f>
        <v>796</v>
      </c>
      <c r="AD59" s="13">
        <f>[1]Parametros!$B$5*AC59*[1]Parametros!$B$3*(AB59-(AC59*[1]Parametros!$B$3/(0.85*[1]Parametros!$B$2*H59))/2)/1000000</f>
        <v>142.54333009411764</v>
      </c>
      <c r="AE59" s="13" t="str">
        <f t="shared" si="1"/>
        <v>CUMPLE</v>
      </c>
      <c r="AF59" s="13">
        <f>V59*1.25*[1]Parametros!$B$3*(U59-(V59*1.25*[1]Parametros!$B$3/(0.85*[1]Parametros!$B$2*H59))/2)/1000000</f>
        <v>196.34621794117646</v>
      </c>
      <c r="AG59" s="13">
        <f>AC59*1.25*[1]Parametros!$B$3*(AB59-(AC59*1.25*[1]Parametros!$B$3/(0.85*[1]Parametros!$B$2*H59))/2)/1000000</f>
        <v>196.34621794117646</v>
      </c>
      <c r="AH59" s="13">
        <f t="shared" si="2"/>
        <v>178.41526535947713</v>
      </c>
      <c r="AI59" s="13">
        <f t="shared" si="3"/>
        <v>187.321</v>
      </c>
      <c r="AJ59" s="13">
        <f>0.17*SQRT([1]Parametros!$B$2)*H59*MIN(U59,AB59)/1000</f>
        <v>198.08885582262698</v>
      </c>
      <c r="AK59" s="13">
        <f>MAX(AI59/[1]Parametros!$B$6-AJ59,0)</f>
        <v>51.672477510706358</v>
      </c>
      <c r="AL59" s="13">
        <f>0.66*SQRT([1]Parametros!$B$2)*H59*MIN(U59,AB59)/1000</f>
        <v>769.05085201725785</v>
      </c>
      <c r="AM59" s="13" t="str">
        <f t="shared" si="4"/>
        <v>CUMPLE</v>
      </c>
      <c r="AN59" s="13" t="s">
        <v>64</v>
      </c>
      <c r="AO59" s="14">
        <v>2</v>
      </c>
      <c r="AP59" s="13">
        <f>ROUNDDOWN(MIN(IF(BC59+BD59=0,1000000000,AO59*BB59/(BC59+BD59)),MIN(U59,AB59)/4,8*[1]Parametros!$B$12,24*BA59,300,IF(AV59=0,1000000000,2*((H59-2*([1]Parametros!$B$7+[1]Parametros!$B$9/2))+(I59-2*([1]Parametros!$B$7+[1]Parametros!$B$9/2)))/8))/10,0)*10</f>
        <v>120</v>
      </c>
      <c r="AQ59" s="13">
        <f>ROUNDDOWN(MIN(IF(BC59+BD59=0,1000000000,AO59*BB59/(BC59+BD59)),IF(AK59&gt;0.33*SQRT([1]Parametros!$B$2)*H59*MIN(U59,AB59)/1000,MIN(U59,AB59)/4,MIN(U59,AB59)/2),600,IF(AV59=0,1000000000,2*((H59-2*([1]Parametros!$B$7+[1]Parametros!$B$9/2))+(I59-2*([1]Parametros!$B$7+[1]Parametros!$B$9/2)))/8))/10,0)*10</f>
        <v>240</v>
      </c>
      <c r="AR59" s="13">
        <f>[1]Parametros!$B$6*(AJ59+MAX(BE59-BD59,0)*[1]Parametros!$B$4*MIN(U59,AB59)/1000)</f>
        <v>330.97185436697026</v>
      </c>
      <c r="AS59" s="13" t="str">
        <f t="shared" si="5"/>
        <v>CUMPLE</v>
      </c>
      <c r="AT59" s="13">
        <f>[1]Parametros!$B$6*0.083*SQRT([1]Parametros!$B$2)*(H59*I59)^2/(2*(H59+I59))/1000000</f>
        <v>10.08878303333792</v>
      </c>
      <c r="AU59" s="13" t="str">
        <f t="shared" si="6"/>
        <v>DESPRECIABLE</v>
      </c>
      <c r="AV59" s="13">
        <f>IF(Q59&lt;=AT59,0,Q59*1000000/([1]Parametros!$B$6*2*0.85*(H59-2*([1]Parametros!$B$7+[1]Parametros!$B$9/2))*(I59-2*([1]Parametros!$B$7+[1]Parametros!$B$9/2))*[1]Parametros!$B$4))</f>
        <v>0</v>
      </c>
      <c r="AW59" s="13">
        <f>AV59*2*((H59-2*([1]Parametros!$B$7+[1]Parametros!$B$9/2))+(I59-2*([1]Parametros!$B$7+[1]Parametros!$B$9/2)))*[1]Parametros!$B$4/[1]Parametros!$B$3</f>
        <v>0</v>
      </c>
      <c r="AX59" s="14">
        <v>0</v>
      </c>
      <c r="AY59" s="13" t="str">
        <f t="shared" si="7"/>
        <v>DESPRECIABLE</v>
      </c>
      <c r="AZ59" s="13" t="str">
        <f t="shared" si="8"/>
        <v>CUMPLE</v>
      </c>
      <c r="BA59" s="14">
        <v>9.5</v>
      </c>
      <c r="BB59" s="14">
        <v>71</v>
      </c>
      <c r="BC59" s="13">
        <f>MAX(IF(AK59=0,0,AK59*1000/([1]Parametros!$B$4*MIN(U59,AB59))),MAX(0.062*SQRT([1]Parametros!$B$2)*H59/[1]Parametros!$B$4,0.35*H59/[1]Parametros!$B$4))</f>
        <v>0.375</v>
      </c>
      <c r="BD59" s="13">
        <f t="shared" si="9"/>
        <v>0</v>
      </c>
      <c r="BE59" s="13">
        <f t="shared" si="10"/>
        <v>1.1833333333333333</v>
      </c>
      <c r="BF59" s="13">
        <f>SQRT((AI59*1000/(H59*MIN(U59,AB59)))^2+(Q59*1000000*2*((H59-2*([1]Parametros!$B$7+[1]Parametros!$B$9/2))+(I59-2*([1]Parametros!$B$7+[1]Parametros!$B$9/2)))/(1.7*((H59-2*([1]Parametros!$B$7+[1]Parametros!$B$9/2))*(I59-2*([1]Parametros!$B$7+[1]Parametros!$B$9/2)))^2))^2)</f>
        <v>0.85500324286527829</v>
      </c>
      <c r="BG59" s="13">
        <f>[1]Parametros!$B$6*(AJ59*1000/(H59*MIN(U59,AB59))+0.66*SQRT([1]Parametros!$B$2))</f>
        <v>3.2939603822754151</v>
      </c>
      <c r="BH59" s="13" t="str">
        <f t="shared" si="11"/>
        <v>CUMPLE</v>
      </c>
      <c r="BI59" s="13">
        <f>AX59*[1]Parametros!$B$8</f>
        <v>0</v>
      </c>
      <c r="BJ59" s="15" t="str">
        <f t="shared" si="12"/>
        <v>CUMPLE</v>
      </c>
    </row>
    <row r="60" spans="1:62" x14ac:dyDescent="0.3">
      <c r="A60" s="11" t="s">
        <v>65</v>
      </c>
      <c r="B60" s="12">
        <v>1375</v>
      </c>
      <c r="C60" s="13">
        <v>1</v>
      </c>
      <c r="D60" s="13">
        <v>3.15</v>
      </c>
      <c r="E60" s="13">
        <v>3.15</v>
      </c>
      <c r="F60" s="13">
        <v>450</v>
      </c>
      <c r="G60" s="13">
        <v>550</v>
      </c>
      <c r="H60" s="13">
        <v>450</v>
      </c>
      <c r="I60" s="13">
        <v>550</v>
      </c>
      <c r="J60" s="14">
        <v>40.504800000000003</v>
      </c>
      <c r="K60" s="13">
        <v>1375</v>
      </c>
      <c r="L60" s="14">
        <v>31.6524</v>
      </c>
      <c r="M60" s="13">
        <v>1375</v>
      </c>
      <c r="N60" s="14">
        <v>32.363999999999997</v>
      </c>
      <c r="O60" s="14">
        <v>88.275999999999996</v>
      </c>
      <c r="P60" s="13">
        <v>1375</v>
      </c>
      <c r="Q60" s="14">
        <v>2.6684000000000001</v>
      </c>
      <c r="R60" s="13">
        <f>MAX(MAX(1.4/[1]Parametros!$B$3,0.25*SQRT([1]Parametros!$B$2)/[1]Parametros!$B$3)*H60*U60,(0.85*[1]Parametros!$B$2/[1]Parametros!$B$3)*(1-SQRT(1-2*(J60*1000000/([1]Parametros!$B$5*H60*U60^2))/(0.85*[1]Parametros!$B$2)))*H60*U60)</f>
        <v>734.02500000000009</v>
      </c>
      <c r="S60" s="14">
        <v>4</v>
      </c>
      <c r="T60" s="14">
        <v>1</v>
      </c>
      <c r="U60" s="13">
        <f>IF(T60=1,I60-([1]Parametros!$B$7+[1]Parametros!$B$9+[1]Parametros!$B$12/2),I60-(ROUNDUP(S60/2,0)*([1]Parametros!$B$7+[1]Parametros!$B$9+[1]Parametros!$B$12/2)+ROUNDDOWN(S60/2,0)*([1]Parametros!$B$7+[1]Parametros!$B$9+[1]Parametros!$B$12/2+[1]Parametros!$B$12+[1]Parametros!$B$10))/S60)</f>
        <v>489.35</v>
      </c>
      <c r="V60" s="13">
        <f>S60*[1]Parametros!$B$8</f>
        <v>796</v>
      </c>
      <c r="W60" s="13">
        <f>[1]Parametros!$B$5*V60*[1]Parametros!$B$3*(U60-(V60*[1]Parametros!$B$3/(0.85*[1]Parametros!$B$2*H60))/2)/1000000</f>
        <v>142.54333009411764</v>
      </c>
      <c r="X60" s="13" t="str">
        <f t="shared" si="0"/>
        <v>CUMPLE</v>
      </c>
      <c r="Y60" s="13">
        <f>MAX(MAX(1.4/[1]Parametros!$B$3,0.25*SQRT([1]Parametros!$B$2)/[1]Parametros!$B$3)*H60*AB60,(0.85*[1]Parametros!$B$2/[1]Parametros!$B$3)*(1-SQRT(1-2*(L60*1000000/([1]Parametros!$B$5*H60*AB60^2))/(0.85*[1]Parametros!$B$2)))*H60*AB60)</f>
        <v>734.02500000000009</v>
      </c>
      <c r="Z60" s="14">
        <v>4</v>
      </c>
      <c r="AA60" s="14">
        <v>1</v>
      </c>
      <c r="AB60" s="13">
        <f>IF(AA60=1,I60-([1]Parametros!$B$7+[1]Parametros!$B$9+[1]Parametros!$B$12/2),I60-(ROUNDUP(Z60/2,0)*([1]Parametros!$B$7+[1]Parametros!$B$9+[1]Parametros!$B$12/2)+ROUNDDOWN(Z60/2,0)*([1]Parametros!$B$7+[1]Parametros!$B$9+[1]Parametros!$B$12/2+[1]Parametros!$B$12+[1]Parametros!$B$10))/Z60)</f>
        <v>489.35</v>
      </c>
      <c r="AC60" s="13">
        <f>Z60*[1]Parametros!$B$8</f>
        <v>796</v>
      </c>
      <c r="AD60" s="13">
        <f>[1]Parametros!$B$5*AC60*[1]Parametros!$B$3*(AB60-(AC60*[1]Parametros!$B$3/(0.85*[1]Parametros!$B$2*H60))/2)/1000000</f>
        <v>142.54333009411764</v>
      </c>
      <c r="AE60" s="13" t="str">
        <f t="shared" si="1"/>
        <v>CUMPLE</v>
      </c>
      <c r="AF60" s="13">
        <f>V60*1.25*[1]Parametros!$B$3*(U60-(V60*1.25*[1]Parametros!$B$3/(0.85*[1]Parametros!$B$2*H60))/2)/1000000</f>
        <v>196.34621794117646</v>
      </c>
      <c r="AG60" s="13">
        <f>AC60*1.25*[1]Parametros!$B$3*(AB60-(AC60*1.25*[1]Parametros!$B$3/(0.85*[1]Parametros!$B$2*H60))/2)/1000000</f>
        <v>196.34621794117646</v>
      </c>
      <c r="AH60" s="13">
        <f t="shared" si="2"/>
        <v>157.02826535947713</v>
      </c>
      <c r="AI60" s="13">
        <f t="shared" si="3"/>
        <v>157.02826535947713</v>
      </c>
      <c r="AJ60" s="13">
        <f>0.17*SQRT([1]Parametros!$B$2)*H60*MIN(U60,AB60)/1000</f>
        <v>198.08885582262698</v>
      </c>
      <c r="AK60" s="13">
        <f>MAX(AI60/[1]Parametros!$B$6-AJ60,0)</f>
        <v>11.28216465667586</v>
      </c>
      <c r="AL60" s="13">
        <f>0.66*SQRT([1]Parametros!$B$2)*H60*MIN(U60,AB60)/1000</f>
        <v>769.05085201725785</v>
      </c>
      <c r="AM60" s="13" t="str">
        <f t="shared" si="4"/>
        <v>CUMPLE</v>
      </c>
      <c r="AN60" s="13" t="s">
        <v>64</v>
      </c>
      <c r="AO60" s="14">
        <v>2</v>
      </c>
      <c r="AP60" s="13">
        <f>ROUNDDOWN(MIN(IF(BC60+BD60=0,1000000000,AO60*BB60/(BC60+BD60)),MIN(U60,AB60)/4,8*[1]Parametros!$B$12,24*BA60,300,IF(AV60=0,1000000000,2*((H60-2*([1]Parametros!$B$7+[1]Parametros!$B$9/2))+(I60-2*([1]Parametros!$B$7+[1]Parametros!$B$9/2)))/8))/10,0)*10</f>
        <v>120</v>
      </c>
      <c r="AQ60" s="13">
        <f>ROUNDDOWN(MIN(IF(BC60+BD60=0,1000000000,AO60*BB60/(BC60+BD60)),IF(AK60&gt;0.33*SQRT([1]Parametros!$B$2)*H60*MIN(U60,AB60)/1000,MIN(U60,AB60)/4,MIN(U60,AB60)/2),600,IF(AV60=0,1000000000,2*((H60-2*([1]Parametros!$B$7+[1]Parametros!$B$9/2))+(I60-2*([1]Parametros!$B$7+[1]Parametros!$B$9/2)))/8))/10,0)*10</f>
        <v>240</v>
      </c>
      <c r="AR60" s="13">
        <f>[1]Parametros!$B$6*(AJ60+MAX(BE60-BD60,0)*[1]Parametros!$B$4*MIN(U60,AB60)/1000)</f>
        <v>330.97185436697026</v>
      </c>
      <c r="AS60" s="13" t="str">
        <f t="shared" si="5"/>
        <v>CUMPLE</v>
      </c>
      <c r="AT60" s="13">
        <f>[1]Parametros!$B$6*0.083*SQRT([1]Parametros!$B$2)*(H60*I60)^2/(2*(H60+I60))/1000000</f>
        <v>10.08878303333792</v>
      </c>
      <c r="AU60" s="13" t="str">
        <f t="shared" si="6"/>
        <v>DESPRECIABLE</v>
      </c>
      <c r="AV60" s="13">
        <f>IF(Q60&lt;=AT60,0,Q60*1000000/([1]Parametros!$B$6*2*0.85*(H60-2*([1]Parametros!$B$7+[1]Parametros!$B$9/2))*(I60-2*([1]Parametros!$B$7+[1]Parametros!$B$9/2))*[1]Parametros!$B$4))</f>
        <v>0</v>
      </c>
      <c r="AW60" s="13">
        <f>AV60*2*((H60-2*([1]Parametros!$B$7+[1]Parametros!$B$9/2))+(I60-2*([1]Parametros!$B$7+[1]Parametros!$B$9/2)))*[1]Parametros!$B$4/[1]Parametros!$B$3</f>
        <v>0</v>
      </c>
      <c r="AX60" s="14">
        <v>0</v>
      </c>
      <c r="AY60" s="13" t="str">
        <f t="shared" si="7"/>
        <v>DESPRECIABLE</v>
      </c>
      <c r="AZ60" s="13" t="str">
        <f t="shared" si="8"/>
        <v>CUMPLE</v>
      </c>
      <c r="BA60" s="14">
        <v>9.5</v>
      </c>
      <c r="BB60" s="14">
        <v>71</v>
      </c>
      <c r="BC60" s="13">
        <f>MAX(IF(AK60=0,0,AK60*1000/([1]Parametros!$B$4*MIN(U60,AB60))),MAX(0.062*SQRT([1]Parametros!$B$2)*H60/[1]Parametros!$B$4,0.35*H60/[1]Parametros!$B$4))</f>
        <v>0.375</v>
      </c>
      <c r="BD60" s="13">
        <f t="shared" si="9"/>
        <v>0</v>
      </c>
      <c r="BE60" s="13">
        <f t="shared" si="10"/>
        <v>1.1833333333333333</v>
      </c>
      <c r="BF60" s="13">
        <f>SQRT((AI60*1000/(H60*MIN(U60,AB60)))^2+(Q60*1000000*2*((H60-2*([1]Parametros!$B$7+[1]Parametros!$B$9/2))+(I60-2*([1]Parametros!$B$7+[1]Parametros!$B$9/2)))/(1.7*((H60-2*([1]Parametros!$B$7+[1]Parametros!$B$9/2))*(I60-2*([1]Parametros!$B$7+[1]Parametros!$B$9/2)))^2))^2)</f>
        <v>0.7194969005027706</v>
      </c>
      <c r="BG60" s="13">
        <f>[1]Parametros!$B$6*(AJ60*1000/(H60*MIN(U60,AB60))+0.66*SQRT([1]Parametros!$B$2))</f>
        <v>3.2939603822754151</v>
      </c>
      <c r="BH60" s="13" t="str">
        <f t="shared" si="11"/>
        <v>CUMPLE</v>
      </c>
      <c r="BI60" s="13">
        <f>AX60*[1]Parametros!$B$8</f>
        <v>0</v>
      </c>
      <c r="BJ60" s="15" t="str">
        <f t="shared" si="12"/>
        <v>CUMPLE</v>
      </c>
    </row>
    <row r="61" spans="1:62" x14ac:dyDescent="0.3">
      <c r="A61" s="11" t="s">
        <v>65</v>
      </c>
      <c r="B61" s="12">
        <v>1376</v>
      </c>
      <c r="C61" s="13">
        <v>1</v>
      </c>
      <c r="D61" s="13">
        <v>3.15</v>
      </c>
      <c r="E61" s="13">
        <v>3.15</v>
      </c>
      <c r="F61" s="13">
        <v>450</v>
      </c>
      <c r="G61" s="13">
        <v>550</v>
      </c>
      <c r="H61" s="13">
        <v>450</v>
      </c>
      <c r="I61" s="13">
        <v>550</v>
      </c>
      <c r="J61" s="14">
        <v>40.5304</v>
      </c>
      <c r="K61" s="13">
        <v>1376</v>
      </c>
      <c r="L61" s="14">
        <v>31.683499999999999</v>
      </c>
      <c r="M61" s="13">
        <v>1376</v>
      </c>
      <c r="N61" s="14">
        <v>32.378999999999998</v>
      </c>
      <c r="O61" s="14">
        <v>88.290999999999997</v>
      </c>
      <c r="P61" s="13">
        <v>1376</v>
      </c>
      <c r="Q61" s="14">
        <v>2.6696</v>
      </c>
      <c r="R61" s="13">
        <f>MAX(MAX(1.4/[1]Parametros!$B$3,0.25*SQRT([1]Parametros!$B$2)/[1]Parametros!$B$3)*H61*U61,(0.85*[1]Parametros!$B$2/[1]Parametros!$B$3)*(1-SQRT(1-2*(J61*1000000/([1]Parametros!$B$5*H61*U61^2))/(0.85*[1]Parametros!$B$2)))*H61*U61)</f>
        <v>734.02500000000009</v>
      </c>
      <c r="S61" s="14">
        <v>4</v>
      </c>
      <c r="T61" s="14">
        <v>1</v>
      </c>
      <c r="U61" s="13">
        <f>IF(T61=1,I61-([1]Parametros!$B$7+[1]Parametros!$B$9+[1]Parametros!$B$12/2),I61-(ROUNDUP(S61/2,0)*([1]Parametros!$B$7+[1]Parametros!$B$9+[1]Parametros!$B$12/2)+ROUNDDOWN(S61/2,0)*([1]Parametros!$B$7+[1]Parametros!$B$9+[1]Parametros!$B$12/2+[1]Parametros!$B$12+[1]Parametros!$B$10))/S61)</f>
        <v>489.35</v>
      </c>
      <c r="V61" s="13">
        <f>S61*[1]Parametros!$B$8</f>
        <v>796</v>
      </c>
      <c r="W61" s="13">
        <f>[1]Parametros!$B$5*V61*[1]Parametros!$B$3*(U61-(V61*[1]Parametros!$B$3/(0.85*[1]Parametros!$B$2*H61))/2)/1000000</f>
        <v>142.54333009411764</v>
      </c>
      <c r="X61" s="13" t="str">
        <f t="shared" si="0"/>
        <v>CUMPLE</v>
      </c>
      <c r="Y61" s="13">
        <f>MAX(MAX(1.4/[1]Parametros!$B$3,0.25*SQRT([1]Parametros!$B$2)/[1]Parametros!$B$3)*H61*AB61,(0.85*[1]Parametros!$B$2/[1]Parametros!$B$3)*(1-SQRT(1-2*(L61*1000000/([1]Parametros!$B$5*H61*AB61^2))/(0.85*[1]Parametros!$B$2)))*H61*AB61)</f>
        <v>734.02500000000009</v>
      </c>
      <c r="Z61" s="14">
        <v>4</v>
      </c>
      <c r="AA61" s="14">
        <v>1</v>
      </c>
      <c r="AB61" s="13">
        <f>IF(AA61=1,I61-([1]Parametros!$B$7+[1]Parametros!$B$9+[1]Parametros!$B$12/2),I61-(ROUNDUP(Z61/2,0)*([1]Parametros!$B$7+[1]Parametros!$B$9+[1]Parametros!$B$12/2)+ROUNDDOWN(Z61/2,0)*([1]Parametros!$B$7+[1]Parametros!$B$9+[1]Parametros!$B$12/2+[1]Parametros!$B$12+[1]Parametros!$B$10))/Z61)</f>
        <v>489.35</v>
      </c>
      <c r="AC61" s="13">
        <f>Z61*[1]Parametros!$B$8</f>
        <v>796</v>
      </c>
      <c r="AD61" s="13">
        <f>[1]Parametros!$B$5*AC61*[1]Parametros!$B$3*(AB61-(AC61*[1]Parametros!$B$3/(0.85*[1]Parametros!$B$2*H61))/2)/1000000</f>
        <v>142.54333009411764</v>
      </c>
      <c r="AE61" s="13" t="str">
        <f t="shared" si="1"/>
        <v>CUMPLE</v>
      </c>
      <c r="AF61" s="13">
        <f>V61*1.25*[1]Parametros!$B$3*(U61-(V61*1.25*[1]Parametros!$B$3/(0.85*[1]Parametros!$B$2*H61))/2)/1000000</f>
        <v>196.34621794117646</v>
      </c>
      <c r="AG61" s="13">
        <f>AC61*1.25*[1]Parametros!$B$3*(AB61-(AC61*1.25*[1]Parametros!$B$3/(0.85*[1]Parametros!$B$2*H61))/2)/1000000</f>
        <v>196.34621794117646</v>
      </c>
      <c r="AH61" s="13">
        <f t="shared" si="2"/>
        <v>157.04326535947712</v>
      </c>
      <c r="AI61" s="13">
        <f t="shared" si="3"/>
        <v>157.04326535947712</v>
      </c>
      <c r="AJ61" s="13">
        <f>0.17*SQRT([1]Parametros!$B$2)*H61*MIN(U61,AB61)/1000</f>
        <v>198.08885582262698</v>
      </c>
      <c r="AK61" s="13">
        <f>MAX(AI61/[1]Parametros!$B$6-AJ61,0)</f>
        <v>11.302164656675842</v>
      </c>
      <c r="AL61" s="13">
        <f>0.66*SQRT([1]Parametros!$B$2)*H61*MIN(U61,AB61)/1000</f>
        <v>769.05085201725785</v>
      </c>
      <c r="AM61" s="13" t="str">
        <f t="shared" si="4"/>
        <v>CUMPLE</v>
      </c>
      <c r="AN61" s="13" t="s">
        <v>64</v>
      </c>
      <c r="AO61" s="14">
        <v>2</v>
      </c>
      <c r="AP61" s="13">
        <f>ROUNDDOWN(MIN(IF(BC61+BD61=0,1000000000,AO61*BB61/(BC61+BD61)),MIN(U61,AB61)/4,8*[1]Parametros!$B$12,24*BA61,300,IF(AV61=0,1000000000,2*((H61-2*([1]Parametros!$B$7+[1]Parametros!$B$9/2))+(I61-2*([1]Parametros!$B$7+[1]Parametros!$B$9/2)))/8))/10,0)*10</f>
        <v>120</v>
      </c>
      <c r="AQ61" s="13">
        <f>ROUNDDOWN(MIN(IF(BC61+BD61=0,1000000000,AO61*BB61/(BC61+BD61)),IF(AK61&gt;0.33*SQRT([1]Parametros!$B$2)*H61*MIN(U61,AB61)/1000,MIN(U61,AB61)/4,MIN(U61,AB61)/2),600,IF(AV61=0,1000000000,2*((H61-2*([1]Parametros!$B$7+[1]Parametros!$B$9/2))+(I61-2*([1]Parametros!$B$7+[1]Parametros!$B$9/2)))/8))/10,0)*10</f>
        <v>240</v>
      </c>
      <c r="AR61" s="13">
        <f>[1]Parametros!$B$6*(AJ61+MAX(BE61-BD61,0)*[1]Parametros!$B$4*MIN(U61,AB61)/1000)</f>
        <v>330.97185436697026</v>
      </c>
      <c r="AS61" s="13" t="str">
        <f t="shared" si="5"/>
        <v>CUMPLE</v>
      </c>
      <c r="AT61" s="13">
        <f>[1]Parametros!$B$6*0.083*SQRT([1]Parametros!$B$2)*(H61*I61)^2/(2*(H61+I61))/1000000</f>
        <v>10.08878303333792</v>
      </c>
      <c r="AU61" s="13" t="str">
        <f t="shared" si="6"/>
        <v>DESPRECIABLE</v>
      </c>
      <c r="AV61" s="13">
        <f>IF(Q61&lt;=AT61,0,Q61*1000000/([1]Parametros!$B$6*2*0.85*(H61-2*([1]Parametros!$B$7+[1]Parametros!$B$9/2))*(I61-2*([1]Parametros!$B$7+[1]Parametros!$B$9/2))*[1]Parametros!$B$4))</f>
        <v>0</v>
      </c>
      <c r="AW61" s="13">
        <f>AV61*2*((H61-2*([1]Parametros!$B$7+[1]Parametros!$B$9/2))+(I61-2*([1]Parametros!$B$7+[1]Parametros!$B$9/2)))*[1]Parametros!$B$4/[1]Parametros!$B$3</f>
        <v>0</v>
      </c>
      <c r="AX61" s="14">
        <v>0</v>
      </c>
      <c r="AY61" s="13" t="str">
        <f t="shared" si="7"/>
        <v>DESPRECIABLE</v>
      </c>
      <c r="AZ61" s="13" t="str">
        <f t="shared" si="8"/>
        <v>CUMPLE</v>
      </c>
      <c r="BA61" s="14">
        <v>9.5</v>
      </c>
      <c r="BB61" s="14">
        <v>71</v>
      </c>
      <c r="BC61" s="13">
        <f>MAX(IF(AK61=0,0,AK61*1000/([1]Parametros!$B$4*MIN(U61,AB61))),MAX(0.062*SQRT([1]Parametros!$B$2)*H61/[1]Parametros!$B$4,0.35*H61/[1]Parametros!$B$4))</f>
        <v>0.375</v>
      </c>
      <c r="BD61" s="13">
        <f t="shared" si="9"/>
        <v>0</v>
      </c>
      <c r="BE61" s="13">
        <f t="shared" si="10"/>
        <v>1.1833333333333333</v>
      </c>
      <c r="BF61" s="13">
        <f>SQRT((AI61*1000/(H61*MIN(U61,AB61)))^2+(Q61*1000000*2*((H61-2*([1]Parametros!$B$7+[1]Parametros!$B$9/2))+(I61-2*([1]Parametros!$B$7+[1]Parametros!$B$9/2)))/(1.7*((H61-2*([1]Parametros!$B$7+[1]Parametros!$B$9/2))*(I61-2*([1]Parametros!$B$7+[1]Parametros!$B$9/2)))^2))^2)</f>
        <v>0.71957014729535507</v>
      </c>
      <c r="BG61" s="13">
        <f>[1]Parametros!$B$6*(AJ61*1000/(H61*MIN(U61,AB61))+0.66*SQRT([1]Parametros!$B$2))</f>
        <v>3.2939603822754151</v>
      </c>
      <c r="BH61" s="13" t="str">
        <f t="shared" si="11"/>
        <v>CUMPLE</v>
      </c>
      <c r="BI61" s="13">
        <f>AX61*[1]Parametros!$B$8</f>
        <v>0</v>
      </c>
      <c r="BJ61" s="15" t="str">
        <f t="shared" si="12"/>
        <v>CUMPLE</v>
      </c>
    </row>
    <row r="62" spans="1:62" x14ac:dyDescent="0.3">
      <c r="A62" s="11" t="s">
        <v>65</v>
      </c>
      <c r="B62" s="12">
        <v>1377</v>
      </c>
      <c r="C62" s="13">
        <v>1</v>
      </c>
      <c r="D62" s="13">
        <v>3.15</v>
      </c>
      <c r="E62" s="13">
        <v>3.15</v>
      </c>
      <c r="F62" s="13">
        <v>450</v>
      </c>
      <c r="G62" s="13">
        <v>550</v>
      </c>
      <c r="H62" s="13">
        <v>450</v>
      </c>
      <c r="I62" s="13">
        <v>550</v>
      </c>
      <c r="J62" s="14">
        <v>40.529400000000003</v>
      </c>
      <c r="K62" s="13">
        <v>1377</v>
      </c>
      <c r="L62" s="14">
        <v>31.680499999999999</v>
      </c>
      <c r="M62" s="13">
        <v>1377</v>
      </c>
      <c r="N62" s="14">
        <v>32.378</v>
      </c>
      <c r="O62" s="14">
        <v>88.301000000000002</v>
      </c>
      <c r="P62" s="13">
        <v>1377</v>
      </c>
      <c r="Q62" s="14">
        <v>2.6688000000000001</v>
      </c>
      <c r="R62" s="13">
        <f>MAX(MAX(1.4/[1]Parametros!$B$3,0.25*SQRT([1]Parametros!$B$2)/[1]Parametros!$B$3)*H62*U62,(0.85*[1]Parametros!$B$2/[1]Parametros!$B$3)*(1-SQRT(1-2*(J62*1000000/([1]Parametros!$B$5*H62*U62^2))/(0.85*[1]Parametros!$B$2)))*H62*U62)</f>
        <v>734.02500000000009</v>
      </c>
      <c r="S62" s="14">
        <v>4</v>
      </c>
      <c r="T62" s="14">
        <v>1</v>
      </c>
      <c r="U62" s="13">
        <f>IF(T62=1,I62-([1]Parametros!$B$7+[1]Parametros!$B$9+[1]Parametros!$B$12/2),I62-(ROUNDUP(S62/2,0)*([1]Parametros!$B$7+[1]Parametros!$B$9+[1]Parametros!$B$12/2)+ROUNDDOWN(S62/2,0)*([1]Parametros!$B$7+[1]Parametros!$B$9+[1]Parametros!$B$12/2+[1]Parametros!$B$12+[1]Parametros!$B$10))/S62)</f>
        <v>489.35</v>
      </c>
      <c r="V62" s="13">
        <f>S62*[1]Parametros!$B$8</f>
        <v>796</v>
      </c>
      <c r="W62" s="13">
        <f>[1]Parametros!$B$5*V62*[1]Parametros!$B$3*(U62-(V62*[1]Parametros!$B$3/(0.85*[1]Parametros!$B$2*H62))/2)/1000000</f>
        <v>142.54333009411764</v>
      </c>
      <c r="X62" s="13" t="str">
        <f t="shared" si="0"/>
        <v>CUMPLE</v>
      </c>
      <c r="Y62" s="13">
        <f>MAX(MAX(1.4/[1]Parametros!$B$3,0.25*SQRT([1]Parametros!$B$2)/[1]Parametros!$B$3)*H62*AB62,(0.85*[1]Parametros!$B$2/[1]Parametros!$B$3)*(1-SQRT(1-2*(L62*1000000/([1]Parametros!$B$5*H62*AB62^2))/(0.85*[1]Parametros!$B$2)))*H62*AB62)</f>
        <v>734.02500000000009</v>
      </c>
      <c r="Z62" s="14">
        <v>4</v>
      </c>
      <c r="AA62" s="14">
        <v>1</v>
      </c>
      <c r="AB62" s="13">
        <f>IF(AA62=1,I62-([1]Parametros!$B$7+[1]Parametros!$B$9+[1]Parametros!$B$12/2),I62-(ROUNDUP(Z62/2,0)*([1]Parametros!$B$7+[1]Parametros!$B$9+[1]Parametros!$B$12/2)+ROUNDDOWN(Z62/2,0)*([1]Parametros!$B$7+[1]Parametros!$B$9+[1]Parametros!$B$12/2+[1]Parametros!$B$12+[1]Parametros!$B$10))/Z62)</f>
        <v>489.35</v>
      </c>
      <c r="AC62" s="13">
        <f>Z62*[1]Parametros!$B$8</f>
        <v>796</v>
      </c>
      <c r="AD62" s="13">
        <f>[1]Parametros!$B$5*AC62*[1]Parametros!$B$3*(AB62-(AC62*[1]Parametros!$B$3/(0.85*[1]Parametros!$B$2*H62))/2)/1000000</f>
        <v>142.54333009411764</v>
      </c>
      <c r="AE62" s="13" t="str">
        <f t="shared" si="1"/>
        <v>CUMPLE</v>
      </c>
      <c r="AF62" s="13">
        <f>V62*1.25*[1]Parametros!$B$3*(U62-(V62*1.25*[1]Parametros!$B$3/(0.85*[1]Parametros!$B$2*H62))/2)/1000000</f>
        <v>196.34621794117646</v>
      </c>
      <c r="AG62" s="13">
        <f>AC62*1.25*[1]Parametros!$B$3*(AB62-(AC62*1.25*[1]Parametros!$B$3/(0.85*[1]Parametros!$B$2*H62))/2)/1000000</f>
        <v>196.34621794117646</v>
      </c>
      <c r="AH62" s="13">
        <f t="shared" si="2"/>
        <v>157.04226535947714</v>
      </c>
      <c r="AI62" s="13">
        <f t="shared" si="3"/>
        <v>157.04226535947714</v>
      </c>
      <c r="AJ62" s="13">
        <f>0.17*SQRT([1]Parametros!$B$2)*H62*MIN(U62,AB62)/1000</f>
        <v>198.08885582262698</v>
      </c>
      <c r="AK62" s="13">
        <f>MAX(AI62/[1]Parametros!$B$6-AJ62,0)</f>
        <v>11.30083132334255</v>
      </c>
      <c r="AL62" s="13">
        <f>0.66*SQRT([1]Parametros!$B$2)*H62*MIN(U62,AB62)/1000</f>
        <v>769.05085201725785</v>
      </c>
      <c r="AM62" s="13" t="str">
        <f t="shared" si="4"/>
        <v>CUMPLE</v>
      </c>
      <c r="AN62" s="13" t="s">
        <v>64</v>
      </c>
      <c r="AO62" s="14">
        <v>2</v>
      </c>
      <c r="AP62" s="13">
        <f>ROUNDDOWN(MIN(IF(BC62+BD62=0,1000000000,AO62*BB62/(BC62+BD62)),MIN(U62,AB62)/4,8*[1]Parametros!$B$12,24*BA62,300,IF(AV62=0,1000000000,2*((H62-2*([1]Parametros!$B$7+[1]Parametros!$B$9/2))+(I62-2*([1]Parametros!$B$7+[1]Parametros!$B$9/2)))/8))/10,0)*10</f>
        <v>120</v>
      </c>
      <c r="AQ62" s="13">
        <f>ROUNDDOWN(MIN(IF(BC62+BD62=0,1000000000,AO62*BB62/(BC62+BD62)),IF(AK62&gt;0.33*SQRT([1]Parametros!$B$2)*H62*MIN(U62,AB62)/1000,MIN(U62,AB62)/4,MIN(U62,AB62)/2),600,IF(AV62=0,1000000000,2*((H62-2*([1]Parametros!$B$7+[1]Parametros!$B$9/2))+(I62-2*([1]Parametros!$B$7+[1]Parametros!$B$9/2)))/8))/10,0)*10</f>
        <v>240</v>
      </c>
      <c r="AR62" s="13">
        <f>[1]Parametros!$B$6*(AJ62+MAX(BE62-BD62,0)*[1]Parametros!$B$4*MIN(U62,AB62)/1000)</f>
        <v>330.97185436697026</v>
      </c>
      <c r="AS62" s="13" t="str">
        <f t="shared" si="5"/>
        <v>CUMPLE</v>
      </c>
      <c r="AT62" s="13">
        <f>[1]Parametros!$B$6*0.083*SQRT([1]Parametros!$B$2)*(H62*I62)^2/(2*(H62+I62))/1000000</f>
        <v>10.08878303333792</v>
      </c>
      <c r="AU62" s="13" t="str">
        <f t="shared" si="6"/>
        <v>DESPRECIABLE</v>
      </c>
      <c r="AV62" s="13">
        <f>IF(Q62&lt;=AT62,0,Q62*1000000/([1]Parametros!$B$6*2*0.85*(H62-2*([1]Parametros!$B$7+[1]Parametros!$B$9/2))*(I62-2*([1]Parametros!$B$7+[1]Parametros!$B$9/2))*[1]Parametros!$B$4))</f>
        <v>0</v>
      </c>
      <c r="AW62" s="13">
        <f>AV62*2*((H62-2*([1]Parametros!$B$7+[1]Parametros!$B$9/2))+(I62-2*([1]Parametros!$B$7+[1]Parametros!$B$9/2)))*[1]Parametros!$B$4/[1]Parametros!$B$3</f>
        <v>0</v>
      </c>
      <c r="AX62" s="14">
        <v>0</v>
      </c>
      <c r="AY62" s="13" t="str">
        <f t="shared" si="7"/>
        <v>DESPRECIABLE</v>
      </c>
      <c r="AZ62" s="13" t="str">
        <f t="shared" si="8"/>
        <v>CUMPLE</v>
      </c>
      <c r="BA62" s="14">
        <v>9.5</v>
      </c>
      <c r="BB62" s="14">
        <v>71</v>
      </c>
      <c r="BC62" s="13">
        <f>MAX(IF(AK62=0,0,AK62*1000/([1]Parametros!$B$4*MIN(U62,AB62))),MAX(0.062*SQRT([1]Parametros!$B$2)*H62/[1]Parametros!$B$4,0.35*H62/[1]Parametros!$B$4))</f>
        <v>0.375</v>
      </c>
      <c r="BD62" s="13">
        <f t="shared" si="9"/>
        <v>0</v>
      </c>
      <c r="BE62" s="13">
        <f t="shared" si="10"/>
        <v>1.1833333333333333</v>
      </c>
      <c r="BF62" s="13">
        <f>SQRT((AI62*1000/(H62*MIN(U62,AB62)))^2+(Q62*1000000*2*((H62-2*([1]Parametros!$B$7+[1]Parametros!$B$9/2))+(I62-2*([1]Parametros!$B$7+[1]Parametros!$B$9/2)))/(1.7*((H62-2*([1]Parametros!$B$7+[1]Parametros!$B$9/2))*(I62-2*([1]Parametros!$B$7+[1]Parametros!$B$9/2)))^2))^2)</f>
        <v>0.71956182259314727</v>
      </c>
      <c r="BG62" s="13">
        <f>[1]Parametros!$B$6*(AJ62*1000/(H62*MIN(U62,AB62))+0.66*SQRT([1]Parametros!$B$2))</f>
        <v>3.2939603822754151</v>
      </c>
      <c r="BH62" s="13" t="str">
        <f t="shared" si="11"/>
        <v>CUMPLE</v>
      </c>
      <c r="BI62" s="13">
        <f>AX62*[1]Parametros!$B$8</f>
        <v>0</v>
      </c>
      <c r="BJ62" s="15" t="str">
        <f t="shared" si="12"/>
        <v>CUMPLE</v>
      </c>
    </row>
    <row r="63" spans="1:62" x14ac:dyDescent="0.3">
      <c r="A63" s="11" t="s">
        <v>65</v>
      </c>
      <c r="B63" s="12">
        <v>1378</v>
      </c>
      <c r="C63" s="13">
        <v>1</v>
      </c>
      <c r="D63" s="13">
        <v>3.15</v>
      </c>
      <c r="E63" s="13">
        <v>3.15</v>
      </c>
      <c r="F63" s="13">
        <v>450</v>
      </c>
      <c r="G63" s="13">
        <v>550</v>
      </c>
      <c r="H63" s="13">
        <v>450</v>
      </c>
      <c r="I63" s="13">
        <v>550</v>
      </c>
      <c r="J63" s="14">
        <v>40.511099999999999</v>
      </c>
      <c r="K63" s="13">
        <v>1378</v>
      </c>
      <c r="L63" s="14">
        <v>31.658999999999999</v>
      </c>
      <c r="M63" s="13">
        <v>1378</v>
      </c>
      <c r="N63" s="14">
        <v>32.366999999999997</v>
      </c>
      <c r="O63" s="14">
        <v>88.290999999999997</v>
      </c>
      <c r="P63" s="13">
        <v>1378</v>
      </c>
      <c r="Q63" s="14">
        <v>2.6678999999999999</v>
      </c>
      <c r="R63" s="13">
        <f>MAX(MAX(1.4/[1]Parametros!$B$3,0.25*SQRT([1]Parametros!$B$2)/[1]Parametros!$B$3)*H63*U63,(0.85*[1]Parametros!$B$2/[1]Parametros!$B$3)*(1-SQRT(1-2*(J63*1000000/([1]Parametros!$B$5*H63*U63^2))/(0.85*[1]Parametros!$B$2)))*H63*U63)</f>
        <v>734.02500000000009</v>
      </c>
      <c r="S63" s="14">
        <v>4</v>
      </c>
      <c r="T63" s="14">
        <v>1</v>
      </c>
      <c r="U63" s="13">
        <f>IF(T63=1,I63-([1]Parametros!$B$7+[1]Parametros!$B$9+[1]Parametros!$B$12/2),I63-(ROUNDUP(S63/2,0)*([1]Parametros!$B$7+[1]Parametros!$B$9+[1]Parametros!$B$12/2)+ROUNDDOWN(S63/2,0)*([1]Parametros!$B$7+[1]Parametros!$B$9+[1]Parametros!$B$12/2+[1]Parametros!$B$12+[1]Parametros!$B$10))/S63)</f>
        <v>489.35</v>
      </c>
      <c r="V63" s="13">
        <f>S63*[1]Parametros!$B$8</f>
        <v>796</v>
      </c>
      <c r="W63" s="13">
        <f>[1]Parametros!$B$5*V63*[1]Parametros!$B$3*(U63-(V63*[1]Parametros!$B$3/(0.85*[1]Parametros!$B$2*H63))/2)/1000000</f>
        <v>142.54333009411764</v>
      </c>
      <c r="X63" s="13" t="str">
        <f t="shared" si="0"/>
        <v>CUMPLE</v>
      </c>
      <c r="Y63" s="13">
        <f>MAX(MAX(1.4/[1]Parametros!$B$3,0.25*SQRT([1]Parametros!$B$2)/[1]Parametros!$B$3)*H63*AB63,(0.85*[1]Parametros!$B$2/[1]Parametros!$B$3)*(1-SQRT(1-2*(L63*1000000/([1]Parametros!$B$5*H63*AB63^2))/(0.85*[1]Parametros!$B$2)))*H63*AB63)</f>
        <v>734.02500000000009</v>
      </c>
      <c r="Z63" s="14">
        <v>4</v>
      </c>
      <c r="AA63" s="14">
        <v>1</v>
      </c>
      <c r="AB63" s="13">
        <f>IF(AA63=1,I63-([1]Parametros!$B$7+[1]Parametros!$B$9+[1]Parametros!$B$12/2),I63-(ROUNDUP(Z63/2,0)*([1]Parametros!$B$7+[1]Parametros!$B$9+[1]Parametros!$B$12/2)+ROUNDDOWN(Z63/2,0)*([1]Parametros!$B$7+[1]Parametros!$B$9+[1]Parametros!$B$12/2+[1]Parametros!$B$12+[1]Parametros!$B$10))/Z63)</f>
        <v>489.35</v>
      </c>
      <c r="AC63" s="13">
        <f>Z63*[1]Parametros!$B$8</f>
        <v>796</v>
      </c>
      <c r="AD63" s="13">
        <f>[1]Parametros!$B$5*AC63*[1]Parametros!$B$3*(AB63-(AC63*[1]Parametros!$B$3/(0.85*[1]Parametros!$B$2*H63))/2)/1000000</f>
        <v>142.54333009411764</v>
      </c>
      <c r="AE63" s="13" t="str">
        <f t="shared" si="1"/>
        <v>CUMPLE</v>
      </c>
      <c r="AF63" s="13">
        <f>V63*1.25*[1]Parametros!$B$3*(U63-(V63*1.25*[1]Parametros!$B$3/(0.85*[1]Parametros!$B$2*H63))/2)/1000000</f>
        <v>196.34621794117646</v>
      </c>
      <c r="AG63" s="13">
        <f>AC63*1.25*[1]Parametros!$B$3*(AB63-(AC63*1.25*[1]Parametros!$B$3/(0.85*[1]Parametros!$B$2*H63))/2)/1000000</f>
        <v>196.34621794117646</v>
      </c>
      <c r="AH63" s="13">
        <f t="shared" si="2"/>
        <v>157.03126535947712</v>
      </c>
      <c r="AI63" s="13">
        <f t="shared" si="3"/>
        <v>157.03126535947712</v>
      </c>
      <c r="AJ63" s="13">
        <f>0.17*SQRT([1]Parametros!$B$2)*H63*MIN(U63,AB63)/1000</f>
        <v>198.08885582262698</v>
      </c>
      <c r="AK63" s="13">
        <f>MAX(AI63/[1]Parametros!$B$6-AJ63,0)</f>
        <v>11.286164656675851</v>
      </c>
      <c r="AL63" s="13">
        <f>0.66*SQRT([1]Parametros!$B$2)*H63*MIN(U63,AB63)/1000</f>
        <v>769.05085201725785</v>
      </c>
      <c r="AM63" s="13" t="str">
        <f t="shared" si="4"/>
        <v>CUMPLE</v>
      </c>
      <c r="AN63" s="13" t="s">
        <v>64</v>
      </c>
      <c r="AO63" s="14">
        <v>2</v>
      </c>
      <c r="AP63" s="13">
        <f>ROUNDDOWN(MIN(IF(BC63+BD63=0,1000000000,AO63*BB63/(BC63+BD63)),MIN(U63,AB63)/4,8*[1]Parametros!$B$12,24*BA63,300,IF(AV63=0,1000000000,2*((H63-2*([1]Parametros!$B$7+[1]Parametros!$B$9/2))+(I63-2*([1]Parametros!$B$7+[1]Parametros!$B$9/2)))/8))/10,0)*10</f>
        <v>120</v>
      </c>
      <c r="AQ63" s="13">
        <f>ROUNDDOWN(MIN(IF(BC63+BD63=0,1000000000,AO63*BB63/(BC63+BD63)),IF(AK63&gt;0.33*SQRT([1]Parametros!$B$2)*H63*MIN(U63,AB63)/1000,MIN(U63,AB63)/4,MIN(U63,AB63)/2),600,IF(AV63=0,1000000000,2*((H63-2*([1]Parametros!$B$7+[1]Parametros!$B$9/2))+(I63-2*([1]Parametros!$B$7+[1]Parametros!$B$9/2)))/8))/10,0)*10</f>
        <v>240</v>
      </c>
      <c r="AR63" s="13">
        <f>[1]Parametros!$B$6*(AJ63+MAX(BE63-BD63,0)*[1]Parametros!$B$4*MIN(U63,AB63)/1000)</f>
        <v>330.97185436697026</v>
      </c>
      <c r="AS63" s="13" t="str">
        <f t="shared" si="5"/>
        <v>CUMPLE</v>
      </c>
      <c r="AT63" s="13">
        <f>[1]Parametros!$B$6*0.083*SQRT([1]Parametros!$B$2)*(H63*I63)^2/(2*(H63+I63))/1000000</f>
        <v>10.08878303333792</v>
      </c>
      <c r="AU63" s="13" t="str">
        <f t="shared" si="6"/>
        <v>DESPRECIABLE</v>
      </c>
      <c r="AV63" s="13">
        <f>IF(Q63&lt;=AT63,0,Q63*1000000/([1]Parametros!$B$6*2*0.85*(H63-2*([1]Parametros!$B$7+[1]Parametros!$B$9/2))*(I63-2*([1]Parametros!$B$7+[1]Parametros!$B$9/2))*[1]Parametros!$B$4))</f>
        <v>0</v>
      </c>
      <c r="AW63" s="13">
        <f>AV63*2*((H63-2*([1]Parametros!$B$7+[1]Parametros!$B$9/2))+(I63-2*([1]Parametros!$B$7+[1]Parametros!$B$9/2)))*[1]Parametros!$B$4/[1]Parametros!$B$3</f>
        <v>0</v>
      </c>
      <c r="AX63" s="14">
        <v>0</v>
      </c>
      <c r="AY63" s="13" t="str">
        <f t="shared" si="7"/>
        <v>DESPRECIABLE</v>
      </c>
      <c r="AZ63" s="13" t="str">
        <f t="shared" si="8"/>
        <v>CUMPLE</v>
      </c>
      <c r="BA63" s="14">
        <v>9.5</v>
      </c>
      <c r="BB63" s="14">
        <v>71</v>
      </c>
      <c r="BC63" s="13">
        <f>MAX(IF(AK63=0,0,AK63*1000/([1]Parametros!$B$4*MIN(U63,AB63))),MAX(0.062*SQRT([1]Parametros!$B$2)*H63/[1]Parametros!$B$4,0.35*H63/[1]Parametros!$B$4))</f>
        <v>0.375</v>
      </c>
      <c r="BD63" s="13">
        <f t="shared" si="9"/>
        <v>0</v>
      </c>
      <c r="BE63" s="13">
        <f t="shared" si="10"/>
        <v>1.1833333333333333</v>
      </c>
      <c r="BF63" s="13">
        <f>SQRT((AI63*1000/(H63*MIN(U63,AB63)))^2+(Q63*1000000*2*((H63-2*([1]Parametros!$B$7+[1]Parametros!$B$9/2))+(I63-2*([1]Parametros!$B$7+[1]Parametros!$B$9/2)))/(1.7*((H63-2*([1]Parametros!$B$7+[1]Parametros!$B$9/2))*(I63-2*([1]Parametros!$B$7+[1]Parametros!$B$9/2)))^2))^2)</f>
        <v>0.71950801351881588</v>
      </c>
      <c r="BG63" s="13">
        <f>[1]Parametros!$B$6*(AJ63*1000/(H63*MIN(U63,AB63))+0.66*SQRT([1]Parametros!$B$2))</f>
        <v>3.2939603822754151</v>
      </c>
      <c r="BH63" s="13" t="str">
        <f t="shared" si="11"/>
        <v>CUMPLE</v>
      </c>
      <c r="BI63" s="13">
        <f>AX63*[1]Parametros!$B$8</f>
        <v>0</v>
      </c>
      <c r="BJ63" s="15" t="str">
        <f t="shared" si="12"/>
        <v>CUMPLE</v>
      </c>
    </row>
    <row r="64" spans="1:62" x14ac:dyDescent="0.3">
      <c r="A64" s="16" t="s">
        <v>66</v>
      </c>
      <c r="B64" s="17">
        <v>57</v>
      </c>
      <c r="C64" s="13">
        <v>1</v>
      </c>
      <c r="D64" s="13">
        <v>3.4</v>
      </c>
      <c r="E64" s="13">
        <v>3.4</v>
      </c>
      <c r="F64" s="13">
        <v>450</v>
      </c>
      <c r="G64" s="13">
        <v>550</v>
      </c>
      <c r="H64" s="13">
        <v>450</v>
      </c>
      <c r="I64" s="13">
        <v>550</v>
      </c>
      <c r="J64" s="14">
        <v>174.40469999999999</v>
      </c>
      <c r="K64" s="13">
        <v>57</v>
      </c>
      <c r="L64" s="14">
        <v>154.8972</v>
      </c>
      <c r="M64" s="13">
        <v>57</v>
      </c>
      <c r="N64" s="14">
        <v>90.88</v>
      </c>
      <c r="O64" s="14">
        <v>396.26499999999999</v>
      </c>
      <c r="P64" s="13">
        <v>57</v>
      </c>
      <c r="Q64" s="14">
        <v>2.7902999999999998</v>
      </c>
      <c r="R64" s="13">
        <f>MAX(MAX(1.4/[1]Parametros!$B$3,0.25*SQRT([1]Parametros!$B$2)/[1]Parametros!$B$3)*H64*U64,(0.85*[1]Parametros!$B$2/[1]Parametros!$B$3)*(1-SQRT(1-2*(J64*1000000/([1]Parametros!$B$5*H64*U64^2))/(0.85*[1]Parametros!$B$2)))*H64*U64)</f>
        <v>981.45593752609375</v>
      </c>
      <c r="S64" s="14">
        <v>5</v>
      </c>
      <c r="T64" s="14">
        <v>1</v>
      </c>
      <c r="U64" s="13">
        <f>IF(T64=1,I64-([1]Parametros!$B$7+[1]Parametros!$B$9+[1]Parametros!$B$12/2),I64-(ROUNDUP(S64/2,0)*([1]Parametros!$B$7+[1]Parametros!$B$9+[1]Parametros!$B$12/2)+ROUNDDOWN(S64/2,0)*([1]Parametros!$B$7+[1]Parametros!$B$9+[1]Parametros!$B$12/2+[1]Parametros!$B$12+[1]Parametros!$B$10))/S64)</f>
        <v>489.35</v>
      </c>
      <c r="V64" s="13">
        <f>S64*[1]Parametros!$B$8</f>
        <v>995</v>
      </c>
      <c r="W64" s="13">
        <f>[1]Parametros!$B$5*V64*[1]Parametros!$B$3*(U64-(V64*[1]Parametros!$B$3/(0.85*[1]Parametros!$B$2*H64))/2)/1000000</f>
        <v>176.71159614705886</v>
      </c>
      <c r="X64" s="13" t="str">
        <f t="shared" si="0"/>
        <v>CUMPLE</v>
      </c>
      <c r="Y64" s="13">
        <f>MAX(MAX(1.4/[1]Parametros!$B$3,0.25*SQRT([1]Parametros!$B$2)/[1]Parametros!$B$3)*H64*AB64,(0.85*[1]Parametros!$B$2/[1]Parametros!$B$3)*(1-SQRT(1-2*(L64*1000000/([1]Parametros!$B$5*H64*AB64^2))/(0.85*[1]Parametros!$B$2)))*H64*AB64)</f>
        <v>867.55673319082007</v>
      </c>
      <c r="Z64" s="14">
        <v>5</v>
      </c>
      <c r="AA64" s="14">
        <v>1</v>
      </c>
      <c r="AB64" s="13">
        <f>IF(AA64=1,I64-([1]Parametros!$B$7+[1]Parametros!$B$9+[1]Parametros!$B$12/2),I64-(ROUNDUP(Z64/2,0)*([1]Parametros!$B$7+[1]Parametros!$B$9+[1]Parametros!$B$12/2)+ROUNDDOWN(Z64/2,0)*([1]Parametros!$B$7+[1]Parametros!$B$9+[1]Parametros!$B$12/2+[1]Parametros!$B$12+[1]Parametros!$B$10))/Z64)</f>
        <v>489.35</v>
      </c>
      <c r="AC64" s="13">
        <f>Z64*[1]Parametros!$B$8</f>
        <v>995</v>
      </c>
      <c r="AD64" s="13">
        <f>[1]Parametros!$B$5*AC64*[1]Parametros!$B$3*(AB64-(AC64*[1]Parametros!$B$3/(0.85*[1]Parametros!$B$2*H64))/2)/1000000</f>
        <v>176.71159614705886</v>
      </c>
      <c r="AE64" s="13" t="str">
        <f t="shared" si="1"/>
        <v>CUMPLE</v>
      </c>
      <c r="AF64" s="13">
        <f>V64*1.25*[1]Parametros!$B$3*(U64-(V64*1.25*[1]Parametros!$B$3/(0.85*[1]Parametros!$B$2*H64))/2)/1000000</f>
        <v>242.88491397058826</v>
      </c>
      <c r="AG64" s="13">
        <f>AC64*1.25*[1]Parametros!$B$3*(AB64-(AC64*1.25*[1]Parametros!$B$3/(0.85*[1]Parametros!$B$2*H64))/2)/1000000</f>
        <v>242.88491397058826</v>
      </c>
      <c r="AH64" s="13">
        <f t="shared" si="2"/>
        <v>233.75347880622837</v>
      </c>
      <c r="AI64" s="13">
        <f t="shared" si="3"/>
        <v>396.26499999999999</v>
      </c>
      <c r="AJ64" s="13">
        <f>0.17*SQRT([1]Parametros!$B$2)*H64*MIN(U64,AB64)/1000</f>
        <v>198.08885582262698</v>
      </c>
      <c r="AK64" s="13">
        <f>MAX(AI64/[1]Parametros!$B$6-AJ64,0)</f>
        <v>330.26447751070634</v>
      </c>
      <c r="AL64" s="13">
        <f>0.66*SQRT([1]Parametros!$B$2)*H64*MIN(U64,AB64)/1000</f>
        <v>769.05085201725785</v>
      </c>
      <c r="AM64" s="13" t="str">
        <f t="shared" si="4"/>
        <v>CUMPLE</v>
      </c>
      <c r="AN64" s="13" t="s">
        <v>64</v>
      </c>
      <c r="AO64" s="14">
        <v>2</v>
      </c>
      <c r="AP64" s="13">
        <f>ROUNDDOWN(MIN(IF(BC64+BD64=0,1000000000,AO64*BB64/(BC64+BD64)),MIN(U64,AB64)/4,8*[1]Parametros!$B$12,24*BA64,300,IF(AV64=0,1000000000,2*((H64-2*([1]Parametros!$B$7+[1]Parametros!$B$9/2))+(I64-2*([1]Parametros!$B$7+[1]Parametros!$B$9/2)))/8))/10,0)*10</f>
        <v>80</v>
      </c>
      <c r="AQ64" s="13">
        <f>ROUNDDOWN(MIN(IF(BC64+BD64=0,1000000000,AO64*BB64/(BC64+BD64)),IF(AK64&gt;0.33*SQRT([1]Parametros!$B$2)*H64*MIN(U64,AB64)/1000,MIN(U64,AB64)/4,MIN(U64,AB64)/2),600,IF(AV64=0,1000000000,2*((H64-2*([1]Parametros!$B$7+[1]Parametros!$B$9/2))+(I64-2*([1]Parametros!$B$7+[1]Parametros!$B$9/2)))/8))/10,0)*10</f>
        <v>80</v>
      </c>
      <c r="AR64" s="13">
        <f>[1]Parametros!$B$6*(AJ64+MAX(BE64-BD64,0)*[1]Parametros!$B$4*MIN(U64,AB64)/1000)</f>
        <v>422.17446061697024</v>
      </c>
      <c r="AS64" s="13" t="str">
        <f t="shared" si="5"/>
        <v>CUMPLE</v>
      </c>
      <c r="AT64" s="13">
        <f>[1]Parametros!$B$6*0.083*SQRT([1]Parametros!$B$2)*(H64*I64)^2/(2*(H64+I64))/1000000</f>
        <v>10.08878303333792</v>
      </c>
      <c r="AU64" s="13" t="str">
        <f t="shared" si="6"/>
        <v>DESPRECIABLE</v>
      </c>
      <c r="AV64" s="13">
        <f>IF(Q64&lt;=AT64,0,Q64*1000000/([1]Parametros!$B$6*2*0.85*(H64-2*([1]Parametros!$B$7+[1]Parametros!$B$9/2))*(I64-2*([1]Parametros!$B$7+[1]Parametros!$B$9/2))*[1]Parametros!$B$4))</f>
        <v>0</v>
      </c>
      <c r="AW64" s="13">
        <f>AV64*2*((H64-2*([1]Parametros!$B$7+[1]Parametros!$B$9/2))+(I64-2*([1]Parametros!$B$7+[1]Parametros!$B$9/2)))*[1]Parametros!$B$4/[1]Parametros!$B$3</f>
        <v>0</v>
      </c>
      <c r="AX64" s="14">
        <v>0</v>
      </c>
      <c r="AY64" s="13" t="str">
        <f t="shared" si="7"/>
        <v>DESPRECIABLE</v>
      </c>
      <c r="AZ64" s="13" t="str">
        <f t="shared" si="8"/>
        <v>CUMPLE</v>
      </c>
      <c r="BA64" s="14">
        <v>9.5</v>
      </c>
      <c r="BB64" s="14">
        <v>71</v>
      </c>
      <c r="BC64" s="13">
        <f>MAX(IF(AK64=0,0,AK64*1000/([1]Parametros!$B$4*MIN(U64,AB64))),MAX(0.062*SQRT([1]Parametros!$B$2)*H64/[1]Parametros!$B$4,0.35*H64/[1]Parametros!$B$4))</f>
        <v>1.6069152836887919</v>
      </c>
      <c r="BD64" s="13">
        <f t="shared" si="9"/>
        <v>0</v>
      </c>
      <c r="BE64" s="13">
        <f t="shared" si="10"/>
        <v>1.7749999999999999</v>
      </c>
      <c r="BF64" s="13">
        <f>SQRT((AI64*1000/(H64*MIN(U64,AB64)))^2+(Q64*1000000*2*((H64-2*([1]Parametros!$B$7+[1]Parametros!$B$9/2))+(I64-2*([1]Parametros!$B$7+[1]Parametros!$B$9/2)))/(1.7*((H64-2*([1]Parametros!$B$7+[1]Parametros!$B$9/2))*(I64-2*([1]Parametros!$B$7+[1]Parametros!$B$9/2)))^2))^2)</f>
        <v>1.8022927388329424</v>
      </c>
      <c r="BG64" s="13">
        <f>[1]Parametros!$B$6*(AJ64*1000/(H64*MIN(U64,AB64))+0.66*SQRT([1]Parametros!$B$2))</f>
        <v>3.2939603822754151</v>
      </c>
      <c r="BH64" s="13" t="str">
        <f t="shared" si="11"/>
        <v>CUMPLE</v>
      </c>
      <c r="BI64" s="13">
        <f>AX64*[1]Parametros!$B$8</f>
        <v>0</v>
      </c>
      <c r="BJ64" s="15" t="str">
        <f t="shared" si="12"/>
        <v>CUMPLE</v>
      </c>
    </row>
    <row r="65" spans="1:62" x14ac:dyDescent="0.3">
      <c r="A65" s="16" t="s">
        <v>66</v>
      </c>
      <c r="B65" s="17">
        <v>58</v>
      </c>
      <c r="C65" s="13">
        <v>1</v>
      </c>
      <c r="D65" s="13">
        <v>3.2147700000000001</v>
      </c>
      <c r="E65" s="13">
        <v>3.2147700000000001</v>
      </c>
      <c r="F65" s="13">
        <v>450</v>
      </c>
      <c r="G65" s="13">
        <v>550</v>
      </c>
      <c r="H65" s="13">
        <v>450</v>
      </c>
      <c r="I65" s="13">
        <v>550</v>
      </c>
      <c r="J65" s="14">
        <v>168.15790000000001</v>
      </c>
      <c r="K65" s="13">
        <v>58</v>
      </c>
      <c r="L65" s="14">
        <v>140.18530000000001</v>
      </c>
      <c r="M65" s="13">
        <v>58</v>
      </c>
      <c r="N65" s="14">
        <v>99.879000000000005</v>
      </c>
      <c r="O65" s="14">
        <v>399.90899999999999</v>
      </c>
      <c r="P65" s="13">
        <v>58</v>
      </c>
      <c r="Q65" s="14">
        <v>17.046700000000001</v>
      </c>
      <c r="R65" s="13">
        <f>MAX(MAX(1.4/[1]Parametros!$B$3,0.25*SQRT([1]Parametros!$B$2)/[1]Parametros!$B$3)*H65*U65,(0.85*[1]Parametros!$B$2/[1]Parametros!$B$3)*(1-SQRT(1-2*(J65*1000000/([1]Parametros!$B$5*H65*U65^2))/(0.85*[1]Parametros!$B$2)))*H65*U65)</f>
        <v>944.86007645167149</v>
      </c>
      <c r="S65" s="14">
        <v>5</v>
      </c>
      <c r="T65" s="14">
        <v>1</v>
      </c>
      <c r="U65" s="13">
        <f>IF(T65=1,I65-([1]Parametros!$B$7+[1]Parametros!$B$9+[1]Parametros!$B$12/2),I65-(ROUNDUP(S65/2,0)*([1]Parametros!$B$7+[1]Parametros!$B$9+[1]Parametros!$B$12/2)+ROUNDDOWN(S65/2,0)*([1]Parametros!$B$7+[1]Parametros!$B$9+[1]Parametros!$B$12/2+[1]Parametros!$B$12+[1]Parametros!$B$10))/S65)</f>
        <v>489.35</v>
      </c>
      <c r="V65" s="13">
        <f>S65*[1]Parametros!$B$8</f>
        <v>995</v>
      </c>
      <c r="W65" s="13">
        <f>[1]Parametros!$B$5*V65*[1]Parametros!$B$3*(U65-(V65*[1]Parametros!$B$3/(0.85*[1]Parametros!$B$2*H65))/2)/1000000</f>
        <v>176.71159614705886</v>
      </c>
      <c r="X65" s="13" t="str">
        <f t="shared" si="0"/>
        <v>CUMPLE</v>
      </c>
      <c r="Y65" s="13">
        <f>MAX(MAX(1.4/[1]Parametros!$B$3,0.25*SQRT([1]Parametros!$B$2)/[1]Parametros!$B$3)*H65*AB65,(0.85*[1]Parametros!$B$2/[1]Parametros!$B$3)*(1-SQRT(1-2*(L65*1000000/([1]Parametros!$B$5*H65*AB65^2))/(0.85*[1]Parametros!$B$2)))*H65*AB65)</f>
        <v>782.39145019836928</v>
      </c>
      <c r="Z65" s="14">
        <v>4</v>
      </c>
      <c r="AA65" s="14">
        <v>1</v>
      </c>
      <c r="AB65" s="13">
        <f>IF(AA65=1,I65-([1]Parametros!$B$7+[1]Parametros!$B$9+[1]Parametros!$B$12/2),I65-(ROUNDUP(Z65/2,0)*([1]Parametros!$B$7+[1]Parametros!$B$9+[1]Parametros!$B$12/2)+ROUNDDOWN(Z65/2,0)*([1]Parametros!$B$7+[1]Parametros!$B$9+[1]Parametros!$B$12/2+[1]Parametros!$B$12+[1]Parametros!$B$10))/Z65)</f>
        <v>489.35</v>
      </c>
      <c r="AC65" s="13">
        <f>Z65*[1]Parametros!$B$8</f>
        <v>796</v>
      </c>
      <c r="AD65" s="13">
        <f>[1]Parametros!$B$5*AC65*[1]Parametros!$B$3*(AB65-(AC65*[1]Parametros!$B$3/(0.85*[1]Parametros!$B$2*H65))/2)/1000000</f>
        <v>142.54333009411764</v>
      </c>
      <c r="AE65" s="13" t="str">
        <f t="shared" si="1"/>
        <v>CUMPLE</v>
      </c>
      <c r="AF65" s="13">
        <f>V65*1.25*[1]Parametros!$B$3*(U65-(V65*1.25*[1]Parametros!$B$3/(0.85*[1]Parametros!$B$2*H65))/2)/1000000</f>
        <v>242.88491397058826</v>
      </c>
      <c r="AG65" s="13">
        <f>AC65*1.25*[1]Parametros!$B$3*(AB65-(AC65*1.25*[1]Parametros!$B$3/(0.85*[1]Parametros!$B$2*H65))/2)/1000000</f>
        <v>196.34621794117646</v>
      </c>
      <c r="AH65" s="13">
        <f t="shared" si="2"/>
        <v>236.50810003258857</v>
      </c>
      <c r="AI65" s="13">
        <f t="shared" si="3"/>
        <v>399.90899999999999</v>
      </c>
      <c r="AJ65" s="13">
        <f>0.17*SQRT([1]Parametros!$B$2)*H65*MIN(U65,AB65)/1000</f>
        <v>198.08885582262698</v>
      </c>
      <c r="AK65" s="13">
        <f>MAX(AI65/[1]Parametros!$B$6-AJ65,0)</f>
        <v>335.12314417737298</v>
      </c>
      <c r="AL65" s="13">
        <f>0.66*SQRT([1]Parametros!$B$2)*H65*MIN(U65,AB65)/1000</f>
        <v>769.05085201725785</v>
      </c>
      <c r="AM65" s="13" t="str">
        <f t="shared" si="4"/>
        <v>CUMPLE</v>
      </c>
      <c r="AN65" s="13" t="s">
        <v>68</v>
      </c>
      <c r="AO65" s="14">
        <v>2</v>
      </c>
      <c r="AP65" s="13">
        <f>ROUNDDOWN(MIN(IF(BC65+BD65=0,1000000000,AO65*BB65/(BC65+BD65)),MIN(U65,AB65)/4,8*[1]Parametros!$B$12,24*BA65,300,IF(AV65=0,1000000000,2*((H65-2*([1]Parametros!$B$7+[1]Parametros!$B$9/2))+(I65-2*([1]Parametros!$B$7+[1]Parametros!$B$9/2)))/8))/10,0)*10</f>
        <v>120</v>
      </c>
      <c r="AQ65" s="13">
        <f>ROUNDDOWN(MIN(IF(BC65+BD65=0,1000000000,AO65*BB65/(BC65+BD65)),IF(AK65&gt;0.33*SQRT([1]Parametros!$B$2)*H65*MIN(U65,AB65)/1000,MIN(U65,AB65)/4,MIN(U65,AB65)/2),600,IF(AV65=0,1000000000,2*((H65-2*([1]Parametros!$B$7+[1]Parametros!$B$9/2))+(I65-2*([1]Parametros!$B$7+[1]Parametros!$B$9/2)))/8))/10,0)*10</f>
        <v>120</v>
      </c>
      <c r="AR65" s="13">
        <f>[1]Parametros!$B$6*(AJ65+MAX(BE65-BD65,0)*[1]Parametros!$B$4*MIN(U65,AB65)/1000)</f>
        <v>419.91596432901861</v>
      </c>
      <c r="AS65" s="13" t="str">
        <f t="shared" si="5"/>
        <v>CUMPLE</v>
      </c>
      <c r="AT65" s="13">
        <f>[1]Parametros!$B$6*0.083*SQRT([1]Parametros!$B$2)*(H65*I65)^2/(2*(H65+I65))/1000000</f>
        <v>10.08878303333792</v>
      </c>
      <c r="AU65" s="13" t="str">
        <f t="shared" si="6"/>
        <v>DISEÑAR</v>
      </c>
      <c r="AV65" s="13">
        <f>IF(Q65&lt;=AT65,0,Q65*1000000/([1]Parametros!$B$6*2*0.85*(H65-2*([1]Parametros!$B$7+[1]Parametros!$B$9/2))*(I65-2*([1]Parametros!$B$7+[1]Parametros!$B$9/2))*[1]Parametros!$B$4))</f>
        <v>0.19482587052780273</v>
      </c>
      <c r="AW65" s="13">
        <f>AV65*2*((H65-2*([1]Parametros!$B$7+[1]Parametros!$B$9/2))+(I65-2*([1]Parametros!$B$7+[1]Parametros!$B$9/2)))*[1]Parametros!$B$4/[1]Parametros!$B$3</f>
        <v>317.41030826389624</v>
      </c>
      <c r="AX65" s="14">
        <v>8</v>
      </c>
      <c r="AY65" s="13" t="str">
        <f t="shared" si="7"/>
        <v>CUMPLE</v>
      </c>
      <c r="AZ65" s="13" t="str">
        <f t="shared" si="8"/>
        <v>CUMPLE</v>
      </c>
      <c r="BA65" s="14">
        <v>12.7</v>
      </c>
      <c r="BB65" s="14">
        <v>129</v>
      </c>
      <c r="BC65" s="13">
        <f>MAX(IF(AK65=0,0,AK65*1000/([1]Parametros!$B$4*MIN(U65,AB65))),MAX(0.062*SQRT([1]Parametros!$B$2)*H65/[1]Parametros!$B$4,0.35*H65/[1]Parametros!$B$4))</f>
        <v>1.6305553244944604</v>
      </c>
      <c r="BD65" s="13">
        <f t="shared" si="9"/>
        <v>0.38965174105560546</v>
      </c>
      <c r="BE65" s="13">
        <f t="shared" si="10"/>
        <v>2.15</v>
      </c>
      <c r="BF65" s="13">
        <f>SQRT((AI65*1000/(H65*MIN(U65,AB65)))^2+(Q65*1000000*2*((H65-2*([1]Parametros!$B$7+[1]Parametros!$B$9/2))+(I65-2*([1]Parametros!$B$7+[1]Parametros!$B$9/2)))/(1.7*((H65-2*([1]Parametros!$B$7+[1]Parametros!$B$9/2))*(I65-2*([1]Parametros!$B$7+[1]Parametros!$B$9/2)))^2))^2)</f>
        <v>1.9163787889437949</v>
      </c>
      <c r="BG65" s="13">
        <f>[1]Parametros!$B$6*(AJ65*1000/(H65*MIN(U65,AB65))+0.66*SQRT([1]Parametros!$B$2))</f>
        <v>3.2939603822754151</v>
      </c>
      <c r="BH65" s="13" t="str">
        <f t="shared" si="11"/>
        <v>CUMPLE</v>
      </c>
      <c r="BI65" s="13">
        <f>AX65*[1]Parametros!$B$8</f>
        <v>1592</v>
      </c>
      <c r="BJ65" s="15" t="str">
        <f t="shared" si="12"/>
        <v>CUMPLE</v>
      </c>
    </row>
    <row r="66" spans="1:62" x14ac:dyDescent="0.3">
      <c r="A66" s="16" t="s">
        <v>66</v>
      </c>
      <c r="B66" s="17">
        <v>59</v>
      </c>
      <c r="C66" s="13">
        <v>1</v>
      </c>
      <c r="D66" s="13">
        <v>3.2147700000000001</v>
      </c>
      <c r="E66" s="13">
        <v>3.2147700000000001</v>
      </c>
      <c r="F66" s="13">
        <v>450</v>
      </c>
      <c r="G66" s="13">
        <v>550</v>
      </c>
      <c r="H66" s="13">
        <v>450</v>
      </c>
      <c r="I66" s="13">
        <v>550</v>
      </c>
      <c r="J66" s="14">
        <v>168.03039999999999</v>
      </c>
      <c r="K66" s="13">
        <v>59</v>
      </c>
      <c r="L66" s="14">
        <v>140.26560000000001</v>
      </c>
      <c r="M66" s="13">
        <v>59</v>
      </c>
      <c r="N66" s="14">
        <v>99.912000000000006</v>
      </c>
      <c r="O66" s="14">
        <v>399.875</v>
      </c>
      <c r="P66" s="13">
        <v>59</v>
      </c>
      <c r="Q66" s="14">
        <v>17.051500000000001</v>
      </c>
      <c r="R66" s="13">
        <f>MAX(MAX(1.4/[1]Parametros!$B$3,0.25*SQRT([1]Parametros!$B$2)/[1]Parametros!$B$3)*H66*U66,(0.85*[1]Parametros!$B$2/[1]Parametros!$B$3)*(1-SQRT(1-2*(J66*1000000/([1]Parametros!$B$5*H66*U66^2))/(0.85*[1]Parametros!$B$2)))*H66*U66)</f>
        <v>944.11434757448365</v>
      </c>
      <c r="S66" s="14">
        <v>5</v>
      </c>
      <c r="T66" s="14">
        <v>1</v>
      </c>
      <c r="U66" s="13">
        <f>IF(T66=1,I66-([1]Parametros!$B$7+[1]Parametros!$B$9+[1]Parametros!$B$12/2),I66-(ROUNDUP(S66/2,0)*([1]Parametros!$B$7+[1]Parametros!$B$9+[1]Parametros!$B$12/2)+ROUNDDOWN(S66/2,0)*([1]Parametros!$B$7+[1]Parametros!$B$9+[1]Parametros!$B$12/2+[1]Parametros!$B$12+[1]Parametros!$B$10))/S66)</f>
        <v>489.35</v>
      </c>
      <c r="V66" s="13">
        <f>S66*[1]Parametros!$B$8</f>
        <v>995</v>
      </c>
      <c r="W66" s="13">
        <f>[1]Parametros!$B$5*V66*[1]Parametros!$B$3*(U66-(V66*[1]Parametros!$B$3/(0.85*[1]Parametros!$B$2*H66))/2)/1000000</f>
        <v>176.71159614705886</v>
      </c>
      <c r="X66" s="13" t="str">
        <f t="shared" si="0"/>
        <v>CUMPLE</v>
      </c>
      <c r="Y66" s="13">
        <f>MAX(MAX(1.4/[1]Parametros!$B$3,0.25*SQRT([1]Parametros!$B$2)/[1]Parametros!$B$3)*H66*AB66,(0.85*[1]Parametros!$B$2/[1]Parametros!$B$3)*(1-SQRT(1-2*(L66*1000000/([1]Parametros!$B$5*H66*AB66^2))/(0.85*[1]Parametros!$B$2)))*H66*AB66)</f>
        <v>782.85461326378118</v>
      </c>
      <c r="Z66" s="14">
        <v>4</v>
      </c>
      <c r="AA66" s="14">
        <v>1</v>
      </c>
      <c r="AB66" s="13">
        <f>IF(AA66=1,I66-([1]Parametros!$B$7+[1]Parametros!$B$9+[1]Parametros!$B$12/2),I66-(ROUNDUP(Z66/2,0)*([1]Parametros!$B$7+[1]Parametros!$B$9+[1]Parametros!$B$12/2)+ROUNDDOWN(Z66/2,0)*([1]Parametros!$B$7+[1]Parametros!$B$9+[1]Parametros!$B$12/2+[1]Parametros!$B$12+[1]Parametros!$B$10))/Z66)</f>
        <v>489.35</v>
      </c>
      <c r="AC66" s="13">
        <f>Z66*[1]Parametros!$B$8</f>
        <v>796</v>
      </c>
      <c r="AD66" s="13">
        <f>[1]Parametros!$B$5*AC66*[1]Parametros!$B$3*(AB66-(AC66*[1]Parametros!$B$3/(0.85*[1]Parametros!$B$2*H66))/2)/1000000</f>
        <v>142.54333009411764</v>
      </c>
      <c r="AE66" s="13" t="str">
        <f t="shared" si="1"/>
        <v>CUMPLE</v>
      </c>
      <c r="AF66" s="13">
        <f>V66*1.25*[1]Parametros!$B$3*(U66-(V66*1.25*[1]Parametros!$B$3/(0.85*[1]Parametros!$B$2*H66))/2)/1000000</f>
        <v>242.88491397058826</v>
      </c>
      <c r="AG66" s="13">
        <f>AC66*1.25*[1]Parametros!$B$3*(AB66-(AC66*1.25*[1]Parametros!$B$3/(0.85*[1]Parametros!$B$2*H66))/2)/1000000</f>
        <v>196.34621794117646</v>
      </c>
      <c r="AH66" s="13">
        <f t="shared" si="2"/>
        <v>236.54110003258856</v>
      </c>
      <c r="AI66" s="13">
        <f t="shared" si="3"/>
        <v>399.875</v>
      </c>
      <c r="AJ66" s="13">
        <f>0.17*SQRT([1]Parametros!$B$2)*H66*MIN(U66,AB66)/1000</f>
        <v>198.08885582262698</v>
      </c>
      <c r="AK66" s="13">
        <f>MAX(AI66/[1]Parametros!$B$6-AJ66,0)</f>
        <v>335.07781084403962</v>
      </c>
      <c r="AL66" s="13">
        <f>0.66*SQRT([1]Parametros!$B$2)*H66*MIN(U66,AB66)/1000</f>
        <v>769.05085201725785</v>
      </c>
      <c r="AM66" s="13" t="str">
        <f t="shared" si="4"/>
        <v>CUMPLE</v>
      </c>
      <c r="AN66" s="13" t="s">
        <v>68</v>
      </c>
      <c r="AO66" s="14">
        <v>2</v>
      </c>
      <c r="AP66" s="13">
        <f>ROUNDDOWN(MIN(IF(BC66+BD66=0,1000000000,AO66*BB66/(BC66+BD66)),MIN(U66,AB66)/4,8*[1]Parametros!$B$12,24*BA66,300,IF(AV66=0,1000000000,2*((H66-2*([1]Parametros!$B$7+[1]Parametros!$B$9/2))+(I66-2*([1]Parametros!$B$7+[1]Parametros!$B$9/2)))/8))/10,0)*10</f>
        <v>120</v>
      </c>
      <c r="AQ66" s="13">
        <f>ROUNDDOWN(MIN(IF(BC66+BD66=0,1000000000,AO66*BB66/(BC66+BD66)),IF(AK66&gt;0.33*SQRT([1]Parametros!$B$2)*H66*MIN(U66,AB66)/1000,MIN(U66,AB66)/4,MIN(U66,AB66)/2),600,IF(AV66=0,1000000000,2*((H66-2*([1]Parametros!$B$7+[1]Parametros!$B$9/2))+(I66-2*([1]Parametros!$B$7+[1]Parametros!$B$9/2)))/8))/10,0)*10</f>
        <v>120</v>
      </c>
      <c r="AR66" s="13">
        <f>[1]Parametros!$B$6*(AJ66+MAX(BE66-BD66,0)*[1]Parametros!$B$4*MIN(U66,AB66)/1000)</f>
        <v>419.89905183380358</v>
      </c>
      <c r="AS66" s="13" t="str">
        <f t="shared" si="5"/>
        <v>CUMPLE</v>
      </c>
      <c r="AT66" s="13">
        <f>[1]Parametros!$B$6*0.083*SQRT([1]Parametros!$B$2)*(H66*I66)^2/(2*(H66+I66))/1000000</f>
        <v>10.08878303333792</v>
      </c>
      <c r="AU66" s="13" t="str">
        <f t="shared" si="6"/>
        <v>DISEÑAR</v>
      </c>
      <c r="AV66" s="13">
        <f>IF(Q66&lt;=AT66,0,Q66*1000000/([1]Parametros!$B$6*2*0.85*(H66-2*([1]Parametros!$B$7+[1]Parametros!$B$9/2))*(I66-2*([1]Parametros!$B$7+[1]Parametros!$B$9/2))*[1]Parametros!$B$4))</f>
        <v>0.19488072948458227</v>
      </c>
      <c r="AW66" s="13">
        <f>AV66*2*((H66-2*([1]Parametros!$B$7+[1]Parametros!$B$9/2))+(I66-2*([1]Parametros!$B$7+[1]Parametros!$B$9/2)))*[1]Parametros!$B$4/[1]Parametros!$B$3</f>
        <v>317.4996844762814</v>
      </c>
      <c r="AX66" s="14">
        <v>8</v>
      </c>
      <c r="AY66" s="13" t="str">
        <f t="shared" si="7"/>
        <v>CUMPLE</v>
      </c>
      <c r="AZ66" s="13" t="str">
        <f t="shared" si="8"/>
        <v>CUMPLE</v>
      </c>
      <c r="BA66" s="14">
        <v>12.7</v>
      </c>
      <c r="BB66" s="14">
        <v>129</v>
      </c>
      <c r="BC66" s="13">
        <f>MAX(IF(AK66=0,0,AK66*1000/([1]Parametros!$B$4*MIN(U66,AB66))),MAX(0.062*SQRT([1]Parametros!$B$2)*H66/[1]Parametros!$B$4,0.35*H66/[1]Parametros!$B$4))</f>
        <v>1.6303347533124095</v>
      </c>
      <c r="BD66" s="13">
        <f t="shared" si="9"/>
        <v>0.38976145896916453</v>
      </c>
      <c r="BE66" s="13">
        <f t="shared" si="10"/>
        <v>2.15</v>
      </c>
      <c r="BF66" s="13">
        <f>SQRT((AI66*1000/(H66*MIN(U66,AB66)))^2+(Q66*1000000*2*((H66-2*([1]Parametros!$B$7+[1]Parametros!$B$9/2))+(I66-2*([1]Parametros!$B$7+[1]Parametros!$B$9/2)))/(1.7*((H66-2*([1]Parametros!$B$7+[1]Parametros!$B$9/2))*(I66-2*([1]Parametros!$B$7+[1]Parametros!$B$9/2)))^2))^2)</f>
        <v>1.9162875030259592</v>
      </c>
      <c r="BG66" s="13">
        <f>[1]Parametros!$B$6*(AJ66*1000/(H66*MIN(U66,AB66))+0.66*SQRT([1]Parametros!$B$2))</f>
        <v>3.2939603822754151</v>
      </c>
      <c r="BH66" s="13" t="str">
        <f t="shared" si="11"/>
        <v>CUMPLE</v>
      </c>
      <c r="BI66" s="13">
        <f>AX66*[1]Parametros!$B$8</f>
        <v>1592</v>
      </c>
      <c r="BJ66" s="15" t="str">
        <f t="shared" si="12"/>
        <v>CUMPLE</v>
      </c>
    </row>
    <row r="67" spans="1:62" x14ac:dyDescent="0.3">
      <c r="A67" s="16" t="s">
        <v>66</v>
      </c>
      <c r="B67" s="17">
        <v>60</v>
      </c>
      <c r="C67" s="13">
        <v>1</v>
      </c>
      <c r="D67" s="13">
        <v>3.4</v>
      </c>
      <c r="E67" s="13">
        <v>3.4</v>
      </c>
      <c r="F67" s="13">
        <v>450</v>
      </c>
      <c r="G67" s="13">
        <v>550</v>
      </c>
      <c r="H67" s="13">
        <v>450</v>
      </c>
      <c r="I67" s="13">
        <v>550</v>
      </c>
      <c r="J67" s="14">
        <v>174.42359999999999</v>
      </c>
      <c r="K67" s="13">
        <v>60</v>
      </c>
      <c r="L67" s="14">
        <v>154.8853</v>
      </c>
      <c r="M67" s="13">
        <v>60</v>
      </c>
      <c r="N67" s="14">
        <v>90.89</v>
      </c>
      <c r="O67" s="14">
        <v>396.27499999999998</v>
      </c>
      <c r="P67" s="13">
        <v>60</v>
      </c>
      <c r="Q67" s="14">
        <v>2.7885</v>
      </c>
      <c r="R67" s="13">
        <f>MAX(MAX(1.4/[1]Parametros!$B$3,0.25*SQRT([1]Parametros!$B$2)/[1]Parametros!$B$3)*H67*U67,(0.85*[1]Parametros!$B$2/[1]Parametros!$B$3)*(1-SQRT(1-2*(J67*1000000/([1]Parametros!$B$5*H67*U67^2))/(0.85*[1]Parametros!$B$2)))*H67*U67)</f>
        <v>981.56683685463838</v>
      </c>
      <c r="S67" s="14">
        <v>5</v>
      </c>
      <c r="T67" s="14">
        <v>1</v>
      </c>
      <c r="U67" s="13">
        <f>IF(T67=1,I67-([1]Parametros!$B$7+[1]Parametros!$B$9+[1]Parametros!$B$12/2),I67-(ROUNDUP(S67/2,0)*([1]Parametros!$B$7+[1]Parametros!$B$9+[1]Parametros!$B$12/2)+ROUNDDOWN(S67/2,0)*([1]Parametros!$B$7+[1]Parametros!$B$9+[1]Parametros!$B$12/2+[1]Parametros!$B$12+[1]Parametros!$B$10))/S67)</f>
        <v>489.35</v>
      </c>
      <c r="V67" s="13">
        <f>S67*[1]Parametros!$B$8</f>
        <v>995</v>
      </c>
      <c r="W67" s="13">
        <f>[1]Parametros!$B$5*V67*[1]Parametros!$B$3*(U67-(V67*[1]Parametros!$B$3/(0.85*[1]Parametros!$B$2*H67))/2)/1000000</f>
        <v>176.71159614705886</v>
      </c>
      <c r="X67" s="13" t="str">
        <f t="shared" si="0"/>
        <v>CUMPLE</v>
      </c>
      <c r="Y67" s="13">
        <f>MAX(MAX(1.4/[1]Parametros!$B$3,0.25*SQRT([1]Parametros!$B$2)/[1]Parametros!$B$3)*H67*AB67,(0.85*[1]Parametros!$B$2/[1]Parametros!$B$3)*(1-SQRT(1-2*(L67*1000000/([1]Parametros!$B$5*H67*AB67^2))/(0.85*[1]Parametros!$B$2)))*H67*AB67)</f>
        <v>867.48759319463932</v>
      </c>
      <c r="Z67" s="14">
        <v>5</v>
      </c>
      <c r="AA67" s="14">
        <v>1</v>
      </c>
      <c r="AB67" s="13">
        <f>IF(AA67=1,I67-([1]Parametros!$B$7+[1]Parametros!$B$9+[1]Parametros!$B$12/2),I67-(ROUNDUP(Z67/2,0)*([1]Parametros!$B$7+[1]Parametros!$B$9+[1]Parametros!$B$12/2)+ROUNDDOWN(Z67/2,0)*([1]Parametros!$B$7+[1]Parametros!$B$9+[1]Parametros!$B$12/2+[1]Parametros!$B$12+[1]Parametros!$B$10))/Z67)</f>
        <v>489.35</v>
      </c>
      <c r="AC67" s="13">
        <f>Z67*[1]Parametros!$B$8</f>
        <v>995</v>
      </c>
      <c r="AD67" s="13">
        <f>[1]Parametros!$B$5*AC67*[1]Parametros!$B$3*(AB67-(AC67*[1]Parametros!$B$3/(0.85*[1]Parametros!$B$2*H67))/2)/1000000</f>
        <v>176.71159614705886</v>
      </c>
      <c r="AE67" s="13" t="str">
        <f t="shared" si="1"/>
        <v>CUMPLE</v>
      </c>
      <c r="AF67" s="13">
        <f>V67*1.25*[1]Parametros!$B$3*(U67-(V67*1.25*[1]Parametros!$B$3/(0.85*[1]Parametros!$B$2*H67))/2)/1000000</f>
        <v>242.88491397058826</v>
      </c>
      <c r="AG67" s="13">
        <f>AC67*1.25*[1]Parametros!$B$3*(AB67-(AC67*1.25*[1]Parametros!$B$3/(0.85*[1]Parametros!$B$2*H67))/2)/1000000</f>
        <v>242.88491397058826</v>
      </c>
      <c r="AH67" s="13">
        <f t="shared" si="2"/>
        <v>233.76347880622836</v>
      </c>
      <c r="AI67" s="13">
        <f t="shared" si="3"/>
        <v>396.27499999999998</v>
      </c>
      <c r="AJ67" s="13">
        <f>0.17*SQRT([1]Parametros!$B$2)*H67*MIN(U67,AB67)/1000</f>
        <v>198.08885582262698</v>
      </c>
      <c r="AK67" s="13">
        <f>MAX(AI67/[1]Parametros!$B$6-AJ67,0)</f>
        <v>330.27781084403966</v>
      </c>
      <c r="AL67" s="13">
        <f>0.66*SQRT([1]Parametros!$B$2)*H67*MIN(U67,AB67)/1000</f>
        <v>769.05085201725785</v>
      </c>
      <c r="AM67" s="13" t="str">
        <f t="shared" si="4"/>
        <v>CUMPLE</v>
      </c>
      <c r="AN67" s="13" t="s">
        <v>64</v>
      </c>
      <c r="AO67" s="14">
        <v>2</v>
      </c>
      <c r="AP67" s="13">
        <f>ROUNDDOWN(MIN(IF(BC67+BD67=0,1000000000,AO67*BB67/(BC67+BD67)),MIN(U67,AB67)/4,8*[1]Parametros!$B$12,24*BA67,300,IF(AV67=0,1000000000,2*((H67-2*([1]Parametros!$B$7+[1]Parametros!$B$9/2))+(I67-2*([1]Parametros!$B$7+[1]Parametros!$B$9/2)))/8))/10,0)*10</f>
        <v>80</v>
      </c>
      <c r="AQ67" s="13">
        <f>ROUNDDOWN(MIN(IF(BC67+BD67=0,1000000000,AO67*BB67/(BC67+BD67)),IF(AK67&gt;0.33*SQRT([1]Parametros!$B$2)*H67*MIN(U67,AB67)/1000,MIN(U67,AB67)/4,MIN(U67,AB67)/2),600,IF(AV67=0,1000000000,2*((H67-2*([1]Parametros!$B$7+[1]Parametros!$B$9/2))+(I67-2*([1]Parametros!$B$7+[1]Parametros!$B$9/2)))/8))/10,0)*10</f>
        <v>80</v>
      </c>
      <c r="AR67" s="13">
        <f>[1]Parametros!$B$6*(AJ67+MAX(BE67-BD67,0)*[1]Parametros!$B$4*MIN(U67,AB67)/1000)</f>
        <v>422.17446061697024</v>
      </c>
      <c r="AS67" s="13" t="str">
        <f t="shared" si="5"/>
        <v>CUMPLE</v>
      </c>
      <c r="AT67" s="13">
        <f>[1]Parametros!$B$6*0.083*SQRT([1]Parametros!$B$2)*(H67*I67)^2/(2*(H67+I67))/1000000</f>
        <v>10.08878303333792</v>
      </c>
      <c r="AU67" s="13" t="str">
        <f t="shared" si="6"/>
        <v>DESPRECIABLE</v>
      </c>
      <c r="AV67" s="13">
        <f>IF(Q67&lt;=AT67,0,Q67*1000000/([1]Parametros!$B$6*2*0.85*(H67-2*([1]Parametros!$B$7+[1]Parametros!$B$9/2))*(I67-2*([1]Parametros!$B$7+[1]Parametros!$B$9/2))*[1]Parametros!$B$4))</f>
        <v>0</v>
      </c>
      <c r="AW67" s="13">
        <f>AV67*2*((H67-2*([1]Parametros!$B$7+[1]Parametros!$B$9/2))+(I67-2*([1]Parametros!$B$7+[1]Parametros!$B$9/2)))*[1]Parametros!$B$4/[1]Parametros!$B$3</f>
        <v>0</v>
      </c>
      <c r="AX67" s="14">
        <v>0</v>
      </c>
      <c r="AY67" s="13" t="str">
        <f t="shared" si="7"/>
        <v>DESPRECIABLE</v>
      </c>
      <c r="AZ67" s="13" t="str">
        <f t="shared" si="8"/>
        <v>CUMPLE</v>
      </c>
      <c r="BA67" s="14">
        <v>9.5</v>
      </c>
      <c r="BB67" s="14">
        <v>71</v>
      </c>
      <c r="BC67" s="13">
        <f>MAX(IF(AK67=0,0,AK67*1000/([1]Parametros!$B$4*MIN(U67,AB67))),MAX(0.062*SQRT([1]Parametros!$B$2)*H67/[1]Parametros!$B$4,0.35*H67/[1]Parametros!$B$4))</f>
        <v>1.6069801575658655</v>
      </c>
      <c r="BD67" s="13">
        <f t="shared" si="9"/>
        <v>0</v>
      </c>
      <c r="BE67" s="13">
        <f t="shared" si="10"/>
        <v>1.7749999999999999</v>
      </c>
      <c r="BF67" s="13">
        <f>SQRT((AI67*1000/(H67*MIN(U67,AB67)))^2+(Q67*1000000*2*((H67-2*([1]Parametros!$B$7+[1]Parametros!$B$9/2))+(I67-2*([1]Parametros!$B$7+[1]Parametros!$B$9/2)))/(1.7*((H67-2*([1]Parametros!$B$7+[1]Parametros!$B$9/2))*(I67-2*([1]Parametros!$B$7+[1]Parametros!$B$9/2)))^2))^2)</f>
        <v>1.8023344906363552</v>
      </c>
      <c r="BG67" s="13">
        <f>[1]Parametros!$B$6*(AJ67*1000/(H67*MIN(U67,AB67))+0.66*SQRT([1]Parametros!$B$2))</f>
        <v>3.2939603822754151</v>
      </c>
      <c r="BH67" s="13" t="str">
        <f t="shared" si="11"/>
        <v>CUMPLE</v>
      </c>
      <c r="BI67" s="13">
        <f>AX67*[1]Parametros!$B$8</f>
        <v>0</v>
      </c>
      <c r="BJ67" s="15" t="str">
        <f t="shared" si="12"/>
        <v>CUMPLE</v>
      </c>
    </row>
    <row r="68" spans="1:62" x14ac:dyDescent="0.3">
      <c r="A68" s="16" t="s">
        <v>66</v>
      </c>
      <c r="B68" s="17">
        <v>89</v>
      </c>
      <c r="C68" s="13">
        <v>1</v>
      </c>
      <c r="D68" s="13">
        <v>3.4</v>
      </c>
      <c r="E68" s="13">
        <v>3.4</v>
      </c>
      <c r="F68" s="13">
        <v>450</v>
      </c>
      <c r="G68" s="13">
        <v>550</v>
      </c>
      <c r="H68" s="13">
        <v>450</v>
      </c>
      <c r="I68" s="13">
        <v>550</v>
      </c>
      <c r="J68" s="14">
        <v>174.41739999999999</v>
      </c>
      <c r="K68" s="13">
        <v>89</v>
      </c>
      <c r="L68" s="14">
        <v>154.8826</v>
      </c>
      <c r="M68" s="13">
        <v>89</v>
      </c>
      <c r="N68" s="14">
        <v>90.885999999999996</v>
      </c>
      <c r="O68" s="14">
        <v>396.26299999999998</v>
      </c>
      <c r="P68" s="13">
        <v>89</v>
      </c>
      <c r="Q68" s="14">
        <v>2.7888999999999999</v>
      </c>
      <c r="R68" s="13">
        <f>MAX(MAX(1.4/[1]Parametros!$B$3,0.25*SQRT([1]Parametros!$B$2)/[1]Parametros!$B$3)*H68*U68,(0.85*[1]Parametros!$B$2/[1]Parametros!$B$3)*(1-SQRT(1-2*(J68*1000000/([1]Parametros!$B$5*H68*U68^2))/(0.85*[1]Parametros!$B$2)))*H68*U68)</f>
        <v>981.53045706282296</v>
      </c>
      <c r="S68" s="14">
        <v>5</v>
      </c>
      <c r="T68" s="14">
        <v>1</v>
      </c>
      <c r="U68" s="13">
        <f>IF(T68=1,I68-([1]Parametros!$B$7+[1]Parametros!$B$9+[1]Parametros!$B$12/2),I68-(ROUNDUP(S68/2,0)*([1]Parametros!$B$7+[1]Parametros!$B$9+[1]Parametros!$B$12/2)+ROUNDDOWN(S68/2,0)*([1]Parametros!$B$7+[1]Parametros!$B$9+[1]Parametros!$B$12/2+[1]Parametros!$B$12+[1]Parametros!$B$10))/S68)</f>
        <v>489.35</v>
      </c>
      <c r="V68" s="13">
        <f>S68*[1]Parametros!$B$8</f>
        <v>995</v>
      </c>
      <c r="W68" s="13">
        <f>[1]Parametros!$B$5*V68*[1]Parametros!$B$3*(U68-(V68*[1]Parametros!$B$3/(0.85*[1]Parametros!$B$2*H68))/2)/1000000</f>
        <v>176.71159614705886</v>
      </c>
      <c r="X68" s="13" t="str">
        <f t="shared" ref="X68:X131" si="13">IF(W68&gt;=J68,"CUMPLE","NO CUMPLE")</f>
        <v>CUMPLE</v>
      </c>
      <c r="Y68" s="13">
        <f>MAX(MAX(1.4/[1]Parametros!$B$3,0.25*SQRT([1]Parametros!$B$2)/[1]Parametros!$B$3)*H68*AB68,(0.85*[1]Parametros!$B$2/[1]Parametros!$B$3)*(1-SQRT(1-2*(L68*1000000/([1]Parametros!$B$5*H68*AB68^2))/(0.85*[1]Parametros!$B$2)))*H68*AB68)</f>
        <v>867.47190602591911</v>
      </c>
      <c r="Z68" s="14">
        <v>5</v>
      </c>
      <c r="AA68" s="14">
        <v>1</v>
      </c>
      <c r="AB68" s="13">
        <f>IF(AA68=1,I68-([1]Parametros!$B$7+[1]Parametros!$B$9+[1]Parametros!$B$12/2),I68-(ROUNDUP(Z68/2,0)*([1]Parametros!$B$7+[1]Parametros!$B$9+[1]Parametros!$B$12/2)+ROUNDDOWN(Z68/2,0)*([1]Parametros!$B$7+[1]Parametros!$B$9+[1]Parametros!$B$12/2+[1]Parametros!$B$12+[1]Parametros!$B$10))/Z68)</f>
        <v>489.35</v>
      </c>
      <c r="AC68" s="13">
        <f>Z68*[1]Parametros!$B$8</f>
        <v>995</v>
      </c>
      <c r="AD68" s="13">
        <f>[1]Parametros!$B$5*AC68*[1]Parametros!$B$3*(AB68-(AC68*[1]Parametros!$B$3/(0.85*[1]Parametros!$B$2*H68))/2)/1000000</f>
        <v>176.71159614705886</v>
      </c>
      <c r="AE68" s="13" t="str">
        <f t="shared" ref="AE68:AE131" si="14">IF(AD68&gt;=L68,"CUMPLE","NO CUMPLE")</f>
        <v>CUMPLE</v>
      </c>
      <c r="AF68" s="13">
        <f>V68*1.25*[1]Parametros!$B$3*(U68-(V68*1.25*[1]Parametros!$B$3/(0.85*[1]Parametros!$B$2*H68))/2)/1000000</f>
        <v>242.88491397058826</v>
      </c>
      <c r="AG68" s="13">
        <f>AC68*1.25*[1]Parametros!$B$3*(AB68-(AC68*1.25*[1]Parametros!$B$3/(0.85*[1]Parametros!$B$2*H68))/2)/1000000</f>
        <v>242.88491397058826</v>
      </c>
      <c r="AH68" s="13">
        <f t="shared" ref="AH68:AH131" si="15">N68+(AF68+AG68)/D68</f>
        <v>233.75947880622837</v>
      </c>
      <c r="AI68" s="13">
        <f t="shared" ref="AI68:AI131" si="16">MAX(O68,AH68)</f>
        <v>396.26299999999998</v>
      </c>
      <c r="AJ68" s="13">
        <f>0.17*SQRT([1]Parametros!$B$2)*H68*MIN(U68,AB68)/1000</f>
        <v>198.08885582262698</v>
      </c>
      <c r="AK68" s="13">
        <f>MAX(AI68/[1]Parametros!$B$6-AJ68,0)</f>
        <v>330.26181084403959</v>
      </c>
      <c r="AL68" s="13">
        <f>0.66*SQRT([1]Parametros!$B$2)*H68*MIN(U68,AB68)/1000</f>
        <v>769.05085201725785</v>
      </c>
      <c r="AM68" s="13" t="str">
        <f t="shared" ref="AM68:AM131" si="17">IF(AK68&lt;=AL68,"CUMPLE","NO CUMPLE")</f>
        <v>CUMPLE</v>
      </c>
      <c r="AN68" s="13" t="s">
        <v>64</v>
      </c>
      <c r="AO68" s="14">
        <v>2</v>
      </c>
      <c r="AP68" s="13">
        <f>ROUNDDOWN(MIN(IF(BC68+BD68=0,1000000000,AO68*BB68/(BC68+BD68)),MIN(U68,AB68)/4,8*[1]Parametros!$B$12,24*BA68,300,IF(AV68=0,1000000000,2*((H68-2*([1]Parametros!$B$7+[1]Parametros!$B$9/2))+(I68-2*([1]Parametros!$B$7+[1]Parametros!$B$9/2)))/8))/10,0)*10</f>
        <v>80</v>
      </c>
      <c r="AQ68" s="13">
        <f>ROUNDDOWN(MIN(IF(BC68+BD68=0,1000000000,AO68*BB68/(BC68+BD68)),IF(AK68&gt;0.33*SQRT([1]Parametros!$B$2)*H68*MIN(U68,AB68)/1000,MIN(U68,AB68)/4,MIN(U68,AB68)/2),600,IF(AV68=0,1000000000,2*((H68-2*([1]Parametros!$B$7+[1]Parametros!$B$9/2))+(I68-2*([1]Parametros!$B$7+[1]Parametros!$B$9/2)))/8))/10,0)*10</f>
        <v>80</v>
      </c>
      <c r="AR68" s="13">
        <f>[1]Parametros!$B$6*(AJ68+MAX(BE68-BD68,0)*[1]Parametros!$B$4*MIN(U68,AB68)/1000)</f>
        <v>422.17446061697024</v>
      </c>
      <c r="AS68" s="13" t="str">
        <f t="shared" ref="AS68:AS131" si="18">IF(AND(ISERROR(SEARCH("referencia",AN68)),AM68="CUMPLE",AR68&gt;=AI68),"CUMPLE","NO CUMPLE")</f>
        <v>CUMPLE</v>
      </c>
      <c r="AT68" s="13">
        <f>[1]Parametros!$B$6*0.083*SQRT([1]Parametros!$B$2)*(H68*I68)^2/(2*(H68+I68))/1000000</f>
        <v>10.08878303333792</v>
      </c>
      <c r="AU68" s="13" t="str">
        <f t="shared" ref="AU68:AU131" si="19">IF(Q68&lt;=AT68,"DESPRECIABLE","DISEÑAR")</f>
        <v>DESPRECIABLE</v>
      </c>
      <c r="AV68" s="13">
        <f>IF(Q68&lt;=AT68,0,Q68*1000000/([1]Parametros!$B$6*2*0.85*(H68-2*([1]Parametros!$B$7+[1]Parametros!$B$9/2))*(I68-2*([1]Parametros!$B$7+[1]Parametros!$B$9/2))*[1]Parametros!$B$4))</f>
        <v>0</v>
      </c>
      <c r="AW68" s="13">
        <f>AV68*2*((H68-2*([1]Parametros!$B$7+[1]Parametros!$B$9/2))+(I68-2*([1]Parametros!$B$7+[1]Parametros!$B$9/2)))*[1]Parametros!$B$4/[1]Parametros!$B$3</f>
        <v>0</v>
      </c>
      <c r="AX68" s="14">
        <v>0</v>
      </c>
      <c r="AY68" s="13" t="str">
        <f t="shared" ref="AY68:AY131" si="20">IF(AV68=0,"DESPRECIABLE",IF(AND(ISERROR(SEARCH("referencia",AN68)),BB68/AP68&gt;=AV68,BI68&gt;=AW68,BH68="CUMPLE"),"CUMPLE","NO CUMPLE"))</f>
        <v>DESPRECIABLE</v>
      </c>
      <c r="AZ68" s="13" t="str">
        <f t="shared" ref="AZ68:AZ131" si="21">IF(AND(X68="CUMPLE",AE68="CUMPLE",AS68="CUMPLE",OR(AY68="CUMPLE",AY68="DESPRECIABLE"),BH68="CUMPLE",BJ68="CUMPLE"),"CUMPLE","NO CUMPLE")</f>
        <v>CUMPLE</v>
      </c>
      <c r="BA68" s="14">
        <v>9.5</v>
      </c>
      <c r="BB68" s="14">
        <v>71</v>
      </c>
      <c r="BC68" s="13">
        <f>MAX(IF(AK68=0,0,AK68*1000/([1]Parametros!$B$4*MIN(U68,AB68))),MAX(0.062*SQRT([1]Parametros!$B$2)*H68/[1]Parametros!$B$4,0.35*H68/[1]Parametros!$B$4))</f>
        <v>1.6069023089133769</v>
      </c>
      <c r="BD68" s="13">
        <f t="shared" ref="BD68:BD131" si="22">2*AV68</f>
        <v>0</v>
      </c>
      <c r="BE68" s="13">
        <f t="shared" ref="BE68:BE131" si="23">AO68*BB68/AP68</f>
        <v>1.7749999999999999</v>
      </c>
      <c r="BF68" s="13">
        <f>SQRT((AI68*1000/(H68*MIN(U68,AB68)))^2+(Q68*1000000*2*((H68-2*([1]Parametros!$B$7+[1]Parametros!$B$9/2))+(I68-2*([1]Parametros!$B$7+[1]Parametros!$B$9/2)))/(1.7*((H68-2*([1]Parametros!$B$7+[1]Parametros!$B$9/2))*(I68-2*([1]Parametros!$B$7+[1]Parametros!$B$9/2)))^2))^2)</f>
        <v>1.8022808782323698</v>
      </c>
      <c r="BG68" s="13">
        <f>[1]Parametros!$B$6*(AJ68*1000/(H68*MIN(U68,AB68))+0.66*SQRT([1]Parametros!$B$2))</f>
        <v>3.2939603822754151</v>
      </c>
      <c r="BH68" s="13" t="str">
        <f t="shared" ref="BH68:BH131" si="24">IF(BF68&lt;=BG68,"CUMPLE","NO CUMPLE")</f>
        <v>CUMPLE</v>
      </c>
      <c r="BI68" s="13">
        <f>AX68*[1]Parametros!$B$8</f>
        <v>0</v>
      </c>
      <c r="BJ68" s="15" t="str">
        <f t="shared" ref="BJ68:BJ131" si="25">IF(BI68&gt;=AW68,"CUMPLE","NO CUMPLE")</f>
        <v>CUMPLE</v>
      </c>
    </row>
    <row r="69" spans="1:62" x14ac:dyDescent="0.3">
      <c r="A69" s="16" t="s">
        <v>66</v>
      </c>
      <c r="B69" s="17">
        <v>90</v>
      </c>
      <c r="C69" s="13">
        <v>1</v>
      </c>
      <c r="D69" s="13">
        <v>3.2147700000000001</v>
      </c>
      <c r="E69" s="13">
        <v>3.2147700000000001</v>
      </c>
      <c r="F69" s="13">
        <v>450</v>
      </c>
      <c r="G69" s="13">
        <v>550</v>
      </c>
      <c r="H69" s="13">
        <v>450</v>
      </c>
      <c r="I69" s="13">
        <v>550</v>
      </c>
      <c r="J69" s="14">
        <v>168.0565</v>
      </c>
      <c r="K69" s="13">
        <v>90</v>
      </c>
      <c r="L69" s="14">
        <v>140.24469999999999</v>
      </c>
      <c r="M69" s="13">
        <v>90</v>
      </c>
      <c r="N69" s="14">
        <v>99.918000000000006</v>
      </c>
      <c r="O69" s="14">
        <v>399.863</v>
      </c>
      <c r="P69" s="13">
        <v>90</v>
      </c>
      <c r="Q69" s="14">
        <v>17.0655</v>
      </c>
      <c r="R69" s="13">
        <f>MAX(MAX(1.4/[1]Parametros!$B$3,0.25*SQRT([1]Parametros!$B$2)/[1]Parametros!$B$3)*H69*U69,(0.85*[1]Parametros!$B$2/[1]Parametros!$B$3)*(1-SQRT(1-2*(J69*1000000/([1]Parametros!$B$5*H69*U69^2))/(0.85*[1]Parametros!$B$2)))*H69*U69)</f>
        <v>944.26699873760583</v>
      </c>
      <c r="S69" s="14">
        <v>5</v>
      </c>
      <c r="T69" s="14">
        <v>1</v>
      </c>
      <c r="U69" s="13">
        <f>IF(T69=1,I69-([1]Parametros!$B$7+[1]Parametros!$B$9+[1]Parametros!$B$12/2),I69-(ROUNDUP(S69/2,0)*([1]Parametros!$B$7+[1]Parametros!$B$9+[1]Parametros!$B$12/2)+ROUNDDOWN(S69/2,0)*([1]Parametros!$B$7+[1]Parametros!$B$9+[1]Parametros!$B$12/2+[1]Parametros!$B$12+[1]Parametros!$B$10))/S69)</f>
        <v>489.35</v>
      </c>
      <c r="V69" s="13">
        <f>S69*[1]Parametros!$B$8</f>
        <v>995</v>
      </c>
      <c r="W69" s="13">
        <f>[1]Parametros!$B$5*V69*[1]Parametros!$B$3*(U69-(V69*[1]Parametros!$B$3/(0.85*[1]Parametros!$B$2*H69))/2)/1000000</f>
        <v>176.71159614705886</v>
      </c>
      <c r="X69" s="13" t="str">
        <f t="shared" si="13"/>
        <v>CUMPLE</v>
      </c>
      <c r="Y69" s="13">
        <f>MAX(MAX(1.4/[1]Parametros!$B$3,0.25*SQRT([1]Parametros!$B$2)/[1]Parametros!$B$3)*H69*AB69,(0.85*[1]Parametros!$B$2/[1]Parametros!$B$3)*(1-SQRT(1-2*(L69*1000000/([1]Parametros!$B$5*H69*AB69^2))/(0.85*[1]Parametros!$B$2)))*H69*AB69)</f>
        <v>782.73406220709717</v>
      </c>
      <c r="Z69" s="14">
        <v>4</v>
      </c>
      <c r="AA69" s="14">
        <v>1</v>
      </c>
      <c r="AB69" s="13">
        <f>IF(AA69=1,I69-([1]Parametros!$B$7+[1]Parametros!$B$9+[1]Parametros!$B$12/2),I69-(ROUNDUP(Z69/2,0)*([1]Parametros!$B$7+[1]Parametros!$B$9+[1]Parametros!$B$12/2)+ROUNDDOWN(Z69/2,0)*([1]Parametros!$B$7+[1]Parametros!$B$9+[1]Parametros!$B$12/2+[1]Parametros!$B$12+[1]Parametros!$B$10))/Z69)</f>
        <v>489.35</v>
      </c>
      <c r="AC69" s="13">
        <f>Z69*[1]Parametros!$B$8</f>
        <v>796</v>
      </c>
      <c r="AD69" s="13">
        <f>[1]Parametros!$B$5*AC69*[1]Parametros!$B$3*(AB69-(AC69*[1]Parametros!$B$3/(0.85*[1]Parametros!$B$2*H69))/2)/1000000</f>
        <v>142.54333009411764</v>
      </c>
      <c r="AE69" s="13" t="str">
        <f t="shared" si="14"/>
        <v>CUMPLE</v>
      </c>
      <c r="AF69" s="13">
        <f>V69*1.25*[1]Parametros!$B$3*(U69-(V69*1.25*[1]Parametros!$B$3/(0.85*[1]Parametros!$B$2*H69))/2)/1000000</f>
        <v>242.88491397058826</v>
      </c>
      <c r="AG69" s="13">
        <f>AC69*1.25*[1]Parametros!$B$3*(AB69-(AC69*1.25*[1]Parametros!$B$3/(0.85*[1]Parametros!$B$2*H69))/2)/1000000</f>
        <v>196.34621794117646</v>
      </c>
      <c r="AH69" s="13">
        <f t="shared" si="15"/>
        <v>236.54710003258856</v>
      </c>
      <c r="AI69" s="13">
        <f t="shared" si="16"/>
        <v>399.863</v>
      </c>
      <c r="AJ69" s="13">
        <f>0.17*SQRT([1]Parametros!$B$2)*H69*MIN(U69,AB69)/1000</f>
        <v>198.08885582262698</v>
      </c>
      <c r="AK69" s="13">
        <f>MAX(AI69/[1]Parametros!$B$6-AJ69,0)</f>
        <v>335.06181084403966</v>
      </c>
      <c r="AL69" s="13">
        <f>0.66*SQRT([1]Parametros!$B$2)*H69*MIN(U69,AB69)/1000</f>
        <v>769.05085201725785</v>
      </c>
      <c r="AM69" s="13" t="str">
        <f t="shared" si="17"/>
        <v>CUMPLE</v>
      </c>
      <c r="AN69" s="13" t="s">
        <v>68</v>
      </c>
      <c r="AO69" s="14">
        <v>2</v>
      </c>
      <c r="AP69" s="13">
        <f>ROUNDDOWN(MIN(IF(BC69+BD69=0,1000000000,AO69*BB69/(BC69+BD69)),MIN(U69,AB69)/4,8*[1]Parametros!$B$12,24*BA69,300,IF(AV69=0,1000000000,2*((H69-2*([1]Parametros!$B$7+[1]Parametros!$B$9/2))+(I69-2*([1]Parametros!$B$7+[1]Parametros!$B$9/2)))/8))/10,0)*10</f>
        <v>120</v>
      </c>
      <c r="AQ69" s="13">
        <f>ROUNDDOWN(MIN(IF(BC69+BD69=0,1000000000,AO69*BB69/(BC69+BD69)),IF(AK69&gt;0.33*SQRT([1]Parametros!$B$2)*H69*MIN(U69,AB69)/1000,MIN(U69,AB69)/4,MIN(U69,AB69)/2),600,IF(AV69=0,1000000000,2*((H69-2*([1]Parametros!$B$7+[1]Parametros!$B$9/2))+(I69-2*([1]Parametros!$B$7+[1]Parametros!$B$9/2)))/8))/10,0)*10</f>
        <v>120</v>
      </c>
      <c r="AR69" s="13">
        <f>[1]Parametros!$B$6*(AJ69+MAX(BE69-BD69,0)*[1]Parametros!$B$4*MIN(U69,AB69)/1000)</f>
        <v>419.84972372275979</v>
      </c>
      <c r="AS69" s="13" t="str">
        <f t="shared" si="18"/>
        <v>CUMPLE</v>
      </c>
      <c r="AT69" s="13">
        <f>[1]Parametros!$B$6*0.083*SQRT([1]Parametros!$B$2)*(H69*I69)^2/(2*(H69+I69))/1000000</f>
        <v>10.08878303333792</v>
      </c>
      <c r="AU69" s="13" t="str">
        <f t="shared" si="19"/>
        <v>DISEÑAR</v>
      </c>
      <c r="AV69" s="13">
        <f>IF(Q69&lt;=AT69,0,Q69*1000000/([1]Parametros!$B$6*2*0.85*(H69-2*([1]Parametros!$B$7+[1]Parametros!$B$9/2))*(I69-2*([1]Parametros!$B$7+[1]Parametros!$B$9/2))*[1]Parametros!$B$4))</f>
        <v>0.19504073477518921</v>
      </c>
      <c r="AW69" s="13">
        <f>AV69*2*((H69-2*([1]Parametros!$B$7+[1]Parametros!$B$9/2))+(I69-2*([1]Parametros!$B$7+[1]Parametros!$B$9/2)))*[1]Parametros!$B$4/[1]Parametros!$B$3</f>
        <v>317.76036509573828</v>
      </c>
      <c r="AX69" s="14">
        <v>8</v>
      </c>
      <c r="AY69" s="13" t="str">
        <f t="shared" si="20"/>
        <v>CUMPLE</v>
      </c>
      <c r="AZ69" s="13" t="str">
        <f t="shared" si="21"/>
        <v>CUMPLE</v>
      </c>
      <c r="BA69" s="14">
        <v>12.7</v>
      </c>
      <c r="BB69" s="14">
        <v>129</v>
      </c>
      <c r="BC69" s="13">
        <f>MAX(IF(AK69=0,0,AK69*1000/([1]Parametros!$B$4*MIN(U69,AB69))),MAX(0.062*SQRT([1]Parametros!$B$2)*H69/[1]Parametros!$B$4,0.35*H69/[1]Parametros!$B$4))</f>
        <v>1.6302569046599213</v>
      </c>
      <c r="BD69" s="13">
        <f t="shared" si="22"/>
        <v>0.39008146955037842</v>
      </c>
      <c r="BE69" s="13">
        <f t="shared" si="23"/>
        <v>2.15</v>
      </c>
      <c r="BF69" s="13">
        <f>SQRT((AI69*1000/(H69*MIN(U69,AB69)))^2+(Q69*1000000*2*((H69-2*([1]Parametros!$B$7+[1]Parametros!$B$9/2))+(I69-2*([1]Parametros!$B$7+[1]Parametros!$B$9/2)))/(1.7*((H69-2*([1]Parametros!$B$7+[1]Parametros!$B$9/2))*(I69-2*([1]Parametros!$B$7+[1]Parametros!$B$9/2)))^2))^2)</f>
        <v>1.9163964527763089</v>
      </c>
      <c r="BG69" s="13">
        <f>[1]Parametros!$B$6*(AJ69*1000/(H69*MIN(U69,AB69))+0.66*SQRT([1]Parametros!$B$2))</f>
        <v>3.2939603822754151</v>
      </c>
      <c r="BH69" s="13" t="str">
        <f t="shared" si="24"/>
        <v>CUMPLE</v>
      </c>
      <c r="BI69" s="13">
        <f>AX69*[1]Parametros!$B$8</f>
        <v>1592</v>
      </c>
      <c r="BJ69" s="15" t="str">
        <f t="shared" si="25"/>
        <v>CUMPLE</v>
      </c>
    </row>
    <row r="70" spans="1:62" x14ac:dyDescent="0.3">
      <c r="A70" s="16" t="s">
        <v>66</v>
      </c>
      <c r="B70" s="17">
        <v>91</v>
      </c>
      <c r="C70" s="13">
        <v>1</v>
      </c>
      <c r="D70" s="13">
        <v>3.2147700000000001</v>
      </c>
      <c r="E70" s="13">
        <v>3.2147700000000001</v>
      </c>
      <c r="F70" s="13">
        <v>450</v>
      </c>
      <c r="G70" s="13">
        <v>550</v>
      </c>
      <c r="H70" s="13">
        <v>450</v>
      </c>
      <c r="I70" s="13">
        <v>550</v>
      </c>
      <c r="J70" s="14">
        <v>168.1189</v>
      </c>
      <c r="K70" s="13">
        <v>91</v>
      </c>
      <c r="L70" s="14">
        <v>140.20570000000001</v>
      </c>
      <c r="M70" s="13">
        <v>91</v>
      </c>
      <c r="N70" s="14">
        <v>99.891000000000005</v>
      </c>
      <c r="O70" s="14">
        <v>399.88900000000001</v>
      </c>
      <c r="P70" s="13">
        <v>91</v>
      </c>
      <c r="Q70" s="14">
        <v>17.0426</v>
      </c>
      <c r="R70" s="13">
        <f>MAX(MAX(1.4/[1]Parametros!$B$3,0.25*SQRT([1]Parametros!$B$2)/[1]Parametros!$B$3)*H70*U70,(0.85*[1]Parametros!$B$2/[1]Parametros!$B$3)*(1-SQRT(1-2*(J70*1000000/([1]Parametros!$B$5*H70*U70^2))/(0.85*[1]Parametros!$B$2)))*H70*U70)</f>
        <v>944.63196602950666</v>
      </c>
      <c r="S70" s="14">
        <v>5</v>
      </c>
      <c r="T70" s="14">
        <v>1</v>
      </c>
      <c r="U70" s="13">
        <f>IF(T70=1,I70-([1]Parametros!$B$7+[1]Parametros!$B$9+[1]Parametros!$B$12/2),I70-(ROUNDUP(S70/2,0)*([1]Parametros!$B$7+[1]Parametros!$B$9+[1]Parametros!$B$12/2)+ROUNDDOWN(S70/2,0)*([1]Parametros!$B$7+[1]Parametros!$B$9+[1]Parametros!$B$12/2+[1]Parametros!$B$12+[1]Parametros!$B$10))/S70)</f>
        <v>489.35</v>
      </c>
      <c r="V70" s="13">
        <f>S70*[1]Parametros!$B$8</f>
        <v>995</v>
      </c>
      <c r="W70" s="13">
        <f>[1]Parametros!$B$5*V70*[1]Parametros!$B$3*(U70-(V70*[1]Parametros!$B$3/(0.85*[1]Parametros!$B$2*H70))/2)/1000000</f>
        <v>176.71159614705886</v>
      </c>
      <c r="X70" s="13" t="str">
        <f t="shared" si="13"/>
        <v>CUMPLE</v>
      </c>
      <c r="Y70" s="13">
        <f>MAX(MAX(1.4/[1]Parametros!$B$3,0.25*SQRT([1]Parametros!$B$2)/[1]Parametros!$B$3)*H70*AB70,(0.85*[1]Parametros!$B$2/[1]Parametros!$B$3)*(1-SQRT(1-2*(L70*1000000/([1]Parametros!$B$5*H70*AB70^2))/(0.85*[1]Parametros!$B$2)))*H70*AB70)</f>
        <v>782.5091137971184</v>
      </c>
      <c r="Z70" s="14">
        <v>4</v>
      </c>
      <c r="AA70" s="14">
        <v>1</v>
      </c>
      <c r="AB70" s="13">
        <f>IF(AA70=1,I70-([1]Parametros!$B$7+[1]Parametros!$B$9+[1]Parametros!$B$12/2),I70-(ROUNDUP(Z70/2,0)*([1]Parametros!$B$7+[1]Parametros!$B$9+[1]Parametros!$B$12/2)+ROUNDDOWN(Z70/2,0)*([1]Parametros!$B$7+[1]Parametros!$B$9+[1]Parametros!$B$12/2+[1]Parametros!$B$12+[1]Parametros!$B$10))/Z70)</f>
        <v>489.35</v>
      </c>
      <c r="AC70" s="13">
        <f>Z70*[1]Parametros!$B$8</f>
        <v>796</v>
      </c>
      <c r="AD70" s="13">
        <f>[1]Parametros!$B$5*AC70*[1]Parametros!$B$3*(AB70-(AC70*[1]Parametros!$B$3/(0.85*[1]Parametros!$B$2*H70))/2)/1000000</f>
        <v>142.54333009411764</v>
      </c>
      <c r="AE70" s="13" t="str">
        <f t="shared" si="14"/>
        <v>CUMPLE</v>
      </c>
      <c r="AF70" s="13">
        <f>V70*1.25*[1]Parametros!$B$3*(U70-(V70*1.25*[1]Parametros!$B$3/(0.85*[1]Parametros!$B$2*H70))/2)/1000000</f>
        <v>242.88491397058826</v>
      </c>
      <c r="AG70" s="13">
        <f>AC70*1.25*[1]Parametros!$B$3*(AB70-(AC70*1.25*[1]Parametros!$B$3/(0.85*[1]Parametros!$B$2*H70))/2)/1000000</f>
        <v>196.34621794117646</v>
      </c>
      <c r="AH70" s="13">
        <f t="shared" si="15"/>
        <v>236.52010003258857</v>
      </c>
      <c r="AI70" s="13">
        <f t="shared" si="16"/>
        <v>399.88900000000001</v>
      </c>
      <c r="AJ70" s="13">
        <f>0.17*SQRT([1]Parametros!$B$2)*H70*MIN(U70,AB70)/1000</f>
        <v>198.08885582262698</v>
      </c>
      <c r="AK70" s="13">
        <f>MAX(AI70/[1]Parametros!$B$6-AJ70,0)</f>
        <v>335.09647751070634</v>
      </c>
      <c r="AL70" s="13">
        <f>0.66*SQRT([1]Parametros!$B$2)*H70*MIN(U70,AB70)/1000</f>
        <v>769.05085201725785</v>
      </c>
      <c r="AM70" s="13" t="str">
        <f t="shared" si="17"/>
        <v>CUMPLE</v>
      </c>
      <c r="AN70" s="13" t="s">
        <v>68</v>
      </c>
      <c r="AO70" s="14">
        <v>2</v>
      </c>
      <c r="AP70" s="13">
        <f>ROUNDDOWN(MIN(IF(BC70+BD70=0,1000000000,AO70*BB70/(BC70+BD70)),MIN(U70,AB70)/4,8*[1]Parametros!$B$12,24*BA70,300,IF(AV70=0,1000000000,2*((H70-2*([1]Parametros!$B$7+[1]Parametros!$B$9/2))+(I70-2*([1]Parametros!$B$7+[1]Parametros!$B$9/2)))/8))/10,0)*10</f>
        <v>120</v>
      </c>
      <c r="AQ70" s="13">
        <f>ROUNDDOWN(MIN(IF(BC70+BD70=0,1000000000,AO70*BB70/(BC70+BD70)),IF(AK70&gt;0.33*SQRT([1]Parametros!$B$2)*H70*MIN(U70,AB70)/1000,MIN(U70,AB70)/4,MIN(U70,AB70)/2),600,IF(AV70=0,1000000000,2*((H70-2*([1]Parametros!$B$7+[1]Parametros!$B$9/2))+(I70-2*([1]Parametros!$B$7+[1]Parametros!$B$9/2)))/8))/10,0)*10</f>
        <v>120</v>
      </c>
      <c r="AR70" s="13">
        <f>[1]Parametros!$B$6*(AJ70+MAX(BE70-BD70,0)*[1]Parametros!$B$4*MIN(U70,AB70)/1000)</f>
        <v>419.9304104186815</v>
      </c>
      <c r="AS70" s="13" t="str">
        <f t="shared" si="18"/>
        <v>CUMPLE</v>
      </c>
      <c r="AT70" s="13">
        <f>[1]Parametros!$B$6*0.083*SQRT([1]Parametros!$B$2)*(H70*I70)^2/(2*(H70+I70))/1000000</f>
        <v>10.08878303333792</v>
      </c>
      <c r="AU70" s="13" t="str">
        <f t="shared" si="19"/>
        <v>DISEÑAR</v>
      </c>
      <c r="AV70" s="13">
        <f>IF(Q70&lt;=AT70,0,Q70*1000000/([1]Parametros!$B$6*2*0.85*(H70-2*([1]Parametros!$B$7+[1]Parametros!$B$9/2))*(I70-2*([1]Parametros!$B$7+[1]Parametros!$B$9/2))*[1]Parametros!$B$4))</f>
        <v>0.19477901183555357</v>
      </c>
      <c r="AW70" s="13">
        <f>AV70*2*((H70-2*([1]Parametros!$B$7+[1]Parametros!$B$9/2))+(I70-2*([1]Parametros!$B$7+[1]Parametros!$B$9/2)))*[1]Parametros!$B$4/[1]Parametros!$B$3</f>
        <v>317.33396608248387</v>
      </c>
      <c r="AX70" s="14">
        <v>8</v>
      </c>
      <c r="AY70" s="13" t="str">
        <f t="shared" si="20"/>
        <v>CUMPLE</v>
      </c>
      <c r="AZ70" s="13" t="str">
        <f t="shared" si="21"/>
        <v>CUMPLE</v>
      </c>
      <c r="BA70" s="14">
        <v>12.7</v>
      </c>
      <c r="BB70" s="14">
        <v>129</v>
      </c>
      <c r="BC70" s="13">
        <f>MAX(IF(AK70=0,0,AK70*1000/([1]Parametros!$B$4*MIN(U70,AB70))),MAX(0.062*SQRT([1]Parametros!$B$2)*H70/[1]Parametros!$B$4,0.35*H70/[1]Parametros!$B$4))</f>
        <v>1.6304255767403131</v>
      </c>
      <c r="BD70" s="13">
        <f t="shared" si="22"/>
        <v>0.38955802367110715</v>
      </c>
      <c r="BE70" s="13">
        <f t="shared" si="23"/>
        <v>2.15</v>
      </c>
      <c r="BF70" s="13">
        <f>SQRT((AI70*1000/(H70*MIN(U70,AB70)))^2+(Q70*1000000*2*((H70-2*([1]Parametros!$B$7+[1]Parametros!$B$9/2))+(I70-2*([1]Parametros!$B$7+[1]Parametros!$B$9/2)))/(1.7*((H70-2*([1]Parametros!$B$7+[1]Parametros!$B$9/2))*(I70-2*([1]Parametros!$B$7+[1]Parametros!$B$9/2)))^2))^2)</f>
        <v>1.9162457277876499</v>
      </c>
      <c r="BG70" s="13">
        <f>[1]Parametros!$B$6*(AJ70*1000/(H70*MIN(U70,AB70))+0.66*SQRT([1]Parametros!$B$2))</f>
        <v>3.2939603822754151</v>
      </c>
      <c r="BH70" s="13" t="str">
        <f t="shared" si="24"/>
        <v>CUMPLE</v>
      </c>
      <c r="BI70" s="13">
        <f>AX70*[1]Parametros!$B$8</f>
        <v>1592</v>
      </c>
      <c r="BJ70" s="15" t="str">
        <f t="shared" si="25"/>
        <v>CUMPLE</v>
      </c>
    </row>
    <row r="71" spans="1:62" x14ac:dyDescent="0.3">
      <c r="A71" s="16" t="s">
        <v>66</v>
      </c>
      <c r="B71" s="17">
        <v>92</v>
      </c>
      <c r="C71" s="13">
        <v>1</v>
      </c>
      <c r="D71" s="13">
        <v>3.4</v>
      </c>
      <c r="E71" s="13">
        <v>3.4</v>
      </c>
      <c r="F71" s="13">
        <v>450</v>
      </c>
      <c r="G71" s="13">
        <v>550</v>
      </c>
      <c r="H71" s="13">
        <v>450</v>
      </c>
      <c r="I71" s="13">
        <v>550</v>
      </c>
      <c r="J71" s="14">
        <v>174.39920000000001</v>
      </c>
      <c r="K71" s="13">
        <v>92</v>
      </c>
      <c r="L71" s="14">
        <v>154.8938</v>
      </c>
      <c r="M71" s="13">
        <v>92</v>
      </c>
      <c r="N71" s="14">
        <v>90.876999999999995</v>
      </c>
      <c r="O71" s="14">
        <v>396.25400000000002</v>
      </c>
      <c r="P71" s="13">
        <v>92</v>
      </c>
      <c r="Q71" s="14">
        <v>2.7904</v>
      </c>
      <c r="R71" s="13">
        <f>MAX(MAX(1.4/[1]Parametros!$B$3,0.25*SQRT([1]Parametros!$B$2)/[1]Parametros!$B$3)*H71*U71,(0.85*[1]Parametros!$B$2/[1]Parametros!$B$3)*(1-SQRT(1-2*(J71*1000000/([1]Parametros!$B$5*H71*U71^2))/(0.85*[1]Parametros!$B$2)))*H71*U71)</f>
        <v>981.42366543566129</v>
      </c>
      <c r="S71" s="14">
        <v>5</v>
      </c>
      <c r="T71" s="14">
        <v>1</v>
      </c>
      <c r="U71" s="13">
        <f>IF(T71=1,I71-([1]Parametros!$B$7+[1]Parametros!$B$9+[1]Parametros!$B$12/2),I71-(ROUNDUP(S71/2,0)*([1]Parametros!$B$7+[1]Parametros!$B$9+[1]Parametros!$B$12/2)+ROUNDDOWN(S71/2,0)*([1]Parametros!$B$7+[1]Parametros!$B$9+[1]Parametros!$B$12/2+[1]Parametros!$B$12+[1]Parametros!$B$10))/S71)</f>
        <v>489.35</v>
      </c>
      <c r="V71" s="13">
        <f>S71*[1]Parametros!$B$8</f>
        <v>995</v>
      </c>
      <c r="W71" s="13">
        <f>[1]Parametros!$B$5*V71*[1]Parametros!$B$3*(U71-(V71*[1]Parametros!$B$3/(0.85*[1]Parametros!$B$2*H71))/2)/1000000</f>
        <v>176.71159614705886</v>
      </c>
      <c r="X71" s="13" t="str">
        <f t="shared" si="13"/>
        <v>CUMPLE</v>
      </c>
      <c r="Y71" s="13">
        <f>MAX(MAX(1.4/[1]Parametros!$B$3,0.25*SQRT([1]Parametros!$B$2)/[1]Parametros!$B$3)*H71*AB71,(0.85*[1]Parametros!$B$2/[1]Parametros!$B$3)*(1-SQRT(1-2*(L71*1000000/([1]Parametros!$B$5*H71*AB71^2))/(0.85*[1]Parametros!$B$2)))*H71*AB71)</f>
        <v>867.53697886418445</v>
      </c>
      <c r="Z71" s="14">
        <v>5</v>
      </c>
      <c r="AA71" s="14">
        <v>1</v>
      </c>
      <c r="AB71" s="13">
        <f>IF(AA71=1,I71-([1]Parametros!$B$7+[1]Parametros!$B$9+[1]Parametros!$B$12/2),I71-(ROUNDUP(Z71/2,0)*([1]Parametros!$B$7+[1]Parametros!$B$9+[1]Parametros!$B$12/2)+ROUNDDOWN(Z71/2,0)*([1]Parametros!$B$7+[1]Parametros!$B$9+[1]Parametros!$B$12/2+[1]Parametros!$B$12+[1]Parametros!$B$10))/Z71)</f>
        <v>489.35</v>
      </c>
      <c r="AC71" s="13">
        <f>Z71*[1]Parametros!$B$8</f>
        <v>995</v>
      </c>
      <c r="AD71" s="13">
        <f>[1]Parametros!$B$5*AC71*[1]Parametros!$B$3*(AB71-(AC71*[1]Parametros!$B$3/(0.85*[1]Parametros!$B$2*H71))/2)/1000000</f>
        <v>176.71159614705886</v>
      </c>
      <c r="AE71" s="13" t="str">
        <f t="shared" si="14"/>
        <v>CUMPLE</v>
      </c>
      <c r="AF71" s="13">
        <f>V71*1.25*[1]Parametros!$B$3*(U71-(V71*1.25*[1]Parametros!$B$3/(0.85*[1]Parametros!$B$2*H71))/2)/1000000</f>
        <v>242.88491397058826</v>
      </c>
      <c r="AG71" s="13">
        <f>AC71*1.25*[1]Parametros!$B$3*(AB71-(AC71*1.25*[1]Parametros!$B$3/(0.85*[1]Parametros!$B$2*H71))/2)/1000000</f>
        <v>242.88491397058826</v>
      </c>
      <c r="AH71" s="13">
        <f t="shared" si="15"/>
        <v>233.75047880622839</v>
      </c>
      <c r="AI71" s="13">
        <f t="shared" si="16"/>
        <v>396.25400000000002</v>
      </c>
      <c r="AJ71" s="13">
        <f>0.17*SQRT([1]Parametros!$B$2)*H71*MIN(U71,AB71)/1000</f>
        <v>198.08885582262698</v>
      </c>
      <c r="AK71" s="13">
        <f>MAX(AI71/[1]Parametros!$B$6-AJ71,0)</f>
        <v>330.24981084403964</v>
      </c>
      <c r="AL71" s="13">
        <f>0.66*SQRT([1]Parametros!$B$2)*H71*MIN(U71,AB71)/1000</f>
        <v>769.05085201725785</v>
      </c>
      <c r="AM71" s="13" t="str">
        <f t="shared" si="17"/>
        <v>CUMPLE</v>
      </c>
      <c r="AN71" s="13" t="s">
        <v>64</v>
      </c>
      <c r="AO71" s="14">
        <v>2</v>
      </c>
      <c r="AP71" s="13">
        <f>ROUNDDOWN(MIN(IF(BC71+BD71=0,1000000000,AO71*BB71/(BC71+BD71)),MIN(U71,AB71)/4,8*[1]Parametros!$B$12,24*BA71,300,IF(AV71=0,1000000000,2*((H71-2*([1]Parametros!$B$7+[1]Parametros!$B$9/2))+(I71-2*([1]Parametros!$B$7+[1]Parametros!$B$9/2)))/8))/10,0)*10</f>
        <v>80</v>
      </c>
      <c r="AQ71" s="13">
        <f>ROUNDDOWN(MIN(IF(BC71+BD71=0,1000000000,AO71*BB71/(BC71+BD71)),IF(AK71&gt;0.33*SQRT([1]Parametros!$B$2)*H71*MIN(U71,AB71)/1000,MIN(U71,AB71)/4,MIN(U71,AB71)/2),600,IF(AV71=0,1000000000,2*((H71-2*([1]Parametros!$B$7+[1]Parametros!$B$9/2))+(I71-2*([1]Parametros!$B$7+[1]Parametros!$B$9/2)))/8))/10,0)*10</f>
        <v>80</v>
      </c>
      <c r="AR71" s="13">
        <f>[1]Parametros!$B$6*(AJ71+MAX(BE71-BD71,0)*[1]Parametros!$B$4*MIN(U71,AB71)/1000)</f>
        <v>422.17446061697024</v>
      </c>
      <c r="AS71" s="13" t="str">
        <f t="shared" si="18"/>
        <v>CUMPLE</v>
      </c>
      <c r="AT71" s="13">
        <f>[1]Parametros!$B$6*0.083*SQRT([1]Parametros!$B$2)*(H71*I71)^2/(2*(H71+I71))/1000000</f>
        <v>10.08878303333792</v>
      </c>
      <c r="AU71" s="13" t="str">
        <f t="shared" si="19"/>
        <v>DESPRECIABLE</v>
      </c>
      <c r="AV71" s="13">
        <f>IF(Q71&lt;=AT71,0,Q71*1000000/([1]Parametros!$B$6*2*0.85*(H71-2*([1]Parametros!$B$7+[1]Parametros!$B$9/2))*(I71-2*([1]Parametros!$B$7+[1]Parametros!$B$9/2))*[1]Parametros!$B$4))</f>
        <v>0</v>
      </c>
      <c r="AW71" s="13">
        <f>AV71*2*((H71-2*([1]Parametros!$B$7+[1]Parametros!$B$9/2))+(I71-2*([1]Parametros!$B$7+[1]Parametros!$B$9/2)))*[1]Parametros!$B$4/[1]Parametros!$B$3</f>
        <v>0</v>
      </c>
      <c r="AX71" s="14">
        <v>0</v>
      </c>
      <c r="AY71" s="13" t="str">
        <f t="shared" si="20"/>
        <v>DESPRECIABLE</v>
      </c>
      <c r="AZ71" s="13" t="str">
        <f t="shared" si="21"/>
        <v>CUMPLE</v>
      </c>
      <c r="BA71" s="14">
        <v>9.5</v>
      </c>
      <c r="BB71" s="14">
        <v>71</v>
      </c>
      <c r="BC71" s="13">
        <f>MAX(IF(AK71=0,0,AK71*1000/([1]Parametros!$B$4*MIN(U71,AB71))),MAX(0.062*SQRT([1]Parametros!$B$2)*H71/[1]Parametros!$B$4,0.35*H71/[1]Parametros!$B$4))</f>
        <v>1.6068439224240108</v>
      </c>
      <c r="BD71" s="13">
        <f t="shared" si="22"/>
        <v>0</v>
      </c>
      <c r="BE71" s="13">
        <f t="shared" si="23"/>
        <v>1.7749999999999999</v>
      </c>
      <c r="BF71" s="13">
        <f>SQRT((AI71*1000/(H71*MIN(U71,AB71)))^2+(Q71*1000000*2*((H71-2*([1]Parametros!$B$7+[1]Parametros!$B$9/2))+(I71-2*([1]Parametros!$B$7+[1]Parametros!$B$9/2)))/(1.7*((H71-2*([1]Parametros!$B$7+[1]Parametros!$B$9/2))*(I71-2*([1]Parametros!$B$7+[1]Parametros!$B$9/2)))^2))^2)</f>
        <v>1.8022430626598591</v>
      </c>
      <c r="BG71" s="13">
        <f>[1]Parametros!$B$6*(AJ71*1000/(H71*MIN(U71,AB71))+0.66*SQRT([1]Parametros!$B$2))</f>
        <v>3.2939603822754151</v>
      </c>
      <c r="BH71" s="13" t="str">
        <f t="shared" si="24"/>
        <v>CUMPLE</v>
      </c>
      <c r="BI71" s="13">
        <f>AX71*[1]Parametros!$B$8</f>
        <v>0</v>
      </c>
      <c r="BJ71" s="15" t="str">
        <f t="shared" si="25"/>
        <v>CUMPLE</v>
      </c>
    </row>
    <row r="72" spans="1:62" x14ac:dyDescent="0.3">
      <c r="A72" s="16" t="s">
        <v>66</v>
      </c>
      <c r="B72" s="17">
        <v>257</v>
      </c>
      <c r="C72" s="13">
        <v>1</v>
      </c>
      <c r="D72" s="13">
        <v>3.4</v>
      </c>
      <c r="E72" s="13">
        <v>3.4</v>
      </c>
      <c r="F72" s="13">
        <v>450</v>
      </c>
      <c r="G72" s="13">
        <v>550</v>
      </c>
      <c r="H72" s="13">
        <v>450</v>
      </c>
      <c r="I72" s="13">
        <v>550</v>
      </c>
      <c r="J72" s="14">
        <v>160.9359</v>
      </c>
      <c r="K72" s="13">
        <v>257</v>
      </c>
      <c r="L72" s="14">
        <v>133.03659999999999</v>
      </c>
      <c r="M72" s="13">
        <v>257</v>
      </c>
      <c r="N72" s="14">
        <v>85.18</v>
      </c>
      <c r="O72" s="14">
        <v>358.94200000000001</v>
      </c>
      <c r="P72" s="13">
        <v>257</v>
      </c>
      <c r="Q72" s="14">
        <v>1.6247</v>
      </c>
      <c r="R72" s="13">
        <f>MAX(MAX(1.4/[1]Parametros!$B$3,0.25*SQRT([1]Parametros!$B$2)/[1]Parametros!$B$3)*H72*U72,(0.85*[1]Parametros!$B$2/[1]Parametros!$B$3)*(1-SQRT(1-2*(J72*1000000/([1]Parametros!$B$5*H72*U72^2))/(0.85*[1]Parametros!$B$2)))*H72*U72)</f>
        <v>902.69536117803932</v>
      </c>
      <c r="S72" s="14">
        <v>5</v>
      </c>
      <c r="T72" s="14">
        <v>1</v>
      </c>
      <c r="U72" s="13">
        <f>IF(T72=1,I72-([1]Parametros!$B$7+[1]Parametros!$B$9+[1]Parametros!$B$12/2),I72-(ROUNDUP(S72/2,0)*([1]Parametros!$B$7+[1]Parametros!$B$9+[1]Parametros!$B$12/2)+ROUNDDOWN(S72/2,0)*([1]Parametros!$B$7+[1]Parametros!$B$9+[1]Parametros!$B$12/2+[1]Parametros!$B$12+[1]Parametros!$B$10))/S72)</f>
        <v>489.35</v>
      </c>
      <c r="V72" s="13">
        <f>S72*[1]Parametros!$B$8</f>
        <v>995</v>
      </c>
      <c r="W72" s="13">
        <f>[1]Parametros!$B$5*V72*[1]Parametros!$B$3*(U72-(V72*[1]Parametros!$B$3/(0.85*[1]Parametros!$B$2*H72))/2)/1000000</f>
        <v>176.71159614705886</v>
      </c>
      <c r="X72" s="13" t="str">
        <f t="shared" si="13"/>
        <v>CUMPLE</v>
      </c>
      <c r="Y72" s="13">
        <f>MAX(MAX(1.4/[1]Parametros!$B$3,0.25*SQRT([1]Parametros!$B$2)/[1]Parametros!$B$3)*H72*AB72,(0.85*[1]Parametros!$B$2/[1]Parametros!$B$3)*(1-SQRT(1-2*(L72*1000000/([1]Parametros!$B$5*H72*AB72^2))/(0.85*[1]Parametros!$B$2)))*H72*AB72)</f>
        <v>741.23164123903655</v>
      </c>
      <c r="Z72" s="14">
        <v>4</v>
      </c>
      <c r="AA72" s="14">
        <v>1</v>
      </c>
      <c r="AB72" s="13">
        <f>IF(AA72=1,I72-([1]Parametros!$B$7+[1]Parametros!$B$9+[1]Parametros!$B$12/2),I72-(ROUNDUP(Z72/2,0)*([1]Parametros!$B$7+[1]Parametros!$B$9+[1]Parametros!$B$12/2)+ROUNDDOWN(Z72/2,0)*([1]Parametros!$B$7+[1]Parametros!$B$9+[1]Parametros!$B$12/2+[1]Parametros!$B$12+[1]Parametros!$B$10))/Z72)</f>
        <v>489.35</v>
      </c>
      <c r="AC72" s="13">
        <f>Z72*[1]Parametros!$B$8</f>
        <v>796</v>
      </c>
      <c r="AD72" s="13">
        <f>[1]Parametros!$B$5*AC72*[1]Parametros!$B$3*(AB72-(AC72*[1]Parametros!$B$3/(0.85*[1]Parametros!$B$2*H72))/2)/1000000</f>
        <v>142.54333009411764</v>
      </c>
      <c r="AE72" s="13" t="str">
        <f t="shared" si="14"/>
        <v>CUMPLE</v>
      </c>
      <c r="AF72" s="13">
        <f>V72*1.25*[1]Parametros!$B$3*(U72-(V72*1.25*[1]Parametros!$B$3/(0.85*[1]Parametros!$B$2*H72))/2)/1000000</f>
        <v>242.88491397058826</v>
      </c>
      <c r="AG72" s="13">
        <f>AC72*1.25*[1]Parametros!$B$3*(AB72-(AC72*1.25*[1]Parametros!$B$3/(0.85*[1]Parametros!$B$2*H72))/2)/1000000</f>
        <v>196.34621794117646</v>
      </c>
      <c r="AH72" s="13">
        <f t="shared" si="15"/>
        <v>214.36562703287197</v>
      </c>
      <c r="AI72" s="13">
        <f t="shared" si="16"/>
        <v>358.94200000000001</v>
      </c>
      <c r="AJ72" s="13">
        <f>0.17*SQRT([1]Parametros!$B$2)*H72*MIN(U72,AB72)/1000</f>
        <v>198.08885582262698</v>
      </c>
      <c r="AK72" s="13">
        <f>MAX(AI72/[1]Parametros!$B$6-AJ72,0)</f>
        <v>280.50047751070633</v>
      </c>
      <c r="AL72" s="13">
        <f>0.66*SQRT([1]Parametros!$B$2)*H72*MIN(U72,AB72)/1000</f>
        <v>769.05085201725785</v>
      </c>
      <c r="AM72" s="13" t="str">
        <f t="shared" si="17"/>
        <v>CUMPLE</v>
      </c>
      <c r="AN72" s="13" t="s">
        <v>64</v>
      </c>
      <c r="AO72" s="14">
        <v>2</v>
      </c>
      <c r="AP72" s="13">
        <f>ROUNDDOWN(MIN(IF(BC72+BD72=0,1000000000,AO72*BB72/(BC72+BD72)),MIN(U72,AB72)/4,8*[1]Parametros!$B$12,24*BA72,300,IF(AV72=0,1000000000,2*((H72-2*([1]Parametros!$B$7+[1]Parametros!$B$9/2))+(I72-2*([1]Parametros!$B$7+[1]Parametros!$B$9/2)))/8))/10,0)*10</f>
        <v>100</v>
      </c>
      <c r="AQ72" s="13">
        <f>ROUNDDOWN(MIN(IF(BC72+BD72=0,1000000000,AO72*BB72/(BC72+BD72)),IF(AK72&gt;0.33*SQRT([1]Parametros!$B$2)*H72*MIN(U72,AB72)/1000,MIN(U72,AB72)/4,MIN(U72,AB72)/2),600,IF(AV72=0,1000000000,2*((H72-2*([1]Parametros!$B$7+[1]Parametros!$B$9/2))+(I72-2*([1]Parametros!$B$7+[1]Parametros!$B$9/2)))/8))/10,0)*10</f>
        <v>100</v>
      </c>
      <c r="AR72" s="13">
        <f>[1]Parametros!$B$6*(AJ72+MAX(BE72-BD72,0)*[1]Parametros!$B$4*MIN(U72,AB72)/1000)</f>
        <v>367.45289686697026</v>
      </c>
      <c r="AS72" s="13" t="str">
        <f t="shared" si="18"/>
        <v>CUMPLE</v>
      </c>
      <c r="AT72" s="13">
        <f>[1]Parametros!$B$6*0.083*SQRT([1]Parametros!$B$2)*(H72*I72)^2/(2*(H72+I72))/1000000</f>
        <v>10.08878303333792</v>
      </c>
      <c r="AU72" s="13" t="str">
        <f t="shared" si="19"/>
        <v>DESPRECIABLE</v>
      </c>
      <c r="AV72" s="13">
        <f>IF(Q72&lt;=AT72,0,Q72*1000000/([1]Parametros!$B$6*2*0.85*(H72-2*([1]Parametros!$B$7+[1]Parametros!$B$9/2))*(I72-2*([1]Parametros!$B$7+[1]Parametros!$B$9/2))*[1]Parametros!$B$4))</f>
        <v>0</v>
      </c>
      <c r="AW72" s="13">
        <f>AV72*2*((H72-2*([1]Parametros!$B$7+[1]Parametros!$B$9/2))+(I72-2*([1]Parametros!$B$7+[1]Parametros!$B$9/2)))*[1]Parametros!$B$4/[1]Parametros!$B$3</f>
        <v>0</v>
      </c>
      <c r="AX72" s="14">
        <v>0</v>
      </c>
      <c r="AY72" s="13" t="str">
        <f t="shared" si="20"/>
        <v>DESPRECIABLE</v>
      </c>
      <c r="AZ72" s="13" t="str">
        <f t="shared" si="21"/>
        <v>CUMPLE</v>
      </c>
      <c r="BA72" s="14">
        <v>9.5</v>
      </c>
      <c r="BB72" s="14">
        <v>71</v>
      </c>
      <c r="BC72" s="13">
        <f>MAX(IF(AK72=0,0,AK72*1000/([1]Parametros!$B$4*MIN(U72,AB72))),MAX(0.062*SQRT([1]Parametros!$B$2)*H72/[1]Parametros!$B$4,0.35*H72/[1]Parametros!$B$4))</f>
        <v>1.3647865122864944</v>
      </c>
      <c r="BD72" s="13">
        <f t="shared" si="22"/>
        <v>0</v>
      </c>
      <c r="BE72" s="13">
        <f t="shared" si="23"/>
        <v>1.42</v>
      </c>
      <c r="BF72" s="13">
        <f>SQRT((AI72*1000/(H72*MIN(U72,AB72)))^2+(Q72*1000000*2*((H72-2*([1]Parametros!$B$7+[1]Parametros!$B$9/2))+(I72-2*([1]Parametros!$B$7+[1]Parametros!$B$9/2)))/(1.7*((H72-2*([1]Parametros!$B$7+[1]Parametros!$B$9/2))*(I72-2*([1]Parametros!$B$7+[1]Parametros!$B$9/2)))^2))^2)</f>
        <v>1.631060179056959</v>
      </c>
      <c r="BG72" s="13">
        <f>[1]Parametros!$B$6*(AJ72*1000/(H72*MIN(U72,AB72))+0.66*SQRT([1]Parametros!$B$2))</f>
        <v>3.2939603822754151</v>
      </c>
      <c r="BH72" s="13" t="str">
        <f t="shared" si="24"/>
        <v>CUMPLE</v>
      </c>
      <c r="BI72" s="13">
        <f>AX72*[1]Parametros!$B$8</f>
        <v>0</v>
      </c>
      <c r="BJ72" s="15" t="str">
        <f t="shared" si="25"/>
        <v>CUMPLE</v>
      </c>
    </row>
    <row r="73" spans="1:62" x14ac:dyDescent="0.3">
      <c r="A73" s="16" t="s">
        <v>66</v>
      </c>
      <c r="B73" s="17">
        <v>258</v>
      </c>
      <c r="C73" s="13">
        <v>1</v>
      </c>
      <c r="D73" s="13">
        <v>3.2147700000000001</v>
      </c>
      <c r="E73" s="13">
        <v>3.2147700000000001</v>
      </c>
      <c r="F73" s="13">
        <v>450</v>
      </c>
      <c r="G73" s="13">
        <v>550</v>
      </c>
      <c r="H73" s="13">
        <v>450</v>
      </c>
      <c r="I73" s="13">
        <v>550</v>
      </c>
      <c r="J73" s="14">
        <v>164.1473</v>
      </c>
      <c r="K73" s="13">
        <v>258</v>
      </c>
      <c r="L73" s="14">
        <v>135.37010000000001</v>
      </c>
      <c r="M73" s="13">
        <v>258</v>
      </c>
      <c r="N73" s="14">
        <v>100.80500000000001</v>
      </c>
      <c r="O73" s="14">
        <v>379.738</v>
      </c>
      <c r="P73" s="13">
        <v>258</v>
      </c>
      <c r="Q73" s="14">
        <v>14.359400000000001</v>
      </c>
      <c r="R73" s="13">
        <f>MAX(MAX(1.4/[1]Parametros!$B$3,0.25*SQRT([1]Parametros!$B$2)/[1]Parametros!$B$3)*H73*U73,(0.85*[1]Parametros!$B$2/[1]Parametros!$B$3)*(1-SQRT(1-2*(J73*1000000/([1]Parametros!$B$5*H73*U73^2))/(0.85*[1]Parametros!$B$2)))*H73*U73)</f>
        <v>921.42571194442496</v>
      </c>
      <c r="S73" s="14">
        <v>5</v>
      </c>
      <c r="T73" s="14">
        <v>1</v>
      </c>
      <c r="U73" s="13">
        <f>IF(T73=1,I73-([1]Parametros!$B$7+[1]Parametros!$B$9+[1]Parametros!$B$12/2),I73-(ROUNDUP(S73/2,0)*([1]Parametros!$B$7+[1]Parametros!$B$9+[1]Parametros!$B$12/2)+ROUNDDOWN(S73/2,0)*([1]Parametros!$B$7+[1]Parametros!$B$9+[1]Parametros!$B$12/2+[1]Parametros!$B$12+[1]Parametros!$B$10))/S73)</f>
        <v>489.35</v>
      </c>
      <c r="V73" s="13">
        <f>S73*[1]Parametros!$B$8</f>
        <v>995</v>
      </c>
      <c r="W73" s="13">
        <f>[1]Parametros!$B$5*V73*[1]Parametros!$B$3*(U73-(V73*[1]Parametros!$B$3/(0.85*[1]Parametros!$B$2*H73))/2)/1000000</f>
        <v>176.71159614705886</v>
      </c>
      <c r="X73" s="13" t="str">
        <f t="shared" si="13"/>
        <v>CUMPLE</v>
      </c>
      <c r="Y73" s="13">
        <f>MAX(MAX(1.4/[1]Parametros!$B$3,0.25*SQRT([1]Parametros!$B$2)/[1]Parametros!$B$3)*H73*AB73,(0.85*[1]Parametros!$B$2/[1]Parametros!$B$3)*(1-SQRT(1-2*(L73*1000000/([1]Parametros!$B$5*H73*AB73^2))/(0.85*[1]Parametros!$B$2)))*H73*AB73)</f>
        <v>754.65126287272881</v>
      </c>
      <c r="Z73" s="14">
        <v>4</v>
      </c>
      <c r="AA73" s="14">
        <v>1</v>
      </c>
      <c r="AB73" s="13">
        <f>IF(AA73=1,I73-([1]Parametros!$B$7+[1]Parametros!$B$9+[1]Parametros!$B$12/2),I73-(ROUNDUP(Z73/2,0)*([1]Parametros!$B$7+[1]Parametros!$B$9+[1]Parametros!$B$12/2)+ROUNDDOWN(Z73/2,0)*([1]Parametros!$B$7+[1]Parametros!$B$9+[1]Parametros!$B$12/2+[1]Parametros!$B$12+[1]Parametros!$B$10))/Z73)</f>
        <v>489.35</v>
      </c>
      <c r="AC73" s="13">
        <f>Z73*[1]Parametros!$B$8</f>
        <v>796</v>
      </c>
      <c r="AD73" s="13">
        <f>[1]Parametros!$B$5*AC73*[1]Parametros!$B$3*(AB73-(AC73*[1]Parametros!$B$3/(0.85*[1]Parametros!$B$2*H73))/2)/1000000</f>
        <v>142.54333009411764</v>
      </c>
      <c r="AE73" s="13" t="str">
        <f t="shared" si="14"/>
        <v>CUMPLE</v>
      </c>
      <c r="AF73" s="13">
        <f>V73*1.25*[1]Parametros!$B$3*(U73-(V73*1.25*[1]Parametros!$B$3/(0.85*[1]Parametros!$B$2*H73))/2)/1000000</f>
        <v>242.88491397058826</v>
      </c>
      <c r="AG73" s="13">
        <f>AC73*1.25*[1]Parametros!$B$3*(AB73-(AC73*1.25*[1]Parametros!$B$3/(0.85*[1]Parametros!$B$2*H73))/2)/1000000</f>
        <v>196.34621794117646</v>
      </c>
      <c r="AH73" s="13">
        <f t="shared" si="15"/>
        <v>237.43410003258856</v>
      </c>
      <c r="AI73" s="13">
        <f t="shared" si="16"/>
        <v>379.738</v>
      </c>
      <c r="AJ73" s="13">
        <f>0.17*SQRT([1]Parametros!$B$2)*H73*MIN(U73,AB73)/1000</f>
        <v>198.08885582262698</v>
      </c>
      <c r="AK73" s="13">
        <f>MAX(AI73/[1]Parametros!$B$6-AJ73,0)</f>
        <v>308.2284775107064</v>
      </c>
      <c r="AL73" s="13">
        <f>0.66*SQRT([1]Parametros!$B$2)*H73*MIN(U73,AB73)/1000</f>
        <v>769.05085201725785</v>
      </c>
      <c r="AM73" s="13" t="str">
        <f t="shared" si="17"/>
        <v>CUMPLE</v>
      </c>
      <c r="AN73" s="13" t="s">
        <v>68</v>
      </c>
      <c r="AO73" s="14">
        <v>2</v>
      </c>
      <c r="AP73" s="13">
        <f>ROUNDDOWN(MIN(IF(BC73+BD73=0,1000000000,AO73*BB73/(BC73+BD73)),MIN(U73,AB73)/4,8*[1]Parametros!$B$12,24*BA73,300,IF(AV73=0,1000000000,2*((H73-2*([1]Parametros!$B$7+[1]Parametros!$B$9/2))+(I73-2*([1]Parametros!$B$7+[1]Parametros!$B$9/2)))/8))/10,0)*10</f>
        <v>120</v>
      </c>
      <c r="AQ73" s="13">
        <f>ROUNDDOWN(MIN(IF(BC73+BD73=0,1000000000,AO73*BB73/(BC73+BD73)),IF(AK73&gt;0.33*SQRT([1]Parametros!$B$2)*H73*MIN(U73,AB73)/1000,MIN(U73,AB73)/4,MIN(U73,AB73)/2),600,IF(AV73=0,1000000000,2*((H73-2*([1]Parametros!$B$7+[1]Parametros!$B$9/2))+(I73-2*([1]Parametros!$B$7+[1]Parametros!$B$9/2)))/8))/10,0)*10</f>
        <v>140</v>
      </c>
      <c r="AR73" s="13">
        <f>[1]Parametros!$B$6*(AJ73+MAX(BE73-BD73,0)*[1]Parametros!$B$4*MIN(U73,AB73)/1000)</f>
        <v>429.38449524388705</v>
      </c>
      <c r="AS73" s="13" t="str">
        <f t="shared" si="18"/>
        <v>CUMPLE</v>
      </c>
      <c r="AT73" s="13">
        <f>[1]Parametros!$B$6*0.083*SQRT([1]Parametros!$B$2)*(H73*I73)^2/(2*(H73+I73))/1000000</f>
        <v>10.08878303333792</v>
      </c>
      <c r="AU73" s="13" t="str">
        <f t="shared" si="19"/>
        <v>DISEÑAR</v>
      </c>
      <c r="AV73" s="13">
        <f>IF(Q73&lt;=AT73,0,Q73*1000000/([1]Parametros!$B$6*2*0.85*(H73-2*([1]Parametros!$B$7+[1]Parametros!$B$9/2))*(I73-2*([1]Parametros!$B$7+[1]Parametros!$B$9/2))*[1]Parametros!$B$4))</f>
        <v>0.16411285499580158</v>
      </c>
      <c r="AW73" s="13">
        <f>AV73*2*((H73-2*([1]Parametros!$B$7+[1]Parametros!$B$9/2))+(I73-2*([1]Parametros!$B$7+[1]Parametros!$B$9/2)))*[1]Parametros!$B$4/[1]Parametros!$B$3</f>
        <v>267.37266335915996</v>
      </c>
      <c r="AX73" s="14">
        <v>8</v>
      </c>
      <c r="AY73" s="13" t="str">
        <f t="shared" si="20"/>
        <v>CUMPLE</v>
      </c>
      <c r="AZ73" s="13" t="str">
        <f t="shared" si="21"/>
        <v>CUMPLE</v>
      </c>
      <c r="BA73" s="14">
        <v>12.7</v>
      </c>
      <c r="BB73" s="14">
        <v>129</v>
      </c>
      <c r="BC73" s="13">
        <f>MAX(IF(AK73=0,0,AK73*1000/([1]Parametros!$B$4*MIN(U73,AB73))),MAX(0.062*SQRT([1]Parametros!$B$2)*H73/[1]Parametros!$B$4,0.35*H73/[1]Parametros!$B$4))</f>
        <v>1.499698227049032</v>
      </c>
      <c r="BD73" s="13">
        <f t="shared" si="22"/>
        <v>0.32822570999160317</v>
      </c>
      <c r="BE73" s="13">
        <f t="shared" si="23"/>
        <v>2.15</v>
      </c>
      <c r="BF73" s="13">
        <f>SQRT((AI73*1000/(H73*MIN(U73,AB73)))^2+(Q73*1000000*2*((H73-2*([1]Parametros!$B$7+[1]Parametros!$B$9/2))+(I73-2*([1]Parametros!$B$7+[1]Parametros!$B$9/2)))/(1.7*((H73-2*([1]Parametros!$B$7+[1]Parametros!$B$9/2))*(I73-2*([1]Parametros!$B$7+[1]Parametros!$B$9/2)))^2))^2)</f>
        <v>1.7998453396829468</v>
      </c>
      <c r="BG73" s="13">
        <f>[1]Parametros!$B$6*(AJ73*1000/(H73*MIN(U73,AB73))+0.66*SQRT([1]Parametros!$B$2))</f>
        <v>3.2939603822754151</v>
      </c>
      <c r="BH73" s="13" t="str">
        <f t="shared" si="24"/>
        <v>CUMPLE</v>
      </c>
      <c r="BI73" s="13">
        <f>AX73*[1]Parametros!$B$8</f>
        <v>1592</v>
      </c>
      <c r="BJ73" s="15" t="str">
        <f t="shared" si="25"/>
        <v>CUMPLE</v>
      </c>
    </row>
    <row r="74" spans="1:62" x14ac:dyDescent="0.3">
      <c r="A74" s="16" t="s">
        <v>66</v>
      </c>
      <c r="B74" s="17">
        <v>259</v>
      </c>
      <c r="C74" s="13">
        <v>1</v>
      </c>
      <c r="D74" s="13">
        <v>3.2147700000000001</v>
      </c>
      <c r="E74" s="13">
        <v>3.2147700000000001</v>
      </c>
      <c r="F74" s="13">
        <v>450</v>
      </c>
      <c r="G74" s="13">
        <v>550</v>
      </c>
      <c r="H74" s="13">
        <v>450</v>
      </c>
      <c r="I74" s="13">
        <v>550</v>
      </c>
      <c r="J74" s="14">
        <v>164.15360000000001</v>
      </c>
      <c r="K74" s="13">
        <v>259</v>
      </c>
      <c r="L74" s="14">
        <v>135.36189999999999</v>
      </c>
      <c r="M74" s="13">
        <v>259</v>
      </c>
      <c r="N74" s="14">
        <v>100.804</v>
      </c>
      <c r="O74" s="14">
        <v>379.73700000000002</v>
      </c>
      <c r="P74" s="13">
        <v>259</v>
      </c>
      <c r="Q74" s="14">
        <v>14.428800000000001</v>
      </c>
      <c r="R74" s="13">
        <f>MAX(MAX(1.4/[1]Parametros!$B$3,0.25*SQRT([1]Parametros!$B$2)/[1]Parametros!$B$3)*H74*U74,(0.85*[1]Parametros!$B$2/[1]Parametros!$B$3)*(1-SQRT(1-2*(J74*1000000/([1]Parametros!$B$5*H74*U74^2))/(0.85*[1]Parametros!$B$2)))*H74*U74)</f>
        <v>921.46248625457167</v>
      </c>
      <c r="S74" s="14">
        <v>5</v>
      </c>
      <c r="T74" s="14">
        <v>1</v>
      </c>
      <c r="U74" s="13">
        <f>IF(T74=1,I74-([1]Parametros!$B$7+[1]Parametros!$B$9+[1]Parametros!$B$12/2),I74-(ROUNDUP(S74/2,0)*([1]Parametros!$B$7+[1]Parametros!$B$9+[1]Parametros!$B$12/2)+ROUNDDOWN(S74/2,0)*([1]Parametros!$B$7+[1]Parametros!$B$9+[1]Parametros!$B$12/2+[1]Parametros!$B$12+[1]Parametros!$B$10))/S74)</f>
        <v>489.35</v>
      </c>
      <c r="V74" s="13">
        <f>S74*[1]Parametros!$B$8</f>
        <v>995</v>
      </c>
      <c r="W74" s="13">
        <f>[1]Parametros!$B$5*V74*[1]Parametros!$B$3*(U74-(V74*[1]Parametros!$B$3/(0.85*[1]Parametros!$B$2*H74))/2)/1000000</f>
        <v>176.71159614705886</v>
      </c>
      <c r="X74" s="13" t="str">
        <f t="shared" si="13"/>
        <v>CUMPLE</v>
      </c>
      <c r="Y74" s="13">
        <f>MAX(MAX(1.4/[1]Parametros!$B$3,0.25*SQRT([1]Parametros!$B$2)/[1]Parametros!$B$3)*H74*AB74,(0.85*[1]Parametros!$B$2/[1]Parametros!$B$3)*(1-SQRT(1-2*(L74*1000000/([1]Parametros!$B$5*H74*AB74^2))/(0.85*[1]Parametros!$B$2)))*H74*AB74)</f>
        <v>754.60407896229037</v>
      </c>
      <c r="Z74" s="14">
        <v>4</v>
      </c>
      <c r="AA74" s="14">
        <v>1</v>
      </c>
      <c r="AB74" s="13">
        <f>IF(AA74=1,I74-([1]Parametros!$B$7+[1]Parametros!$B$9+[1]Parametros!$B$12/2),I74-(ROUNDUP(Z74/2,0)*([1]Parametros!$B$7+[1]Parametros!$B$9+[1]Parametros!$B$12/2)+ROUNDDOWN(Z74/2,0)*([1]Parametros!$B$7+[1]Parametros!$B$9+[1]Parametros!$B$12/2+[1]Parametros!$B$12+[1]Parametros!$B$10))/Z74)</f>
        <v>489.35</v>
      </c>
      <c r="AC74" s="13">
        <f>Z74*[1]Parametros!$B$8</f>
        <v>796</v>
      </c>
      <c r="AD74" s="13">
        <f>[1]Parametros!$B$5*AC74*[1]Parametros!$B$3*(AB74-(AC74*[1]Parametros!$B$3/(0.85*[1]Parametros!$B$2*H74))/2)/1000000</f>
        <v>142.54333009411764</v>
      </c>
      <c r="AE74" s="13" t="str">
        <f t="shared" si="14"/>
        <v>CUMPLE</v>
      </c>
      <c r="AF74" s="13">
        <f>V74*1.25*[1]Parametros!$B$3*(U74-(V74*1.25*[1]Parametros!$B$3/(0.85*[1]Parametros!$B$2*H74))/2)/1000000</f>
        <v>242.88491397058826</v>
      </c>
      <c r="AG74" s="13">
        <f>AC74*1.25*[1]Parametros!$B$3*(AB74-(AC74*1.25*[1]Parametros!$B$3/(0.85*[1]Parametros!$B$2*H74))/2)/1000000</f>
        <v>196.34621794117646</v>
      </c>
      <c r="AH74" s="13">
        <f t="shared" si="15"/>
        <v>237.43310003258856</v>
      </c>
      <c r="AI74" s="13">
        <f t="shared" si="16"/>
        <v>379.73700000000002</v>
      </c>
      <c r="AJ74" s="13">
        <f>0.17*SQRT([1]Parametros!$B$2)*H74*MIN(U74,AB74)/1000</f>
        <v>198.08885582262698</v>
      </c>
      <c r="AK74" s="13">
        <f>MAX(AI74/[1]Parametros!$B$6-AJ74,0)</f>
        <v>308.22714417737302</v>
      </c>
      <c r="AL74" s="13">
        <f>0.66*SQRT([1]Parametros!$B$2)*H74*MIN(U74,AB74)/1000</f>
        <v>769.05085201725785</v>
      </c>
      <c r="AM74" s="13" t="str">
        <f t="shared" si="17"/>
        <v>CUMPLE</v>
      </c>
      <c r="AN74" s="13" t="s">
        <v>68</v>
      </c>
      <c r="AO74" s="14">
        <v>2</v>
      </c>
      <c r="AP74" s="13">
        <f>ROUNDDOWN(MIN(IF(BC74+BD74=0,1000000000,AO74*BB74/(BC74+BD74)),MIN(U74,AB74)/4,8*[1]Parametros!$B$12,24*BA74,300,IF(AV74=0,1000000000,2*((H74-2*([1]Parametros!$B$7+[1]Parametros!$B$9/2))+(I74-2*([1]Parametros!$B$7+[1]Parametros!$B$9/2)))/8))/10,0)*10</f>
        <v>120</v>
      </c>
      <c r="AQ74" s="13">
        <f>ROUNDDOWN(MIN(IF(BC74+BD74=0,1000000000,AO74*BB74/(BC74+BD74)),IF(AK74&gt;0.33*SQRT([1]Parametros!$B$2)*H74*MIN(U74,AB74)/1000,MIN(U74,AB74)/4,MIN(U74,AB74)/2),600,IF(AV74=0,1000000000,2*((H74-2*([1]Parametros!$B$7+[1]Parametros!$B$9/2))+(I74-2*([1]Parametros!$B$7+[1]Parametros!$B$9/2)))/8))/10,0)*10</f>
        <v>140</v>
      </c>
      <c r="AR74" s="13">
        <f>[1]Parametros!$B$6*(AJ74+MAX(BE74-BD74,0)*[1]Parametros!$B$4*MIN(U74,AB74)/1000)</f>
        <v>429.13996875056966</v>
      </c>
      <c r="AS74" s="13" t="str">
        <f t="shared" si="18"/>
        <v>CUMPLE</v>
      </c>
      <c r="AT74" s="13">
        <f>[1]Parametros!$B$6*0.083*SQRT([1]Parametros!$B$2)*(H74*I74)^2/(2*(H74+I74))/1000000</f>
        <v>10.08878303333792</v>
      </c>
      <c r="AU74" s="13" t="str">
        <f t="shared" si="19"/>
        <v>DISEÑAR</v>
      </c>
      <c r="AV74" s="13">
        <f>IF(Q74&lt;=AT74,0,Q74*1000000/([1]Parametros!$B$6*2*0.85*(H74-2*([1]Parametros!$B$7+[1]Parametros!$B$9/2))*(I74-2*([1]Parametros!$B$7+[1]Parametros!$B$9/2))*[1]Parametros!$B$4))</f>
        <v>0.16490602407923882</v>
      </c>
      <c r="AW74" s="13">
        <f>AV74*2*((H74-2*([1]Parametros!$B$7+[1]Parametros!$B$9/2))+(I74-2*([1]Parametros!$B$7+[1]Parametros!$B$9/2)))*[1]Parametros!$B$4/[1]Parametros!$B$3</f>
        <v>268.66489442989592</v>
      </c>
      <c r="AX74" s="14">
        <v>8</v>
      </c>
      <c r="AY74" s="13" t="str">
        <f t="shared" si="20"/>
        <v>CUMPLE</v>
      </c>
      <c r="AZ74" s="13" t="str">
        <f t="shared" si="21"/>
        <v>CUMPLE</v>
      </c>
      <c r="BA74" s="14">
        <v>12.7</v>
      </c>
      <c r="BB74" s="14">
        <v>129</v>
      </c>
      <c r="BC74" s="13">
        <f>MAX(IF(AK74=0,0,AK74*1000/([1]Parametros!$B$4*MIN(U74,AB74))),MAX(0.062*SQRT([1]Parametros!$B$2)*H74/[1]Parametros!$B$4,0.35*H74/[1]Parametros!$B$4))</f>
        <v>1.4996917396613245</v>
      </c>
      <c r="BD74" s="13">
        <f t="shared" si="22"/>
        <v>0.32981204815847764</v>
      </c>
      <c r="BE74" s="13">
        <f t="shared" si="23"/>
        <v>2.15</v>
      </c>
      <c r="BF74" s="13">
        <f>SQRT((AI74*1000/(H74*MIN(U74,AB74)))^2+(Q74*1000000*2*((H74-2*([1]Parametros!$B$7+[1]Parametros!$B$9/2))+(I74-2*([1]Parametros!$B$7+[1]Parametros!$B$9/2)))/(1.7*((H74-2*([1]Parametros!$B$7+[1]Parametros!$B$9/2))*(I74-2*([1]Parametros!$B$7+[1]Parametros!$B$9/2)))^2))^2)</f>
        <v>1.8005560408116617</v>
      </c>
      <c r="BG74" s="13">
        <f>[1]Parametros!$B$6*(AJ74*1000/(H74*MIN(U74,AB74))+0.66*SQRT([1]Parametros!$B$2))</f>
        <v>3.2939603822754151</v>
      </c>
      <c r="BH74" s="13" t="str">
        <f t="shared" si="24"/>
        <v>CUMPLE</v>
      </c>
      <c r="BI74" s="13">
        <f>AX74*[1]Parametros!$B$8</f>
        <v>1592</v>
      </c>
      <c r="BJ74" s="15" t="str">
        <f t="shared" si="25"/>
        <v>CUMPLE</v>
      </c>
    </row>
    <row r="75" spans="1:62" x14ac:dyDescent="0.3">
      <c r="A75" s="16" t="s">
        <v>66</v>
      </c>
      <c r="B75" s="17">
        <v>260</v>
      </c>
      <c r="C75" s="13">
        <v>1</v>
      </c>
      <c r="D75" s="13">
        <v>3.4</v>
      </c>
      <c r="E75" s="13">
        <v>3.4</v>
      </c>
      <c r="F75" s="13">
        <v>450</v>
      </c>
      <c r="G75" s="13">
        <v>550</v>
      </c>
      <c r="H75" s="13">
        <v>450</v>
      </c>
      <c r="I75" s="13">
        <v>550</v>
      </c>
      <c r="J75" s="14">
        <v>160.95519999999999</v>
      </c>
      <c r="K75" s="13">
        <v>260</v>
      </c>
      <c r="L75" s="14">
        <v>133.0249</v>
      </c>
      <c r="M75" s="13">
        <v>260</v>
      </c>
      <c r="N75" s="14">
        <v>85.188999999999993</v>
      </c>
      <c r="O75" s="14">
        <v>358.95</v>
      </c>
      <c r="P75" s="13">
        <v>260</v>
      </c>
      <c r="Q75" s="14">
        <v>1.6242000000000001</v>
      </c>
      <c r="R75" s="13">
        <f>MAX(MAX(1.4/[1]Parametros!$B$3,0.25*SQRT([1]Parametros!$B$2)/[1]Parametros!$B$3)*H75*U75,(0.85*[1]Parametros!$B$2/[1]Parametros!$B$3)*(1-SQRT(1-2*(J75*1000000/([1]Parametros!$B$5*H75*U75^2))/(0.85*[1]Parametros!$B$2)))*H75*U75)</f>
        <v>902.80783706448585</v>
      </c>
      <c r="S75" s="14">
        <v>5</v>
      </c>
      <c r="T75" s="14">
        <v>1</v>
      </c>
      <c r="U75" s="13">
        <f>IF(T75=1,I75-([1]Parametros!$B$7+[1]Parametros!$B$9+[1]Parametros!$B$12/2),I75-(ROUNDUP(S75/2,0)*([1]Parametros!$B$7+[1]Parametros!$B$9+[1]Parametros!$B$12/2)+ROUNDDOWN(S75/2,0)*([1]Parametros!$B$7+[1]Parametros!$B$9+[1]Parametros!$B$12/2+[1]Parametros!$B$12+[1]Parametros!$B$10))/S75)</f>
        <v>489.35</v>
      </c>
      <c r="V75" s="13">
        <f>S75*[1]Parametros!$B$8</f>
        <v>995</v>
      </c>
      <c r="W75" s="13">
        <f>[1]Parametros!$B$5*V75*[1]Parametros!$B$3*(U75-(V75*[1]Parametros!$B$3/(0.85*[1]Parametros!$B$2*H75))/2)/1000000</f>
        <v>176.71159614705886</v>
      </c>
      <c r="X75" s="13" t="str">
        <f t="shared" si="13"/>
        <v>CUMPLE</v>
      </c>
      <c r="Y75" s="13">
        <f>MAX(MAX(1.4/[1]Parametros!$B$3,0.25*SQRT([1]Parametros!$B$2)/[1]Parametros!$B$3)*H75*AB75,(0.85*[1]Parametros!$B$2/[1]Parametros!$B$3)*(1-SQRT(1-2*(L75*1000000/([1]Parametros!$B$5*H75*AB75^2))/(0.85*[1]Parametros!$B$2)))*H75*AB75)</f>
        <v>741.16439488557478</v>
      </c>
      <c r="Z75" s="14">
        <v>4</v>
      </c>
      <c r="AA75" s="14">
        <v>1</v>
      </c>
      <c r="AB75" s="13">
        <f>IF(AA75=1,I75-([1]Parametros!$B$7+[1]Parametros!$B$9+[1]Parametros!$B$12/2),I75-(ROUNDUP(Z75/2,0)*([1]Parametros!$B$7+[1]Parametros!$B$9+[1]Parametros!$B$12/2)+ROUNDDOWN(Z75/2,0)*([1]Parametros!$B$7+[1]Parametros!$B$9+[1]Parametros!$B$12/2+[1]Parametros!$B$12+[1]Parametros!$B$10))/Z75)</f>
        <v>489.35</v>
      </c>
      <c r="AC75" s="13">
        <f>Z75*[1]Parametros!$B$8</f>
        <v>796</v>
      </c>
      <c r="AD75" s="13">
        <f>[1]Parametros!$B$5*AC75*[1]Parametros!$B$3*(AB75-(AC75*[1]Parametros!$B$3/(0.85*[1]Parametros!$B$2*H75))/2)/1000000</f>
        <v>142.54333009411764</v>
      </c>
      <c r="AE75" s="13" t="str">
        <f t="shared" si="14"/>
        <v>CUMPLE</v>
      </c>
      <c r="AF75" s="13">
        <f>V75*1.25*[1]Parametros!$B$3*(U75-(V75*1.25*[1]Parametros!$B$3/(0.85*[1]Parametros!$B$2*H75))/2)/1000000</f>
        <v>242.88491397058826</v>
      </c>
      <c r="AG75" s="13">
        <f>AC75*1.25*[1]Parametros!$B$3*(AB75-(AC75*1.25*[1]Parametros!$B$3/(0.85*[1]Parametros!$B$2*H75))/2)/1000000</f>
        <v>196.34621794117646</v>
      </c>
      <c r="AH75" s="13">
        <f t="shared" si="15"/>
        <v>214.37462703287196</v>
      </c>
      <c r="AI75" s="13">
        <f t="shared" si="16"/>
        <v>358.95</v>
      </c>
      <c r="AJ75" s="13">
        <f>0.17*SQRT([1]Parametros!$B$2)*H75*MIN(U75,AB75)/1000</f>
        <v>198.08885582262698</v>
      </c>
      <c r="AK75" s="13">
        <f>MAX(AI75/[1]Parametros!$B$6-AJ75,0)</f>
        <v>280.51114417737301</v>
      </c>
      <c r="AL75" s="13">
        <f>0.66*SQRT([1]Parametros!$B$2)*H75*MIN(U75,AB75)/1000</f>
        <v>769.05085201725785</v>
      </c>
      <c r="AM75" s="13" t="str">
        <f t="shared" si="17"/>
        <v>CUMPLE</v>
      </c>
      <c r="AN75" s="13" t="s">
        <v>64</v>
      </c>
      <c r="AO75" s="14">
        <v>2</v>
      </c>
      <c r="AP75" s="13">
        <f>ROUNDDOWN(MIN(IF(BC75+BD75=0,1000000000,AO75*BB75/(BC75+BD75)),MIN(U75,AB75)/4,8*[1]Parametros!$B$12,24*BA75,300,IF(AV75=0,1000000000,2*((H75-2*([1]Parametros!$B$7+[1]Parametros!$B$9/2))+(I75-2*([1]Parametros!$B$7+[1]Parametros!$B$9/2)))/8))/10,0)*10</f>
        <v>100</v>
      </c>
      <c r="AQ75" s="13">
        <f>ROUNDDOWN(MIN(IF(BC75+BD75=0,1000000000,AO75*BB75/(BC75+BD75)),IF(AK75&gt;0.33*SQRT([1]Parametros!$B$2)*H75*MIN(U75,AB75)/1000,MIN(U75,AB75)/4,MIN(U75,AB75)/2),600,IF(AV75=0,1000000000,2*((H75-2*([1]Parametros!$B$7+[1]Parametros!$B$9/2))+(I75-2*([1]Parametros!$B$7+[1]Parametros!$B$9/2)))/8))/10,0)*10</f>
        <v>100</v>
      </c>
      <c r="AR75" s="13">
        <f>[1]Parametros!$B$6*(AJ75+MAX(BE75-BD75,0)*[1]Parametros!$B$4*MIN(U75,AB75)/1000)</f>
        <v>367.45289686697026</v>
      </c>
      <c r="AS75" s="13" t="str">
        <f t="shared" si="18"/>
        <v>CUMPLE</v>
      </c>
      <c r="AT75" s="13">
        <f>[1]Parametros!$B$6*0.083*SQRT([1]Parametros!$B$2)*(H75*I75)^2/(2*(H75+I75))/1000000</f>
        <v>10.08878303333792</v>
      </c>
      <c r="AU75" s="13" t="str">
        <f t="shared" si="19"/>
        <v>DESPRECIABLE</v>
      </c>
      <c r="AV75" s="13">
        <f>IF(Q75&lt;=AT75,0,Q75*1000000/([1]Parametros!$B$6*2*0.85*(H75-2*([1]Parametros!$B$7+[1]Parametros!$B$9/2))*(I75-2*([1]Parametros!$B$7+[1]Parametros!$B$9/2))*[1]Parametros!$B$4))</f>
        <v>0</v>
      </c>
      <c r="AW75" s="13">
        <f>AV75*2*((H75-2*([1]Parametros!$B$7+[1]Parametros!$B$9/2))+(I75-2*([1]Parametros!$B$7+[1]Parametros!$B$9/2)))*[1]Parametros!$B$4/[1]Parametros!$B$3</f>
        <v>0</v>
      </c>
      <c r="AX75" s="14">
        <v>0</v>
      </c>
      <c r="AY75" s="13" t="str">
        <f t="shared" si="20"/>
        <v>DESPRECIABLE</v>
      </c>
      <c r="AZ75" s="13" t="str">
        <f t="shared" si="21"/>
        <v>CUMPLE</v>
      </c>
      <c r="BA75" s="14">
        <v>9.5</v>
      </c>
      <c r="BB75" s="14">
        <v>71</v>
      </c>
      <c r="BC75" s="13">
        <f>MAX(IF(AK75=0,0,AK75*1000/([1]Parametros!$B$4*MIN(U75,AB75))),MAX(0.062*SQRT([1]Parametros!$B$2)*H75/[1]Parametros!$B$4,0.35*H75/[1]Parametros!$B$4))</f>
        <v>1.3648384113881535</v>
      </c>
      <c r="BD75" s="13">
        <f t="shared" si="22"/>
        <v>0</v>
      </c>
      <c r="BE75" s="13">
        <f t="shared" si="23"/>
        <v>1.42</v>
      </c>
      <c r="BF75" s="13">
        <f>SQRT((AI75*1000/(H75*MIN(U75,AB75)))^2+(Q75*1000000*2*((H75-2*([1]Parametros!$B$7+[1]Parametros!$B$9/2))+(I75-2*([1]Parametros!$B$7+[1]Parametros!$B$9/2)))/(1.7*((H75-2*([1]Parametros!$B$7+[1]Parametros!$B$9/2))*(I75-2*([1]Parametros!$B$7+[1]Parametros!$B$9/2)))^2))^2)</f>
        <v>1.6310958435278722</v>
      </c>
      <c r="BG75" s="13">
        <f>[1]Parametros!$B$6*(AJ75*1000/(H75*MIN(U75,AB75))+0.66*SQRT([1]Parametros!$B$2))</f>
        <v>3.2939603822754151</v>
      </c>
      <c r="BH75" s="13" t="str">
        <f t="shared" si="24"/>
        <v>CUMPLE</v>
      </c>
      <c r="BI75" s="13">
        <f>AX75*[1]Parametros!$B$8</f>
        <v>0</v>
      </c>
      <c r="BJ75" s="15" t="str">
        <f t="shared" si="25"/>
        <v>CUMPLE</v>
      </c>
    </row>
    <row r="76" spans="1:62" x14ac:dyDescent="0.3">
      <c r="A76" s="16" t="s">
        <v>66</v>
      </c>
      <c r="B76" s="17">
        <v>289</v>
      </c>
      <c r="C76" s="13">
        <v>1</v>
      </c>
      <c r="D76" s="13">
        <v>3.4</v>
      </c>
      <c r="E76" s="13">
        <v>3.4</v>
      </c>
      <c r="F76" s="13">
        <v>450</v>
      </c>
      <c r="G76" s="13">
        <v>550</v>
      </c>
      <c r="H76" s="13">
        <v>450</v>
      </c>
      <c r="I76" s="13">
        <v>550</v>
      </c>
      <c r="J76" s="14">
        <v>160.97219999999999</v>
      </c>
      <c r="K76" s="13">
        <v>289</v>
      </c>
      <c r="L76" s="14">
        <v>133.03450000000001</v>
      </c>
      <c r="M76" s="13">
        <v>289</v>
      </c>
      <c r="N76" s="14">
        <v>85.198999999999998</v>
      </c>
      <c r="O76" s="14">
        <v>358.983</v>
      </c>
      <c r="P76" s="13">
        <v>289</v>
      </c>
      <c r="Q76" s="14">
        <v>1.6227</v>
      </c>
      <c r="R76" s="13">
        <f>MAX(MAX(1.4/[1]Parametros!$B$3,0.25*SQRT([1]Parametros!$B$2)/[1]Parametros!$B$3)*H76*U76,(0.85*[1]Parametros!$B$2/[1]Parametros!$B$3)*(1-SQRT(1-2*(J76*1000000/([1]Parametros!$B$5*H76*U76^2))/(0.85*[1]Parametros!$B$2)))*H76*U76)</f>
        <v>902.9069099941122</v>
      </c>
      <c r="S76" s="14">
        <v>5</v>
      </c>
      <c r="T76" s="14">
        <v>1</v>
      </c>
      <c r="U76" s="13">
        <f>IF(T76=1,I76-([1]Parametros!$B$7+[1]Parametros!$B$9+[1]Parametros!$B$12/2),I76-(ROUNDUP(S76/2,0)*([1]Parametros!$B$7+[1]Parametros!$B$9+[1]Parametros!$B$12/2)+ROUNDDOWN(S76/2,0)*([1]Parametros!$B$7+[1]Parametros!$B$9+[1]Parametros!$B$12/2+[1]Parametros!$B$12+[1]Parametros!$B$10))/S76)</f>
        <v>489.35</v>
      </c>
      <c r="V76" s="13">
        <f>S76*[1]Parametros!$B$8</f>
        <v>995</v>
      </c>
      <c r="W76" s="13">
        <f>[1]Parametros!$B$5*V76*[1]Parametros!$B$3*(U76-(V76*[1]Parametros!$B$3/(0.85*[1]Parametros!$B$2*H76))/2)/1000000</f>
        <v>176.71159614705886</v>
      </c>
      <c r="X76" s="13" t="str">
        <f t="shared" si="13"/>
        <v>CUMPLE</v>
      </c>
      <c r="Y76" s="13">
        <f>MAX(MAX(1.4/[1]Parametros!$B$3,0.25*SQRT([1]Parametros!$B$2)/[1]Parametros!$B$3)*H76*AB76,(0.85*[1]Parametros!$B$2/[1]Parametros!$B$3)*(1-SQRT(1-2*(L76*1000000/([1]Parametros!$B$5*H76*AB76^2))/(0.85*[1]Parametros!$B$2)))*H76*AB76)</f>
        <v>741.21957135235277</v>
      </c>
      <c r="Z76" s="14">
        <v>4</v>
      </c>
      <c r="AA76" s="14">
        <v>1</v>
      </c>
      <c r="AB76" s="13">
        <f>IF(AA76=1,I76-([1]Parametros!$B$7+[1]Parametros!$B$9+[1]Parametros!$B$12/2),I76-(ROUNDUP(Z76/2,0)*([1]Parametros!$B$7+[1]Parametros!$B$9+[1]Parametros!$B$12/2)+ROUNDDOWN(Z76/2,0)*([1]Parametros!$B$7+[1]Parametros!$B$9+[1]Parametros!$B$12/2+[1]Parametros!$B$12+[1]Parametros!$B$10))/Z76)</f>
        <v>489.35</v>
      </c>
      <c r="AC76" s="13">
        <f>Z76*[1]Parametros!$B$8</f>
        <v>796</v>
      </c>
      <c r="AD76" s="13">
        <f>[1]Parametros!$B$5*AC76*[1]Parametros!$B$3*(AB76-(AC76*[1]Parametros!$B$3/(0.85*[1]Parametros!$B$2*H76))/2)/1000000</f>
        <v>142.54333009411764</v>
      </c>
      <c r="AE76" s="13" t="str">
        <f t="shared" si="14"/>
        <v>CUMPLE</v>
      </c>
      <c r="AF76" s="13">
        <f>V76*1.25*[1]Parametros!$B$3*(U76-(V76*1.25*[1]Parametros!$B$3/(0.85*[1]Parametros!$B$2*H76))/2)/1000000</f>
        <v>242.88491397058826</v>
      </c>
      <c r="AG76" s="13">
        <f>AC76*1.25*[1]Parametros!$B$3*(AB76-(AC76*1.25*[1]Parametros!$B$3/(0.85*[1]Parametros!$B$2*H76))/2)/1000000</f>
        <v>196.34621794117646</v>
      </c>
      <c r="AH76" s="13">
        <f t="shared" si="15"/>
        <v>214.38462703287195</v>
      </c>
      <c r="AI76" s="13">
        <f t="shared" si="16"/>
        <v>358.983</v>
      </c>
      <c r="AJ76" s="13">
        <f>0.17*SQRT([1]Parametros!$B$2)*H76*MIN(U76,AB76)/1000</f>
        <v>198.08885582262698</v>
      </c>
      <c r="AK76" s="13">
        <f>MAX(AI76/[1]Parametros!$B$6-AJ76,0)</f>
        <v>280.55514417737299</v>
      </c>
      <c r="AL76" s="13">
        <f>0.66*SQRT([1]Parametros!$B$2)*H76*MIN(U76,AB76)/1000</f>
        <v>769.05085201725785</v>
      </c>
      <c r="AM76" s="13" t="str">
        <f t="shared" si="17"/>
        <v>CUMPLE</v>
      </c>
      <c r="AN76" s="13" t="s">
        <v>64</v>
      </c>
      <c r="AO76" s="14">
        <v>2</v>
      </c>
      <c r="AP76" s="13">
        <f>ROUNDDOWN(MIN(IF(BC76+BD76=0,1000000000,AO76*BB76/(BC76+BD76)),MIN(U76,AB76)/4,8*[1]Parametros!$B$12,24*BA76,300,IF(AV76=0,1000000000,2*((H76-2*([1]Parametros!$B$7+[1]Parametros!$B$9/2))+(I76-2*([1]Parametros!$B$7+[1]Parametros!$B$9/2)))/8))/10,0)*10</f>
        <v>100</v>
      </c>
      <c r="AQ76" s="13">
        <f>ROUNDDOWN(MIN(IF(BC76+BD76=0,1000000000,AO76*BB76/(BC76+BD76)),IF(AK76&gt;0.33*SQRT([1]Parametros!$B$2)*H76*MIN(U76,AB76)/1000,MIN(U76,AB76)/4,MIN(U76,AB76)/2),600,IF(AV76=0,1000000000,2*((H76-2*([1]Parametros!$B$7+[1]Parametros!$B$9/2))+(I76-2*([1]Parametros!$B$7+[1]Parametros!$B$9/2)))/8))/10,0)*10</f>
        <v>100</v>
      </c>
      <c r="AR76" s="13">
        <f>[1]Parametros!$B$6*(AJ76+MAX(BE76-BD76,0)*[1]Parametros!$B$4*MIN(U76,AB76)/1000)</f>
        <v>367.45289686697026</v>
      </c>
      <c r="AS76" s="13" t="str">
        <f t="shared" si="18"/>
        <v>CUMPLE</v>
      </c>
      <c r="AT76" s="13">
        <f>[1]Parametros!$B$6*0.083*SQRT([1]Parametros!$B$2)*(H76*I76)^2/(2*(H76+I76))/1000000</f>
        <v>10.08878303333792</v>
      </c>
      <c r="AU76" s="13" t="str">
        <f t="shared" si="19"/>
        <v>DESPRECIABLE</v>
      </c>
      <c r="AV76" s="13">
        <f>IF(Q76&lt;=AT76,0,Q76*1000000/([1]Parametros!$B$6*2*0.85*(H76-2*([1]Parametros!$B$7+[1]Parametros!$B$9/2))*(I76-2*([1]Parametros!$B$7+[1]Parametros!$B$9/2))*[1]Parametros!$B$4))</f>
        <v>0</v>
      </c>
      <c r="AW76" s="13">
        <f>AV76*2*((H76-2*([1]Parametros!$B$7+[1]Parametros!$B$9/2))+(I76-2*([1]Parametros!$B$7+[1]Parametros!$B$9/2)))*[1]Parametros!$B$4/[1]Parametros!$B$3</f>
        <v>0</v>
      </c>
      <c r="AX76" s="14">
        <v>0</v>
      </c>
      <c r="AY76" s="13" t="str">
        <f t="shared" si="20"/>
        <v>DESPRECIABLE</v>
      </c>
      <c r="AZ76" s="13" t="str">
        <f t="shared" si="21"/>
        <v>CUMPLE</v>
      </c>
      <c r="BA76" s="14">
        <v>9.5</v>
      </c>
      <c r="BB76" s="14">
        <v>71</v>
      </c>
      <c r="BC76" s="13">
        <f>MAX(IF(AK76=0,0,AK76*1000/([1]Parametros!$B$4*MIN(U76,AB76))),MAX(0.062*SQRT([1]Parametros!$B$2)*H76/[1]Parametros!$B$4,0.35*H76/[1]Parametros!$B$4))</f>
        <v>1.3650524951824965</v>
      </c>
      <c r="BD76" s="13">
        <f t="shared" si="22"/>
        <v>0</v>
      </c>
      <c r="BE76" s="13">
        <f t="shared" si="23"/>
        <v>1.42</v>
      </c>
      <c r="BF76" s="13">
        <f>SQRT((AI76*1000/(H76*MIN(U76,AB76)))^2+(Q76*1000000*2*((H76-2*([1]Parametros!$B$7+[1]Parametros!$B$9/2))+(I76-2*([1]Parametros!$B$7+[1]Parametros!$B$9/2)))/(1.7*((H76-2*([1]Parametros!$B$7+[1]Parametros!$B$9/2))*(I76-2*([1]Parametros!$B$7+[1]Parametros!$B$9/2)))^2))^2)</f>
        <v>1.6312436827776877</v>
      </c>
      <c r="BG76" s="13">
        <f>[1]Parametros!$B$6*(AJ76*1000/(H76*MIN(U76,AB76))+0.66*SQRT([1]Parametros!$B$2))</f>
        <v>3.2939603822754151</v>
      </c>
      <c r="BH76" s="13" t="str">
        <f t="shared" si="24"/>
        <v>CUMPLE</v>
      </c>
      <c r="BI76" s="13">
        <f>AX76*[1]Parametros!$B$8</f>
        <v>0</v>
      </c>
      <c r="BJ76" s="15" t="str">
        <f t="shared" si="25"/>
        <v>CUMPLE</v>
      </c>
    </row>
    <row r="77" spans="1:62" x14ac:dyDescent="0.3">
      <c r="A77" s="16" t="s">
        <v>66</v>
      </c>
      <c r="B77" s="17">
        <v>290</v>
      </c>
      <c r="C77" s="13">
        <v>1</v>
      </c>
      <c r="D77" s="13">
        <v>3.2147700000000001</v>
      </c>
      <c r="E77" s="13">
        <v>3.2147700000000001</v>
      </c>
      <c r="F77" s="13">
        <v>450</v>
      </c>
      <c r="G77" s="13">
        <v>550</v>
      </c>
      <c r="H77" s="13">
        <v>450</v>
      </c>
      <c r="I77" s="13">
        <v>550</v>
      </c>
      <c r="J77" s="14">
        <v>164.1942</v>
      </c>
      <c r="K77" s="13">
        <v>290</v>
      </c>
      <c r="L77" s="14">
        <v>135.39060000000001</v>
      </c>
      <c r="M77" s="13">
        <v>290</v>
      </c>
      <c r="N77" s="14">
        <v>100.82299999999999</v>
      </c>
      <c r="O77" s="14">
        <v>379.714</v>
      </c>
      <c r="P77" s="13">
        <v>290</v>
      </c>
      <c r="Q77" s="14">
        <v>14.379</v>
      </c>
      <c r="R77" s="13">
        <f>MAX(MAX(1.4/[1]Parametros!$B$3,0.25*SQRT([1]Parametros!$B$2)/[1]Parametros!$B$3)*H77*U77,(0.85*[1]Parametros!$B$2/[1]Parametros!$B$3)*(1-SQRT(1-2*(J77*1000000/([1]Parametros!$B$5*H77*U77^2))/(0.85*[1]Parametros!$B$2)))*H77*U77)</f>
        <v>921.69947906028642</v>
      </c>
      <c r="S77" s="14">
        <v>5</v>
      </c>
      <c r="T77" s="14">
        <v>1</v>
      </c>
      <c r="U77" s="13">
        <f>IF(T77=1,I77-([1]Parametros!$B$7+[1]Parametros!$B$9+[1]Parametros!$B$12/2),I77-(ROUNDUP(S77/2,0)*([1]Parametros!$B$7+[1]Parametros!$B$9+[1]Parametros!$B$12/2)+ROUNDDOWN(S77/2,0)*([1]Parametros!$B$7+[1]Parametros!$B$9+[1]Parametros!$B$12/2+[1]Parametros!$B$12+[1]Parametros!$B$10))/S77)</f>
        <v>489.35</v>
      </c>
      <c r="V77" s="13">
        <f>S77*[1]Parametros!$B$8</f>
        <v>995</v>
      </c>
      <c r="W77" s="13">
        <f>[1]Parametros!$B$5*V77*[1]Parametros!$B$3*(U77-(V77*[1]Parametros!$B$3/(0.85*[1]Parametros!$B$2*H77))/2)/1000000</f>
        <v>176.71159614705886</v>
      </c>
      <c r="X77" s="13" t="str">
        <f t="shared" si="13"/>
        <v>CUMPLE</v>
      </c>
      <c r="Y77" s="13">
        <f>MAX(MAX(1.4/[1]Parametros!$B$3,0.25*SQRT([1]Parametros!$B$2)/[1]Parametros!$B$3)*H77*AB77,(0.85*[1]Parametros!$B$2/[1]Parametros!$B$3)*(1-SQRT(1-2*(L77*1000000/([1]Parametros!$B$5*H77*AB77^2))/(0.85*[1]Parametros!$B$2)))*H77*AB77)</f>
        <v>754.76922347963637</v>
      </c>
      <c r="Z77" s="14">
        <v>4</v>
      </c>
      <c r="AA77" s="14">
        <v>1</v>
      </c>
      <c r="AB77" s="13">
        <f>IF(AA77=1,I77-([1]Parametros!$B$7+[1]Parametros!$B$9+[1]Parametros!$B$12/2),I77-(ROUNDUP(Z77/2,0)*([1]Parametros!$B$7+[1]Parametros!$B$9+[1]Parametros!$B$12/2)+ROUNDDOWN(Z77/2,0)*([1]Parametros!$B$7+[1]Parametros!$B$9+[1]Parametros!$B$12/2+[1]Parametros!$B$12+[1]Parametros!$B$10))/Z77)</f>
        <v>489.35</v>
      </c>
      <c r="AC77" s="13">
        <f>Z77*[1]Parametros!$B$8</f>
        <v>796</v>
      </c>
      <c r="AD77" s="13">
        <f>[1]Parametros!$B$5*AC77*[1]Parametros!$B$3*(AB77-(AC77*[1]Parametros!$B$3/(0.85*[1]Parametros!$B$2*H77))/2)/1000000</f>
        <v>142.54333009411764</v>
      </c>
      <c r="AE77" s="13" t="str">
        <f t="shared" si="14"/>
        <v>CUMPLE</v>
      </c>
      <c r="AF77" s="13">
        <f>V77*1.25*[1]Parametros!$B$3*(U77-(V77*1.25*[1]Parametros!$B$3/(0.85*[1]Parametros!$B$2*H77))/2)/1000000</f>
        <v>242.88491397058826</v>
      </c>
      <c r="AG77" s="13">
        <f>AC77*1.25*[1]Parametros!$B$3*(AB77-(AC77*1.25*[1]Parametros!$B$3/(0.85*[1]Parametros!$B$2*H77))/2)/1000000</f>
        <v>196.34621794117646</v>
      </c>
      <c r="AH77" s="13">
        <f t="shared" si="15"/>
        <v>237.45210003258853</v>
      </c>
      <c r="AI77" s="13">
        <f t="shared" si="16"/>
        <v>379.714</v>
      </c>
      <c r="AJ77" s="13">
        <f>0.17*SQRT([1]Parametros!$B$2)*H77*MIN(U77,AB77)/1000</f>
        <v>198.08885582262698</v>
      </c>
      <c r="AK77" s="13">
        <f>MAX(AI77/[1]Parametros!$B$6-AJ77,0)</f>
        <v>308.19647751070636</v>
      </c>
      <c r="AL77" s="13">
        <f>0.66*SQRT([1]Parametros!$B$2)*H77*MIN(U77,AB77)/1000</f>
        <v>769.05085201725785</v>
      </c>
      <c r="AM77" s="13" t="str">
        <f t="shared" si="17"/>
        <v>CUMPLE</v>
      </c>
      <c r="AN77" s="13" t="s">
        <v>68</v>
      </c>
      <c r="AO77" s="14">
        <v>2</v>
      </c>
      <c r="AP77" s="13">
        <f>ROUNDDOWN(MIN(IF(BC77+BD77=0,1000000000,AO77*BB77/(BC77+BD77)),MIN(U77,AB77)/4,8*[1]Parametros!$B$12,24*BA77,300,IF(AV77=0,1000000000,2*((H77-2*([1]Parametros!$B$7+[1]Parametros!$B$9/2))+(I77-2*([1]Parametros!$B$7+[1]Parametros!$B$9/2)))/8))/10,0)*10</f>
        <v>120</v>
      </c>
      <c r="AQ77" s="13">
        <f>ROUNDDOWN(MIN(IF(BC77+BD77=0,1000000000,AO77*BB77/(BC77+BD77)),IF(AK77&gt;0.33*SQRT([1]Parametros!$B$2)*H77*MIN(U77,AB77)/1000,MIN(U77,AB77)/4,MIN(U77,AB77)/2),600,IF(AV77=0,1000000000,2*((H77-2*([1]Parametros!$B$7+[1]Parametros!$B$9/2))+(I77-2*([1]Parametros!$B$7+[1]Parametros!$B$9/2)))/8))/10,0)*10</f>
        <v>140</v>
      </c>
      <c r="AR77" s="13">
        <f>[1]Parametros!$B$6*(AJ77+MAX(BE77-BD77,0)*[1]Parametros!$B$4*MIN(U77,AB77)/1000)</f>
        <v>429.31543588842567</v>
      </c>
      <c r="AS77" s="13" t="str">
        <f t="shared" si="18"/>
        <v>CUMPLE</v>
      </c>
      <c r="AT77" s="13">
        <f>[1]Parametros!$B$6*0.083*SQRT([1]Parametros!$B$2)*(H77*I77)^2/(2*(H77+I77))/1000000</f>
        <v>10.08878303333792</v>
      </c>
      <c r="AU77" s="13" t="str">
        <f t="shared" si="19"/>
        <v>DISEÑAR</v>
      </c>
      <c r="AV77" s="13">
        <f>IF(Q77&lt;=AT77,0,Q77*1000000/([1]Parametros!$B$6*2*0.85*(H77-2*([1]Parametros!$B$7+[1]Parametros!$B$9/2))*(I77-2*([1]Parametros!$B$7+[1]Parametros!$B$9/2))*[1]Parametros!$B$4))</f>
        <v>0.16433686240265127</v>
      </c>
      <c r="AW77" s="13">
        <f>AV77*2*((H77-2*([1]Parametros!$B$7+[1]Parametros!$B$9/2))+(I77-2*([1]Parametros!$B$7+[1]Parametros!$B$9/2)))*[1]Parametros!$B$4/[1]Parametros!$B$3</f>
        <v>267.73761622639944</v>
      </c>
      <c r="AX77" s="14">
        <v>8</v>
      </c>
      <c r="AY77" s="13" t="str">
        <f t="shared" si="20"/>
        <v>CUMPLE</v>
      </c>
      <c r="AZ77" s="13" t="str">
        <f t="shared" si="21"/>
        <v>CUMPLE</v>
      </c>
      <c r="BA77" s="14">
        <v>12.7</v>
      </c>
      <c r="BB77" s="14">
        <v>129</v>
      </c>
      <c r="BC77" s="13">
        <f>MAX(IF(AK77=0,0,AK77*1000/([1]Parametros!$B$4*MIN(U77,AB77))),MAX(0.062*SQRT([1]Parametros!$B$2)*H77/[1]Parametros!$B$4,0.35*H77/[1]Parametros!$B$4))</f>
        <v>1.4995425297440548</v>
      </c>
      <c r="BD77" s="13">
        <f t="shared" si="22"/>
        <v>0.32867372480530255</v>
      </c>
      <c r="BE77" s="13">
        <f t="shared" si="23"/>
        <v>2.15</v>
      </c>
      <c r="BF77" s="13">
        <f>SQRT((AI77*1000/(H77*MIN(U77,AB77)))^2+(Q77*1000000*2*((H77-2*([1]Parametros!$B$7+[1]Parametros!$B$9/2))+(I77-2*([1]Parametros!$B$7+[1]Parametros!$B$9/2)))/(1.7*((H77-2*([1]Parametros!$B$7+[1]Parametros!$B$9/2))*(I77-2*([1]Parametros!$B$7+[1]Parametros!$B$9/2)))^2))^2)</f>
        <v>1.7999425531844087</v>
      </c>
      <c r="BG77" s="13">
        <f>[1]Parametros!$B$6*(AJ77*1000/(H77*MIN(U77,AB77))+0.66*SQRT([1]Parametros!$B$2))</f>
        <v>3.2939603822754151</v>
      </c>
      <c r="BH77" s="13" t="str">
        <f t="shared" si="24"/>
        <v>CUMPLE</v>
      </c>
      <c r="BI77" s="13">
        <f>AX77*[1]Parametros!$B$8</f>
        <v>1592</v>
      </c>
      <c r="BJ77" s="15" t="str">
        <f t="shared" si="25"/>
        <v>CUMPLE</v>
      </c>
    </row>
    <row r="78" spans="1:62" x14ac:dyDescent="0.3">
      <c r="A78" s="16" t="s">
        <v>66</v>
      </c>
      <c r="B78" s="17">
        <v>291</v>
      </c>
      <c r="C78" s="13">
        <v>1</v>
      </c>
      <c r="D78" s="13">
        <v>3.2147700000000001</v>
      </c>
      <c r="E78" s="13">
        <v>3.2147700000000001</v>
      </c>
      <c r="F78" s="13">
        <v>450</v>
      </c>
      <c r="G78" s="13">
        <v>550</v>
      </c>
      <c r="H78" s="13">
        <v>450</v>
      </c>
      <c r="I78" s="13">
        <v>550</v>
      </c>
      <c r="J78" s="14">
        <v>164.14230000000001</v>
      </c>
      <c r="K78" s="13">
        <v>291</v>
      </c>
      <c r="L78" s="14">
        <v>135.35429999999999</v>
      </c>
      <c r="M78" s="13">
        <v>291</v>
      </c>
      <c r="N78" s="14">
        <v>100.795</v>
      </c>
      <c r="O78" s="14">
        <v>379.74700000000001</v>
      </c>
      <c r="P78" s="13">
        <v>291</v>
      </c>
      <c r="Q78" s="14">
        <v>14.3698</v>
      </c>
      <c r="R78" s="13">
        <f>MAX(MAX(1.4/[1]Parametros!$B$3,0.25*SQRT([1]Parametros!$B$2)/[1]Parametros!$B$3)*H78*U78,(0.85*[1]Parametros!$B$2/[1]Parametros!$B$3)*(1-SQRT(1-2*(J78*1000000/([1]Parametros!$B$5*H78*U78^2))/(0.85*[1]Parametros!$B$2)))*H78*U78)</f>
        <v>921.39652606727975</v>
      </c>
      <c r="S78" s="14">
        <v>5</v>
      </c>
      <c r="T78" s="14">
        <v>1</v>
      </c>
      <c r="U78" s="13">
        <f>IF(T78=1,I78-([1]Parametros!$B$7+[1]Parametros!$B$9+[1]Parametros!$B$12/2),I78-(ROUNDUP(S78/2,0)*([1]Parametros!$B$7+[1]Parametros!$B$9+[1]Parametros!$B$12/2)+ROUNDDOWN(S78/2,0)*([1]Parametros!$B$7+[1]Parametros!$B$9+[1]Parametros!$B$12/2+[1]Parametros!$B$12+[1]Parametros!$B$10))/S78)</f>
        <v>489.35</v>
      </c>
      <c r="V78" s="13">
        <f>S78*[1]Parametros!$B$8</f>
        <v>995</v>
      </c>
      <c r="W78" s="13">
        <f>[1]Parametros!$B$5*V78*[1]Parametros!$B$3*(U78-(V78*[1]Parametros!$B$3/(0.85*[1]Parametros!$B$2*H78))/2)/1000000</f>
        <v>176.71159614705886</v>
      </c>
      <c r="X78" s="13" t="str">
        <f t="shared" si="13"/>
        <v>CUMPLE</v>
      </c>
      <c r="Y78" s="13">
        <f>MAX(MAX(1.4/[1]Parametros!$B$3,0.25*SQRT([1]Parametros!$B$2)/[1]Parametros!$B$3)*H78*AB78,(0.85*[1]Parametros!$B$2/[1]Parametros!$B$3)*(1-SQRT(1-2*(L78*1000000/([1]Parametros!$B$5*H78*AB78^2))/(0.85*[1]Parametros!$B$2)))*H78*AB78)</f>
        <v>754.56034770266569</v>
      </c>
      <c r="Z78" s="14">
        <v>4</v>
      </c>
      <c r="AA78" s="14">
        <v>1</v>
      </c>
      <c r="AB78" s="13">
        <f>IF(AA78=1,I78-([1]Parametros!$B$7+[1]Parametros!$B$9+[1]Parametros!$B$12/2),I78-(ROUNDUP(Z78/2,0)*([1]Parametros!$B$7+[1]Parametros!$B$9+[1]Parametros!$B$12/2)+ROUNDDOWN(Z78/2,0)*([1]Parametros!$B$7+[1]Parametros!$B$9+[1]Parametros!$B$12/2+[1]Parametros!$B$12+[1]Parametros!$B$10))/Z78)</f>
        <v>489.35</v>
      </c>
      <c r="AC78" s="13">
        <f>Z78*[1]Parametros!$B$8</f>
        <v>796</v>
      </c>
      <c r="AD78" s="13">
        <f>[1]Parametros!$B$5*AC78*[1]Parametros!$B$3*(AB78-(AC78*[1]Parametros!$B$3/(0.85*[1]Parametros!$B$2*H78))/2)/1000000</f>
        <v>142.54333009411764</v>
      </c>
      <c r="AE78" s="13" t="str">
        <f t="shared" si="14"/>
        <v>CUMPLE</v>
      </c>
      <c r="AF78" s="13">
        <f>V78*1.25*[1]Parametros!$B$3*(U78-(V78*1.25*[1]Parametros!$B$3/(0.85*[1]Parametros!$B$2*H78))/2)/1000000</f>
        <v>242.88491397058826</v>
      </c>
      <c r="AG78" s="13">
        <f>AC78*1.25*[1]Parametros!$B$3*(AB78-(AC78*1.25*[1]Parametros!$B$3/(0.85*[1]Parametros!$B$2*H78))/2)/1000000</f>
        <v>196.34621794117646</v>
      </c>
      <c r="AH78" s="13">
        <f t="shared" si="15"/>
        <v>237.42410003258857</v>
      </c>
      <c r="AI78" s="13">
        <f t="shared" si="16"/>
        <v>379.74700000000001</v>
      </c>
      <c r="AJ78" s="13">
        <f>0.17*SQRT([1]Parametros!$B$2)*H78*MIN(U78,AB78)/1000</f>
        <v>198.08885582262698</v>
      </c>
      <c r="AK78" s="13">
        <f>MAX(AI78/[1]Parametros!$B$6-AJ78,0)</f>
        <v>308.24047751070634</v>
      </c>
      <c r="AL78" s="13">
        <f>0.66*SQRT([1]Parametros!$B$2)*H78*MIN(U78,AB78)/1000</f>
        <v>769.05085201725785</v>
      </c>
      <c r="AM78" s="13" t="str">
        <f t="shared" si="17"/>
        <v>CUMPLE</v>
      </c>
      <c r="AN78" s="13" t="s">
        <v>68</v>
      </c>
      <c r="AO78" s="14">
        <v>2</v>
      </c>
      <c r="AP78" s="13">
        <f>ROUNDDOWN(MIN(IF(BC78+BD78=0,1000000000,AO78*BB78/(BC78+BD78)),MIN(U78,AB78)/4,8*[1]Parametros!$B$12,24*BA78,300,IF(AV78=0,1000000000,2*((H78-2*([1]Parametros!$B$7+[1]Parametros!$B$9/2))+(I78-2*([1]Parametros!$B$7+[1]Parametros!$B$9/2)))/8))/10,0)*10</f>
        <v>120</v>
      </c>
      <c r="AQ78" s="13">
        <f>ROUNDDOWN(MIN(IF(BC78+BD78=0,1000000000,AO78*BB78/(BC78+BD78)),IF(AK78&gt;0.33*SQRT([1]Parametros!$B$2)*H78*MIN(U78,AB78)/1000,MIN(U78,AB78)/4,MIN(U78,AB78)/2),600,IF(AV78=0,1000000000,2*((H78-2*([1]Parametros!$B$7+[1]Parametros!$B$9/2))+(I78-2*([1]Parametros!$B$7+[1]Parametros!$B$9/2)))/8))/10,0)*10</f>
        <v>140</v>
      </c>
      <c r="AR78" s="13">
        <f>[1]Parametros!$B$6*(AJ78+MAX(BE78-BD78,0)*[1]Parametros!$B$4*MIN(U78,AB78)/1000)</f>
        <v>429.34785150425444</v>
      </c>
      <c r="AS78" s="13" t="str">
        <f t="shared" si="18"/>
        <v>CUMPLE</v>
      </c>
      <c r="AT78" s="13">
        <f>[1]Parametros!$B$6*0.083*SQRT([1]Parametros!$B$2)*(H78*I78)^2/(2*(H78+I78))/1000000</f>
        <v>10.08878303333792</v>
      </c>
      <c r="AU78" s="13" t="str">
        <f t="shared" si="19"/>
        <v>DISEÑAR</v>
      </c>
      <c r="AV78" s="13">
        <f>IF(Q78&lt;=AT78,0,Q78*1000000/([1]Parametros!$B$6*2*0.85*(H78-2*([1]Parametros!$B$7+[1]Parametros!$B$9/2))*(I78-2*([1]Parametros!$B$7+[1]Parametros!$B$9/2))*[1]Parametros!$B$4))</f>
        <v>0.16423171606882386</v>
      </c>
      <c r="AW78" s="13">
        <f>AV78*2*((H78-2*([1]Parametros!$B$7+[1]Parametros!$B$9/2))+(I78-2*([1]Parametros!$B$7+[1]Parametros!$B$9/2)))*[1]Parametros!$B$4/[1]Parametros!$B$3</f>
        <v>267.56631181932784</v>
      </c>
      <c r="AX78" s="14">
        <v>8</v>
      </c>
      <c r="AY78" s="13" t="str">
        <f t="shared" si="20"/>
        <v>CUMPLE</v>
      </c>
      <c r="AZ78" s="13" t="str">
        <f t="shared" si="21"/>
        <v>CUMPLE</v>
      </c>
      <c r="BA78" s="14">
        <v>12.7</v>
      </c>
      <c r="BB78" s="14">
        <v>129</v>
      </c>
      <c r="BC78" s="13">
        <f>MAX(IF(AK78=0,0,AK78*1000/([1]Parametros!$B$4*MIN(U78,AB78))),MAX(0.062*SQRT([1]Parametros!$B$2)*H78/[1]Parametros!$B$4,0.35*H78/[1]Parametros!$B$4))</f>
        <v>1.4997566135383982</v>
      </c>
      <c r="BD78" s="13">
        <f t="shared" si="22"/>
        <v>0.32846343213764773</v>
      </c>
      <c r="BE78" s="13">
        <f t="shared" si="23"/>
        <v>2.15</v>
      </c>
      <c r="BF78" s="13">
        <f>SQRT((AI78*1000/(H78*MIN(U78,AB78)))^2+(Q78*1000000*2*((H78-2*([1]Parametros!$B$7+[1]Parametros!$B$9/2))+(I78-2*([1]Parametros!$B$7+[1]Parametros!$B$9/2)))/(1.7*((H78-2*([1]Parametros!$B$7+[1]Parametros!$B$9/2))*(I78-2*([1]Parametros!$B$7+[1]Parametros!$B$9/2)))^2))^2)</f>
        <v>1.7999914489715596</v>
      </c>
      <c r="BG78" s="13">
        <f>[1]Parametros!$B$6*(AJ78*1000/(H78*MIN(U78,AB78))+0.66*SQRT([1]Parametros!$B$2))</f>
        <v>3.2939603822754151</v>
      </c>
      <c r="BH78" s="13" t="str">
        <f t="shared" si="24"/>
        <v>CUMPLE</v>
      </c>
      <c r="BI78" s="13">
        <f>AX78*[1]Parametros!$B$8</f>
        <v>1592</v>
      </c>
      <c r="BJ78" s="15" t="str">
        <f t="shared" si="25"/>
        <v>CUMPLE</v>
      </c>
    </row>
    <row r="79" spans="1:62" x14ac:dyDescent="0.3">
      <c r="A79" s="16" t="s">
        <v>66</v>
      </c>
      <c r="B79" s="17">
        <v>292</v>
      </c>
      <c r="C79" s="13">
        <v>1</v>
      </c>
      <c r="D79" s="13">
        <v>3.4</v>
      </c>
      <c r="E79" s="13">
        <v>3.4</v>
      </c>
      <c r="F79" s="13">
        <v>450</v>
      </c>
      <c r="G79" s="13">
        <v>550</v>
      </c>
      <c r="H79" s="13">
        <v>450</v>
      </c>
      <c r="I79" s="13">
        <v>550</v>
      </c>
      <c r="J79" s="14">
        <v>160.94759999999999</v>
      </c>
      <c r="K79" s="13">
        <v>292</v>
      </c>
      <c r="L79" s="14">
        <v>133.0489</v>
      </c>
      <c r="M79" s="13">
        <v>292</v>
      </c>
      <c r="N79" s="14">
        <v>85.186000000000007</v>
      </c>
      <c r="O79" s="14">
        <v>358.971</v>
      </c>
      <c r="P79" s="13">
        <v>292</v>
      </c>
      <c r="Q79" s="14">
        <v>1.6246</v>
      </c>
      <c r="R79" s="13">
        <f>MAX(MAX(1.4/[1]Parametros!$B$3,0.25*SQRT([1]Parametros!$B$2)/[1]Parametros!$B$3)*H79*U79,(0.85*[1]Parametros!$B$2/[1]Parametros!$B$3)*(1-SQRT(1-2*(J79*1000000/([1]Parametros!$B$5*H79*U79^2))/(0.85*[1]Parametros!$B$2)))*H79*U79)</f>
        <v>902.76354591139966</v>
      </c>
      <c r="S79" s="14">
        <v>5</v>
      </c>
      <c r="T79" s="14">
        <v>1</v>
      </c>
      <c r="U79" s="13">
        <f>IF(T79=1,I79-([1]Parametros!$B$7+[1]Parametros!$B$9+[1]Parametros!$B$12/2),I79-(ROUNDUP(S79/2,0)*([1]Parametros!$B$7+[1]Parametros!$B$9+[1]Parametros!$B$12/2)+ROUNDDOWN(S79/2,0)*([1]Parametros!$B$7+[1]Parametros!$B$9+[1]Parametros!$B$12/2+[1]Parametros!$B$12+[1]Parametros!$B$10))/S79)</f>
        <v>489.35</v>
      </c>
      <c r="V79" s="13">
        <f>S79*[1]Parametros!$B$8</f>
        <v>995</v>
      </c>
      <c r="W79" s="13">
        <f>[1]Parametros!$B$5*V79*[1]Parametros!$B$3*(U79-(V79*[1]Parametros!$B$3/(0.85*[1]Parametros!$B$2*H79))/2)/1000000</f>
        <v>176.71159614705886</v>
      </c>
      <c r="X79" s="13" t="str">
        <f t="shared" si="13"/>
        <v>CUMPLE</v>
      </c>
      <c r="Y79" s="13">
        <f>MAX(MAX(1.4/[1]Parametros!$B$3,0.25*SQRT([1]Parametros!$B$2)/[1]Parametros!$B$3)*H79*AB79,(0.85*[1]Parametros!$B$2/[1]Parametros!$B$3)*(1-SQRT(1-2*(L79*1000000/([1]Parametros!$B$5*H79*AB79^2))/(0.85*[1]Parametros!$B$2)))*H79*AB79)</f>
        <v>741.30233653886762</v>
      </c>
      <c r="Z79" s="14">
        <v>4</v>
      </c>
      <c r="AA79" s="14">
        <v>1</v>
      </c>
      <c r="AB79" s="13">
        <f>IF(AA79=1,I79-([1]Parametros!$B$7+[1]Parametros!$B$9+[1]Parametros!$B$12/2),I79-(ROUNDUP(Z79/2,0)*([1]Parametros!$B$7+[1]Parametros!$B$9+[1]Parametros!$B$12/2)+ROUNDDOWN(Z79/2,0)*([1]Parametros!$B$7+[1]Parametros!$B$9+[1]Parametros!$B$12/2+[1]Parametros!$B$12+[1]Parametros!$B$10))/Z79)</f>
        <v>489.35</v>
      </c>
      <c r="AC79" s="13">
        <f>Z79*[1]Parametros!$B$8</f>
        <v>796</v>
      </c>
      <c r="AD79" s="13">
        <f>[1]Parametros!$B$5*AC79*[1]Parametros!$B$3*(AB79-(AC79*[1]Parametros!$B$3/(0.85*[1]Parametros!$B$2*H79))/2)/1000000</f>
        <v>142.54333009411764</v>
      </c>
      <c r="AE79" s="13" t="str">
        <f t="shared" si="14"/>
        <v>CUMPLE</v>
      </c>
      <c r="AF79" s="13">
        <f>V79*1.25*[1]Parametros!$B$3*(U79-(V79*1.25*[1]Parametros!$B$3/(0.85*[1]Parametros!$B$2*H79))/2)/1000000</f>
        <v>242.88491397058826</v>
      </c>
      <c r="AG79" s="13">
        <f>AC79*1.25*[1]Parametros!$B$3*(AB79-(AC79*1.25*[1]Parametros!$B$3/(0.85*[1]Parametros!$B$2*H79))/2)/1000000</f>
        <v>196.34621794117646</v>
      </c>
      <c r="AH79" s="13">
        <f t="shared" si="15"/>
        <v>214.37162703287197</v>
      </c>
      <c r="AI79" s="13">
        <f t="shared" si="16"/>
        <v>358.971</v>
      </c>
      <c r="AJ79" s="13">
        <f>0.17*SQRT([1]Parametros!$B$2)*H79*MIN(U79,AB79)/1000</f>
        <v>198.08885582262698</v>
      </c>
      <c r="AK79" s="13">
        <f>MAX(AI79/[1]Parametros!$B$6-AJ79,0)</f>
        <v>280.53914417737303</v>
      </c>
      <c r="AL79" s="13">
        <f>0.66*SQRT([1]Parametros!$B$2)*H79*MIN(U79,AB79)/1000</f>
        <v>769.05085201725785</v>
      </c>
      <c r="AM79" s="13" t="str">
        <f t="shared" si="17"/>
        <v>CUMPLE</v>
      </c>
      <c r="AN79" s="13" t="s">
        <v>64</v>
      </c>
      <c r="AO79" s="14">
        <v>2</v>
      </c>
      <c r="AP79" s="13">
        <f>ROUNDDOWN(MIN(IF(BC79+BD79=0,1000000000,AO79*BB79/(BC79+BD79)),MIN(U79,AB79)/4,8*[1]Parametros!$B$12,24*BA79,300,IF(AV79=0,1000000000,2*((H79-2*([1]Parametros!$B$7+[1]Parametros!$B$9/2))+(I79-2*([1]Parametros!$B$7+[1]Parametros!$B$9/2)))/8))/10,0)*10</f>
        <v>100</v>
      </c>
      <c r="AQ79" s="13">
        <f>ROUNDDOWN(MIN(IF(BC79+BD79=0,1000000000,AO79*BB79/(BC79+BD79)),IF(AK79&gt;0.33*SQRT([1]Parametros!$B$2)*H79*MIN(U79,AB79)/1000,MIN(U79,AB79)/4,MIN(U79,AB79)/2),600,IF(AV79=0,1000000000,2*((H79-2*([1]Parametros!$B$7+[1]Parametros!$B$9/2))+(I79-2*([1]Parametros!$B$7+[1]Parametros!$B$9/2)))/8))/10,0)*10</f>
        <v>100</v>
      </c>
      <c r="AR79" s="13">
        <f>[1]Parametros!$B$6*(AJ79+MAX(BE79-BD79,0)*[1]Parametros!$B$4*MIN(U79,AB79)/1000)</f>
        <v>367.45289686697026</v>
      </c>
      <c r="AS79" s="13" t="str">
        <f t="shared" si="18"/>
        <v>CUMPLE</v>
      </c>
      <c r="AT79" s="13">
        <f>[1]Parametros!$B$6*0.083*SQRT([1]Parametros!$B$2)*(H79*I79)^2/(2*(H79+I79))/1000000</f>
        <v>10.08878303333792</v>
      </c>
      <c r="AU79" s="13" t="str">
        <f t="shared" si="19"/>
        <v>DESPRECIABLE</v>
      </c>
      <c r="AV79" s="13">
        <f>IF(Q79&lt;=AT79,0,Q79*1000000/([1]Parametros!$B$6*2*0.85*(H79-2*([1]Parametros!$B$7+[1]Parametros!$B$9/2))*(I79-2*([1]Parametros!$B$7+[1]Parametros!$B$9/2))*[1]Parametros!$B$4))</f>
        <v>0</v>
      </c>
      <c r="AW79" s="13">
        <f>AV79*2*((H79-2*([1]Parametros!$B$7+[1]Parametros!$B$9/2))+(I79-2*([1]Parametros!$B$7+[1]Parametros!$B$9/2)))*[1]Parametros!$B$4/[1]Parametros!$B$3</f>
        <v>0</v>
      </c>
      <c r="AX79" s="14">
        <v>0</v>
      </c>
      <c r="AY79" s="13" t="str">
        <f t="shared" si="20"/>
        <v>DESPRECIABLE</v>
      </c>
      <c r="AZ79" s="13" t="str">
        <f t="shared" si="21"/>
        <v>CUMPLE</v>
      </c>
      <c r="BA79" s="14">
        <v>9.5</v>
      </c>
      <c r="BB79" s="14">
        <v>71</v>
      </c>
      <c r="BC79" s="13">
        <f>MAX(IF(AK79=0,0,AK79*1000/([1]Parametros!$B$4*MIN(U79,AB79))),MAX(0.062*SQRT([1]Parametros!$B$2)*H79/[1]Parametros!$B$4,0.35*H79/[1]Parametros!$B$4))</f>
        <v>1.3649746465300083</v>
      </c>
      <c r="BD79" s="13">
        <f t="shared" si="22"/>
        <v>0</v>
      </c>
      <c r="BE79" s="13">
        <f t="shared" si="23"/>
        <v>1.42</v>
      </c>
      <c r="BF79" s="13">
        <f>SQRT((AI79*1000/(H79*MIN(U79,AB79)))^2+(Q79*1000000*2*((H79-2*([1]Parametros!$B$7+[1]Parametros!$B$9/2))+(I79-2*([1]Parametros!$B$7+[1]Parametros!$B$9/2)))/(1.7*((H79-2*([1]Parametros!$B$7+[1]Parametros!$B$9/2))*(I79-2*([1]Parametros!$B$7+[1]Parametros!$B$9/2)))^2))^2)</f>
        <v>1.6311916604760621</v>
      </c>
      <c r="BG79" s="13">
        <f>[1]Parametros!$B$6*(AJ79*1000/(H79*MIN(U79,AB79))+0.66*SQRT([1]Parametros!$B$2))</f>
        <v>3.2939603822754151</v>
      </c>
      <c r="BH79" s="13" t="str">
        <f t="shared" si="24"/>
        <v>CUMPLE</v>
      </c>
      <c r="BI79" s="13">
        <f>AX79*[1]Parametros!$B$8</f>
        <v>0</v>
      </c>
      <c r="BJ79" s="15" t="str">
        <f t="shared" si="25"/>
        <v>CUMPLE</v>
      </c>
    </row>
    <row r="80" spans="1:62" x14ac:dyDescent="0.3">
      <c r="A80" s="16" t="s">
        <v>66</v>
      </c>
      <c r="B80" s="17">
        <v>815</v>
      </c>
      <c r="C80" s="13">
        <v>1</v>
      </c>
      <c r="D80" s="13">
        <v>3.4</v>
      </c>
      <c r="E80" s="13">
        <v>3.4</v>
      </c>
      <c r="F80" s="13">
        <v>450</v>
      </c>
      <c r="G80" s="13">
        <v>550</v>
      </c>
      <c r="H80" s="13">
        <v>450</v>
      </c>
      <c r="I80" s="13">
        <v>550</v>
      </c>
      <c r="J80" s="14">
        <v>129.3467</v>
      </c>
      <c r="K80" s="13">
        <v>815</v>
      </c>
      <c r="L80" s="14">
        <v>96.6387</v>
      </c>
      <c r="M80" s="13">
        <v>815</v>
      </c>
      <c r="N80" s="14">
        <v>69.962000000000003</v>
      </c>
      <c r="O80" s="14">
        <v>277.32799999999997</v>
      </c>
      <c r="P80" s="13">
        <v>815</v>
      </c>
      <c r="Q80" s="14">
        <v>1.2751999999999999</v>
      </c>
      <c r="R80" s="13">
        <f>MAX(MAX(1.4/[1]Parametros!$B$3,0.25*SQRT([1]Parametros!$B$2)/[1]Parametros!$B$3)*H80*U80,(0.85*[1]Parametros!$B$2/[1]Parametros!$B$3)*(1-SQRT(1-2*(J80*1000000/([1]Parametros!$B$5*H80*U80^2))/(0.85*[1]Parametros!$B$2)))*H80*U80)</f>
        <v>734.02500000000009</v>
      </c>
      <c r="S80" s="14">
        <v>4</v>
      </c>
      <c r="T80" s="14">
        <v>1</v>
      </c>
      <c r="U80" s="13">
        <f>IF(T80=1,I80-([1]Parametros!$B$7+[1]Parametros!$B$9+[1]Parametros!$B$12/2),I80-(ROUNDUP(S80/2,0)*([1]Parametros!$B$7+[1]Parametros!$B$9+[1]Parametros!$B$12/2)+ROUNDDOWN(S80/2,0)*([1]Parametros!$B$7+[1]Parametros!$B$9+[1]Parametros!$B$12/2+[1]Parametros!$B$12+[1]Parametros!$B$10))/S80)</f>
        <v>489.35</v>
      </c>
      <c r="V80" s="13">
        <f>S80*[1]Parametros!$B$8</f>
        <v>796</v>
      </c>
      <c r="W80" s="13">
        <f>[1]Parametros!$B$5*V80*[1]Parametros!$B$3*(U80-(V80*[1]Parametros!$B$3/(0.85*[1]Parametros!$B$2*H80))/2)/1000000</f>
        <v>142.54333009411764</v>
      </c>
      <c r="X80" s="13" t="str">
        <f t="shared" si="13"/>
        <v>CUMPLE</v>
      </c>
      <c r="Y80" s="13">
        <f>MAX(MAX(1.4/[1]Parametros!$B$3,0.25*SQRT([1]Parametros!$B$2)/[1]Parametros!$B$3)*H80*AB80,(0.85*[1]Parametros!$B$2/[1]Parametros!$B$3)*(1-SQRT(1-2*(L80*1000000/([1]Parametros!$B$5*H80*AB80^2))/(0.85*[1]Parametros!$B$2)))*H80*AB80)</f>
        <v>734.02500000000009</v>
      </c>
      <c r="Z80" s="14">
        <v>4</v>
      </c>
      <c r="AA80" s="14">
        <v>1</v>
      </c>
      <c r="AB80" s="13">
        <f>IF(AA80=1,I80-([1]Parametros!$B$7+[1]Parametros!$B$9+[1]Parametros!$B$12/2),I80-(ROUNDUP(Z80/2,0)*([1]Parametros!$B$7+[1]Parametros!$B$9+[1]Parametros!$B$12/2)+ROUNDDOWN(Z80/2,0)*([1]Parametros!$B$7+[1]Parametros!$B$9+[1]Parametros!$B$12/2+[1]Parametros!$B$12+[1]Parametros!$B$10))/Z80)</f>
        <v>489.35</v>
      </c>
      <c r="AC80" s="13">
        <f>Z80*[1]Parametros!$B$8</f>
        <v>796</v>
      </c>
      <c r="AD80" s="13">
        <f>[1]Parametros!$B$5*AC80*[1]Parametros!$B$3*(AB80-(AC80*[1]Parametros!$B$3/(0.85*[1]Parametros!$B$2*H80))/2)/1000000</f>
        <v>142.54333009411764</v>
      </c>
      <c r="AE80" s="13" t="str">
        <f t="shared" si="14"/>
        <v>CUMPLE</v>
      </c>
      <c r="AF80" s="13">
        <f>V80*1.25*[1]Parametros!$B$3*(U80-(V80*1.25*[1]Parametros!$B$3/(0.85*[1]Parametros!$B$2*H80))/2)/1000000</f>
        <v>196.34621794117646</v>
      </c>
      <c r="AG80" s="13">
        <f>AC80*1.25*[1]Parametros!$B$3*(AB80-(AC80*1.25*[1]Parametros!$B$3/(0.85*[1]Parametros!$B$2*H80))/2)/1000000</f>
        <v>196.34621794117646</v>
      </c>
      <c r="AH80" s="13">
        <f t="shared" si="15"/>
        <v>185.45977525951557</v>
      </c>
      <c r="AI80" s="13">
        <f t="shared" si="16"/>
        <v>277.32799999999997</v>
      </c>
      <c r="AJ80" s="13">
        <f>0.17*SQRT([1]Parametros!$B$2)*H80*MIN(U80,AB80)/1000</f>
        <v>198.08885582262698</v>
      </c>
      <c r="AK80" s="13">
        <f>MAX(AI80/[1]Parametros!$B$6-AJ80,0)</f>
        <v>171.68181084403963</v>
      </c>
      <c r="AL80" s="13">
        <f>0.66*SQRT([1]Parametros!$B$2)*H80*MIN(U80,AB80)/1000</f>
        <v>769.05085201725785</v>
      </c>
      <c r="AM80" s="13" t="str">
        <f t="shared" si="17"/>
        <v>CUMPLE</v>
      </c>
      <c r="AN80" s="13" t="s">
        <v>64</v>
      </c>
      <c r="AO80" s="14">
        <v>2</v>
      </c>
      <c r="AP80" s="13">
        <f>ROUNDDOWN(MIN(IF(BC80+BD80=0,1000000000,AO80*BB80/(BC80+BD80)),MIN(U80,AB80)/4,8*[1]Parametros!$B$12,24*BA80,300,IF(AV80=0,1000000000,2*((H80-2*([1]Parametros!$B$7+[1]Parametros!$B$9/2))+(I80-2*([1]Parametros!$B$7+[1]Parametros!$B$9/2)))/8))/10,0)*10</f>
        <v>120</v>
      </c>
      <c r="AQ80" s="13">
        <f>ROUNDDOWN(MIN(IF(BC80+BD80=0,1000000000,AO80*BB80/(BC80+BD80)),IF(AK80&gt;0.33*SQRT([1]Parametros!$B$2)*H80*MIN(U80,AB80)/1000,MIN(U80,AB80)/4,MIN(U80,AB80)/2),600,IF(AV80=0,1000000000,2*((H80-2*([1]Parametros!$B$7+[1]Parametros!$B$9/2))+(I80-2*([1]Parametros!$B$7+[1]Parametros!$B$9/2)))/8))/10,0)*10</f>
        <v>160</v>
      </c>
      <c r="AR80" s="13">
        <f>[1]Parametros!$B$6*(AJ80+MAX(BE80-BD80,0)*[1]Parametros!$B$4*MIN(U80,AB80)/1000)</f>
        <v>330.97185436697026</v>
      </c>
      <c r="AS80" s="13" t="str">
        <f t="shared" si="18"/>
        <v>CUMPLE</v>
      </c>
      <c r="AT80" s="13">
        <f>[1]Parametros!$B$6*0.083*SQRT([1]Parametros!$B$2)*(H80*I80)^2/(2*(H80+I80))/1000000</f>
        <v>10.08878303333792</v>
      </c>
      <c r="AU80" s="13" t="str">
        <f t="shared" si="19"/>
        <v>DESPRECIABLE</v>
      </c>
      <c r="AV80" s="13">
        <f>IF(Q80&lt;=AT80,0,Q80*1000000/([1]Parametros!$B$6*2*0.85*(H80-2*([1]Parametros!$B$7+[1]Parametros!$B$9/2))*(I80-2*([1]Parametros!$B$7+[1]Parametros!$B$9/2))*[1]Parametros!$B$4))</f>
        <v>0</v>
      </c>
      <c r="AW80" s="13">
        <f>AV80*2*((H80-2*([1]Parametros!$B$7+[1]Parametros!$B$9/2))+(I80-2*([1]Parametros!$B$7+[1]Parametros!$B$9/2)))*[1]Parametros!$B$4/[1]Parametros!$B$3</f>
        <v>0</v>
      </c>
      <c r="AX80" s="14">
        <v>0</v>
      </c>
      <c r="AY80" s="13" t="str">
        <f t="shared" si="20"/>
        <v>DESPRECIABLE</v>
      </c>
      <c r="AZ80" s="13" t="str">
        <f t="shared" si="21"/>
        <v>CUMPLE</v>
      </c>
      <c r="BA80" s="14">
        <v>9.5</v>
      </c>
      <c r="BB80" s="14">
        <v>71</v>
      </c>
      <c r="BC80" s="13">
        <f>MAX(IF(AK80=0,0,AK80*1000/([1]Parametros!$B$4*MIN(U80,AB80))),MAX(0.062*SQRT([1]Parametros!$B$2)*H80/[1]Parametros!$B$4,0.35*H80/[1]Parametros!$B$4))</f>
        <v>0.8353248519369213</v>
      </c>
      <c r="BD80" s="13">
        <f t="shared" si="22"/>
        <v>0</v>
      </c>
      <c r="BE80" s="13">
        <f t="shared" si="23"/>
        <v>1.1833333333333333</v>
      </c>
      <c r="BF80" s="13">
        <f>SQRT((AI80*1000/(H80*MIN(U80,AB80)))^2+(Q80*1000000*2*((H80-2*([1]Parametros!$B$7+[1]Parametros!$B$9/2))+(I80-2*([1]Parametros!$B$7+[1]Parametros!$B$9/2)))/(1.7*((H80-2*([1]Parametros!$B$7+[1]Parametros!$B$9/2))*(I80-2*([1]Parametros!$B$7+[1]Parametros!$B$9/2)))^2))^2)</f>
        <v>1.2602256213469731</v>
      </c>
      <c r="BG80" s="13">
        <f>[1]Parametros!$B$6*(AJ80*1000/(H80*MIN(U80,AB80))+0.66*SQRT([1]Parametros!$B$2))</f>
        <v>3.2939603822754151</v>
      </c>
      <c r="BH80" s="13" t="str">
        <f t="shared" si="24"/>
        <v>CUMPLE</v>
      </c>
      <c r="BI80" s="13">
        <f>AX80*[1]Parametros!$B$8</f>
        <v>0</v>
      </c>
      <c r="BJ80" s="15" t="str">
        <f t="shared" si="25"/>
        <v>CUMPLE</v>
      </c>
    </row>
    <row r="81" spans="1:62" x14ac:dyDescent="0.3">
      <c r="A81" s="16" t="s">
        <v>66</v>
      </c>
      <c r="B81" s="17">
        <v>816</v>
      </c>
      <c r="C81" s="13">
        <v>1</v>
      </c>
      <c r="D81" s="13">
        <v>3.2147700000000001</v>
      </c>
      <c r="E81" s="13">
        <v>3.2147700000000001</v>
      </c>
      <c r="F81" s="13">
        <v>450</v>
      </c>
      <c r="G81" s="13">
        <v>550</v>
      </c>
      <c r="H81" s="13">
        <v>450</v>
      </c>
      <c r="I81" s="13">
        <v>550</v>
      </c>
      <c r="J81" s="14">
        <v>138.68690000000001</v>
      </c>
      <c r="K81" s="13">
        <v>816</v>
      </c>
      <c r="L81" s="14">
        <v>106.9524</v>
      </c>
      <c r="M81" s="13">
        <v>816</v>
      </c>
      <c r="N81" s="14">
        <v>87.932000000000002</v>
      </c>
      <c r="O81" s="14">
        <v>304.572</v>
      </c>
      <c r="P81" s="13">
        <v>816</v>
      </c>
      <c r="Q81" s="14">
        <v>13.0695</v>
      </c>
      <c r="R81" s="13">
        <f>MAX(MAX(1.4/[1]Parametros!$B$3,0.25*SQRT([1]Parametros!$B$2)/[1]Parametros!$B$3)*H81*U81,(0.85*[1]Parametros!$B$2/[1]Parametros!$B$3)*(1-SQRT(1-2*(J81*1000000/([1]Parametros!$B$5*H81*U81^2))/(0.85*[1]Parametros!$B$2)))*H81*U81)</f>
        <v>773.75217768452967</v>
      </c>
      <c r="S81" s="14">
        <v>4</v>
      </c>
      <c r="T81" s="14">
        <v>1</v>
      </c>
      <c r="U81" s="13">
        <f>IF(T81=1,I81-([1]Parametros!$B$7+[1]Parametros!$B$9+[1]Parametros!$B$12/2),I81-(ROUNDUP(S81/2,0)*([1]Parametros!$B$7+[1]Parametros!$B$9+[1]Parametros!$B$12/2)+ROUNDDOWN(S81/2,0)*([1]Parametros!$B$7+[1]Parametros!$B$9+[1]Parametros!$B$12/2+[1]Parametros!$B$12+[1]Parametros!$B$10))/S81)</f>
        <v>489.35</v>
      </c>
      <c r="V81" s="13">
        <f>S81*[1]Parametros!$B$8</f>
        <v>796</v>
      </c>
      <c r="W81" s="13">
        <f>[1]Parametros!$B$5*V81*[1]Parametros!$B$3*(U81-(V81*[1]Parametros!$B$3/(0.85*[1]Parametros!$B$2*H81))/2)/1000000</f>
        <v>142.54333009411764</v>
      </c>
      <c r="X81" s="13" t="str">
        <f t="shared" si="13"/>
        <v>CUMPLE</v>
      </c>
      <c r="Y81" s="13">
        <f>MAX(MAX(1.4/[1]Parametros!$B$3,0.25*SQRT([1]Parametros!$B$2)/[1]Parametros!$B$3)*H81*AB81,(0.85*[1]Parametros!$B$2/[1]Parametros!$B$3)*(1-SQRT(1-2*(L81*1000000/([1]Parametros!$B$5*H81*AB81^2))/(0.85*[1]Parametros!$B$2)))*H81*AB81)</f>
        <v>734.02500000000009</v>
      </c>
      <c r="Z81" s="14">
        <v>4</v>
      </c>
      <c r="AA81" s="14">
        <v>1</v>
      </c>
      <c r="AB81" s="13">
        <f>IF(AA81=1,I81-([1]Parametros!$B$7+[1]Parametros!$B$9+[1]Parametros!$B$12/2),I81-(ROUNDUP(Z81/2,0)*([1]Parametros!$B$7+[1]Parametros!$B$9+[1]Parametros!$B$12/2)+ROUNDDOWN(Z81/2,0)*([1]Parametros!$B$7+[1]Parametros!$B$9+[1]Parametros!$B$12/2+[1]Parametros!$B$12+[1]Parametros!$B$10))/Z81)</f>
        <v>489.35</v>
      </c>
      <c r="AC81" s="13">
        <f>Z81*[1]Parametros!$B$8</f>
        <v>796</v>
      </c>
      <c r="AD81" s="13">
        <f>[1]Parametros!$B$5*AC81*[1]Parametros!$B$3*(AB81-(AC81*[1]Parametros!$B$3/(0.85*[1]Parametros!$B$2*H81))/2)/1000000</f>
        <v>142.54333009411764</v>
      </c>
      <c r="AE81" s="13" t="str">
        <f t="shared" si="14"/>
        <v>CUMPLE</v>
      </c>
      <c r="AF81" s="13">
        <f>V81*1.25*[1]Parametros!$B$3*(U81-(V81*1.25*[1]Parametros!$B$3/(0.85*[1]Parametros!$B$2*H81))/2)/1000000</f>
        <v>196.34621794117646</v>
      </c>
      <c r="AG81" s="13">
        <f>AC81*1.25*[1]Parametros!$B$3*(AB81-(AC81*1.25*[1]Parametros!$B$3/(0.85*[1]Parametros!$B$2*H81))/2)/1000000</f>
        <v>196.34621794117646</v>
      </c>
      <c r="AH81" s="13">
        <f t="shared" si="15"/>
        <v>210.08457573087748</v>
      </c>
      <c r="AI81" s="13">
        <f t="shared" si="16"/>
        <v>304.572</v>
      </c>
      <c r="AJ81" s="13">
        <f>0.17*SQRT([1]Parametros!$B$2)*H81*MIN(U81,AB81)/1000</f>
        <v>198.08885582262698</v>
      </c>
      <c r="AK81" s="13">
        <f>MAX(AI81/[1]Parametros!$B$6-AJ81,0)</f>
        <v>208.00714417737302</v>
      </c>
      <c r="AL81" s="13">
        <f>0.66*SQRT([1]Parametros!$B$2)*H81*MIN(U81,AB81)/1000</f>
        <v>769.05085201725785</v>
      </c>
      <c r="AM81" s="13" t="str">
        <f t="shared" si="17"/>
        <v>CUMPLE</v>
      </c>
      <c r="AN81" s="13" t="s">
        <v>64</v>
      </c>
      <c r="AO81" s="14">
        <v>2</v>
      </c>
      <c r="AP81" s="13">
        <f>ROUNDDOWN(MIN(IF(BC81+BD81=0,1000000000,AO81*BB81/(BC81+BD81)),MIN(U81,AB81)/4,8*[1]Parametros!$B$12,24*BA81,300,IF(AV81=0,1000000000,2*((H81-2*([1]Parametros!$B$7+[1]Parametros!$B$9/2))+(I81-2*([1]Parametros!$B$7+[1]Parametros!$B$9/2)))/8))/10,0)*10</f>
        <v>100</v>
      </c>
      <c r="AQ81" s="13">
        <f>ROUNDDOWN(MIN(IF(BC81+BD81=0,1000000000,AO81*BB81/(BC81+BD81)),IF(AK81&gt;0.33*SQRT([1]Parametros!$B$2)*H81*MIN(U81,AB81)/1000,MIN(U81,AB81)/4,MIN(U81,AB81)/2),600,IF(AV81=0,1000000000,2*((H81-2*([1]Parametros!$B$7+[1]Parametros!$B$9/2))+(I81-2*([1]Parametros!$B$7+[1]Parametros!$B$9/2)))/8))/10,0)*10</f>
        <v>100</v>
      </c>
      <c r="AR81" s="13">
        <f>[1]Parametros!$B$6*(AJ81+MAX(BE81-BD81,0)*[1]Parametros!$B$4*MIN(U81,AB81)/1000)</f>
        <v>321.40334348927786</v>
      </c>
      <c r="AS81" s="13" t="str">
        <f t="shared" si="18"/>
        <v>CUMPLE</v>
      </c>
      <c r="AT81" s="13">
        <f>[1]Parametros!$B$6*0.083*SQRT([1]Parametros!$B$2)*(H81*I81)^2/(2*(H81+I81))/1000000</f>
        <v>10.08878303333792</v>
      </c>
      <c r="AU81" s="13" t="str">
        <f t="shared" si="19"/>
        <v>DISEÑAR</v>
      </c>
      <c r="AV81" s="13">
        <f>IF(Q81&lt;=AT81,0,Q81*1000000/([1]Parametros!$B$6*2*0.85*(H81-2*([1]Parametros!$B$7+[1]Parametros!$B$9/2))*(I81-2*([1]Parametros!$B$7+[1]Parametros!$B$9/2))*[1]Parametros!$B$4))</f>
        <v>0.14937065325623833</v>
      </c>
      <c r="AW81" s="13">
        <f>AV81*2*((H81-2*([1]Parametros!$B$7+[1]Parametros!$B$9/2))+(I81-2*([1]Parametros!$B$7+[1]Parametros!$B$9/2)))*[1]Parametros!$B$4/[1]Parametros!$B$3</f>
        <v>243.35466828506352</v>
      </c>
      <c r="AX81" s="14">
        <v>8</v>
      </c>
      <c r="AY81" s="13" t="str">
        <f t="shared" si="20"/>
        <v>CUMPLE</v>
      </c>
      <c r="AZ81" s="13" t="str">
        <f t="shared" si="21"/>
        <v>CUMPLE</v>
      </c>
      <c r="BA81" s="14">
        <v>9.5</v>
      </c>
      <c r="BB81" s="14">
        <v>71</v>
      </c>
      <c r="BC81" s="13">
        <f>MAX(IF(AK81=0,0,AK81*1000/([1]Parametros!$B$4*MIN(U81,AB81))),MAX(0.062*SQRT([1]Parametros!$B$2)*H81/[1]Parametros!$B$4,0.35*H81/[1]Parametros!$B$4))</f>
        <v>1.0120672426366026</v>
      </c>
      <c r="BD81" s="13">
        <f t="shared" si="22"/>
        <v>0.29874130651247666</v>
      </c>
      <c r="BE81" s="13">
        <f t="shared" si="23"/>
        <v>1.42</v>
      </c>
      <c r="BF81" s="13">
        <f>SQRT((AI81*1000/(H81*MIN(U81,AB81)))^2+(Q81*1000000*2*((H81-2*([1]Parametros!$B$7+[1]Parametros!$B$9/2))+(I81-2*([1]Parametros!$B$7+[1]Parametros!$B$9/2)))/(1.7*((H81-2*([1]Parametros!$B$7+[1]Parametros!$B$9/2))*(I81-2*([1]Parametros!$B$7+[1]Parametros!$B$9/2)))^2))^2)</f>
        <v>1.4605168464117546</v>
      </c>
      <c r="BG81" s="13">
        <f>[1]Parametros!$B$6*(AJ81*1000/(H81*MIN(U81,AB81))+0.66*SQRT([1]Parametros!$B$2))</f>
        <v>3.2939603822754151</v>
      </c>
      <c r="BH81" s="13" t="str">
        <f t="shared" si="24"/>
        <v>CUMPLE</v>
      </c>
      <c r="BI81" s="13">
        <f>AX81*[1]Parametros!$B$8</f>
        <v>1592</v>
      </c>
      <c r="BJ81" s="15" t="str">
        <f t="shared" si="25"/>
        <v>CUMPLE</v>
      </c>
    </row>
    <row r="82" spans="1:62" x14ac:dyDescent="0.3">
      <c r="A82" s="16" t="s">
        <v>66</v>
      </c>
      <c r="B82" s="17">
        <v>817</v>
      </c>
      <c r="C82" s="13">
        <v>1</v>
      </c>
      <c r="D82" s="13">
        <v>3.2147700000000001</v>
      </c>
      <c r="E82" s="13">
        <v>3.2147700000000001</v>
      </c>
      <c r="F82" s="13">
        <v>450</v>
      </c>
      <c r="G82" s="13">
        <v>550</v>
      </c>
      <c r="H82" s="13">
        <v>450</v>
      </c>
      <c r="I82" s="13">
        <v>550</v>
      </c>
      <c r="J82" s="14">
        <v>138.76249999999999</v>
      </c>
      <c r="K82" s="13">
        <v>817</v>
      </c>
      <c r="L82" s="14">
        <v>107.03</v>
      </c>
      <c r="M82" s="13">
        <v>817</v>
      </c>
      <c r="N82" s="14">
        <v>87.968000000000004</v>
      </c>
      <c r="O82" s="14">
        <v>304.61700000000002</v>
      </c>
      <c r="P82" s="13">
        <v>817</v>
      </c>
      <c r="Q82" s="14">
        <v>13.059699999999999</v>
      </c>
      <c r="R82" s="13">
        <f>MAX(MAX(1.4/[1]Parametros!$B$3,0.25*SQRT([1]Parametros!$B$2)/[1]Parametros!$B$3)*H82*U82,(0.85*[1]Parametros!$B$2/[1]Parametros!$B$3)*(1-SQRT(1-2*(J82*1000000/([1]Parametros!$B$5*H82*U82^2))/(0.85*[1]Parametros!$B$2)))*H82*U82)</f>
        <v>774.1879092088883</v>
      </c>
      <c r="S82" s="14">
        <v>4</v>
      </c>
      <c r="T82" s="14">
        <v>1</v>
      </c>
      <c r="U82" s="13">
        <f>IF(T82=1,I82-([1]Parametros!$B$7+[1]Parametros!$B$9+[1]Parametros!$B$12/2),I82-(ROUNDUP(S82/2,0)*([1]Parametros!$B$7+[1]Parametros!$B$9+[1]Parametros!$B$12/2)+ROUNDDOWN(S82/2,0)*([1]Parametros!$B$7+[1]Parametros!$B$9+[1]Parametros!$B$12/2+[1]Parametros!$B$12+[1]Parametros!$B$10))/S82)</f>
        <v>489.35</v>
      </c>
      <c r="V82" s="13">
        <f>S82*[1]Parametros!$B$8</f>
        <v>796</v>
      </c>
      <c r="W82" s="13">
        <f>[1]Parametros!$B$5*V82*[1]Parametros!$B$3*(U82-(V82*[1]Parametros!$B$3/(0.85*[1]Parametros!$B$2*H82))/2)/1000000</f>
        <v>142.54333009411764</v>
      </c>
      <c r="X82" s="13" t="str">
        <f t="shared" si="13"/>
        <v>CUMPLE</v>
      </c>
      <c r="Y82" s="13">
        <f>MAX(MAX(1.4/[1]Parametros!$B$3,0.25*SQRT([1]Parametros!$B$2)/[1]Parametros!$B$3)*H82*AB82,(0.85*[1]Parametros!$B$2/[1]Parametros!$B$3)*(1-SQRT(1-2*(L82*1000000/([1]Parametros!$B$5*H82*AB82^2))/(0.85*[1]Parametros!$B$2)))*H82*AB82)</f>
        <v>734.02500000000009</v>
      </c>
      <c r="Z82" s="14">
        <v>4</v>
      </c>
      <c r="AA82" s="14">
        <v>1</v>
      </c>
      <c r="AB82" s="13">
        <f>IF(AA82=1,I82-([1]Parametros!$B$7+[1]Parametros!$B$9+[1]Parametros!$B$12/2),I82-(ROUNDUP(Z82/2,0)*([1]Parametros!$B$7+[1]Parametros!$B$9+[1]Parametros!$B$12/2)+ROUNDDOWN(Z82/2,0)*([1]Parametros!$B$7+[1]Parametros!$B$9+[1]Parametros!$B$12/2+[1]Parametros!$B$12+[1]Parametros!$B$10))/Z82)</f>
        <v>489.35</v>
      </c>
      <c r="AC82" s="13">
        <f>Z82*[1]Parametros!$B$8</f>
        <v>796</v>
      </c>
      <c r="AD82" s="13">
        <f>[1]Parametros!$B$5*AC82*[1]Parametros!$B$3*(AB82-(AC82*[1]Parametros!$B$3/(0.85*[1]Parametros!$B$2*H82))/2)/1000000</f>
        <v>142.54333009411764</v>
      </c>
      <c r="AE82" s="13" t="str">
        <f t="shared" si="14"/>
        <v>CUMPLE</v>
      </c>
      <c r="AF82" s="13">
        <f>V82*1.25*[1]Parametros!$B$3*(U82-(V82*1.25*[1]Parametros!$B$3/(0.85*[1]Parametros!$B$2*H82))/2)/1000000</f>
        <v>196.34621794117646</v>
      </c>
      <c r="AG82" s="13">
        <f>AC82*1.25*[1]Parametros!$B$3*(AB82-(AC82*1.25*[1]Parametros!$B$3/(0.85*[1]Parametros!$B$2*H82))/2)/1000000</f>
        <v>196.34621794117646</v>
      </c>
      <c r="AH82" s="13">
        <f t="shared" si="15"/>
        <v>210.12057573087748</v>
      </c>
      <c r="AI82" s="13">
        <f t="shared" si="16"/>
        <v>304.61700000000002</v>
      </c>
      <c r="AJ82" s="13">
        <f>0.17*SQRT([1]Parametros!$B$2)*H82*MIN(U82,AB82)/1000</f>
        <v>198.08885582262698</v>
      </c>
      <c r="AK82" s="13">
        <f>MAX(AI82/[1]Parametros!$B$6-AJ82,0)</f>
        <v>208.06714417737302</v>
      </c>
      <c r="AL82" s="13">
        <f>0.66*SQRT([1]Parametros!$B$2)*H82*MIN(U82,AB82)/1000</f>
        <v>769.05085201725785</v>
      </c>
      <c r="AM82" s="13" t="str">
        <f t="shared" si="17"/>
        <v>CUMPLE</v>
      </c>
      <c r="AN82" s="13" t="s">
        <v>64</v>
      </c>
      <c r="AO82" s="14">
        <v>2</v>
      </c>
      <c r="AP82" s="13">
        <f>ROUNDDOWN(MIN(IF(BC82+BD82=0,1000000000,AO82*BB82/(BC82+BD82)),MIN(U82,AB82)/4,8*[1]Parametros!$B$12,24*BA82,300,IF(AV82=0,1000000000,2*((H82-2*([1]Parametros!$B$7+[1]Parametros!$B$9/2))+(I82-2*([1]Parametros!$B$7+[1]Parametros!$B$9/2)))/8))/10,0)*10</f>
        <v>100</v>
      </c>
      <c r="AQ82" s="13">
        <f>ROUNDDOWN(MIN(IF(BC82+BD82=0,1000000000,AO82*BB82/(BC82+BD82)),IF(AK82&gt;0.33*SQRT([1]Parametros!$B$2)*H82*MIN(U82,AB82)/1000,MIN(U82,AB82)/4,MIN(U82,AB82)/2),600,IF(AV82=0,1000000000,2*((H82-2*([1]Parametros!$B$7+[1]Parametros!$B$9/2))+(I82-2*([1]Parametros!$B$7+[1]Parametros!$B$9/2)))/8))/10,0)*10</f>
        <v>100</v>
      </c>
      <c r="AR82" s="13">
        <f>[1]Parametros!$B$6*(AJ82+MAX(BE82-BD82,0)*[1]Parametros!$B$4*MIN(U82,AB82)/1000)</f>
        <v>321.4378731670086</v>
      </c>
      <c r="AS82" s="13" t="str">
        <f t="shared" si="18"/>
        <v>CUMPLE</v>
      </c>
      <c r="AT82" s="13">
        <f>[1]Parametros!$B$6*0.083*SQRT([1]Parametros!$B$2)*(H82*I82)^2/(2*(H82+I82))/1000000</f>
        <v>10.08878303333792</v>
      </c>
      <c r="AU82" s="13" t="str">
        <f t="shared" si="19"/>
        <v>DISEÑAR</v>
      </c>
      <c r="AV82" s="13">
        <f>IF(Q82&lt;=AT82,0,Q82*1000000/([1]Parametros!$B$6*2*0.85*(H82-2*([1]Parametros!$B$7+[1]Parametros!$B$9/2))*(I82-2*([1]Parametros!$B$7+[1]Parametros!$B$9/2))*[1]Parametros!$B$4))</f>
        <v>0.14925864955281348</v>
      </c>
      <c r="AW82" s="13">
        <f>AV82*2*((H82-2*([1]Parametros!$B$7+[1]Parametros!$B$9/2))+(I82-2*([1]Parametros!$B$7+[1]Parametros!$B$9/2)))*[1]Parametros!$B$4/[1]Parametros!$B$3</f>
        <v>243.17219185144373</v>
      </c>
      <c r="AX82" s="14">
        <v>8</v>
      </c>
      <c r="AY82" s="13" t="str">
        <f t="shared" si="20"/>
        <v>CUMPLE</v>
      </c>
      <c r="AZ82" s="13" t="str">
        <f t="shared" si="21"/>
        <v>CUMPLE</v>
      </c>
      <c r="BA82" s="14">
        <v>9.5</v>
      </c>
      <c r="BB82" s="14">
        <v>71</v>
      </c>
      <c r="BC82" s="13">
        <f>MAX(IF(AK82=0,0,AK82*1000/([1]Parametros!$B$4*MIN(U82,AB82))),MAX(0.062*SQRT([1]Parametros!$B$2)*H82/[1]Parametros!$B$4,0.35*H82/[1]Parametros!$B$4))</f>
        <v>1.0123591750834344</v>
      </c>
      <c r="BD82" s="13">
        <f t="shared" si="22"/>
        <v>0.29851729910562697</v>
      </c>
      <c r="BE82" s="13">
        <f t="shared" si="23"/>
        <v>1.42</v>
      </c>
      <c r="BF82" s="13">
        <f>SQRT((AI82*1000/(H82*MIN(U82,AB82)))^2+(Q82*1000000*2*((H82-2*([1]Parametros!$B$7+[1]Parametros!$B$9/2))+(I82-2*([1]Parametros!$B$7+[1]Parametros!$B$9/2)))/(1.7*((H82-2*([1]Parametros!$B$7+[1]Parametros!$B$9/2))*(I82-2*([1]Parametros!$B$7+[1]Parametros!$B$9/2)))^2))^2)</f>
        <v>1.4605974197843954</v>
      </c>
      <c r="BG82" s="13">
        <f>[1]Parametros!$B$6*(AJ82*1000/(H82*MIN(U82,AB82))+0.66*SQRT([1]Parametros!$B$2))</f>
        <v>3.2939603822754151</v>
      </c>
      <c r="BH82" s="13" t="str">
        <f t="shared" si="24"/>
        <v>CUMPLE</v>
      </c>
      <c r="BI82" s="13">
        <f>AX82*[1]Parametros!$B$8</f>
        <v>1592</v>
      </c>
      <c r="BJ82" s="15" t="str">
        <f t="shared" si="25"/>
        <v>CUMPLE</v>
      </c>
    </row>
    <row r="83" spans="1:62" x14ac:dyDescent="0.3">
      <c r="A83" s="16" t="s">
        <v>66</v>
      </c>
      <c r="B83" s="17">
        <v>818</v>
      </c>
      <c r="C83" s="13">
        <v>1</v>
      </c>
      <c r="D83" s="13">
        <v>3.4</v>
      </c>
      <c r="E83" s="13">
        <v>3.4</v>
      </c>
      <c r="F83" s="13">
        <v>450</v>
      </c>
      <c r="G83" s="13">
        <v>550</v>
      </c>
      <c r="H83" s="13">
        <v>450</v>
      </c>
      <c r="I83" s="13">
        <v>550</v>
      </c>
      <c r="J83" s="14">
        <v>129.37719999999999</v>
      </c>
      <c r="K83" s="13">
        <v>818</v>
      </c>
      <c r="L83" s="14">
        <v>96.621200000000002</v>
      </c>
      <c r="M83" s="13">
        <v>818</v>
      </c>
      <c r="N83" s="14">
        <v>69.977000000000004</v>
      </c>
      <c r="O83" s="14">
        <v>277.34300000000002</v>
      </c>
      <c r="P83" s="13">
        <v>818</v>
      </c>
      <c r="Q83" s="14">
        <v>1.2709999999999999</v>
      </c>
      <c r="R83" s="13">
        <f>MAX(MAX(1.4/[1]Parametros!$B$3,0.25*SQRT([1]Parametros!$B$2)/[1]Parametros!$B$3)*H83*U83,(0.85*[1]Parametros!$B$2/[1]Parametros!$B$3)*(1-SQRT(1-2*(J83*1000000/([1]Parametros!$B$5*H83*U83^2))/(0.85*[1]Parametros!$B$2)))*H83*U83)</f>
        <v>734.02500000000009</v>
      </c>
      <c r="S83" s="14">
        <v>4</v>
      </c>
      <c r="T83" s="14">
        <v>1</v>
      </c>
      <c r="U83" s="13">
        <f>IF(T83=1,I83-([1]Parametros!$B$7+[1]Parametros!$B$9+[1]Parametros!$B$12/2),I83-(ROUNDUP(S83/2,0)*([1]Parametros!$B$7+[1]Parametros!$B$9+[1]Parametros!$B$12/2)+ROUNDDOWN(S83/2,0)*([1]Parametros!$B$7+[1]Parametros!$B$9+[1]Parametros!$B$12/2+[1]Parametros!$B$12+[1]Parametros!$B$10))/S83)</f>
        <v>489.35</v>
      </c>
      <c r="V83" s="13">
        <f>S83*[1]Parametros!$B$8</f>
        <v>796</v>
      </c>
      <c r="W83" s="13">
        <f>[1]Parametros!$B$5*V83*[1]Parametros!$B$3*(U83-(V83*[1]Parametros!$B$3/(0.85*[1]Parametros!$B$2*H83))/2)/1000000</f>
        <v>142.54333009411764</v>
      </c>
      <c r="X83" s="13" t="str">
        <f t="shared" si="13"/>
        <v>CUMPLE</v>
      </c>
      <c r="Y83" s="13">
        <f>MAX(MAX(1.4/[1]Parametros!$B$3,0.25*SQRT([1]Parametros!$B$2)/[1]Parametros!$B$3)*H83*AB83,(0.85*[1]Parametros!$B$2/[1]Parametros!$B$3)*(1-SQRT(1-2*(L83*1000000/([1]Parametros!$B$5*H83*AB83^2))/(0.85*[1]Parametros!$B$2)))*H83*AB83)</f>
        <v>734.02500000000009</v>
      </c>
      <c r="Z83" s="14">
        <v>4</v>
      </c>
      <c r="AA83" s="14">
        <v>1</v>
      </c>
      <c r="AB83" s="13">
        <f>IF(AA83=1,I83-([1]Parametros!$B$7+[1]Parametros!$B$9+[1]Parametros!$B$12/2),I83-(ROUNDUP(Z83/2,0)*([1]Parametros!$B$7+[1]Parametros!$B$9+[1]Parametros!$B$12/2)+ROUNDDOWN(Z83/2,0)*([1]Parametros!$B$7+[1]Parametros!$B$9+[1]Parametros!$B$12/2+[1]Parametros!$B$12+[1]Parametros!$B$10))/Z83)</f>
        <v>489.35</v>
      </c>
      <c r="AC83" s="13">
        <f>Z83*[1]Parametros!$B$8</f>
        <v>796</v>
      </c>
      <c r="AD83" s="13">
        <f>[1]Parametros!$B$5*AC83*[1]Parametros!$B$3*(AB83-(AC83*[1]Parametros!$B$3/(0.85*[1]Parametros!$B$2*H83))/2)/1000000</f>
        <v>142.54333009411764</v>
      </c>
      <c r="AE83" s="13" t="str">
        <f t="shared" si="14"/>
        <v>CUMPLE</v>
      </c>
      <c r="AF83" s="13">
        <f>V83*1.25*[1]Parametros!$B$3*(U83-(V83*1.25*[1]Parametros!$B$3/(0.85*[1]Parametros!$B$2*H83))/2)/1000000</f>
        <v>196.34621794117646</v>
      </c>
      <c r="AG83" s="13">
        <f>AC83*1.25*[1]Parametros!$B$3*(AB83-(AC83*1.25*[1]Parametros!$B$3/(0.85*[1]Parametros!$B$2*H83))/2)/1000000</f>
        <v>196.34621794117646</v>
      </c>
      <c r="AH83" s="13">
        <f t="shared" si="15"/>
        <v>185.47477525951558</v>
      </c>
      <c r="AI83" s="13">
        <f t="shared" si="16"/>
        <v>277.34300000000002</v>
      </c>
      <c r="AJ83" s="13">
        <f>0.17*SQRT([1]Parametros!$B$2)*H83*MIN(U83,AB83)/1000</f>
        <v>198.08885582262698</v>
      </c>
      <c r="AK83" s="13">
        <f>MAX(AI83/[1]Parametros!$B$6-AJ83,0)</f>
        <v>171.70181084403973</v>
      </c>
      <c r="AL83" s="13">
        <f>0.66*SQRT([1]Parametros!$B$2)*H83*MIN(U83,AB83)/1000</f>
        <v>769.05085201725785</v>
      </c>
      <c r="AM83" s="13" t="str">
        <f t="shared" si="17"/>
        <v>CUMPLE</v>
      </c>
      <c r="AN83" s="13" t="s">
        <v>64</v>
      </c>
      <c r="AO83" s="14">
        <v>2</v>
      </c>
      <c r="AP83" s="13">
        <f>ROUNDDOWN(MIN(IF(BC83+BD83=0,1000000000,AO83*BB83/(BC83+BD83)),MIN(U83,AB83)/4,8*[1]Parametros!$B$12,24*BA83,300,IF(AV83=0,1000000000,2*((H83-2*([1]Parametros!$B$7+[1]Parametros!$B$9/2))+(I83-2*([1]Parametros!$B$7+[1]Parametros!$B$9/2)))/8))/10,0)*10</f>
        <v>120</v>
      </c>
      <c r="AQ83" s="13">
        <f>ROUNDDOWN(MIN(IF(BC83+BD83=0,1000000000,AO83*BB83/(BC83+BD83)),IF(AK83&gt;0.33*SQRT([1]Parametros!$B$2)*H83*MIN(U83,AB83)/1000,MIN(U83,AB83)/4,MIN(U83,AB83)/2),600,IF(AV83=0,1000000000,2*((H83-2*([1]Parametros!$B$7+[1]Parametros!$B$9/2))+(I83-2*([1]Parametros!$B$7+[1]Parametros!$B$9/2)))/8))/10,0)*10</f>
        <v>160</v>
      </c>
      <c r="AR83" s="13">
        <f>[1]Parametros!$B$6*(AJ83+MAX(BE83-BD83,0)*[1]Parametros!$B$4*MIN(U83,AB83)/1000)</f>
        <v>330.97185436697026</v>
      </c>
      <c r="AS83" s="13" t="str">
        <f t="shared" si="18"/>
        <v>CUMPLE</v>
      </c>
      <c r="AT83" s="13">
        <f>[1]Parametros!$B$6*0.083*SQRT([1]Parametros!$B$2)*(H83*I83)^2/(2*(H83+I83))/1000000</f>
        <v>10.08878303333792</v>
      </c>
      <c r="AU83" s="13" t="str">
        <f t="shared" si="19"/>
        <v>DESPRECIABLE</v>
      </c>
      <c r="AV83" s="13">
        <f>IF(Q83&lt;=AT83,0,Q83*1000000/([1]Parametros!$B$6*2*0.85*(H83-2*([1]Parametros!$B$7+[1]Parametros!$B$9/2))*(I83-2*([1]Parametros!$B$7+[1]Parametros!$B$9/2))*[1]Parametros!$B$4))</f>
        <v>0</v>
      </c>
      <c r="AW83" s="13">
        <f>AV83*2*((H83-2*([1]Parametros!$B$7+[1]Parametros!$B$9/2))+(I83-2*([1]Parametros!$B$7+[1]Parametros!$B$9/2)))*[1]Parametros!$B$4/[1]Parametros!$B$3</f>
        <v>0</v>
      </c>
      <c r="AX83" s="14">
        <v>0</v>
      </c>
      <c r="AY83" s="13" t="str">
        <f t="shared" si="20"/>
        <v>DESPRECIABLE</v>
      </c>
      <c r="AZ83" s="13" t="str">
        <f t="shared" si="21"/>
        <v>CUMPLE</v>
      </c>
      <c r="BA83" s="14">
        <v>9.5</v>
      </c>
      <c r="BB83" s="14">
        <v>71</v>
      </c>
      <c r="BC83" s="13">
        <f>MAX(IF(AK83=0,0,AK83*1000/([1]Parametros!$B$4*MIN(U83,AB83))),MAX(0.062*SQRT([1]Parametros!$B$2)*H83/[1]Parametros!$B$4,0.35*H83/[1]Parametros!$B$4))</f>
        <v>0.83542216275253234</v>
      </c>
      <c r="BD83" s="13">
        <f t="shared" si="22"/>
        <v>0</v>
      </c>
      <c r="BE83" s="13">
        <f t="shared" si="23"/>
        <v>1.1833333333333333</v>
      </c>
      <c r="BF83" s="13">
        <f>SQRT((AI83*1000/(H83*MIN(U83,AB83)))^2+(Q83*1000000*2*((H83-2*([1]Parametros!$B$7+[1]Parametros!$B$9/2))+(I83-2*([1]Parametros!$B$7+[1]Parametros!$B$9/2)))/(1.7*((H83-2*([1]Parametros!$B$7+[1]Parametros!$B$9/2))*(I83-2*([1]Parametros!$B$7+[1]Parametros!$B$9/2)))^2))^2)</f>
        <v>1.2602882268930136</v>
      </c>
      <c r="BG83" s="13">
        <f>[1]Parametros!$B$6*(AJ83*1000/(H83*MIN(U83,AB83))+0.66*SQRT([1]Parametros!$B$2))</f>
        <v>3.2939603822754151</v>
      </c>
      <c r="BH83" s="13" t="str">
        <f t="shared" si="24"/>
        <v>CUMPLE</v>
      </c>
      <c r="BI83" s="13">
        <f>AX83*[1]Parametros!$B$8</f>
        <v>0</v>
      </c>
      <c r="BJ83" s="15" t="str">
        <f t="shared" si="25"/>
        <v>CUMPLE</v>
      </c>
    </row>
    <row r="84" spans="1:62" x14ac:dyDescent="0.3">
      <c r="A84" s="16" t="s">
        <v>66</v>
      </c>
      <c r="B84" s="17">
        <v>847</v>
      </c>
      <c r="C84" s="13">
        <v>1</v>
      </c>
      <c r="D84" s="13">
        <v>3.4</v>
      </c>
      <c r="E84" s="13">
        <v>3.4</v>
      </c>
      <c r="F84" s="13">
        <v>450</v>
      </c>
      <c r="G84" s="13">
        <v>550</v>
      </c>
      <c r="H84" s="13">
        <v>450</v>
      </c>
      <c r="I84" s="13">
        <v>550</v>
      </c>
      <c r="J84" s="14">
        <v>129.3827</v>
      </c>
      <c r="K84" s="13">
        <v>847</v>
      </c>
      <c r="L84" s="14">
        <v>96.633499999999998</v>
      </c>
      <c r="M84" s="13">
        <v>847</v>
      </c>
      <c r="N84" s="14">
        <v>69.977999999999994</v>
      </c>
      <c r="O84" s="14">
        <v>277.363</v>
      </c>
      <c r="P84" s="13">
        <v>847</v>
      </c>
      <c r="Q84" s="14">
        <v>1.2741</v>
      </c>
      <c r="R84" s="13">
        <f>MAX(MAX(1.4/[1]Parametros!$B$3,0.25*SQRT([1]Parametros!$B$2)/[1]Parametros!$B$3)*H84*U84,(0.85*[1]Parametros!$B$2/[1]Parametros!$B$3)*(1-SQRT(1-2*(J84*1000000/([1]Parametros!$B$5*H84*U84^2))/(0.85*[1]Parametros!$B$2)))*H84*U84)</f>
        <v>734.02500000000009</v>
      </c>
      <c r="S84" s="14">
        <v>4</v>
      </c>
      <c r="T84" s="14">
        <v>1</v>
      </c>
      <c r="U84" s="13">
        <f>IF(T84=1,I84-([1]Parametros!$B$7+[1]Parametros!$B$9+[1]Parametros!$B$12/2),I84-(ROUNDUP(S84/2,0)*([1]Parametros!$B$7+[1]Parametros!$B$9+[1]Parametros!$B$12/2)+ROUNDDOWN(S84/2,0)*([1]Parametros!$B$7+[1]Parametros!$B$9+[1]Parametros!$B$12/2+[1]Parametros!$B$12+[1]Parametros!$B$10))/S84)</f>
        <v>489.35</v>
      </c>
      <c r="V84" s="13">
        <f>S84*[1]Parametros!$B$8</f>
        <v>796</v>
      </c>
      <c r="W84" s="13">
        <f>[1]Parametros!$B$5*V84*[1]Parametros!$B$3*(U84-(V84*[1]Parametros!$B$3/(0.85*[1]Parametros!$B$2*H84))/2)/1000000</f>
        <v>142.54333009411764</v>
      </c>
      <c r="X84" s="13" t="str">
        <f t="shared" si="13"/>
        <v>CUMPLE</v>
      </c>
      <c r="Y84" s="13">
        <f>MAX(MAX(1.4/[1]Parametros!$B$3,0.25*SQRT([1]Parametros!$B$2)/[1]Parametros!$B$3)*H84*AB84,(0.85*[1]Parametros!$B$2/[1]Parametros!$B$3)*(1-SQRT(1-2*(L84*1000000/([1]Parametros!$B$5*H84*AB84^2))/(0.85*[1]Parametros!$B$2)))*H84*AB84)</f>
        <v>734.02500000000009</v>
      </c>
      <c r="Z84" s="14">
        <v>4</v>
      </c>
      <c r="AA84" s="14">
        <v>1</v>
      </c>
      <c r="AB84" s="13">
        <f>IF(AA84=1,I84-([1]Parametros!$B$7+[1]Parametros!$B$9+[1]Parametros!$B$12/2),I84-(ROUNDUP(Z84/2,0)*([1]Parametros!$B$7+[1]Parametros!$B$9+[1]Parametros!$B$12/2)+ROUNDDOWN(Z84/2,0)*([1]Parametros!$B$7+[1]Parametros!$B$9+[1]Parametros!$B$12/2+[1]Parametros!$B$12+[1]Parametros!$B$10))/Z84)</f>
        <v>489.35</v>
      </c>
      <c r="AC84" s="13">
        <f>Z84*[1]Parametros!$B$8</f>
        <v>796</v>
      </c>
      <c r="AD84" s="13">
        <f>[1]Parametros!$B$5*AC84*[1]Parametros!$B$3*(AB84-(AC84*[1]Parametros!$B$3/(0.85*[1]Parametros!$B$2*H84))/2)/1000000</f>
        <v>142.54333009411764</v>
      </c>
      <c r="AE84" s="13" t="str">
        <f t="shared" si="14"/>
        <v>CUMPLE</v>
      </c>
      <c r="AF84" s="13">
        <f>V84*1.25*[1]Parametros!$B$3*(U84-(V84*1.25*[1]Parametros!$B$3/(0.85*[1]Parametros!$B$2*H84))/2)/1000000</f>
        <v>196.34621794117646</v>
      </c>
      <c r="AG84" s="13">
        <f>AC84*1.25*[1]Parametros!$B$3*(AB84-(AC84*1.25*[1]Parametros!$B$3/(0.85*[1]Parametros!$B$2*H84))/2)/1000000</f>
        <v>196.34621794117646</v>
      </c>
      <c r="AH84" s="13">
        <f t="shared" si="15"/>
        <v>185.47577525951556</v>
      </c>
      <c r="AI84" s="13">
        <f t="shared" si="16"/>
        <v>277.363</v>
      </c>
      <c r="AJ84" s="13">
        <f>0.17*SQRT([1]Parametros!$B$2)*H84*MIN(U84,AB84)/1000</f>
        <v>198.08885582262698</v>
      </c>
      <c r="AK84" s="13">
        <f>MAX(AI84/[1]Parametros!$B$6-AJ84,0)</f>
        <v>171.72847751070637</v>
      </c>
      <c r="AL84" s="13">
        <f>0.66*SQRT([1]Parametros!$B$2)*H84*MIN(U84,AB84)/1000</f>
        <v>769.05085201725785</v>
      </c>
      <c r="AM84" s="13" t="str">
        <f t="shared" si="17"/>
        <v>CUMPLE</v>
      </c>
      <c r="AN84" s="13" t="s">
        <v>64</v>
      </c>
      <c r="AO84" s="14">
        <v>2</v>
      </c>
      <c r="AP84" s="13">
        <f>ROUNDDOWN(MIN(IF(BC84+BD84=0,1000000000,AO84*BB84/(BC84+BD84)),MIN(U84,AB84)/4,8*[1]Parametros!$B$12,24*BA84,300,IF(AV84=0,1000000000,2*((H84-2*([1]Parametros!$B$7+[1]Parametros!$B$9/2))+(I84-2*([1]Parametros!$B$7+[1]Parametros!$B$9/2)))/8))/10,0)*10</f>
        <v>120</v>
      </c>
      <c r="AQ84" s="13">
        <f>ROUNDDOWN(MIN(IF(BC84+BD84=0,1000000000,AO84*BB84/(BC84+BD84)),IF(AK84&gt;0.33*SQRT([1]Parametros!$B$2)*H84*MIN(U84,AB84)/1000,MIN(U84,AB84)/4,MIN(U84,AB84)/2),600,IF(AV84=0,1000000000,2*((H84-2*([1]Parametros!$B$7+[1]Parametros!$B$9/2))+(I84-2*([1]Parametros!$B$7+[1]Parametros!$B$9/2)))/8))/10,0)*10</f>
        <v>160</v>
      </c>
      <c r="AR84" s="13">
        <f>[1]Parametros!$B$6*(AJ84+MAX(BE84-BD84,0)*[1]Parametros!$B$4*MIN(U84,AB84)/1000)</f>
        <v>330.97185436697026</v>
      </c>
      <c r="AS84" s="13" t="str">
        <f t="shared" si="18"/>
        <v>CUMPLE</v>
      </c>
      <c r="AT84" s="13">
        <f>[1]Parametros!$B$6*0.083*SQRT([1]Parametros!$B$2)*(H84*I84)^2/(2*(H84+I84))/1000000</f>
        <v>10.08878303333792</v>
      </c>
      <c r="AU84" s="13" t="str">
        <f t="shared" si="19"/>
        <v>DESPRECIABLE</v>
      </c>
      <c r="AV84" s="13">
        <f>IF(Q84&lt;=AT84,0,Q84*1000000/([1]Parametros!$B$6*2*0.85*(H84-2*([1]Parametros!$B$7+[1]Parametros!$B$9/2))*(I84-2*([1]Parametros!$B$7+[1]Parametros!$B$9/2))*[1]Parametros!$B$4))</f>
        <v>0</v>
      </c>
      <c r="AW84" s="13">
        <f>AV84*2*((H84-2*([1]Parametros!$B$7+[1]Parametros!$B$9/2))+(I84-2*([1]Parametros!$B$7+[1]Parametros!$B$9/2)))*[1]Parametros!$B$4/[1]Parametros!$B$3</f>
        <v>0</v>
      </c>
      <c r="AX84" s="14">
        <v>0</v>
      </c>
      <c r="AY84" s="13" t="str">
        <f t="shared" si="20"/>
        <v>DESPRECIABLE</v>
      </c>
      <c r="AZ84" s="13" t="str">
        <f t="shared" si="21"/>
        <v>CUMPLE</v>
      </c>
      <c r="BA84" s="14">
        <v>9.5</v>
      </c>
      <c r="BB84" s="14">
        <v>71</v>
      </c>
      <c r="BC84" s="13">
        <f>MAX(IF(AK84=0,0,AK84*1000/([1]Parametros!$B$4*MIN(U84,AB84))),MAX(0.062*SQRT([1]Parametros!$B$2)*H84/[1]Parametros!$B$4,0.35*H84/[1]Parametros!$B$4))</f>
        <v>0.83555191050667976</v>
      </c>
      <c r="BD84" s="13">
        <f t="shared" si="22"/>
        <v>0</v>
      </c>
      <c r="BE84" s="13">
        <f t="shared" si="23"/>
        <v>1.1833333333333333</v>
      </c>
      <c r="BF84" s="13">
        <f>SQRT((AI84*1000/(H84*MIN(U84,AB84)))^2+(Q84*1000000*2*((H84-2*([1]Parametros!$B$7+[1]Parametros!$B$9/2))+(I84-2*([1]Parametros!$B$7+[1]Parametros!$B$9/2)))/(1.7*((H84-2*([1]Parametros!$B$7+[1]Parametros!$B$9/2))*(I84-2*([1]Parametros!$B$7+[1]Parametros!$B$9/2)))^2))^2)</f>
        <v>1.2603830239807419</v>
      </c>
      <c r="BG84" s="13">
        <f>[1]Parametros!$B$6*(AJ84*1000/(H84*MIN(U84,AB84))+0.66*SQRT([1]Parametros!$B$2))</f>
        <v>3.2939603822754151</v>
      </c>
      <c r="BH84" s="13" t="str">
        <f t="shared" si="24"/>
        <v>CUMPLE</v>
      </c>
      <c r="BI84" s="13">
        <f>AX84*[1]Parametros!$B$8</f>
        <v>0</v>
      </c>
      <c r="BJ84" s="15" t="str">
        <f t="shared" si="25"/>
        <v>CUMPLE</v>
      </c>
    </row>
    <row r="85" spans="1:62" x14ac:dyDescent="0.3">
      <c r="A85" s="16" t="s">
        <v>66</v>
      </c>
      <c r="B85" s="17">
        <v>848</v>
      </c>
      <c r="C85" s="13">
        <v>1</v>
      </c>
      <c r="D85" s="13">
        <v>3.2147700000000001</v>
      </c>
      <c r="E85" s="13">
        <v>3.2147700000000001</v>
      </c>
      <c r="F85" s="13">
        <v>450</v>
      </c>
      <c r="G85" s="13">
        <v>550</v>
      </c>
      <c r="H85" s="13">
        <v>450</v>
      </c>
      <c r="I85" s="13">
        <v>550</v>
      </c>
      <c r="J85" s="14">
        <v>138.76910000000001</v>
      </c>
      <c r="K85" s="13">
        <v>848</v>
      </c>
      <c r="L85" s="14">
        <v>107.0232</v>
      </c>
      <c r="M85" s="13">
        <v>848</v>
      </c>
      <c r="N85" s="14">
        <v>87.981999999999999</v>
      </c>
      <c r="O85" s="14">
        <v>304.649</v>
      </c>
      <c r="P85" s="13">
        <v>848</v>
      </c>
      <c r="Q85" s="14">
        <v>13.060700000000001</v>
      </c>
      <c r="R85" s="13">
        <f>MAX(MAX(1.4/[1]Parametros!$B$3,0.25*SQRT([1]Parametros!$B$2)/[1]Parametros!$B$3)*H85*U85,(0.85*[1]Parametros!$B$2/[1]Parametros!$B$3)*(1-SQRT(1-2*(J85*1000000/([1]Parametros!$B$5*H85*U85^2))/(0.85*[1]Parametros!$B$2)))*H85*U85)</f>
        <v>774.22595003250967</v>
      </c>
      <c r="S85" s="14">
        <v>4</v>
      </c>
      <c r="T85" s="14">
        <v>1</v>
      </c>
      <c r="U85" s="13">
        <f>IF(T85=1,I85-([1]Parametros!$B$7+[1]Parametros!$B$9+[1]Parametros!$B$12/2),I85-(ROUNDUP(S85/2,0)*([1]Parametros!$B$7+[1]Parametros!$B$9+[1]Parametros!$B$12/2)+ROUNDDOWN(S85/2,0)*([1]Parametros!$B$7+[1]Parametros!$B$9+[1]Parametros!$B$12/2+[1]Parametros!$B$12+[1]Parametros!$B$10))/S85)</f>
        <v>489.35</v>
      </c>
      <c r="V85" s="13">
        <f>S85*[1]Parametros!$B$8</f>
        <v>796</v>
      </c>
      <c r="W85" s="13">
        <f>[1]Parametros!$B$5*V85*[1]Parametros!$B$3*(U85-(V85*[1]Parametros!$B$3/(0.85*[1]Parametros!$B$2*H85))/2)/1000000</f>
        <v>142.54333009411764</v>
      </c>
      <c r="X85" s="13" t="str">
        <f t="shared" si="13"/>
        <v>CUMPLE</v>
      </c>
      <c r="Y85" s="13">
        <f>MAX(MAX(1.4/[1]Parametros!$B$3,0.25*SQRT([1]Parametros!$B$2)/[1]Parametros!$B$3)*H85*AB85,(0.85*[1]Parametros!$B$2/[1]Parametros!$B$3)*(1-SQRT(1-2*(L85*1000000/([1]Parametros!$B$5*H85*AB85^2))/(0.85*[1]Parametros!$B$2)))*H85*AB85)</f>
        <v>734.02500000000009</v>
      </c>
      <c r="Z85" s="14">
        <v>4</v>
      </c>
      <c r="AA85" s="14">
        <v>1</v>
      </c>
      <c r="AB85" s="13">
        <f>IF(AA85=1,I85-([1]Parametros!$B$7+[1]Parametros!$B$9+[1]Parametros!$B$12/2),I85-(ROUNDUP(Z85/2,0)*([1]Parametros!$B$7+[1]Parametros!$B$9+[1]Parametros!$B$12/2)+ROUNDDOWN(Z85/2,0)*([1]Parametros!$B$7+[1]Parametros!$B$9+[1]Parametros!$B$12/2+[1]Parametros!$B$12+[1]Parametros!$B$10))/Z85)</f>
        <v>489.35</v>
      </c>
      <c r="AC85" s="13">
        <f>Z85*[1]Parametros!$B$8</f>
        <v>796</v>
      </c>
      <c r="AD85" s="13">
        <f>[1]Parametros!$B$5*AC85*[1]Parametros!$B$3*(AB85-(AC85*[1]Parametros!$B$3/(0.85*[1]Parametros!$B$2*H85))/2)/1000000</f>
        <v>142.54333009411764</v>
      </c>
      <c r="AE85" s="13" t="str">
        <f t="shared" si="14"/>
        <v>CUMPLE</v>
      </c>
      <c r="AF85" s="13">
        <f>V85*1.25*[1]Parametros!$B$3*(U85-(V85*1.25*[1]Parametros!$B$3/(0.85*[1]Parametros!$B$2*H85))/2)/1000000</f>
        <v>196.34621794117646</v>
      </c>
      <c r="AG85" s="13">
        <f>AC85*1.25*[1]Parametros!$B$3*(AB85-(AC85*1.25*[1]Parametros!$B$3/(0.85*[1]Parametros!$B$2*H85))/2)/1000000</f>
        <v>196.34621794117646</v>
      </c>
      <c r="AH85" s="13">
        <f t="shared" si="15"/>
        <v>210.13457573087746</v>
      </c>
      <c r="AI85" s="13">
        <f t="shared" si="16"/>
        <v>304.649</v>
      </c>
      <c r="AJ85" s="13">
        <f>0.17*SQRT([1]Parametros!$B$2)*H85*MIN(U85,AB85)/1000</f>
        <v>198.08885582262698</v>
      </c>
      <c r="AK85" s="13">
        <f>MAX(AI85/[1]Parametros!$B$6-AJ85,0)</f>
        <v>208.10981084403969</v>
      </c>
      <c r="AL85" s="13">
        <f>0.66*SQRT([1]Parametros!$B$2)*H85*MIN(U85,AB85)/1000</f>
        <v>769.05085201725785</v>
      </c>
      <c r="AM85" s="13" t="str">
        <f t="shared" si="17"/>
        <v>CUMPLE</v>
      </c>
      <c r="AN85" s="13" t="s">
        <v>64</v>
      </c>
      <c r="AO85" s="14">
        <v>2</v>
      </c>
      <c r="AP85" s="13">
        <f>ROUNDDOWN(MIN(IF(BC85+BD85=0,1000000000,AO85*BB85/(BC85+BD85)),MIN(U85,AB85)/4,8*[1]Parametros!$B$12,24*BA85,300,IF(AV85=0,1000000000,2*((H85-2*([1]Parametros!$B$7+[1]Parametros!$B$9/2))+(I85-2*([1]Parametros!$B$7+[1]Parametros!$B$9/2)))/8))/10,0)*10</f>
        <v>100</v>
      </c>
      <c r="AQ85" s="13">
        <f>ROUNDDOWN(MIN(IF(BC85+BD85=0,1000000000,AO85*BB85/(BC85+BD85)),IF(AK85&gt;0.33*SQRT([1]Parametros!$B$2)*H85*MIN(U85,AB85)/1000,MIN(U85,AB85)/4,MIN(U85,AB85)/2),600,IF(AV85=0,1000000000,2*((H85-2*([1]Parametros!$B$7+[1]Parametros!$B$9/2))+(I85-2*([1]Parametros!$B$7+[1]Parametros!$B$9/2)))/8))/10,0)*10</f>
        <v>100</v>
      </c>
      <c r="AR85" s="13">
        <f>[1]Parametros!$B$6*(AJ85+MAX(BE85-BD85,0)*[1]Parametros!$B$4*MIN(U85,AB85)/1000)</f>
        <v>321.43434973050546</v>
      </c>
      <c r="AS85" s="13" t="str">
        <f t="shared" si="18"/>
        <v>CUMPLE</v>
      </c>
      <c r="AT85" s="13">
        <f>[1]Parametros!$B$6*0.083*SQRT([1]Parametros!$B$2)*(H85*I85)^2/(2*(H85+I85))/1000000</f>
        <v>10.08878303333792</v>
      </c>
      <c r="AU85" s="13" t="str">
        <f t="shared" si="19"/>
        <v>DISEÑAR</v>
      </c>
      <c r="AV85" s="13">
        <f>IF(Q85&lt;=AT85,0,Q85*1000000/([1]Parametros!$B$6*2*0.85*(H85-2*([1]Parametros!$B$7+[1]Parametros!$B$9/2))*(I85-2*([1]Parametros!$B$7+[1]Parametros!$B$9/2))*[1]Parametros!$B$4))</f>
        <v>0.14927007850214255</v>
      </c>
      <c r="AW85" s="13">
        <f>AV85*2*((H85-2*([1]Parametros!$B$7+[1]Parametros!$B$9/2))+(I85-2*([1]Parametros!$B$7+[1]Parametros!$B$9/2)))*[1]Parametros!$B$4/[1]Parametros!$B$3</f>
        <v>243.19081189569064</v>
      </c>
      <c r="AX85" s="14">
        <v>8</v>
      </c>
      <c r="AY85" s="13" t="str">
        <f t="shared" si="20"/>
        <v>CUMPLE</v>
      </c>
      <c r="AZ85" s="13" t="str">
        <f t="shared" si="21"/>
        <v>CUMPLE</v>
      </c>
      <c r="BA85" s="14">
        <v>9.5</v>
      </c>
      <c r="BB85" s="14">
        <v>71</v>
      </c>
      <c r="BC85" s="13">
        <f>MAX(IF(AK85=0,0,AK85*1000/([1]Parametros!$B$4*MIN(U85,AB85))),MAX(0.062*SQRT([1]Parametros!$B$2)*H85/[1]Parametros!$B$4,0.35*H85/[1]Parametros!$B$4))</f>
        <v>1.0125667714900703</v>
      </c>
      <c r="BD85" s="13">
        <f t="shared" si="22"/>
        <v>0.2985401570042851</v>
      </c>
      <c r="BE85" s="13">
        <f t="shared" si="23"/>
        <v>1.42</v>
      </c>
      <c r="BF85" s="13">
        <f>SQRT((AI85*1000/(H85*MIN(U85,AB85)))^2+(Q85*1000000*2*((H85-2*([1]Parametros!$B$7+[1]Parametros!$B$9/2))+(I85-2*([1]Parametros!$B$7+[1]Parametros!$B$9/2)))/(1.7*((H85-2*([1]Parametros!$B$7+[1]Parametros!$B$9/2))*(I85-2*([1]Parametros!$B$7+[1]Parametros!$B$9/2)))^2))^2)</f>
        <v>1.4607465703601694</v>
      </c>
      <c r="BG85" s="13">
        <f>[1]Parametros!$B$6*(AJ85*1000/(H85*MIN(U85,AB85))+0.66*SQRT([1]Parametros!$B$2))</f>
        <v>3.2939603822754151</v>
      </c>
      <c r="BH85" s="13" t="str">
        <f t="shared" si="24"/>
        <v>CUMPLE</v>
      </c>
      <c r="BI85" s="13">
        <f>AX85*[1]Parametros!$B$8</f>
        <v>1592</v>
      </c>
      <c r="BJ85" s="15" t="str">
        <f t="shared" si="25"/>
        <v>CUMPLE</v>
      </c>
    </row>
    <row r="86" spans="1:62" x14ac:dyDescent="0.3">
      <c r="A86" s="16" t="s">
        <v>66</v>
      </c>
      <c r="B86" s="17">
        <v>849</v>
      </c>
      <c r="C86" s="13">
        <v>1</v>
      </c>
      <c r="D86" s="13">
        <v>3.2147700000000001</v>
      </c>
      <c r="E86" s="13">
        <v>3.2147700000000001</v>
      </c>
      <c r="F86" s="13">
        <v>450</v>
      </c>
      <c r="G86" s="13">
        <v>550</v>
      </c>
      <c r="H86" s="13">
        <v>450</v>
      </c>
      <c r="I86" s="13">
        <v>550</v>
      </c>
      <c r="J86" s="14">
        <v>138.71449999999999</v>
      </c>
      <c r="K86" s="13">
        <v>849</v>
      </c>
      <c r="L86" s="14">
        <v>106.9846</v>
      </c>
      <c r="M86" s="13">
        <v>849</v>
      </c>
      <c r="N86" s="14">
        <v>87.951999999999998</v>
      </c>
      <c r="O86" s="14">
        <v>304.61099999999999</v>
      </c>
      <c r="P86" s="13">
        <v>849</v>
      </c>
      <c r="Q86" s="14">
        <v>13.0718</v>
      </c>
      <c r="R86" s="13">
        <f>MAX(MAX(1.4/[1]Parametros!$B$3,0.25*SQRT([1]Parametros!$B$2)/[1]Parametros!$B$3)*H86*U86,(0.85*[1]Parametros!$B$2/[1]Parametros!$B$3)*(1-SQRT(1-2*(J86*1000000/([1]Parametros!$B$5*H86*U86^2))/(0.85*[1]Parametros!$B$2)))*H86*U86)</f>
        <v>773.91125239277233</v>
      </c>
      <c r="S86" s="14">
        <v>4</v>
      </c>
      <c r="T86" s="14">
        <v>1</v>
      </c>
      <c r="U86" s="13">
        <f>IF(T86=1,I86-([1]Parametros!$B$7+[1]Parametros!$B$9+[1]Parametros!$B$12/2),I86-(ROUNDUP(S86/2,0)*([1]Parametros!$B$7+[1]Parametros!$B$9+[1]Parametros!$B$12/2)+ROUNDDOWN(S86/2,0)*([1]Parametros!$B$7+[1]Parametros!$B$9+[1]Parametros!$B$12/2+[1]Parametros!$B$12+[1]Parametros!$B$10))/S86)</f>
        <v>489.35</v>
      </c>
      <c r="V86" s="13">
        <f>S86*[1]Parametros!$B$8</f>
        <v>796</v>
      </c>
      <c r="W86" s="13">
        <f>[1]Parametros!$B$5*V86*[1]Parametros!$B$3*(U86-(V86*[1]Parametros!$B$3/(0.85*[1]Parametros!$B$2*H86))/2)/1000000</f>
        <v>142.54333009411764</v>
      </c>
      <c r="X86" s="13" t="str">
        <f t="shared" si="13"/>
        <v>CUMPLE</v>
      </c>
      <c r="Y86" s="13">
        <f>MAX(MAX(1.4/[1]Parametros!$B$3,0.25*SQRT([1]Parametros!$B$2)/[1]Parametros!$B$3)*H86*AB86,(0.85*[1]Parametros!$B$2/[1]Parametros!$B$3)*(1-SQRT(1-2*(L86*1000000/([1]Parametros!$B$5*H86*AB86^2))/(0.85*[1]Parametros!$B$2)))*H86*AB86)</f>
        <v>734.02500000000009</v>
      </c>
      <c r="Z86" s="14">
        <v>4</v>
      </c>
      <c r="AA86" s="14">
        <v>1</v>
      </c>
      <c r="AB86" s="13">
        <f>IF(AA86=1,I86-([1]Parametros!$B$7+[1]Parametros!$B$9+[1]Parametros!$B$12/2),I86-(ROUNDUP(Z86/2,0)*([1]Parametros!$B$7+[1]Parametros!$B$9+[1]Parametros!$B$12/2)+ROUNDDOWN(Z86/2,0)*([1]Parametros!$B$7+[1]Parametros!$B$9+[1]Parametros!$B$12/2+[1]Parametros!$B$12+[1]Parametros!$B$10))/Z86)</f>
        <v>489.35</v>
      </c>
      <c r="AC86" s="13">
        <f>Z86*[1]Parametros!$B$8</f>
        <v>796</v>
      </c>
      <c r="AD86" s="13">
        <f>[1]Parametros!$B$5*AC86*[1]Parametros!$B$3*(AB86-(AC86*[1]Parametros!$B$3/(0.85*[1]Parametros!$B$2*H86))/2)/1000000</f>
        <v>142.54333009411764</v>
      </c>
      <c r="AE86" s="13" t="str">
        <f t="shared" si="14"/>
        <v>CUMPLE</v>
      </c>
      <c r="AF86" s="13">
        <f>V86*1.25*[1]Parametros!$B$3*(U86-(V86*1.25*[1]Parametros!$B$3/(0.85*[1]Parametros!$B$2*H86))/2)/1000000</f>
        <v>196.34621794117646</v>
      </c>
      <c r="AG86" s="13">
        <f>AC86*1.25*[1]Parametros!$B$3*(AB86-(AC86*1.25*[1]Parametros!$B$3/(0.85*[1]Parametros!$B$2*H86))/2)/1000000</f>
        <v>196.34621794117646</v>
      </c>
      <c r="AH86" s="13">
        <f t="shared" si="15"/>
        <v>210.10457573087746</v>
      </c>
      <c r="AI86" s="13">
        <f t="shared" si="16"/>
        <v>304.61099999999999</v>
      </c>
      <c r="AJ86" s="13">
        <f>0.17*SQRT([1]Parametros!$B$2)*H86*MIN(U86,AB86)/1000</f>
        <v>198.08885582262698</v>
      </c>
      <c r="AK86" s="13">
        <f>MAX(AI86/[1]Parametros!$B$6-AJ86,0)</f>
        <v>208.05914417737299</v>
      </c>
      <c r="AL86" s="13">
        <f>0.66*SQRT([1]Parametros!$B$2)*H86*MIN(U86,AB86)/1000</f>
        <v>769.05085201725785</v>
      </c>
      <c r="AM86" s="13" t="str">
        <f t="shared" si="17"/>
        <v>CUMPLE</v>
      </c>
      <c r="AN86" s="13" t="s">
        <v>64</v>
      </c>
      <c r="AO86" s="14">
        <v>2</v>
      </c>
      <c r="AP86" s="13">
        <f>ROUNDDOWN(MIN(IF(BC86+BD86=0,1000000000,AO86*BB86/(BC86+BD86)),MIN(U86,AB86)/4,8*[1]Parametros!$B$12,24*BA86,300,IF(AV86=0,1000000000,2*((H86-2*([1]Parametros!$B$7+[1]Parametros!$B$9/2))+(I86-2*([1]Parametros!$B$7+[1]Parametros!$B$9/2)))/8))/10,0)*10</f>
        <v>100</v>
      </c>
      <c r="AQ86" s="13">
        <f>ROUNDDOWN(MIN(IF(BC86+BD86=0,1000000000,AO86*BB86/(BC86+BD86)),IF(AK86&gt;0.33*SQRT([1]Parametros!$B$2)*H86*MIN(U86,AB86)/1000,MIN(U86,AB86)/4,MIN(U86,AB86)/2),600,IF(AV86=0,1000000000,2*((H86-2*([1]Parametros!$B$7+[1]Parametros!$B$9/2))+(I86-2*([1]Parametros!$B$7+[1]Parametros!$B$9/2)))/8))/10,0)*10</f>
        <v>100</v>
      </c>
      <c r="AR86" s="13">
        <f>[1]Parametros!$B$6*(AJ86+MAX(BE86-BD86,0)*[1]Parametros!$B$4*MIN(U86,AB86)/1000)</f>
        <v>321.39523958532072</v>
      </c>
      <c r="AS86" s="13" t="str">
        <f t="shared" si="18"/>
        <v>CUMPLE</v>
      </c>
      <c r="AT86" s="13">
        <f>[1]Parametros!$B$6*0.083*SQRT([1]Parametros!$B$2)*(H86*I86)^2/(2*(H86+I86))/1000000</f>
        <v>10.08878303333792</v>
      </c>
      <c r="AU86" s="13" t="str">
        <f t="shared" si="19"/>
        <v>DISEÑAR</v>
      </c>
      <c r="AV86" s="13">
        <f>IF(Q86&lt;=AT86,0,Q86*1000000/([1]Parametros!$B$6*2*0.85*(H86-2*([1]Parametros!$B$7+[1]Parametros!$B$9/2))*(I86-2*([1]Parametros!$B$7+[1]Parametros!$B$9/2))*[1]Parametros!$B$4))</f>
        <v>0.14939693983969518</v>
      </c>
      <c r="AW86" s="13">
        <f>AV86*2*((H86-2*([1]Parametros!$B$7+[1]Parametros!$B$9/2))+(I86-2*([1]Parametros!$B$7+[1]Parametros!$B$9/2)))*[1]Parametros!$B$4/[1]Parametros!$B$3</f>
        <v>243.3974943868314</v>
      </c>
      <c r="AX86" s="14">
        <v>8</v>
      </c>
      <c r="AY86" s="13" t="str">
        <f t="shared" si="20"/>
        <v>CUMPLE</v>
      </c>
      <c r="AZ86" s="13" t="str">
        <f t="shared" si="21"/>
        <v>CUMPLE</v>
      </c>
      <c r="BA86" s="14">
        <v>9.5</v>
      </c>
      <c r="BB86" s="14">
        <v>71</v>
      </c>
      <c r="BC86" s="13">
        <f>MAX(IF(AK86=0,0,AK86*1000/([1]Parametros!$B$4*MIN(U86,AB86))),MAX(0.062*SQRT([1]Parametros!$B$2)*H86/[1]Parametros!$B$4,0.35*H86/[1]Parametros!$B$4))</f>
        <v>1.01232025075719</v>
      </c>
      <c r="BD86" s="13">
        <f t="shared" si="22"/>
        <v>0.29879387967939036</v>
      </c>
      <c r="BE86" s="13">
        <f t="shared" si="23"/>
        <v>1.42</v>
      </c>
      <c r="BF86" s="13">
        <f>SQRT((AI86*1000/(H86*MIN(U86,AB86)))^2+(Q86*1000000*2*((H86-2*([1]Parametros!$B$7+[1]Parametros!$B$9/2))+(I86-2*([1]Parametros!$B$7+[1]Parametros!$B$9/2)))/(1.7*((H86-2*([1]Parametros!$B$7+[1]Parametros!$B$9/2))*(I86-2*([1]Parametros!$B$7+[1]Parametros!$B$9/2)))^2))^2)</f>
        <v>1.4607110874302001</v>
      </c>
      <c r="BG86" s="13">
        <f>[1]Parametros!$B$6*(AJ86*1000/(H86*MIN(U86,AB86))+0.66*SQRT([1]Parametros!$B$2))</f>
        <v>3.2939603822754151</v>
      </c>
      <c r="BH86" s="13" t="str">
        <f t="shared" si="24"/>
        <v>CUMPLE</v>
      </c>
      <c r="BI86" s="13">
        <f>AX86*[1]Parametros!$B$8</f>
        <v>1592</v>
      </c>
      <c r="BJ86" s="15" t="str">
        <f t="shared" si="25"/>
        <v>CUMPLE</v>
      </c>
    </row>
    <row r="87" spans="1:62" x14ac:dyDescent="0.3">
      <c r="A87" s="16" t="s">
        <v>66</v>
      </c>
      <c r="B87" s="17">
        <v>850</v>
      </c>
      <c r="C87" s="13">
        <v>1</v>
      </c>
      <c r="D87" s="13">
        <v>3.4</v>
      </c>
      <c r="E87" s="13">
        <v>3.4</v>
      </c>
      <c r="F87" s="13">
        <v>450</v>
      </c>
      <c r="G87" s="13">
        <v>550</v>
      </c>
      <c r="H87" s="13">
        <v>450</v>
      </c>
      <c r="I87" s="13">
        <v>550</v>
      </c>
      <c r="J87" s="14">
        <v>129.35769999999999</v>
      </c>
      <c r="K87" s="13">
        <v>850</v>
      </c>
      <c r="L87" s="14">
        <v>96.647800000000004</v>
      </c>
      <c r="M87" s="13">
        <v>850</v>
      </c>
      <c r="N87" s="14">
        <v>69.965999999999994</v>
      </c>
      <c r="O87" s="14">
        <v>277.351</v>
      </c>
      <c r="P87" s="13">
        <v>850</v>
      </c>
      <c r="Q87" s="14">
        <v>1.2770999999999999</v>
      </c>
      <c r="R87" s="13">
        <f>MAX(MAX(1.4/[1]Parametros!$B$3,0.25*SQRT([1]Parametros!$B$2)/[1]Parametros!$B$3)*H87*U87,(0.85*[1]Parametros!$B$2/[1]Parametros!$B$3)*(1-SQRT(1-2*(J87*1000000/([1]Parametros!$B$5*H87*U87^2))/(0.85*[1]Parametros!$B$2)))*H87*U87)</f>
        <v>734.02500000000009</v>
      </c>
      <c r="S87" s="14">
        <v>4</v>
      </c>
      <c r="T87" s="14">
        <v>1</v>
      </c>
      <c r="U87" s="13">
        <f>IF(T87=1,I87-([1]Parametros!$B$7+[1]Parametros!$B$9+[1]Parametros!$B$12/2),I87-(ROUNDUP(S87/2,0)*([1]Parametros!$B$7+[1]Parametros!$B$9+[1]Parametros!$B$12/2)+ROUNDDOWN(S87/2,0)*([1]Parametros!$B$7+[1]Parametros!$B$9+[1]Parametros!$B$12/2+[1]Parametros!$B$12+[1]Parametros!$B$10))/S87)</f>
        <v>489.35</v>
      </c>
      <c r="V87" s="13">
        <f>S87*[1]Parametros!$B$8</f>
        <v>796</v>
      </c>
      <c r="W87" s="13">
        <f>[1]Parametros!$B$5*V87*[1]Parametros!$B$3*(U87-(V87*[1]Parametros!$B$3/(0.85*[1]Parametros!$B$2*H87))/2)/1000000</f>
        <v>142.54333009411764</v>
      </c>
      <c r="X87" s="13" t="str">
        <f t="shared" si="13"/>
        <v>CUMPLE</v>
      </c>
      <c r="Y87" s="13">
        <f>MAX(MAX(1.4/[1]Parametros!$B$3,0.25*SQRT([1]Parametros!$B$2)/[1]Parametros!$B$3)*H87*AB87,(0.85*[1]Parametros!$B$2/[1]Parametros!$B$3)*(1-SQRT(1-2*(L87*1000000/([1]Parametros!$B$5*H87*AB87^2))/(0.85*[1]Parametros!$B$2)))*H87*AB87)</f>
        <v>734.02500000000009</v>
      </c>
      <c r="Z87" s="14">
        <v>4</v>
      </c>
      <c r="AA87" s="14">
        <v>1</v>
      </c>
      <c r="AB87" s="13">
        <f>IF(AA87=1,I87-([1]Parametros!$B$7+[1]Parametros!$B$9+[1]Parametros!$B$12/2),I87-(ROUNDUP(Z87/2,0)*([1]Parametros!$B$7+[1]Parametros!$B$9+[1]Parametros!$B$12/2)+ROUNDDOWN(Z87/2,0)*([1]Parametros!$B$7+[1]Parametros!$B$9+[1]Parametros!$B$12/2+[1]Parametros!$B$12+[1]Parametros!$B$10))/Z87)</f>
        <v>489.35</v>
      </c>
      <c r="AC87" s="13">
        <f>Z87*[1]Parametros!$B$8</f>
        <v>796</v>
      </c>
      <c r="AD87" s="13">
        <f>[1]Parametros!$B$5*AC87*[1]Parametros!$B$3*(AB87-(AC87*[1]Parametros!$B$3/(0.85*[1]Parametros!$B$2*H87))/2)/1000000</f>
        <v>142.54333009411764</v>
      </c>
      <c r="AE87" s="13" t="str">
        <f t="shared" si="14"/>
        <v>CUMPLE</v>
      </c>
      <c r="AF87" s="13">
        <f>V87*1.25*[1]Parametros!$B$3*(U87-(V87*1.25*[1]Parametros!$B$3/(0.85*[1]Parametros!$B$2*H87))/2)/1000000</f>
        <v>196.34621794117646</v>
      </c>
      <c r="AG87" s="13">
        <f>AC87*1.25*[1]Parametros!$B$3*(AB87-(AC87*1.25*[1]Parametros!$B$3/(0.85*[1]Parametros!$B$2*H87))/2)/1000000</f>
        <v>196.34621794117646</v>
      </c>
      <c r="AH87" s="13">
        <f t="shared" si="15"/>
        <v>185.46377525951556</v>
      </c>
      <c r="AI87" s="13">
        <f t="shared" si="16"/>
        <v>277.351</v>
      </c>
      <c r="AJ87" s="13">
        <f>0.17*SQRT([1]Parametros!$B$2)*H87*MIN(U87,AB87)/1000</f>
        <v>198.08885582262698</v>
      </c>
      <c r="AK87" s="13">
        <f>MAX(AI87/[1]Parametros!$B$6-AJ87,0)</f>
        <v>171.71247751070635</v>
      </c>
      <c r="AL87" s="13">
        <f>0.66*SQRT([1]Parametros!$B$2)*H87*MIN(U87,AB87)/1000</f>
        <v>769.05085201725785</v>
      </c>
      <c r="AM87" s="13" t="str">
        <f t="shared" si="17"/>
        <v>CUMPLE</v>
      </c>
      <c r="AN87" s="13" t="s">
        <v>64</v>
      </c>
      <c r="AO87" s="14">
        <v>2</v>
      </c>
      <c r="AP87" s="13">
        <f>ROUNDDOWN(MIN(IF(BC87+BD87=0,1000000000,AO87*BB87/(BC87+BD87)),MIN(U87,AB87)/4,8*[1]Parametros!$B$12,24*BA87,300,IF(AV87=0,1000000000,2*((H87-2*([1]Parametros!$B$7+[1]Parametros!$B$9/2))+(I87-2*([1]Parametros!$B$7+[1]Parametros!$B$9/2)))/8))/10,0)*10</f>
        <v>120</v>
      </c>
      <c r="AQ87" s="13">
        <f>ROUNDDOWN(MIN(IF(BC87+BD87=0,1000000000,AO87*BB87/(BC87+BD87)),IF(AK87&gt;0.33*SQRT([1]Parametros!$B$2)*H87*MIN(U87,AB87)/1000,MIN(U87,AB87)/4,MIN(U87,AB87)/2),600,IF(AV87=0,1000000000,2*((H87-2*([1]Parametros!$B$7+[1]Parametros!$B$9/2))+(I87-2*([1]Parametros!$B$7+[1]Parametros!$B$9/2)))/8))/10,0)*10</f>
        <v>160</v>
      </c>
      <c r="AR87" s="13">
        <f>[1]Parametros!$B$6*(AJ87+MAX(BE87-BD87,0)*[1]Parametros!$B$4*MIN(U87,AB87)/1000)</f>
        <v>330.97185436697026</v>
      </c>
      <c r="AS87" s="13" t="str">
        <f t="shared" si="18"/>
        <v>CUMPLE</v>
      </c>
      <c r="AT87" s="13">
        <f>[1]Parametros!$B$6*0.083*SQRT([1]Parametros!$B$2)*(H87*I87)^2/(2*(H87+I87))/1000000</f>
        <v>10.08878303333792</v>
      </c>
      <c r="AU87" s="13" t="str">
        <f t="shared" si="19"/>
        <v>DESPRECIABLE</v>
      </c>
      <c r="AV87" s="13">
        <f>IF(Q87&lt;=AT87,0,Q87*1000000/([1]Parametros!$B$6*2*0.85*(H87-2*([1]Parametros!$B$7+[1]Parametros!$B$9/2))*(I87-2*([1]Parametros!$B$7+[1]Parametros!$B$9/2))*[1]Parametros!$B$4))</f>
        <v>0</v>
      </c>
      <c r="AW87" s="13">
        <f>AV87*2*((H87-2*([1]Parametros!$B$7+[1]Parametros!$B$9/2))+(I87-2*([1]Parametros!$B$7+[1]Parametros!$B$9/2)))*[1]Parametros!$B$4/[1]Parametros!$B$3</f>
        <v>0</v>
      </c>
      <c r="AX87" s="14">
        <v>0</v>
      </c>
      <c r="AY87" s="13" t="str">
        <f t="shared" si="20"/>
        <v>DESPRECIABLE</v>
      </c>
      <c r="AZ87" s="13" t="str">
        <f t="shared" si="21"/>
        <v>CUMPLE</v>
      </c>
      <c r="BA87" s="14">
        <v>9.5</v>
      </c>
      <c r="BB87" s="14">
        <v>71</v>
      </c>
      <c r="BC87" s="13">
        <f>MAX(IF(AK87=0,0,AK87*1000/([1]Parametros!$B$4*MIN(U87,AB87))),MAX(0.062*SQRT([1]Parametros!$B$2)*H87/[1]Parametros!$B$4,0.35*H87/[1]Parametros!$B$4))</f>
        <v>0.83547406185419115</v>
      </c>
      <c r="BD87" s="13">
        <f t="shared" si="22"/>
        <v>0</v>
      </c>
      <c r="BE87" s="13">
        <f t="shared" si="23"/>
        <v>1.1833333333333333</v>
      </c>
      <c r="BF87" s="13">
        <f>SQRT((AI87*1000/(H87*MIN(U87,AB87)))^2+(Q87*1000000*2*((H87-2*([1]Parametros!$B$7+[1]Parametros!$B$9/2))+(I87-2*([1]Parametros!$B$7+[1]Parametros!$B$9/2)))/(1.7*((H87-2*([1]Parametros!$B$7+[1]Parametros!$B$9/2))*(I87-2*([1]Parametros!$B$7+[1]Parametros!$B$9/2)))^2))^2)</f>
        <v>1.2603324784154983</v>
      </c>
      <c r="BG87" s="13">
        <f>[1]Parametros!$B$6*(AJ87*1000/(H87*MIN(U87,AB87))+0.66*SQRT([1]Parametros!$B$2))</f>
        <v>3.2939603822754151</v>
      </c>
      <c r="BH87" s="13" t="str">
        <f t="shared" si="24"/>
        <v>CUMPLE</v>
      </c>
      <c r="BI87" s="13">
        <f>AX87*[1]Parametros!$B$8</f>
        <v>0</v>
      </c>
      <c r="BJ87" s="15" t="str">
        <f t="shared" si="25"/>
        <v>CUMPLE</v>
      </c>
    </row>
    <row r="88" spans="1:62" x14ac:dyDescent="0.3">
      <c r="A88" s="16" t="s">
        <v>66</v>
      </c>
      <c r="B88" s="17">
        <v>909</v>
      </c>
      <c r="C88" s="13">
        <v>1</v>
      </c>
      <c r="D88" s="13">
        <v>3.4</v>
      </c>
      <c r="E88" s="13">
        <v>3.4</v>
      </c>
      <c r="F88" s="13">
        <v>450</v>
      </c>
      <c r="G88" s="13">
        <v>550</v>
      </c>
      <c r="H88" s="13">
        <v>450</v>
      </c>
      <c r="I88" s="13">
        <v>550</v>
      </c>
      <c r="J88" s="14">
        <v>87.701599999999999</v>
      </c>
      <c r="K88" s="13">
        <v>909</v>
      </c>
      <c r="L88" s="14">
        <v>57.464599999999997</v>
      </c>
      <c r="M88" s="13">
        <v>909</v>
      </c>
      <c r="N88" s="14">
        <v>50.287999999999997</v>
      </c>
      <c r="O88" s="14">
        <v>172.91200000000001</v>
      </c>
      <c r="P88" s="13">
        <v>909</v>
      </c>
      <c r="Q88" s="14">
        <v>1.0935999999999999</v>
      </c>
      <c r="R88" s="13">
        <f>MAX(MAX(1.4/[1]Parametros!$B$3,0.25*SQRT([1]Parametros!$B$2)/[1]Parametros!$B$3)*H88*U88,(0.85*[1]Parametros!$B$2/[1]Parametros!$B$3)*(1-SQRT(1-2*(J88*1000000/([1]Parametros!$B$5*H88*U88^2))/(0.85*[1]Parametros!$B$2)))*H88*U88)</f>
        <v>734.02500000000009</v>
      </c>
      <c r="S88" s="14">
        <v>4</v>
      </c>
      <c r="T88" s="14">
        <v>1</v>
      </c>
      <c r="U88" s="13">
        <f>IF(T88=1,I88-([1]Parametros!$B$7+[1]Parametros!$B$9+[1]Parametros!$B$12/2),I88-(ROUNDUP(S88/2,0)*([1]Parametros!$B$7+[1]Parametros!$B$9+[1]Parametros!$B$12/2)+ROUNDDOWN(S88/2,0)*([1]Parametros!$B$7+[1]Parametros!$B$9+[1]Parametros!$B$12/2+[1]Parametros!$B$12+[1]Parametros!$B$10))/S88)</f>
        <v>489.35</v>
      </c>
      <c r="V88" s="13">
        <f>S88*[1]Parametros!$B$8</f>
        <v>796</v>
      </c>
      <c r="W88" s="13">
        <f>[1]Parametros!$B$5*V88*[1]Parametros!$B$3*(U88-(V88*[1]Parametros!$B$3/(0.85*[1]Parametros!$B$2*H88))/2)/1000000</f>
        <v>142.54333009411764</v>
      </c>
      <c r="X88" s="13" t="str">
        <f t="shared" si="13"/>
        <v>CUMPLE</v>
      </c>
      <c r="Y88" s="13">
        <f>MAX(MAX(1.4/[1]Parametros!$B$3,0.25*SQRT([1]Parametros!$B$2)/[1]Parametros!$B$3)*H88*AB88,(0.85*[1]Parametros!$B$2/[1]Parametros!$B$3)*(1-SQRT(1-2*(L88*1000000/([1]Parametros!$B$5*H88*AB88^2))/(0.85*[1]Parametros!$B$2)))*H88*AB88)</f>
        <v>734.02500000000009</v>
      </c>
      <c r="Z88" s="14">
        <v>4</v>
      </c>
      <c r="AA88" s="14">
        <v>1</v>
      </c>
      <c r="AB88" s="13">
        <f>IF(AA88=1,I88-([1]Parametros!$B$7+[1]Parametros!$B$9+[1]Parametros!$B$12/2),I88-(ROUNDUP(Z88/2,0)*([1]Parametros!$B$7+[1]Parametros!$B$9+[1]Parametros!$B$12/2)+ROUNDDOWN(Z88/2,0)*([1]Parametros!$B$7+[1]Parametros!$B$9+[1]Parametros!$B$12/2+[1]Parametros!$B$12+[1]Parametros!$B$10))/Z88)</f>
        <v>489.35</v>
      </c>
      <c r="AC88" s="13">
        <f>Z88*[1]Parametros!$B$8</f>
        <v>796</v>
      </c>
      <c r="AD88" s="13">
        <f>[1]Parametros!$B$5*AC88*[1]Parametros!$B$3*(AB88-(AC88*[1]Parametros!$B$3/(0.85*[1]Parametros!$B$2*H88))/2)/1000000</f>
        <v>142.54333009411764</v>
      </c>
      <c r="AE88" s="13" t="str">
        <f t="shared" si="14"/>
        <v>CUMPLE</v>
      </c>
      <c r="AF88" s="13">
        <f>V88*1.25*[1]Parametros!$B$3*(U88-(V88*1.25*[1]Parametros!$B$3/(0.85*[1]Parametros!$B$2*H88))/2)/1000000</f>
        <v>196.34621794117646</v>
      </c>
      <c r="AG88" s="13">
        <f>AC88*1.25*[1]Parametros!$B$3*(AB88-(AC88*1.25*[1]Parametros!$B$3/(0.85*[1]Parametros!$B$2*H88))/2)/1000000</f>
        <v>196.34621794117646</v>
      </c>
      <c r="AH88" s="13">
        <f t="shared" si="15"/>
        <v>165.78577525951556</v>
      </c>
      <c r="AI88" s="13">
        <f t="shared" si="16"/>
        <v>172.91200000000001</v>
      </c>
      <c r="AJ88" s="13">
        <f>0.17*SQRT([1]Parametros!$B$2)*H88*MIN(U88,AB88)/1000</f>
        <v>198.08885582262698</v>
      </c>
      <c r="AK88" s="13">
        <f>MAX(AI88/[1]Parametros!$B$6-AJ88,0)</f>
        <v>32.460477510706369</v>
      </c>
      <c r="AL88" s="13">
        <f>0.66*SQRT([1]Parametros!$B$2)*H88*MIN(U88,AB88)/1000</f>
        <v>769.05085201725785</v>
      </c>
      <c r="AM88" s="13" t="str">
        <f t="shared" si="17"/>
        <v>CUMPLE</v>
      </c>
      <c r="AN88" s="13" t="s">
        <v>64</v>
      </c>
      <c r="AO88" s="14">
        <v>2</v>
      </c>
      <c r="AP88" s="13">
        <f>ROUNDDOWN(MIN(IF(BC88+BD88=0,1000000000,AO88*BB88/(BC88+BD88)),MIN(U88,AB88)/4,8*[1]Parametros!$B$12,24*BA88,300,IF(AV88=0,1000000000,2*((H88-2*([1]Parametros!$B$7+[1]Parametros!$B$9/2))+(I88-2*([1]Parametros!$B$7+[1]Parametros!$B$9/2)))/8))/10,0)*10</f>
        <v>120</v>
      </c>
      <c r="AQ88" s="13">
        <f>ROUNDDOWN(MIN(IF(BC88+BD88=0,1000000000,AO88*BB88/(BC88+BD88)),IF(AK88&gt;0.33*SQRT([1]Parametros!$B$2)*H88*MIN(U88,AB88)/1000,MIN(U88,AB88)/4,MIN(U88,AB88)/2),600,IF(AV88=0,1000000000,2*((H88-2*([1]Parametros!$B$7+[1]Parametros!$B$9/2))+(I88-2*([1]Parametros!$B$7+[1]Parametros!$B$9/2)))/8))/10,0)*10</f>
        <v>240</v>
      </c>
      <c r="AR88" s="13">
        <f>[1]Parametros!$B$6*(AJ88+MAX(BE88-BD88,0)*[1]Parametros!$B$4*MIN(U88,AB88)/1000)</f>
        <v>330.97185436697026</v>
      </c>
      <c r="AS88" s="13" t="str">
        <f t="shared" si="18"/>
        <v>CUMPLE</v>
      </c>
      <c r="AT88" s="13">
        <f>[1]Parametros!$B$6*0.083*SQRT([1]Parametros!$B$2)*(H88*I88)^2/(2*(H88+I88))/1000000</f>
        <v>10.08878303333792</v>
      </c>
      <c r="AU88" s="13" t="str">
        <f t="shared" si="19"/>
        <v>DESPRECIABLE</v>
      </c>
      <c r="AV88" s="13">
        <f>IF(Q88&lt;=AT88,0,Q88*1000000/([1]Parametros!$B$6*2*0.85*(H88-2*([1]Parametros!$B$7+[1]Parametros!$B$9/2))*(I88-2*([1]Parametros!$B$7+[1]Parametros!$B$9/2))*[1]Parametros!$B$4))</f>
        <v>0</v>
      </c>
      <c r="AW88" s="13">
        <f>AV88*2*((H88-2*([1]Parametros!$B$7+[1]Parametros!$B$9/2))+(I88-2*([1]Parametros!$B$7+[1]Parametros!$B$9/2)))*[1]Parametros!$B$4/[1]Parametros!$B$3</f>
        <v>0</v>
      </c>
      <c r="AX88" s="14">
        <v>0</v>
      </c>
      <c r="AY88" s="13" t="str">
        <f t="shared" si="20"/>
        <v>DESPRECIABLE</v>
      </c>
      <c r="AZ88" s="13" t="str">
        <f t="shared" si="21"/>
        <v>CUMPLE</v>
      </c>
      <c r="BA88" s="14">
        <v>9.5</v>
      </c>
      <c r="BB88" s="14">
        <v>71</v>
      </c>
      <c r="BC88" s="13">
        <f>MAX(IF(AK88=0,0,AK88*1000/([1]Parametros!$B$4*MIN(U88,AB88))),MAX(0.062*SQRT([1]Parametros!$B$2)*H88/[1]Parametros!$B$4,0.35*H88/[1]Parametros!$B$4))</f>
        <v>0.375</v>
      </c>
      <c r="BD88" s="13">
        <f t="shared" si="22"/>
        <v>0</v>
      </c>
      <c r="BE88" s="13">
        <f t="shared" si="23"/>
        <v>1.1833333333333333</v>
      </c>
      <c r="BF88" s="13">
        <f>SQRT((AI88*1000/(H88*MIN(U88,AB88)))^2+(Q88*1000000*2*((H88-2*([1]Parametros!$B$7+[1]Parametros!$B$9/2))+(I88-2*([1]Parametros!$B$7+[1]Parametros!$B$9/2)))/(1.7*((H88-2*([1]Parametros!$B$7+[1]Parametros!$B$9/2))*(I88-2*([1]Parametros!$B$7+[1]Parametros!$B$9/2)))^2))^2)</f>
        <v>0.78620373002683452</v>
      </c>
      <c r="BG88" s="13">
        <f>[1]Parametros!$B$6*(AJ88*1000/(H88*MIN(U88,AB88))+0.66*SQRT([1]Parametros!$B$2))</f>
        <v>3.2939603822754151</v>
      </c>
      <c r="BH88" s="13" t="str">
        <f t="shared" si="24"/>
        <v>CUMPLE</v>
      </c>
      <c r="BI88" s="13">
        <f>AX88*[1]Parametros!$B$8</f>
        <v>0</v>
      </c>
      <c r="BJ88" s="15" t="str">
        <f t="shared" si="25"/>
        <v>CUMPLE</v>
      </c>
    </row>
    <row r="89" spans="1:62" x14ac:dyDescent="0.3">
      <c r="A89" s="16" t="s">
        <v>66</v>
      </c>
      <c r="B89" s="17">
        <v>910</v>
      </c>
      <c r="C89" s="13">
        <v>1</v>
      </c>
      <c r="D89" s="13">
        <v>3.2147700000000001</v>
      </c>
      <c r="E89" s="13">
        <v>3.2147700000000001</v>
      </c>
      <c r="F89" s="13">
        <v>450</v>
      </c>
      <c r="G89" s="13">
        <v>550</v>
      </c>
      <c r="H89" s="13">
        <v>450</v>
      </c>
      <c r="I89" s="13">
        <v>550</v>
      </c>
      <c r="J89" s="14">
        <v>104.59099999999999</v>
      </c>
      <c r="K89" s="13">
        <v>910</v>
      </c>
      <c r="L89" s="14">
        <v>70.443600000000004</v>
      </c>
      <c r="M89" s="13">
        <v>910</v>
      </c>
      <c r="N89" s="14">
        <v>70.525999999999996</v>
      </c>
      <c r="O89" s="14">
        <v>210.203</v>
      </c>
      <c r="P89" s="13">
        <v>910</v>
      </c>
      <c r="Q89" s="14">
        <v>10.628399999999999</v>
      </c>
      <c r="R89" s="13">
        <f>MAX(MAX(1.4/[1]Parametros!$B$3,0.25*SQRT([1]Parametros!$B$2)/[1]Parametros!$B$3)*H89*U89,(0.85*[1]Parametros!$B$2/[1]Parametros!$B$3)*(1-SQRT(1-2*(J89*1000000/([1]Parametros!$B$5*H89*U89^2))/(0.85*[1]Parametros!$B$2)))*H89*U89)</f>
        <v>734.02500000000009</v>
      </c>
      <c r="S89" s="14">
        <v>4</v>
      </c>
      <c r="T89" s="14">
        <v>1</v>
      </c>
      <c r="U89" s="13">
        <f>IF(T89=1,I89-([1]Parametros!$B$7+[1]Parametros!$B$9+[1]Parametros!$B$12/2),I89-(ROUNDUP(S89/2,0)*([1]Parametros!$B$7+[1]Parametros!$B$9+[1]Parametros!$B$12/2)+ROUNDDOWN(S89/2,0)*([1]Parametros!$B$7+[1]Parametros!$B$9+[1]Parametros!$B$12/2+[1]Parametros!$B$12+[1]Parametros!$B$10))/S89)</f>
        <v>489.35</v>
      </c>
      <c r="V89" s="13">
        <f>S89*[1]Parametros!$B$8</f>
        <v>796</v>
      </c>
      <c r="W89" s="13">
        <f>[1]Parametros!$B$5*V89*[1]Parametros!$B$3*(U89-(V89*[1]Parametros!$B$3/(0.85*[1]Parametros!$B$2*H89))/2)/1000000</f>
        <v>142.54333009411764</v>
      </c>
      <c r="X89" s="13" t="str">
        <f t="shared" si="13"/>
        <v>CUMPLE</v>
      </c>
      <c r="Y89" s="13">
        <f>MAX(MAX(1.4/[1]Parametros!$B$3,0.25*SQRT([1]Parametros!$B$2)/[1]Parametros!$B$3)*H89*AB89,(0.85*[1]Parametros!$B$2/[1]Parametros!$B$3)*(1-SQRT(1-2*(L89*1000000/([1]Parametros!$B$5*H89*AB89^2))/(0.85*[1]Parametros!$B$2)))*H89*AB89)</f>
        <v>734.02500000000009</v>
      </c>
      <c r="Z89" s="14">
        <v>4</v>
      </c>
      <c r="AA89" s="14">
        <v>1</v>
      </c>
      <c r="AB89" s="13">
        <f>IF(AA89=1,I89-([1]Parametros!$B$7+[1]Parametros!$B$9+[1]Parametros!$B$12/2),I89-(ROUNDUP(Z89/2,0)*([1]Parametros!$B$7+[1]Parametros!$B$9+[1]Parametros!$B$12/2)+ROUNDDOWN(Z89/2,0)*([1]Parametros!$B$7+[1]Parametros!$B$9+[1]Parametros!$B$12/2+[1]Parametros!$B$12+[1]Parametros!$B$10))/Z89)</f>
        <v>489.35</v>
      </c>
      <c r="AC89" s="13">
        <f>Z89*[1]Parametros!$B$8</f>
        <v>796</v>
      </c>
      <c r="AD89" s="13">
        <f>[1]Parametros!$B$5*AC89*[1]Parametros!$B$3*(AB89-(AC89*[1]Parametros!$B$3/(0.85*[1]Parametros!$B$2*H89))/2)/1000000</f>
        <v>142.54333009411764</v>
      </c>
      <c r="AE89" s="13" t="str">
        <f t="shared" si="14"/>
        <v>CUMPLE</v>
      </c>
      <c r="AF89" s="13">
        <f>V89*1.25*[1]Parametros!$B$3*(U89-(V89*1.25*[1]Parametros!$B$3/(0.85*[1]Parametros!$B$2*H89))/2)/1000000</f>
        <v>196.34621794117646</v>
      </c>
      <c r="AG89" s="13">
        <f>AC89*1.25*[1]Parametros!$B$3*(AB89-(AC89*1.25*[1]Parametros!$B$3/(0.85*[1]Parametros!$B$2*H89))/2)/1000000</f>
        <v>196.34621794117646</v>
      </c>
      <c r="AH89" s="13">
        <f t="shared" si="15"/>
        <v>192.67857573087747</v>
      </c>
      <c r="AI89" s="13">
        <f t="shared" si="16"/>
        <v>210.203</v>
      </c>
      <c r="AJ89" s="13">
        <f>0.17*SQRT([1]Parametros!$B$2)*H89*MIN(U89,AB89)/1000</f>
        <v>198.08885582262698</v>
      </c>
      <c r="AK89" s="13">
        <f>MAX(AI89/[1]Parametros!$B$6-AJ89,0)</f>
        <v>82.181810844039688</v>
      </c>
      <c r="AL89" s="13">
        <f>0.66*SQRT([1]Parametros!$B$2)*H89*MIN(U89,AB89)/1000</f>
        <v>769.05085201725785</v>
      </c>
      <c r="AM89" s="13" t="str">
        <f t="shared" si="17"/>
        <v>CUMPLE</v>
      </c>
      <c r="AN89" s="13" t="s">
        <v>64</v>
      </c>
      <c r="AO89" s="14">
        <v>2</v>
      </c>
      <c r="AP89" s="13">
        <f>ROUNDDOWN(MIN(IF(BC89+BD89=0,1000000000,AO89*BB89/(BC89+BD89)),MIN(U89,AB89)/4,8*[1]Parametros!$B$12,24*BA89,300,IF(AV89=0,1000000000,2*((H89-2*([1]Parametros!$B$7+[1]Parametros!$B$9/2))+(I89-2*([1]Parametros!$B$7+[1]Parametros!$B$9/2)))/8))/10,0)*10</f>
        <v>120</v>
      </c>
      <c r="AQ89" s="13">
        <f>ROUNDDOWN(MIN(IF(BC89+BD89=0,1000000000,AO89*BB89/(BC89+BD89)),IF(AK89&gt;0.33*SQRT([1]Parametros!$B$2)*H89*MIN(U89,AB89)/1000,MIN(U89,AB89)/4,MIN(U89,AB89)/2),600,IF(AV89=0,1000000000,2*((H89-2*([1]Parametros!$B$7+[1]Parametros!$B$9/2))+(I89-2*([1]Parametros!$B$7+[1]Parametros!$B$9/2)))/8))/10,0)*10</f>
        <v>200</v>
      </c>
      <c r="AR89" s="13">
        <f>[1]Parametros!$B$6*(AJ89+MAX(BE89-BD89,0)*[1]Parametros!$B$4*MIN(U89,AB89)/1000)</f>
        <v>293.52336183707507</v>
      </c>
      <c r="AS89" s="13" t="str">
        <f t="shared" si="18"/>
        <v>CUMPLE</v>
      </c>
      <c r="AT89" s="13">
        <f>[1]Parametros!$B$6*0.083*SQRT([1]Parametros!$B$2)*(H89*I89)^2/(2*(H89+I89))/1000000</f>
        <v>10.08878303333792</v>
      </c>
      <c r="AU89" s="13" t="str">
        <f t="shared" si="19"/>
        <v>DISEÑAR</v>
      </c>
      <c r="AV89" s="13">
        <f>IF(Q89&lt;=AT89,0,Q89*1000000/([1]Parametros!$B$6*2*0.85*(H89-2*([1]Parametros!$B$7+[1]Parametros!$B$9/2))*(I89-2*([1]Parametros!$B$7+[1]Parametros!$B$9/2))*[1]Parametros!$B$4))</f>
        <v>0.12147144504905341</v>
      </c>
      <c r="AW89" s="13">
        <f>AV89*2*((H89-2*([1]Parametros!$B$7+[1]Parametros!$B$9/2))+(I89-2*([1]Parametros!$B$7+[1]Parametros!$B$9/2)))*[1]Parametros!$B$4/[1]Parametros!$B$3</f>
        <v>197.9012782739178</v>
      </c>
      <c r="AX89" s="14">
        <v>8</v>
      </c>
      <c r="AY89" s="13" t="str">
        <f t="shared" si="20"/>
        <v>CUMPLE</v>
      </c>
      <c r="AZ89" s="13" t="str">
        <f t="shared" si="21"/>
        <v>CUMPLE</v>
      </c>
      <c r="BA89" s="14">
        <v>9.5</v>
      </c>
      <c r="BB89" s="14">
        <v>71</v>
      </c>
      <c r="BC89" s="13">
        <f>MAX(IF(AK89=0,0,AK89*1000/([1]Parametros!$B$4*MIN(U89,AB89))),MAX(0.062*SQRT([1]Parametros!$B$2)*H89/[1]Parametros!$B$4,0.35*H89/[1]Parametros!$B$4))</f>
        <v>0.39985895207948197</v>
      </c>
      <c r="BD89" s="13">
        <f t="shared" si="22"/>
        <v>0.24294289009810682</v>
      </c>
      <c r="BE89" s="13">
        <f t="shared" si="23"/>
        <v>1.1833333333333333</v>
      </c>
      <c r="BF89" s="13">
        <f>SQRT((AI89*1000/(H89*MIN(U89,AB89)))^2+(Q89*1000000*2*((H89-2*([1]Parametros!$B$7+[1]Parametros!$B$9/2))+(I89-2*([1]Parametros!$B$7+[1]Parametros!$B$9/2)))/(1.7*((H89-2*([1]Parametros!$B$7+[1]Parametros!$B$9/2))*(I89-2*([1]Parametros!$B$7+[1]Parametros!$B$9/2)))^2))^2)</f>
        <v>1.0279894961421414</v>
      </c>
      <c r="BG89" s="13">
        <f>[1]Parametros!$B$6*(AJ89*1000/(H89*MIN(U89,AB89))+0.66*SQRT([1]Parametros!$B$2))</f>
        <v>3.2939603822754151</v>
      </c>
      <c r="BH89" s="13" t="str">
        <f t="shared" si="24"/>
        <v>CUMPLE</v>
      </c>
      <c r="BI89" s="13">
        <f>AX89*[1]Parametros!$B$8</f>
        <v>1592</v>
      </c>
      <c r="BJ89" s="15" t="str">
        <f t="shared" si="25"/>
        <v>CUMPLE</v>
      </c>
    </row>
    <row r="90" spans="1:62" x14ac:dyDescent="0.3">
      <c r="A90" s="16" t="s">
        <v>66</v>
      </c>
      <c r="B90" s="17">
        <v>911</v>
      </c>
      <c r="C90" s="13">
        <v>1</v>
      </c>
      <c r="D90" s="13">
        <v>3.2147700000000001</v>
      </c>
      <c r="E90" s="13">
        <v>3.2147700000000001</v>
      </c>
      <c r="F90" s="13">
        <v>450</v>
      </c>
      <c r="G90" s="13">
        <v>550</v>
      </c>
      <c r="H90" s="13">
        <v>450</v>
      </c>
      <c r="I90" s="13">
        <v>550</v>
      </c>
      <c r="J90" s="14">
        <v>104.6645</v>
      </c>
      <c r="K90" s="13">
        <v>911</v>
      </c>
      <c r="L90" s="14">
        <v>70.561599999999999</v>
      </c>
      <c r="M90" s="13">
        <v>911</v>
      </c>
      <c r="N90" s="14">
        <v>70.555999999999997</v>
      </c>
      <c r="O90" s="14">
        <v>210.239</v>
      </c>
      <c r="P90" s="13">
        <v>911</v>
      </c>
      <c r="Q90" s="14">
        <v>10.614800000000001</v>
      </c>
      <c r="R90" s="13">
        <f>MAX(MAX(1.4/[1]Parametros!$B$3,0.25*SQRT([1]Parametros!$B$2)/[1]Parametros!$B$3)*H90*U90,(0.85*[1]Parametros!$B$2/[1]Parametros!$B$3)*(1-SQRT(1-2*(J90*1000000/([1]Parametros!$B$5*H90*U90^2))/(0.85*[1]Parametros!$B$2)))*H90*U90)</f>
        <v>734.02500000000009</v>
      </c>
      <c r="S90" s="14">
        <v>4</v>
      </c>
      <c r="T90" s="14">
        <v>1</v>
      </c>
      <c r="U90" s="13">
        <f>IF(T90=1,I90-([1]Parametros!$B$7+[1]Parametros!$B$9+[1]Parametros!$B$12/2),I90-(ROUNDUP(S90/2,0)*([1]Parametros!$B$7+[1]Parametros!$B$9+[1]Parametros!$B$12/2)+ROUNDDOWN(S90/2,0)*([1]Parametros!$B$7+[1]Parametros!$B$9+[1]Parametros!$B$12/2+[1]Parametros!$B$12+[1]Parametros!$B$10))/S90)</f>
        <v>489.35</v>
      </c>
      <c r="V90" s="13">
        <f>S90*[1]Parametros!$B$8</f>
        <v>796</v>
      </c>
      <c r="W90" s="13">
        <f>[1]Parametros!$B$5*V90*[1]Parametros!$B$3*(U90-(V90*[1]Parametros!$B$3/(0.85*[1]Parametros!$B$2*H90))/2)/1000000</f>
        <v>142.54333009411764</v>
      </c>
      <c r="X90" s="13" t="str">
        <f t="shared" si="13"/>
        <v>CUMPLE</v>
      </c>
      <c r="Y90" s="13">
        <f>MAX(MAX(1.4/[1]Parametros!$B$3,0.25*SQRT([1]Parametros!$B$2)/[1]Parametros!$B$3)*H90*AB90,(0.85*[1]Parametros!$B$2/[1]Parametros!$B$3)*(1-SQRT(1-2*(L90*1000000/([1]Parametros!$B$5*H90*AB90^2))/(0.85*[1]Parametros!$B$2)))*H90*AB90)</f>
        <v>734.02500000000009</v>
      </c>
      <c r="Z90" s="14">
        <v>4</v>
      </c>
      <c r="AA90" s="14">
        <v>1</v>
      </c>
      <c r="AB90" s="13">
        <f>IF(AA90=1,I90-([1]Parametros!$B$7+[1]Parametros!$B$9+[1]Parametros!$B$12/2),I90-(ROUNDUP(Z90/2,0)*([1]Parametros!$B$7+[1]Parametros!$B$9+[1]Parametros!$B$12/2)+ROUNDDOWN(Z90/2,0)*([1]Parametros!$B$7+[1]Parametros!$B$9+[1]Parametros!$B$12/2+[1]Parametros!$B$12+[1]Parametros!$B$10))/Z90)</f>
        <v>489.35</v>
      </c>
      <c r="AC90" s="13">
        <f>Z90*[1]Parametros!$B$8</f>
        <v>796</v>
      </c>
      <c r="AD90" s="13">
        <f>[1]Parametros!$B$5*AC90*[1]Parametros!$B$3*(AB90-(AC90*[1]Parametros!$B$3/(0.85*[1]Parametros!$B$2*H90))/2)/1000000</f>
        <v>142.54333009411764</v>
      </c>
      <c r="AE90" s="13" t="str">
        <f t="shared" si="14"/>
        <v>CUMPLE</v>
      </c>
      <c r="AF90" s="13">
        <f>V90*1.25*[1]Parametros!$B$3*(U90-(V90*1.25*[1]Parametros!$B$3/(0.85*[1]Parametros!$B$2*H90))/2)/1000000</f>
        <v>196.34621794117646</v>
      </c>
      <c r="AG90" s="13">
        <f>AC90*1.25*[1]Parametros!$B$3*(AB90-(AC90*1.25*[1]Parametros!$B$3/(0.85*[1]Parametros!$B$2*H90))/2)/1000000</f>
        <v>196.34621794117646</v>
      </c>
      <c r="AH90" s="13">
        <f t="shared" si="15"/>
        <v>192.70857573087744</v>
      </c>
      <c r="AI90" s="13">
        <f t="shared" si="16"/>
        <v>210.239</v>
      </c>
      <c r="AJ90" s="13">
        <f>0.17*SQRT([1]Parametros!$B$2)*H90*MIN(U90,AB90)/1000</f>
        <v>198.08885582262698</v>
      </c>
      <c r="AK90" s="13">
        <f>MAX(AI90/[1]Parametros!$B$6-AJ90,0)</f>
        <v>82.22981084403969</v>
      </c>
      <c r="AL90" s="13">
        <f>0.66*SQRT([1]Parametros!$B$2)*H90*MIN(U90,AB90)/1000</f>
        <v>769.05085201725785</v>
      </c>
      <c r="AM90" s="13" t="str">
        <f t="shared" si="17"/>
        <v>CUMPLE</v>
      </c>
      <c r="AN90" s="13" t="s">
        <v>64</v>
      </c>
      <c r="AO90" s="14">
        <v>2</v>
      </c>
      <c r="AP90" s="13">
        <f>ROUNDDOWN(MIN(IF(BC90+BD90=0,1000000000,AO90*BB90/(BC90+BD90)),MIN(U90,AB90)/4,8*[1]Parametros!$B$12,24*BA90,300,IF(AV90=0,1000000000,2*((H90-2*([1]Parametros!$B$7+[1]Parametros!$B$9/2))+(I90-2*([1]Parametros!$B$7+[1]Parametros!$B$9/2)))/8))/10,0)*10</f>
        <v>120</v>
      </c>
      <c r="AQ90" s="13">
        <f>ROUNDDOWN(MIN(IF(BC90+BD90=0,1000000000,AO90*BB90/(BC90+BD90)),IF(AK90&gt;0.33*SQRT([1]Parametros!$B$2)*H90*MIN(U90,AB90)/1000,MIN(U90,AB90)/4,MIN(U90,AB90)/2),600,IF(AV90=0,1000000000,2*((H90-2*([1]Parametros!$B$7+[1]Parametros!$B$9/2))+(I90-2*([1]Parametros!$B$7+[1]Parametros!$B$9/2)))/8))/10,0)*10</f>
        <v>200</v>
      </c>
      <c r="AR90" s="13">
        <f>[1]Parametros!$B$6*(AJ90+MAX(BE90-BD90,0)*[1]Parametros!$B$4*MIN(U90,AB90)/1000)</f>
        <v>293.57128057351764</v>
      </c>
      <c r="AS90" s="13" t="str">
        <f t="shared" si="18"/>
        <v>CUMPLE</v>
      </c>
      <c r="AT90" s="13">
        <f>[1]Parametros!$B$6*0.083*SQRT([1]Parametros!$B$2)*(H90*I90)^2/(2*(H90+I90))/1000000</f>
        <v>10.08878303333792</v>
      </c>
      <c r="AU90" s="13" t="str">
        <f t="shared" si="19"/>
        <v>DISEÑAR</v>
      </c>
      <c r="AV90" s="13">
        <f>IF(Q90&lt;=AT90,0,Q90*1000000/([1]Parametros!$B$6*2*0.85*(H90-2*([1]Parametros!$B$7+[1]Parametros!$B$9/2))*(I90-2*([1]Parametros!$B$7+[1]Parametros!$B$9/2))*[1]Parametros!$B$4))</f>
        <v>0.1213160113381781</v>
      </c>
      <c r="AW90" s="13">
        <f>AV90*2*((H90-2*([1]Parametros!$B$7+[1]Parametros!$B$9/2))+(I90-2*([1]Parametros!$B$7+[1]Parametros!$B$9/2)))*[1]Parametros!$B$4/[1]Parametros!$B$3</f>
        <v>197.64804567215975</v>
      </c>
      <c r="AX90" s="14">
        <v>8</v>
      </c>
      <c r="AY90" s="13" t="str">
        <f t="shared" si="20"/>
        <v>CUMPLE</v>
      </c>
      <c r="AZ90" s="13" t="str">
        <f t="shared" si="21"/>
        <v>CUMPLE</v>
      </c>
      <c r="BA90" s="14">
        <v>9.5</v>
      </c>
      <c r="BB90" s="14">
        <v>71</v>
      </c>
      <c r="BC90" s="13">
        <f>MAX(IF(AK90=0,0,AK90*1000/([1]Parametros!$B$4*MIN(U90,AB90))),MAX(0.062*SQRT([1]Parametros!$B$2)*H90/[1]Parametros!$B$4,0.35*H90/[1]Parametros!$B$4))</f>
        <v>0.40009249803694741</v>
      </c>
      <c r="BD90" s="13">
        <f t="shared" si="22"/>
        <v>0.2426320226763562</v>
      </c>
      <c r="BE90" s="13">
        <f t="shared" si="23"/>
        <v>1.1833333333333333</v>
      </c>
      <c r="BF90" s="13">
        <f>SQRT((AI90*1000/(H90*MIN(U90,AB90)))^2+(Q90*1000000*2*((H90-2*([1]Parametros!$B$7+[1]Parametros!$B$9/2))+(I90-2*([1]Parametros!$B$7+[1]Parametros!$B$9/2)))/(1.7*((H90-2*([1]Parametros!$B$7+[1]Parametros!$B$9/2))*(I90-2*([1]Parametros!$B$7+[1]Parametros!$B$9/2)))^2))^2)</f>
        <v>1.0279602413436446</v>
      </c>
      <c r="BG90" s="13">
        <f>[1]Parametros!$B$6*(AJ90*1000/(H90*MIN(U90,AB90))+0.66*SQRT([1]Parametros!$B$2))</f>
        <v>3.2939603822754151</v>
      </c>
      <c r="BH90" s="13" t="str">
        <f t="shared" si="24"/>
        <v>CUMPLE</v>
      </c>
      <c r="BI90" s="13">
        <f>AX90*[1]Parametros!$B$8</f>
        <v>1592</v>
      </c>
      <c r="BJ90" s="15" t="str">
        <f t="shared" si="25"/>
        <v>CUMPLE</v>
      </c>
    </row>
    <row r="91" spans="1:62" x14ac:dyDescent="0.3">
      <c r="A91" s="16" t="s">
        <v>66</v>
      </c>
      <c r="B91" s="17">
        <v>912</v>
      </c>
      <c r="C91" s="13">
        <v>1</v>
      </c>
      <c r="D91" s="13">
        <v>3.4</v>
      </c>
      <c r="E91" s="13">
        <v>3.4</v>
      </c>
      <c r="F91" s="13">
        <v>450</v>
      </c>
      <c r="G91" s="13">
        <v>550</v>
      </c>
      <c r="H91" s="13">
        <v>450</v>
      </c>
      <c r="I91" s="13">
        <v>550</v>
      </c>
      <c r="J91" s="14">
        <v>87.744200000000006</v>
      </c>
      <c r="K91" s="13">
        <v>912</v>
      </c>
      <c r="L91" s="14">
        <v>57.506100000000004</v>
      </c>
      <c r="M91" s="13">
        <v>912</v>
      </c>
      <c r="N91" s="14">
        <v>50.308999999999997</v>
      </c>
      <c r="O91" s="14">
        <v>172.93299999999999</v>
      </c>
      <c r="P91" s="13">
        <v>912</v>
      </c>
      <c r="Q91" s="14">
        <v>1.089</v>
      </c>
      <c r="R91" s="13">
        <f>MAX(MAX(1.4/[1]Parametros!$B$3,0.25*SQRT([1]Parametros!$B$2)/[1]Parametros!$B$3)*H91*U91,(0.85*[1]Parametros!$B$2/[1]Parametros!$B$3)*(1-SQRT(1-2*(J91*1000000/([1]Parametros!$B$5*H91*U91^2))/(0.85*[1]Parametros!$B$2)))*H91*U91)</f>
        <v>734.02500000000009</v>
      </c>
      <c r="S91" s="14">
        <v>4</v>
      </c>
      <c r="T91" s="14">
        <v>1</v>
      </c>
      <c r="U91" s="13">
        <f>IF(T91=1,I91-([1]Parametros!$B$7+[1]Parametros!$B$9+[1]Parametros!$B$12/2),I91-(ROUNDUP(S91/2,0)*([1]Parametros!$B$7+[1]Parametros!$B$9+[1]Parametros!$B$12/2)+ROUNDDOWN(S91/2,0)*([1]Parametros!$B$7+[1]Parametros!$B$9+[1]Parametros!$B$12/2+[1]Parametros!$B$12+[1]Parametros!$B$10))/S91)</f>
        <v>489.35</v>
      </c>
      <c r="V91" s="13">
        <f>S91*[1]Parametros!$B$8</f>
        <v>796</v>
      </c>
      <c r="W91" s="13">
        <f>[1]Parametros!$B$5*V91*[1]Parametros!$B$3*(U91-(V91*[1]Parametros!$B$3/(0.85*[1]Parametros!$B$2*H91))/2)/1000000</f>
        <v>142.54333009411764</v>
      </c>
      <c r="X91" s="13" t="str">
        <f t="shared" si="13"/>
        <v>CUMPLE</v>
      </c>
      <c r="Y91" s="13">
        <f>MAX(MAX(1.4/[1]Parametros!$B$3,0.25*SQRT([1]Parametros!$B$2)/[1]Parametros!$B$3)*H91*AB91,(0.85*[1]Parametros!$B$2/[1]Parametros!$B$3)*(1-SQRT(1-2*(L91*1000000/([1]Parametros!$B$5*H91*AB91^2))/(0.85*[1]Parametros!$B$2)))*H91*AB91)</f>
        <v>734.02500000000009</v>
      </c>
      <c r="Z91" s="14">
        <v>4</v>
      </c>
      <c r="AA91" s="14">
        <v>1</v>
      </c>
      <c r="AB91" s="13">
        <f>IF(AA91=1,I91-([1]Parametros!$B$7+[1]Parametros!$B$9+[1]Parametros!$B$12/2),I91-(ROUNDUP(Z91/2,0)*([1]Parametros!$B$7+[1]Parametros!$B$9+[1]Parametros!$B$12/2)+ROUNDDOWN(Z91/2,0)*([1]Parametros!$B$7+[1]Parametros!$B$9+[1]Parametros!$B$12/2+[1]Parametros!$B$12+[1]Parametros!$B$10))/Z91)</f>
        <v>489.35</v>
      </c>
      <c r="AC91" s="13">
        <f>Z91*[1]Parametros!$B$8</f>
        <v>796</v>
      </c>
      <c r="AD91" s="13">
        <f>[1]Parametros!$B$5*AC91*[1]Parametros!$B$3*(AB91-(AC91*[1]Parametros!$B$3/(0.85*[1]Parametros!$B$2*H91))/2)/1000000</f>
        <v>142.54333009411764</v>
      </c>
      <c r="AE91" s="13" t="str">
        <f t="shared" si="14"/>
        <v>CUMPLE</v>
      </c>
      <c r="AF91" s="13">
        <f>V91*1.25*[1]Parametros!$B$3*(U91-(V91*1.25*[1]Parametros!$B$3/(0.85*[1]Parametros!$B$2*H91))/2)/1000000</f>
        <v>196.34621794117646</v>
      </c>
      <c r="AG91" s="13">
        <f>AC91*1.25*[1]Parametros!$B$3*(AB91-(AC91*1.25*[1]Parametros!$B$3/(0.85*[1]Parametros!$B$2*H91))/2)/1000000</f>
        <v>196.34621794117646</v>
      </c>
      <c r="AH91" s="13">
        <f t="shared" si="15"/>
        <v>165.80677525951558</v>
      </c>
      <c r="AI91" s="13">
        <f t="shared" si="16"/>
        <v>172.93299999999999</v>
      </c>
      <c r="AJ91" s="13">
        <f>0.17*SQRT([1]Parametros!$B$2)*H91*MIN(U91,AB91)/1000</f>
        <v>198.08885582262698</v>
      </c>
      <c r="AK91" s="13">
        <f>MAX(AI91/[1]Parametros!$B$6-AJ91,0)</f>
        <v>32.488477510706332</v>
      </c>
      <c r="AL91" s="13">
        <f>0.66*SQRT([1]Parametros!$B$2)*H91*MIN(U91,AB91)/1000</f>
        <v>769.05085201725785</v>
      </c>
      <c r="AM91" s="13" t="str">
        <f t="shared" si="17"/>
        <v>CUMPLE</v>
      </c>
      <c r="AN91" s="13" t="s">
        <v>64</v>
      </c>
      <c r="AO91" s="14">
        <v>2</v>
      </c>
      <c r="AP91" s="13">
        <f>ROUNDDOWN(MIN(IF(BC91+BD91=0,1000000000,AO91*BB91/(BC91+BD91)),MIN(U91,AB91)/4,8*[1]Parametros!$B$12,24*BA91,300,IF(AV91=0,1000000000,2*((H91-2*([1]Parametros!$B$7+[1]Parametros!$B$9/2))+(I91-2*([1]Parametros!$B$7+[1]Parametros!$B$9/2)))/8))/10,0)*10</f>
        <v>120</v>
      </c>
      <c r="AQ91" s="13">
        <f>ROUNDDOWN(MIN(IF(BC91+BD91=0,1000000000,AO91*BB91/(BC91+BD91)),IF(AK91&gt;0.33*SQRT([1]Parametros!$B$2)*H91*MIN(U91,AB91)/1000,MIN(U91,AB91)/4,MIN(U91,AB91)/2),600,IF(AV91=0,1000000000,2*((H91-2*([1]Parametros!$B$7+[1]Parametros!$B$9/2))+(I91-2*([1]Parametros!$B$7+[1]Parametros!$B$9/2)))/8))/10,0)*10</f>
        <v>240</v>
      </c>
      <c r="AR91" s="13">
        <f>[1]Parametros!$B$6*(AJ91+MAX(BE91-BD91,0)*[1]Parametros!$B$4*MIN(U91,AB91)/1000)</f>
        <v>330.97185436697026</v>
      </c>
      <c r="AS91" s="13" t="str">
        <f t="shared" si="18"/>
        <v>CUMPLE</v>
      </c>
      <c r="AT91" s="13">
        <f>[1]Parametros!$B$6*0.083*SQRT([1]Parametros!$B$2)*(H91*I91)^2/(2*(H91+I91))/1000000</f>
        <v>10.08878303333792</v>
      </c>
      <c r="AU91" s="13" t="str">
        <f t="shared" si="19"/>
        <v>DESPRECIABLE</v>
      </c>
      <c r="AV91" s="13">
        <f>IF(Q91&lt;=AT91,0,Q91*1000000/([1]Parametros!$B$6*2*0.85*(H91-2*([1]Parametros!$B$7+[1]Parametros!$B$9/2))*(I91-2*([1]Parametros!$B$7+[1]Parametros!$B$9/2))*[1]Parametros!$B$4))</f>
        <v>0</v>
      </c>
      <c r="AW91" s="13">
        <f>AV91*2*((H91-2*([1]Parametros!$B$7+[1]Parametros!$B$9/2))+(I91-2*([1]Parametros!$B$7+[1]Parametros!$B$9/2)))*[1]Parametros!$B$4/[1]Parametros!$B$3</f>
        <v>0</v>
      </c>
      <c r="AX91" s="14">
        <v>0</v>
      </c>
      <c r="AY91" s="13" t="str">
        <f t="shared" si="20"/>
        <v>DESPRECIABLE</v>
      </c>
      <c r="AZ91" s="13" t="str">
        <f t="shared" si="21"/>
        <v>CUMPLE</v>
      </c>
      <c r="BA91" s="14">
        <v>9.5</v>
      </c>
      <c r="BB91" s="14">
        <v>71</v>
      </c>
      <c r="BC91" s="13">
        <f>MAX(IF(AK91=0,0,AK91*1000/([1]Parametros!$B$4*MIN(U91,AB91))),MAX(0.062*SQRT([1]Parametros!$B$2)*H91/[1]Parametros!$B$4,0.35*H91/[1]Parametros!$B$4))</f>
        <v>0.375</v>
      </c>
      <c r="BD91" s="13">
        <f t="shared" si="22"/>
        <v>0</v>
      </c>
      <c r="BE91" s="13">
        <f t="shared" si="23"/>
        <v>1.1833333333333333</v>
      </c>
      <c r="BF91" s="13">
        <f>SQRT((AI91*1000/(H91*MIN(U91,AB91)))^2+(Q91*1000000*2*((H91-2*([1]Parametros!$B$7+[1]Parametros!$B$9/2))+(I91-2*([1]Parametros!$B$7+[1]Parametros!$B$9/2)))/(1.7*((H91-2*([1]Parametros!$B$7+[1]Parametros!$B$9/2))*(I91-2*([1]Parametros!$B$7+[1]Parametros!$B$9/2)))^2))^2)</f>
        <v>0.78629074888951267</v>
      </c>
      <c r="BG91" s="13">
        <f>[1]Parametros!$B$6*(AJ91*1000/(H91*MIN(U91,AB91))+0.66*SQRT([1]Parametros!$B$2))</f>
        <v>3.2939603822754151</v>
      </c>
      <c r="BH91" s="13" t="str">
        <f t="shared" si="24"/>
        <v>CUMPLE</v>
      </c>
      <c r="BI91" s="13">
        <f>AX91*[1]Parametros!$B$8</f>
        <v>0</v>
      </c>
      <c r="BJ91" s="15" t="str">
        <f t="shared" si="25"/>
        <v>CUMPLE</v>
      </c>
    </row>
    <row r="92" spans="1:62" x14ac:dyDescent="0.3">
      <c r="A92" s="16" t="s">
        <v>66</v>
      </c>
      <c r="B92" s="17">
        <v>941</v>
      </c>
      <c r="C92" s="13">
        <v>1</v>
      </c>
      <c r="D92" s="13">
        <v>3.4</v>
      </c>
      <c r="E92" s="13">
        <v>3.4</v>
      </c>
      <c r="F92" s="13">
        <v>450</v>
      </c>
      <c r="G92" s="13">
        <v>550</v>
      </c>
      <c r="H92" s="13">
        <v>450</v>
      </c>
      <c r="I92" s="13">
        <v>550</v>
      </c>
      <c r="J92" s="14">
        <v>87.743600000000001</v>
      </c>
      <c r="K92" s="13">
        <v>941</v>
      </c>
      <c r="L92" s="14">
        <v>57.5032</v>
      </c>
      <c r="M92" s="13">
        <v>941</v>
      </c>
      <c r="N92" s="14">
        <v>50.308</v>
      </c>
      <c r="O92" s="14">
        <v>172.94900000000001</v>
      </c>
      <c r="P92" s="13">
        <v>941</v>
      </c>
      <c r="Q92" s="14">
        <v>1.0938000000000001</v>
      </c>
      <c r="R92" s="13">
        <f>MAX(MAX(1.4/[1]Parametros!$B$3,0.25*SQRT([1]Parametros!$B$2)/[1]Parametros!$B$3)*H92*U92,(0.85*[1]Parametros!$B$2/[1]Parametros!$B$3)*(1-SQRT(1-2*(J92*1000000/([1]Parametros!$B$5*H92*U92^2))/(0.85*[1]Parametros!$B$2)))*H92*U92)</f>
        <v>734.02500000000009</v>
      </c>
      <c r="S92" s="14">
        <v>4</v>
      </c>
      <c r="T92" s="14">
        <v>1</v>
      </c>
      <c r="U92" s="13">
        <f>IF(T92=1,I92-([1]Parametros!$B$7+[1]Parametros!$B$9+[1]Parametros!$B$12/2),I92-(ROUNDUP(S92/2,0)*([1]Parametros!$B$7+[1]Parametros!$B$9+[1]Parametros!$B$12/2)+ROUNDDOWN(S92/2,0)*([1]Parametros!$B$7+[1]Parametros!$B$9+[1]Parametros!$B$12/2+[1]Parametros!$B$12+[1]Parametros!$B$10))/S92)</f>
        <v>489.35</v>
      </c>
      <c r="V92" s="13">
        <f>S92*[1]Parametros!$B$8</f>
        <v>796</v>
      </c>
      <c r="W92" s="13">
        <f>[1]Parametros!$B$5*V92*[1]Parametros!$B$3*(U92-(V92*[1]Parametros!$B$3/(0.85*[1]Parametros!$B$2*H92))/2)/1000000</f>
        <v>142.54333009411764</v>
      </c>
      <c r="X92" s="13" t="str">
        <f t="shared" si="13"/>
        <v>CUMPLE</v>
      </c>
      <c r="Y92" s="13">
        <f>MAX(MAX(1.4/[1]Parametros!$B$3,0.25*SQRT([1]Parametros!$B$2)/[1]Parametros!$B$3)*H92*AB92,(0.85*[1]Parametros!$B$2/[1]Parametros!$B$3)*(1-SQRT(1-2*(L92*1000000/([1]Parametros!$B$5*H92*AB92^2))/(0.85*[1]Parametros!$B$2)))*H92*AB92)</f>
        <v>734.02500000000009</v>
      </c>
      <c r="Z92" s="14">
        <v>4</v>
      </c>
      <c r="AA92" s="14">
        <v>1</v>
      </c>
      <c r="AB92" s="13">
        <f>IF(AA92=1,I92-([1]Parametros!$B$7+[1]Parametros!$B$9+[1]Parametros!$B$12/2),I92-(ROUNDUP(Z92/2,0)*([1]Parametros!$B$7+[1]Parametros!$B$9+[1]Parametros!$B$12/2)+ROUNDDOWN(Z92/2,0)*([1]Parametros!$B$7+[1]Parametros!$B$9+[1]Parametros!$B$12/2+[1]Parametros!$B$12+[1]Parametros!$B$10))/Z92)</f>
        <v>489.35</v>
      </c>
      <c r="AC92" s="13">
        <f>Z92*[1]Parametros!$B$8</f>
        <v>796</v>
      </c>
      <c r="AD92" s="13">
        <f>[1]Parametros!$B$5*AC92*[1]Parametros!$B$3*(AB92-(AC92*[1]Parametros!$B$3/(0.85*[1]Parametros!$B$2*H92))/2)/1000000</f>
        <v>142.54333009411764</v>
      </c>
      <c r="AE92" s="13" t="str">
        <f t="shared" si="14"/>
        <v>CUMPLE</v>
      </c>
      <c r="AF92" s="13">
        <f>V92*1.25*[1]Parametros!$B$3*(U92-(V92*1.25*[1]Parametros!$B$3/(0.85*[1]Parametros!$B$2*H92))/2)/1000000</f>
        <v>196.34621794117646</v>
      </c>
      <c r="AG92" s="13">
        <f>AC92*1.25*[1]Parametros!$B$3*(AB92-(AC92*1.25*[1]Parametros!$B$3/(0.85*[1]Parametros!$B$2*H92))/2)/1000000</f>
        <v>196.34621794117646</v>
      </c>
      <c r="AH92" s="13">
        <f t="shared" si="15"/>
        <v>165.80577525951557</v>
      </c>
      <c r="AI92" s="13">
        <f t="shared" si="16"/>
        <v>172.94900000000001</v>
      </c>
      <c r="AJ92" s="13">
        <f>0.17*SQRT([1]Parametros!$B$2)*H92*MIN(U92,AB92)/1000</f>
        <v>198.08885582262698</v>
      </c>
      <c r="AK92" s="13">
        <f>MAX(AI92/[1]Parametros!$B$6-AJ92,0)</f>
        <v>32.509810844039691</v>
      </c>
      <c r="AL92" s="13">
        <f>0.66*SQRT([1]Parametros!$B$2)*H92*MIN(U92,AB92)/1000</f>
        <v>769.05085201725785</v>
      </c>
      <c r="AM92" s="13" t="str">
        <f t="shared" si="17"/>
        <v>CUMPLE</v>
      </c>
      <c r="AN92" s="13" t="s">
        <v>64</v>
      </c>
      <c r="AO92" s="14">
        <v>2</v>
      </c>
      <c r="AP92" s="13">
        <f>ROUNDDOWN(MIN(IF(BC92+BD92=0,1000000000,AO92*BB92/(BC92+BD92)),MIN(U92,AB92)/4,8*[1]Parametros!$B$12,24*BA92,300,IF(AV92=0,1000000000,2*((H92-2*([1]Parametros!$B$7+[1]Parametros!$B$9/2))+(I92-2*([1]Parametros!$B$7+[1]Parametros!$B$9/2)))/8))/10,0)*10</f>
        <v>120</v>
      </c>
      <c r="AQ92" s="13">
        <f>ROUNDDOWN(MIN(IF(BC92+BD92=0,1000000000,AO92*BB92/(BC92+BD92)),IF(AK92&gt;0.33*SQRT([1]Parametros!$B$2)*H92*MIN(U92,AB92)/1000,MIN(U92,AB92)/4,MIN(U92,AB92)/2),600,IF(AV92=0,1000000000,2*((H92-2*([1]Parametros!$B$7+[1]Parametros!$B$9/2))+(I92-2*([1]Parametros!$B$7+[1]Parametros!$B$9/2)))/8))/10,0)*10</f>
        <v>240</v>
      </c>
      <c r="AR92" s="13">
        <f>[1]Parametros!$B$6*(AJ92+MAX(BE92-BD92,0)*[1]Parametros!$B$4*MIN(U92,AB92)/1000)</f>
        <v>330.97185436697026</v>
      </c>
      <c r="AS92" s="13" t="str">
        <f t="shared" si="18"/>
        <v>CUMPLE</v>
      </c>
      <c r="AT92" s="13">
        <f>[1]Parametros!$B$6*0.083*SQRT([1]Parametros!$B$2)*(H92*I92)^2/(2*(H92+I92))/1000000</f>
        <v>10.08878303333792</v>
      </c>
      <c r="AU92" s="13" t="str">
        <f t="shared" si="19"/>
        <v>DESPRECIABLE</v>
      </c>
      <c r="AV92" s="13">
        <f>IF(Q92&lt;=AT92,0,Q92*1000000/([1]Parametros!$B$6*2*0.85*(H92-2*([1]Parametros!$B$7+[1]Parametros!$B$9/2))*(I92-2*([1]Parametros!$B$7+[1]Parametros!$B$9/2))*[1]Parametros!$B$4))</f>
        <v>0</v>
      </c>
      <c r="AW92" s="13">
        <f>AV92*2*((H92-2*([1]Parametros!$B$7+[1]Parametros!$B$9/2))+(I92-2*([1]Parametros!$B$7+[1]Parametros!$B$9/2)))*[1]Parametros!$B$4/[1]Parametros!$B$3</f>
        <v>0</v>
      </c>
      <c r="AX92" s="14">
        <v>0</v>
      </c>
      <c r="AY92" s="13" t="str">
        <f t="shared" si="20"/>
        <v>DESPRECIABLE</v>
      </c>
      <c r="AZ92" s="13" t="str">
        <f t="shared" si="21"/>
        <v>CUMPLE</v>
      </c>
      <c r="BA92" s="14">
        <v>9.5</v>
      </c>
      <c r="BB92" s="14">
        <v>71</v>
      </c>
      <c r="BC92" s="13">
        <f>MAX(IF(AK92=0,0,AK92*1000/([1]Parametros!$B$4*MIN(U92,AB92))),MAX(0.062*SQRT([1]Parametros!$B$2)*H92/[1]Parametros!$B$4,0.35*H92/[1]Parametros!$B$4))</f>
        <v>0.375</v>
      </c>
      <c r="BD92" s="13">
        <f t="shared" si="22"/>
        <v>0</v>
      </c>
      <c r="BE92" s="13">
        <f t="shared" si="23"/>
        <v>1.1833333333333333</v>
      </c>
      <c r="BF92" s="13">
        <f>SQRT((AI92*1000/(H92*MIN(U92,AB92)))^2+(Q92*1000000*2*((H92-2*([1]Parametros!$B$7+[1]Parametros!$B$9/2))+(I92-2*([1]Parametros!$B$7+[1]Parametros!$B$9/2)))/(1.7*((H92-2*([1]Parametros!$B$7+[1]Parametros!$B$9/2))*(I92-2*([1]Parametros!$B$7+[1]Parametros!$B$9/2)))^2))^2)</f>
        <v>0.78637190226107212</v>
      </c>
      <c r="BG92" s="13">
        <f>[1]Parametros!$B$6*(AJ92*1000/(H92*MIN(U92,AB92))+0.66*SQRT([1]Parametros!$B$2))</f>
        <v>3.2939603822754151</v>
      </c>
      <c r="BH92" s="13" t="str">
        <f t="shared" si="24"/>
        <v>CUMPLE</v>
      </c>
      <c r="BI92" s="13">
        <f>AX92*[1]Parametros!$B$8</f>
        <v>0</v>
      </c>
      <c r="BJ92" s="15" t="str">
        <f t="shared" si="25"/>
        <v>CUMPLE</v>
      </c>
    </row>
    <row r="93" spans="1:62" x14ac:dyDescent="0.3">
      <c r="A93" s="16" t="s">
        <v>66</v>
      </c>
      <c r="B93" s="17">
        <v>942</v>
      </c>
      <c r="C93" s="13">
        <v>1</v>
      </c>
      <c r="D93" s="13">
        <v>3.2147700000000001</v>
      </c>
      <c r="E93" s="13">
        <v>3.2147700000000001</v>
      </c>
      <c r="F93" s="13">
        <v>450</v>
      </c>
      <c r="G93" s="13">
        <v>550</v>
      </c>
      <c r="H93" s="13">
        <v>450</v>
      </c>
      <c r="I93" s="13">
        <v>550</v>
      </c>
      <c r="J93" s="14">
        <v>104.6724</v>
      </c>
      <c r="K93" s="13">
        <v>942</v>
      </c>
      <c r="L93" s="14">
        <v>70.546999999999997</v>
      </c>
      <c r="M93" s="13">
        <v>942</v>
      </c>
      <c r="N93" s="14">
        <v>70.572000000000003</v>
      </c>
      <c r="O93" s="14">
        <v>210.273</v>
      </c>
      <c r="P93" s="13">
        <v>942</v>
      </c>
      <c r="Q93" s="14">
        <v>10.628299999999999</v>
      </c>
      <c r="R93" s="13">
        <f>MAX(MAX(1.4/[1]Parametros!$B$3,0.25*SQRT([1]Parametros!$B$2)/[1]Parametros!$B$3)*H93*U93,(0.85*[1]Parametros!$B$2/[1]Parametros!$B$3)*(1-SQRT(1-2*(J93*1000000/([1]Parametros!$B$5*H93*U93^2))/(0.85*[1]Parametros!$B$2)))*H93*U93)</f>
        <v>734.02500000000009</v>
      </c>
      <c r="S93" s="14">
        <v>4</v>
      </c>
      <c r="T93" s="14">
        <v>1</v>
      </c>
      <c r="U93" s="13">
        <f>IF(T93=1,I93-([1]Parametros!$B$7+[1]Parametros!$B$9+[1]Parametros!$B$12/2),I93-(ROUNDUP(S93/2,0)*([1]Parametros!$B$7+[1]Parametros!$B$9+[1]Parametros!$B$12/2)+ROUNDDOWN(S93/2,0)*([1]Parametros!$B$7+[1]Parametros!$B$9+[1]Parametros!$B$12/2+[1]Parametros!$B$12+[1]Parametros!$B$10))/S93)</f>
        <v>489.35</v>
      </c>
      <c r="V93" s="13">
        <f>S93*[1]Parametros!$B$8</f>
        <v>796</v>
      </c>
      <c r="W93" s="13">
        <f>[1]Parametros!$B$5*V93*[1]Parametros!$B$3*(U93-(V93*[1]Parametros!$B$3/(0.85*[1]Parametros!$B$2*H93))/2)/1000000</f>
        <v>142.54333009411764</v>
      </c>
      <c r="X93" s="13" t="str">
        <f t="shared" si="13"/>
        <v>CUMPLE</v>
      </c>
      <c r="Y93" s="13">
        <f>MAX(MAX(1.4/[1]Parametros!$B$3,0.25*SQRT([1]Parametros!$B$2)/[1]Parametros!$B$3)*H93*AB93,(0.85*[1]Parametros!$B$2/[1]Parametros!$B$3)*(1-SQRT(1-2*(L93*1000000/([1]Parametros!$B$5*H93*AB93^2))/(0.85*[1]Parametros!$B$2)))*H93*AB93)</f>
        <v>734.02500000000009</v>
      </c>
      <c r="Z93" s="14">
        <v>4</v>
      </c>
      <c r="AA93" s="14">
        <v>1</v>
      </c>
      <c r="AB93" s="13">
        <f>IF(AA93=1,I93-([1]Parametros!$B$7+[1]Parametros!$B$9+[1]Parametros!$B$12/2),I93-(ROUNDUP(Z93/2,0)*([1]Parametros!$B$7+[1]Parametros!$B$9+[1]Parametros!$B$12/2)+ROUNDDOWN(Z93/2,0)*([1]Parametros!$B$7+[1]Parametros!$B$9+[1]Parametros!$B$12/2+[1]Parametros!$B$12+[1]Parametros!$B$10))/Z93)</f>
        <v>489.35</v>
      </c>
      <c r="AC93" s="13">
        <f>Z93*[1]Parametros!$B$8</f>
        <v>796</v>
      </c>
      <c r="AD93" s="13">
        <f>[1]Parametros!$B$5*AC93*[1]Parametros!$B$3*(AB93-(AC93*[1]Parametros!$B$3/(0.85*[1]Parametros!$B$2*H93))/2)/1000000</f>
        <v>142.54333009411764</v>
      </c>
      <c r="AE93" s="13" t="str">
        <f t="shared" si="14"/>
        <v>CUMPLE</v>
      </c>
      <c r="AF93" s="13">
        <f>V93*1.25*[1]Parametros!$B$3*(U93-(V93*1.25*[1]Parametros!$B$3/(0.85*[1]Parametros!$B$2*H93))/2)/1000000</f>
        <v>196.34621794117646</v>
      </c>
      <c r="AG93" s="13">
        <f>AC93*1.25*[1]Parametros!$B$3*(AB93-(AC93*1.25*[1]Parametros!$B$3/(0.85*[1]Parametros!$B$2*H93))/2)/1000000</f>
        <v>196.34621794117646</v>
      </c>
      <c r="AH93" s="13">
        <f t="shared" si="15"/>
        <v>192.72457573087746</v>
      </c>
      <c r="AI93" s="13">
        <f t="shared" si="16"/>
        <v>210.273</v>
      </c>
      <c r="AJ93" s="13">
        <f>0.17*SQRT([1]Parametros!$B$2)*H93*MIN(U93,AB93)/1000</f>
        <v>198.08885582262698</v>
      </c>
      <c r="AK93" s="13">
        <f>MAX(AI93/[1]Parametros!$B$6-AJ93,0)</f>
        <v>82.275144177372994</v>
      </c>
      <c r="AL93" s="13">
        <f>0.66*SQRT([1]Parametros!$B$2)*H93*MIN(U93,AB93)/1000</f>
        <v>769.05085201725785</v>
      </c>
      <c r="AM93" s="13" t="str">
        <f t="shared" si="17"/>
        <v>CUMPLE</v>
      </c>
      <c r="AN93" s="13" t="s">
        <v>64</v>
      </c>
      <c r="AO93" s="14">
        <v>2</v>
      </c>
      <c r="AP93" s="13">
        <f>ROUNDDOWN(MIN(IF(BC93+BD93=0,1000000000,AO93*BB93/(BC93+BD93)),MIN(U93,AB93)/4,8*[1]Parametros!$B$12,24*BA93,300,IF(AV93=0,1000000000,2*((H93-2*([1]Parametros!$B$7+[1]Parametros!$B$9/2))+(I93-2*([1]Parametros!$B$7+[1]Parametros!$B$9/2)))/8))/10,0)*10</f>
        <v>120</v>
      </c>
      <c r="AQ93" s="13">
        <f>ROUNDDOWN(MIN(IF(BC93+BD93=0,1000000000,AO93*BB93/(BC93+BD93)),IF(AK93&gt;0.33*SQRT([1]Parametros!$B$2)*H93*MIN(U93,AB93)/1000,MIN(U93,AB93)/4,MIN(U93,AB93)/2),600,IF(AV93=0,1000000000,2*((H93-2*([1]Parametros!$B$7+[1]Parametros!$B$9/2))+(I93-2*([1]Parametros!$B$7+[1]Parametros!$B$9/2)))/8))/10,0)*10</f>
        <v>200</v>
      </c>
      <c r="AR93" s="13">
        <f>[1]Parametros!$B$6*(AJ93+MAX(BE93-BD93,0)*[1]Parametros!$B$4*MIN(U93,AB93)/1000)</f>
        <v>293.52371418072534</v>
      </c>
      <c r="AS93" s="13" t="str">
        <f t="shared" si="18"/>
        <v>CUMPLE</v>
      </c>
      <c r="AT93" s="13">
        <f>[1]Parametros!$B$6*0.083*SQRT([1]Parametros!$B$2)*(H93*I93)^2/(2*(H93+I93))/1000000</f>
        <v>10.08878303333792</v>
      </c>
      <c r="AU93" s="13" t="str">
        <f t="shared" si="19"/>
        <v>DISEÑAR</v>
      </c>
      <c r="AV93" s="13">
        <f>IF(Q93&lt;=AT93,0,Q93*1000000/([1]Parametros!$B$6*2*0.85*(H93-2*([1]Parametros!$B$7+[1]Parametros!$B$9/2))*(I93-2*([1]Parametros!$B$7+[1]Parametros!$B$9/2))*[1]Parametros!$B$4))</f>
        <v>0.1214703021541205</v>
      </c>
      <c r="AW93" s="13">
        <f>AV93*2*((H93-2*([1]Parametros!$B$7+[1]Parametros!$B$9/2))+(I93-2*([1]Parametros!$B$7+[1]Parametros!$B$9/2)))*[1]Parametros!$B$4/[1]Parametros!$B$3</f>
        <v>197.89941626949312</v>
      </c>
      <c r="AX93" s="14">
        <v>8</v>
      </c>
      <c r="AY93" s="13" t="str">
        <f t="shared" si="20"/>
        <v>CUMPLE</v>
      </c>
      <c r="AZ93" s="13" t="str">
        <f t="shared" si="21"/>
        <v>CUMPLE</v>
      </c>
      <c r="BA93" s="14">
        <v>9.5</v>
      </c>
      <c r="BB93" s="14">
        <v>71</v>
      </c>
      <c r="BC93" s="13">
        <f>MAX(IF(AK93=0,0,AK93*1000/([1]Parametros!$B$4*MIN(U93,AB93))),MAX(0.062*SQRT([1]Parametros!$B$2)*H93/[1]Parametros!$B$4,0.35*H93/[1]Parametros!$B$4))</f>
        <v>0.40031306921899795</v>
      </c>
      <c r="BD93" s="13">
        <f t="shared" si="22"/>
        <v>0.24294060430824099</v>
      </c>
      <c r="BE93" s="13">
        <f t="shared" si="23"/>
        <v>1.1833333333333333</v>
      </c>
      <c r="BF93" s="13">
        <f>SQRT((AI93*1000/(H93*MIN(U93,AB93)))^2+(Q93*1000000*2*((H93-2*([1]Parametros!$B$7+[1]Parametros!$B$9/2))+(I93-2*([1]Parametros!$B$7+[1]Parametros!$B$9/2)))/(1.7*((H93-2*([1]Parametros!$B$7+[1]Parametros!$B$9/2))*(I93-2*([1]Parametros!$B$7+[1]Parametros!$B$9/2)))^2))^2)</f>
        <v>1.0282833490751739</v>
      </c>
      <c r="BG93" s="13">
        <f>[1]Parametros!$B$6*(AJ93*1000/(H93*MIN(U93,AB93))+0.66*SQRT([1]Parametros!$B$2))</f>
        <v>3.2939603822754151</v>
      </c>
      <c r="BH93" s="13" t="str">
        <f t="shared" si="24"/>
        <v>CUMPLE</v>
      </c>
      <c r="BI93" s="13">
        <f>AX93*[1]Parametros!$B$8</f>
        <v>1592</v>
      </c>
      <c r="BJ93" s="15" t="str">
        <f t="shared" si="25"/>
        <v>CUMPLE</v>
      </c>
    </row>
    <row r="94" spans="1:62" x14ac:dyDescent="0.3">
      <c r="A94" s="16" t="s">
        <v>66</v>
      </c>
      <c r="B94" s="17">
        <v>943</v>
      </c>
      <c r="C94" s="13">
        <v>1</v>
      </c>
      <c r="D94" s="13">
        <v>3.2147700000000001</v>
      </c>
      <c r="E94" s="13">
        <v>3.2147700000000001</v>
      </c>
      <c r="F94" s="13">
        <v>450</v>
      </c>
      <c r="G94" s="13">
        <v>550</v>
      </c>
      <c r="H94" s="13">
        <v>450</v>
      </c>
      <c r="I94" s="13">
        <v>550</v>
      </c>
      <c r="J94" s="14">
        <v>104.6174</v>
      </c>
      <c r="K94" s="13">
        <v>943</v>
      </c>
      <c r="L94" s="14">
        <v>70.481999999999999</v>
      </c>
      <c r="M94" s="13">
        <v>943</v>
      </c>
      <c r="N94" s="14">
        <v>70.543000000000006</v>
      </c>
      <c r="O94" s="14">
        <v>210.238</v>
      </c>
      <c r="P94" s="13">
        <v>943</v>
      </c>
      <c r="Q94" s="14">
        <v>10.6296</v>
      </c>
      <c r="R94" s="13">
        <f>MAX(MAX(1.4/[1]Parametros!$B$3,0.25*SQRT([1]Parametros!$B$2)/[1]Parametros!$B$3)*H94*U94,(0.85*[1]Parametros!$B$2/[1]Parametros!$B$3)*(1-SQRT(1-2*(J94*1000000/([1]Parametros!$B$5*H94*U94^2))/(0.85*[1]Parametros!$B$2)))*H94*U94)</f>
        <v>734.02500000000009</v>
      </c>
      <c r="S94" s="14">
        <v>4</v>
      </c>
      <c r="T94" s="14">
        <v>1</v>
      </c>
      <c r="U94" s="13">
        <f>IF(T94=1,I94-([1]Parametros!$B$7+[1]Parametros!$B$9+[1]Parametros!$B$12/2),I94-(ROUNDUP(S94/2,0)*([1]Parametros!$B$7+[1]Parametros!$B$9+[1]Parametros!$B$12/2)+ROUNDDOWN(S94/2,0)*([1]Parametros!$B$7+[1]Parametros!$B$9+[1]Parametros!$B$12/2+[1]Parametros!$B$12+[1]Parametros!$B$10))/S94)</f>
        <v>489.35</v>
      </c>
      <c r="V94" s="13">
        <f>S94*[1]Parametros!$B$8</f>
        <v>796</v>
      </c>
      <c r="W94" s="13">
        <f>[1]Parametros!$B$5*V94*[1]Parametros!$B$3*(U94-(V94*[1]Parametros!$B$3/(0.85*[1]Parametros!$B$2*H94))/2)/1000000</f>
        <v>142.54333009411764</v>
      </c>
      <c r="X94" s="13" t="str">
        <f t="shared" si="13"/>
        <v>CUMPLE</v>
      </c>
      <c r="Y94" s="13">
        <f>MAX(MAX(1.4/[1]Parametros!$B$3,0.25*SQRT([1]Parametros!$B$2)/[1]Parametros!$B$3)*H94*AB94,(0.85*[1]Parametros!$B$2/[1]Parametros!$B$3)*(1-SQRT(1-2*(L94*1000000/([1]Parametros!$B$5*H94*AB94^2))/(0.85*[1]Parametros!$B$2)))*H94*AB94)</f>
        <v>734.02500000000009</v>
      </c>
      <c r="Z94" s="14">
        <v>4</v>
      </c>
      <c r="AA94" s="14">
        <v>1</v>
      </c>
      <c r="AB94" s="13">
        <f>IF(AA94=1,I94-([1]Parametros!$B$7+[1]Parametros!$B$9+[1]Parametros!$B$12/2),I94-(ROUNDUP(Z94/2,0)*([1]Parametros!$B$7+[1]Parametros!$B$9+[1]Parametros!$B$12/2)+ROUNDDOWN(Z94/2,0)*([1]Parametros!$B$7+[1]Parametros!$B$9+[1]Parametros!$B$12/2+[1]Parametros!$B$12+[1]Parametros!$B$10))/Z94)</f>
        <v>489.35</v>
      </c>
      <c r="AC94" s="13">
        <f>Z94*[1]Parametros!$B$8</f>
        <v>796</v>
      </c>
      <c r="AD94" s="13">
        <f>[1]Parametros!$B$5*AC94*[1]Parametros!$B$3*(AB94-(AC94*[1]Parametros!$B$3/(0.85*[1]Parametros!$B$2*H94))/2)/1000000</f>
        <v>142.54333009411764</v>
      </c>
      <c r="AE94" s="13" t="str">
        <f t="shared" si="14"/>
        <v>CUMPLE</v>
      </c>
      <c r="AF94" s="13">
        <f>V94*1.25*[1]Parametros!$B$3*(U94-(V94*1.25*[1]Parametros!$B$3/(0.85*[1]Parametros!$B$2*H94))/2)/1000000</f>
        <v>196.34621794117646</v>
      </c>
      <c r="AG94" s="13">
        <f>AC94*1.25*[1]Parametros!$B$3*(AB94-(AC94*1.25*[1]Parametros!$B$3/(0.85*[1]Parametros!$B$2*H94))/2)/1000000</f>
        <v>196.34621794117646</v>
      </c>
      <c r="AH94" s="13">
        <f t="shared" si="15"/>
        <v>192.69557573087747</v>
      </c>
      <c r="AI94" s="13">
        <f t="shared" si="16"/>
        <v>210.238</v>
      </c>
      <c r="AJ94" s="13">
        <f>0.17*SQRT([1]Parametros!$B$2)*H94*MIN(U94,AB94)/1000</f>
        <v>198.08885582262698</v>
      </c>
      <c r="AK94" s="13">
        <f>MAX(AI94/[1]Parametros!$B$6-AJ94,0)</f>
        <v>82.228477510706369</v>
      </c>
      <c r="AL94" s="13">
        <f>0.66*SQRT([1]Parametros!$B$2)*H94*MIN(U94,AB94)/1000</f>
        <v>769.05085201725785</v>
      </c>
      <c r="AM94" s="13" t="str">
        <f t="shared" si="17"/>
        <v>CUMPLE</v>
      </c>
      <c r="AN94" s="13" t="s">
        <v>64</v>
      </c>
      <c r="AO94" s="14">
        <v>2</v>
      </c>
      <c r="AP94" s="13">
        <f>ROUNDDOWN(MIN(IF(BC94+BD94=0,1000000000,AO94*BB94/(BC94+BD94)),MIN(U94,AB94)/4,8*[1]Parametros!$B$12,24*BA94,300,IF(AV94=0,1000000000,2*((H94-2*([1]Parametros!$B$7+[1]Parametros!$B$9/2))+(I94-2*([1]Parametros!$B$7+[1]Parametros!$B$9/2)))/8))/10,0)*10</f>
        <v>120</v>
      </c>
      <c r="AQ94" s="13">
        <f>ROUNDDOWN(MIN(IF(BC94+BD94=0,1000000000,AO94*BB94/(BC94+BD94)),IF(AK94&gt;0.33*SQRT([1]Parametros!$B$2)*H94*MIN(U94,AB94)/1000,MIN(U94,AB94)/4,MIN(U94,AB94)/2),600,IF(AV94=0,1000000000,2*((H94-2*([1]Parametros!$B$7+[1]Parametros!$B$9/2))+(I94-2*([1]Parametros!$B$7+[1]Parametros!$B$9/2)))/8))/10,0)*10</f>
        <v>200</v>
      </c>
      <c r="AR94" s="13">
        <f>[1]Parametros!$B$6*(AJ94+MAX(BE94-BD94,0)*[1]Parametros!$B$4*MIN(U94,AB94)/1000)</f>
        <v>293.51913371327129</v>
      </c>
      <c r="AS94" s="13" t="str">
        <f t="shared" si="18"/>
        <v>CUMPLE</v>
      </c>
      <c r="AT94" s="13">
        <f>[1]Parametros!$B$6*0.083*SQRT([1]Parametros!$B$2)*(H94*I94)^2/(2*(H94+I94))/1000000</f>
        <v>10.08878303333792</v>
      </c>
      <c r="AU94" s="13" t="str">
        <f t="shared" si="19"/>
        <v>DISEÑAR</v>
      </c>
      <c r="AV94" s="13">
        <f>IF(Q94&lt;=AT94,0,Q94*1000000/([1]Parametros!$B$6*2*0.85*(H94-2*([1]Parametros!$B$7+[1]Parametros!$B$9/2))*(I94-2*([1]Parametros!$B$7+[1]Parametros!$B$9/2))*[1]Parametros!$B$4))</f>
        <v>0.12148515978824828</v>
      </c>
      <c r="AW94" s="13">
        <f>AV94*2*((H94-2*([1]Parametros!$B$7+[1]Parametros!$B$9/2))+(I94-2*([1]Parametros!$B$7+[1]Parametros!$B$9/2)))*[1]Parametros!$B$4/[1]Parametros!$B$3</f>
        <v>197.9236223270141</v>
      </c>
      <c r="AX94" s="14">
        <v>8</v>
      </c>
      <c r="AY94" s="13" t="str">
        <f t="shared" si="20"/>
        <v>CUMPLE</v>
      </c>
      <c r="AZ94" s="13" t="str">
        <f t="shared" si="21"/>
        <v>CUMPLE</v>
      </c>
      <c r="BA94" s="14">
        <v>9.5</v>
      </c>
      <c r="BB94" s="14">
        <v>71</v>
      </c>
      <c r="BC94" s="13">
        <f>MAX(IF(AK94=0,0,AK94*1000/([1]Parametros!$B$4*MIN(U94,AB94))),MAX(0.062*SQRT([1]Parametros!$B$2)*H94/[1]Parametros!$B$4,0.35*H94/[1]Parametros!$B$4))</f>
        <v>0.40008601064924015</v>
      </c>
      <c r="BD94" s="13">
        <f t="shared" si="22"/>
        <v>0.24297031957649656</v>
      </c>
      <c r="BE94" s="13">
        <f t="shared" si="23"/>
        <v>1.1833333333333333</v>
      </c>
      <c r="BF94" s="13">
        <f>SQRT((AI94*1000/(H94*MIN(U94,AB94)))^2+(Q94*1000000*2*((H94-2*([1]Parametros!$B$7+[1]Parametros!$B$9/2))+(I94-2*([1]Parametros!$B$7+[1]Parametros!$B$9/2)))/(1.7*((H94-2*([1]Parametros!$B$7+[1]Parametros!$B$9/2))*(I94-2*([1]Parametros!$B$7+[1]Parametros!$B$9/2)))^2))^2)</f>
        <v>1.0281530726215353</v>
      </c>
      <c r="BG94" s="13">
        <f>[1]Parametros!$B$6*(AJ94*1000/(H94*MIN(U94,AB94))+0.66*SQRT([1]Parametros!$B$2))</f>
        <v>3.2939603822754151</v>
      </c>
      <c r="BH94" s="13" t="str">
        <f t="shared" si="24"/>
        <v>CUMPLE</v>
      </c>
      <c r="BI94" s="13">
        <f>AX94*[1]Parametros!$B$8</f>
        <v>1592</v>
      </c>
      <c r="BJ94" s="15" t="str">
        <f t="shared" si="25"/>
        <v>CUMPLE</v>
      </c>
    </row>
    <row r="95" spans="1:62" x14ac:dyDescent="0.3">
      <c r="A95" s="16" t="s">
        <v>66</v>
      </c>
      <c r="B95" s="17">
        <v>944</v>
      </c>
      <c r="C95" s="13">
        <v>1</v>
      </c>
      <c r="D95" s="13">
        <v>3.4</v>
      </c>
      <c r="E95" s="13">
        <v>3.4</v>
      </c>
      <c r="F95" s="13">
        <v>450</v>
      </c>
      <c r="G95" s="13">
        <v>550</v>
      </c>
      <c r="H95" s="13">
        <v>450</v>
      </c>
      <c r="I95" s="13">
        <v>550</v>
      </c>
      <c r="J95" s="14">
        <v>87.717200000000005</v>
      </c>
      <c r="K95" s="13">
        <v>944</v>
      </c>
      <c r="L95" s="14">
        <v>57.478000000000002</v>
      </c>
      <c r="M95" s="13">
        <v>944</v>
      </c>
      <c r="N95" s="14">
        <v>50.295000000000002</v>
      </c>
      <c r="O95" s="14">
        <v>172.93600000000001</v>
      </c>
      <c r="P95" s="13">
        <v>944</v>
      </c>
      <c r="Q95" s="14">
        <v>1.0963000000000001</v>
      </c>
      <c r="R95" s="13">
        <f>MAX(MAX(1.4/[1]Parametros!$B$3,0.25*SQRT([1]Parametros!$B$2)/[1]Parametros!$B$3)*H95*U95,(0.85*[1]Parametros!$B$2/[1]Parametros!$B$3)*(1-SQRT(1-2*(J95*1000000/([1]Parametros!$B$5*H95*U95^2))/(0.85*[1]Parametros!$B$2)))*H95*U95)</f>
        <v>734.02500000000009</v>
      </c>
      <c r="S95" s="14">
        <v>4</v>
      </c>
      <c r="T95" s="14">
        <v>1</v>
      </c>
      <c r="U95" s="13">
        <f>IF(T95=1,I95-([1]Parametros!$B$7+[1]Parametros!$B$9+[1]Parametros!$B$12/2),I95-(ROUNDUP(S95/2,0)*([1]Parametros!$B$7+[1]Parametros!$B$9+[1]Parametros!$B$12/2)+ROUNDDOWN(S95/2,0)*([1]Parametros!$B$7+[1]Parametros!$B$9+[1]Parametros!$B$12/2+[1]Parametros!$B$12+[1]Parametros!$B$10))/S95)</f>
        <v>489.35</v>
      </c>
      <c r="V95" s="13">
        <f>S95*[1]Parametros!$B$8</f>
        <v>796</v>
      </c>
      <c r="W95" s="13">
        <f>[1]Parametros!$B$5*V95*[1]Parametros!$B$3*(U95-(V95*[1]Parametros!$B$3/(0.85*[1]Parametros!$B$2*H95))/2)/1000000</f>
        <v>142.54333009411764</v>
      </c>
      <c r="X95" s="13" t="str">
        <f t="shared" si="13"/>
        <v>CUMPLE</v>
      </c>
      <c r="Y95" s="13">
        <f>MAX(MAX(1.4/[1]Parametros!$B$3,0.25*SQRT([1]Parametros!$B$2)/[1]Parametros!$B$3)*H95*AB95,(0.85*[1]Parametros!$B$2/[1]Parametros!$B$3)*(1-SQRT(1-2*(L95*1000000/([1]Parametros!$B$5*H95*AB95^2))/(0.85*[1]Parametros!$B$2)))*H95*AB95)</f>
        <v>734.02500000000009</v>
      </c>
      <c r="Z95" s="14">
        <v>4</v>
      </c>
      <c r="AA95" s="14">
        <v>1</v>
      </c>
      <c r="AB95" s="13">
        <f>IF(AA95=1,I95-([1]Parametros!$B$7+[1]Parametros!$B$9+[1]Parametros!$B$12/2),I95-(ROUNDUP(Z95/2,0)*([1]Parametros!$B$7+[1]Parametros!$B$9+[1]Parametros!$B$12/2)+ROUNDDOWN(Z95/2,0)*([1]Parametros!$B$7+[1]Parametros!$B$9+[1]Parametros!$B$12/2+[1]Parametros!$B$12+[1]Parametros!$B$10))/Z95)</f>
        <v>489.35</v>
      </c>
      <c r="AC95" s="13">
        <f>Z95*[1]Parametros!$B$8</f>
        <v>796</v>
      </c>
      <c r="AD95" s="13">
        <f>[1]Parametros!$B$5*AC95*[1]Parametros!$B$3*(AB95-(AC95*[1]Parametros!$B$3/(0.85*[1]Parametros!$B$2*H95))/2)/1000000</f>
        <v>142.54333009411764</v>
      </c>
      <c r="AE95" s="13" t="str">
        <f t="shared" si="14"/>
        <v>CUMPLE</v>
      </c>
      <c r="AF95" s="13">
        <f>V95*1.25*[1]Parametros!$B$3*(U95-(V95*1.25*[1]Parametros!$B$3/(0.85*[1]Parametros!$B$2*H95))/2)/1000000</f>
        <v>196.34621794117646</v>
      </c>
      <c r="AG95" s="13">
        <f>AC95*1.25*[1]Parametros!$B$3*(AB95-(AC95*1.25*[1]Parametros!$B$3/(0.85*[1]Parametros!$B$2*H95))/2)/1000000</f>
        <v>196.34621794117646</v>
      </c>
      <c r="AH95" s="13">
        <f t="shared" si="15"/>
        <v>165.79277525951557</v>
      </c>
      <c r="AI95" s="13">
        <f t="shared" si="16"/>
        <v>172.93600000000001</v>
      </c>
      <c r="AJ95" s="13">
        <f>0.17*SQRT([1]Parametros!$B$2)*H95*MIN(U95,AB95)/1000</f>
        <v>198.08885582262698</v>
      </c>
      <c r="AK95" s="13">
        <f>MAX(AI95/[1]Parametros!$B$6-AJ95,0)</f>
        <v>32.492477510706351</v>
      </c>
      <c r="AL95" s="13">
        <f>0.66*SQRT([1]Parametros!$B$2)*H95*MIN(U95,AB95)/1000</f>
        <v>769.05085201725785</v>
      </c>
      <c r="AM95" s="13" t="str">
        <f t="shared" si="17"/>
        <v>CUMPLE</v>
      </c>
      <c r="AN95" s="13" t="s">
        <v>64</v>
      </c>
      <c r="AO95" s="14">
        <v>2</v>
      </c>
      <c r="AP95" s="13">
        <f>ROUNDDOWN(MIN(IF(BC95+BD95=0,1000000000,AO95*BB95/(BC95+BD95)),MIN(U95,AB95)/4,8*[1]Parametros!$B$12,24*BA95,300,IF(AV95=0,1000000000,2*((H95-2*([1]Parametros!$B$7+[1]Parametros!$B$9/2))+(I95-2*([1]Parametros!$B$7+[1]Parametros!$B$9/2)))/8))/10,0)*10</f>
        <v>120</v>
      </c>
      <c r="AQ95" s="13">
        <f>ROUNDDOWN(MIN(IF(BC95+BD95=0,1000000000,AO95*BB95/(BC95+BD95)),IF(AK95&gt;0.33*SQRT([1]Parametros!$B$2)*H95*MIN(U95,AB95)/1000,MIN(U95,AB95)/4,MIN(U95,AB95)/2),600,IF(AV95=0,1000000000,2*((H95-2*([1]Parametros!$B$7+[1]Parametros!$B$9/2))+(I95-2*([1]Parametros!$B$7+[1]Parametros!$B$9/2)))/8))/10,0)*10</f>
        <v>240</v>
      </c>
      <c r="AR95" s="13">
        <f>[1]Parametros!$B$6*(AJ95+MAX(BE95-BD95,0)*[1]Parametros!$B$4*MIN(U95,AB95)/1000)</f>
        <v>330.97185436697026</v>
      </c>
      <c r="AS95" s="13" t="str">
        <f t="shared" si="18"/>
        <v>CUMPLE</v>
      </c>
      <c r="AT95" s="13">
        <f>[1]Parametros!$B$6*0.083*SQRT([1]Parametros!$B$2)*(H95*I95)^2/(2*(H95+I95))/1000000</f>
        <v>10.08878303333792</v>
      </c>
      <c r="AU95" s="13" t="str">
        <f t="shared" si="19"/>
        <v>DESPRECIABLE</v>
      </c>
      <c r="AV95" s="13">
        <f>IF(Q95&lt;=AT95,0,Q95*1000000/([1]Parametros!$B$6*2*0.85*(H95-2*([1]Parametros!$B$7+[1]Parametros!$B$9/2))*(I95-2*([1]Parametros!$B$7+[1]Parametros!$B$9/2))*[1]Parametros!$B$4))</f>
        <v>0</v>
      </c>
      <c r="AW95" s="13">
        <f>AV95*2*((H95-2*([1]Parametros!$B$7+[1]Parametros!$B$9/2))+(I95-2*([1]Parametros!$B$7+[1]Parametros!$B$9/2)))*[1]Parametros!$B$4/[1]Parametros!$B$3</f>
        <v>0</v>
      </c>
      <c r="AX95" s="14">
        <v>0</v>
      </c>
      <c r="AY95" s="13" t="str">
        <f t="shared" si="20"/>
        <v>DESPRECIABLE</v>
      </c>
      <c r="AZ95" s="13" t="str">
        <f t="shared" si="21"/>
        <v>CUMPLE</v>
      </c>
      <c r="BA95" s="14">
        <v>9.5</v>
      </c>
      <c r="BB95" s="14">
        <v>71</v>
      </c>
      <c r="BC95" s="13">
        <f>MAX(IF(AK95=0,0,AK95*1000/([1]Parametros!$B$4*MIN(U95,AB95))),MAX(0.062*SQRT([1]Parametros!$B$2)*H95/[1]Parametros!$B$4,0.35*H95/[1]Parametros!$B$4))</f>
        <v>0.375</v>
      </c>
      <c r="BD95" s="13">
        <f t="shared" si="22"/>
        <v>0</v>
      </c>
      <c r="BE95" s="13">
        <f t="shared" si="23"/>
        <v>1.1833333333333333</v>
      </c>
      <c r="BF95" s="13">
        <f>SQRT((AI95*1000/(H95*MIN(U95,AB95)))^2+(Q95*1000000*2*((H95-2*([1]Parametros!$B$7+[1]Parametros!$B$9/2))+(I95-2*([1]Parametros!$B$7+[1]Parametros!$B$9/2)))/(1.7*((H95-2*([1]Parametros!$B$7+[1]Parametros!$B$9/2))*(I95-2*([1]Parametros!$B$7+[1]Parametros!$B$9/2)))^2))^2)</f>
        <v>0.7863174270055312</v>
      </c>
      <c r="BG95" s="13">
        <f>[1]Parametros!$B$6*(AJ95*1000/(H95*MIN(U95,AB95))+0.66*SQRT([1]Parametros!$B$2))</f>
        <v>3.2939603822754151</v>
      </c>
      <c r="BH95" s="13" t="str">
        <f t="shared" si="24"/>
        <v>CUMPLE</v>
      </c>
      <c r="BI95" s="13">
        <f>AX95*[1]Parametros!$B$8</f>
        <v>0</v>
      </c>
      <c r="BJ95" s="15" t="str">
        <f t="shared" si="25"/>
        <v>CUMPLE</v>
      </c>
    </row>
    <row r="96" spans="1:62" x14ac:dyDescent="0.3">
      <c r="A96" s="16" t="s">
        <v>66</v>
      </c>
      <c r="B96" s="17">
        <v>1003</v>
      </c>
      <c r="C96" s="13">
        <v>1</v>
      </c>
      <c r="D96" s="13">
        <v>3.4</v>
      </c>
      <c r="E96" s="13">
        <v>3.4</v>
      </c>
      <c r="F96" s="13">
        <v>450</v>
      </c>
      <c r="G96" s="13">
        <v>550</v>
      </c>
      <c r="H96" s="13">
        <v>450</v>
      </c>
      <c r="I96" s="13">
        <v>550</v>
      </c>
      <c r="J96" s="14">
        <v>41.989400000000003</v>
      </c>
      <c r="K96" s="13">
        <v>1003</v>
      </c>
      <c r="L96" s="14">
        <v>16.39</v>
      </c>
      <c r="M96" s="13">
        <v>1003</v>
      </c>
      <c r="N96" s="14">
        <v>27.866</v>
      </c>
      <c r="O96" s="14">
        <v>74.686000000000007</v>
      </c>
      <c r="P96" s="13">
        <v>1003</v>
      </c>
      <c r="Q96" s="14">
        <v>2.7397999999999998</v>
      </c>
      <c r="R96" s="13">
        <f>MAX(MAX(1.4/[1]Parametros!$B$3,0.25*SQRT([1]Parametros!$B$2)/[1]Parametros!$B$3)*H96*U96,(0.85*[1]Parametros!$B$2/[1]Parametros!$B$3)*(1-SQRT(1-2*(J96*1000000/([1]Parametros!$B$5*H96*U96^2))/(0.85*[1]Parametros!$B$2)))*H96*U96)</f>
        <v>734.02500000000009</v>
      </c>
      <c r="S96" s="14">
        <v>4</v>
      </c>
      <c r="T96" s="14">
        <v>1</v>
      </c>
      <c r="U96" s="13">
        <f>IF(T96=1,I96-([1]Parametros!$B$7+[1]Parametros!$B$9+[1]Parametros!$B$12/2),I96-(ROUNDUP(S96/2,0)*([1]Parametros!$B$7+[1]Parametros!$B$9+[1]Parametros!$B$12/2)+ROUNDDOWN(S96/2,0)*([1]Parametros!$B$7+[1]Parametros!$B$9+[1]Parametros!$B$12/2+[1]Parametros!$B$12+[1]Parametros!$B$10))/S96)</f>
        <v>489.35</v>
      </c>
      <c r="V96" s="13">
        <f>S96*[1]Parametros!$B$8</f>
        <v>796</v>
      </c>
      <c r="W96" s="13">
        <f>[1]Parametros!$B$5*V96*[1]Parametros!$B$3*(U96-(V96*[1]Parametros!$B$3/(0.85*[1]Parametros!$B$2*H96))/2)/1000000</f>
        <v>142.54333009411764</v>
      </c>
      <c r="X96" s="13" t="str">
        <f t="shared" si="13"/>
        <v>CUMPLE</v>
      </c>
      <c r="Y96" s="13">
        <f>MAX(MAX(1.4/[1]Parametros!$B$3,0.25*SQRT([1]Parametros!$B$2)/[1]Parametros!$B$3)*H96*AB96,(0.85*[1]Parametros!$B$2/[1]Parametros!$B$3)*(1-SQRT(1-2*(L96*1000000/([1]Parametros!$B$5*H96*AB96^2))/(0.85*[1]Parametros!$B$2)))*H96*AB96)</f>
        <v>734.02500000000009</v>
      </c>
      <c r="Z96" s="14">
        <v>4</v>
      </c>
      <c r="AA96" s="14">
        <v>1</v>
      </c>
      <c r="AB96" s="13">
        <f>IF(AA96=1,I96-([1]Parametros!$B$7+[1]Parametros!$B$9+[1]Parametros!$B$12/2),I96-(ROUNDUP(Z96/2,0)*([1]Parametros!$B$7+[1]Parametros!$B$9+[1]Parametros!$B$12/2)+ROUNDDOWN(Z96/2,0)*([1]Parametros!$B$7+[1]Parametros!$B$9+[1]Parametros!$B$12/2+[1]Parametros!$B$12+[1]Parametros!$B$10))/Z96)</f>
        <v>489.35</v>
      </c>
      <c r="AC96" s="13">
        <f>Z96*[1]Parametros!$B$8</f>
        <v>796</v>
      </c>
      <c r="AD96" s="13">
        <f>[1]Parametros!$B$5*AC96*[1]Parametros!$B$3*(AB96-(AC96*[1]Parametros!$B$3/(0.85*[1]Parametros!$B$2*H96))/2)/1000000</f>
        <v>142.54333009411764</v>
      </c>
      <c r="AE96" s="13" t="str">
        <f t="shared" si="14"/>
        <v>CUMPLE</v>
      </c>
      <c r="AF96" s="13">
        <f>V96*1.25*[1]Parametros!$B$3*(U96-(V96*1.25*[1]Parametros!$B$3/(0.85*[1]Parametros!$B$2*H96))/2)/1000000</f>
        <v>196.34621794117646</v>
      </c>
      <c r="AG96" s="13">
        <f>AC96*1.25*[1]Parametros!$B$3*(AB96-(AC96*1.25*[1]Parametros!$B$3/(0.85*[1]Parametros!$B$2*H96))/2)/1000000</f>
        <v>196.34621794117646</v>
      </c>
      <c r="AH96" s="13">
        <f t="shared" si="15"/>
        <v>143.36377525951556</v>
      </c>
      <c r="AI96" s="13">
        <f t="shared" si="16"/>
        <v>143.36377525951556</v>
      </c>
      <c r="AJ96" s="13">
        <f>0.17*SQRT([1]Parametros!$B$2)*H96*MIN(U96,AB96)/1000</f>
        <v>198.08885582262698</v>
      </c>
      <c r="AK96" s="13">
        <f>MAX(AI96/[1]Parametros!$B$6-AJ96,0)</f>
        <v>0</v>
      </c>
      <c r="AL96" s="13">
        <f>0.66*SQRT([1]Parametros!$B$2)*H96*MIN(U96,AB96)/1000</f>
        <v>769.05085201725785</v>
      </c>
      <c r="AM96" s="13" t="str">
        <f t="shared" si="17"/>
        <v>CUMPLE</v>
      </c>
      <c r="AN96" s="13" t="s">
        <v>64</v>
      </c>
      <c r="AO96" s="14">
        <v>2</v>
      </c>
      <c r="AP96" s="13">
        <f>ROUNDDOWN(MIN(IF(BC96+BD96=0,1000000000,AO96*BB96/(BC96+BD96)),MIN(U96,AB96)/4,8*[1]Parametros!$B$12,24*BA96,300,IF(AV96=0,1000000000,2*((H96-2*([1]Parametros!$B$7+[1]Parametros!$B$9/2))+(I96-2*([1]Parametros!$B$7+[1]Parametros!$B$9/2)))/8))/10,0)*10</f>
        <v>120</v>
      </c>
      <c r="AQ96" s="13">
        <f>ROUNDDOWN(MIN(IF(BC96+BD96=0,1000000000,AO96*BB96/(BC96+BD96)),IF(AK96&gt;0.33*SQRT([1]Parametros!$B$2)*H96*MIN(U96,AB96)/1000,MIN(U96,AB96)/4,MIN(U96,AB96)/2),600,IF(AV96=0,1000000000,2*((H96-2*([1]Parametros!$B$7+[1]Parametros!$B$9/2))+(I96-2*([1]Parametros!$B$7+[1]Parametros!$B$9/2)))/8))/10,0)*10</f>
        <v>240</v>
      </c>
      <c r="AR96" s="13">
        <f>[1]Parametros!$B$6*(AJ96+MAX(BE96-BD96,0)*[1]Parametros!$B$4*MIN(U96,AB96)/1000)</f>
        <v>330.97185436697026</v>
      </c>
      <c r="AS96" s="13" t="str">
        <f t="shared" si="18"/>
        <v>CUMPLE</v>
      </c>
      <c r="AT96" s="13">
        <f>[1]Parametros!$B$6*0.083*SQRT([1]Parametros!$B$2)*(H96*I96)^2/(2*(H96+I96))/1000000</f>
        <v>10.08878303333792</v>
      </c>
      <c r="AU96" s="13" t="str">
        <f t="shared" si="19"/>
        <v>DESPRECIABLE</v>
      </c>
      <c r="AV96" s="13">
        <f>IF(Q96&lt;=AT96,0,Q96*1000000/([1]Parametros!$B$6*2*0.85*(H96-2*([1]Parametros!$B$7+[1]Parametros!$B$9/2))*(I96-2*([1]Parametros!$B$7+[1]Parametros!$B$9/2))*[1]Parametros!$B$4))</f>
        <v>0</v>
      </c>
      <c r="AW96" s="13">
        <f>AV96*2*((H96-2*([1]Parametros!$B$7+[1]Parametros!$B$9/2))+(I96-2*([1]Parametros!$B$7+[1]Parametros!$B$9/2)))*[1]Parametros!$B$4/[1]Parametros!$B$3</f>
        <v>0</v>
      </c>
      <c r="AX96" s="14">
        <v>0</v>
      </c>
      <c r="AY96" s="13" t="str">
        <f t="shared" si="20"/>
        <v>DESPRECIABLE</v>
      </c>
      <c r="AZ96" s="13" t="str">
        <f t="shared" si="21"/>
        <v>CUMPLE</v>
      </c>
      <c r="BA96" s="14">
        <v>9.5</v>
      </c>
      <c r="BB96" s="14">
        <v>71</v>
      </c>
      <c r="BC96" s="13">
        <f>MAX(IF(AK96=0,0,AK96*1000/([1]Parametros!$B$4*MIN(U96,AB96))),MAX(0.062*SQRT([1]Parametros!$B$2)*H96/[1]Parametros!$B$4,0.35*H96/[1]Parametros!$B$4))</f>
        <v>0.375</v>
      </c>
      <c r="BD96" s="13">
        <f t="shared" si="22"/>
        <v>0</v>
      </c>
      <c r="BE96" s="13">
        <f t="shared" si="23"/>
        <v>1.1833333333333333</v>
      </c>
      <c r="BF96" s="13">
        <f>SQRT((AI96*1000/(H96*MIN(U96,AB96)))^2+(Q96*1000000*2*((H96-2*([1]Parametros!$B$7+[1]Parametros!$B$9/2))+(I96-2*([1]Parametros!$B$7+[1]Parametros!$B$9/2)))/(1.7*((H96-2*([1]Parametros!$B$7+[1]Parametros!$B$9/2))*(I96-2*([1]Parametros!$B$7+[1]Parametros!$B$9/2)))^2))^2)</f>
        <v>0.65842629777275563</v>
      </c>
      <c r="BG96" s="13">
        <f>[1]Parametros!$B$6*(AJ96*1000/(H96*MIN(U96,AB96))+0.66*SQRT([1]Parametros!$B$2))</f>
        <v>3.2939603822754151</v>
      </c>
      <c r="BH96" s="13" t="str">
        <f t="shared" si="24"/>
        <v>CUMPLE</v>
      </c>
      <c r="BI96" s="13">
        <f>AX96*[1]Parametros!$B$8</f>
        <v>0</v>
      </c>
      <c r="BJ96" s="15" t="str">
        <f t="shared" si="25"/>
        <v>CUMPLE</v>
      </c>
    </row>
    <row r="97" spans="1:62" x14ac:dyDescent="0.3">
      <c r="A97" s="16" t="s">
        <v>66</v>
      </c>
      <c r="B97" s="17">
        <v>1004</v>
      </c>
      <c r="C97" s="13">
        <v>1</v>
      </c>
      <c r="D97" s="13">
        <v>3.2147700000000001</v>
      </c>
      <c r="E97" s="13">
        <v>3.2147700000000001</v>
      </c>
      <c r="F97" s="13">
        <v>450</v>
      </c>
      <c r="G97" s="13">
        <v>550</v>
      </c>
      <c r="H97" s="13">
        <v>450</v>
      </c>
      <c r="I97" s="13">
        <v>550</v>
      </c>
      <c r="J97" s="14">
        <v>57.508200000000002</v>
      </c>
      <c r="K97" s="13">
        <v>1004</v>
      </c>
      <c r="L97" s="14">
        <v>29.8658</v>
      </c>
      <c r="M97" s="13">
        <v>1004</v>
      </c>
      <c r="N97" s="14">
        <v>46.21</v>
      </c>
      <c r="O97" s="14">
        <v>107.54</v>
      </c>
      <c r="P97" s="13">
        <v>1004</v>
      </c>
      <c r="Q97" s="14">
        <v>11.372999999999999</v>
      </c>
      <c r="R97" s="13">
        <f>MAX(MAX(1.4/[1]Parametros!$B$3,0.25*SQRT([1]Parametros!$B$2)/[1]Parametros!$B$3)*H97*U97,(0.85*[1]Parametros!$B$2/[1]Parametros!$B$3)*(1-SQRT(1-2*(J97*1000000/([1]Parametros!$B$5*H97*U97^2))/(0.85*[1]Parametros!$B$2)))*H97*U97)</f>
        <v>734.02500000000009</v>
      </c>
      <c r="S97" s="14">
        <v>4</v>
      </c>
      <c r="T97" s="14">
        <v>1</v>
      </c>
      <c r="U97" s="13">
        <f>IF(T97=1,I97-([1]Parametros!$B$7+[1]Parametros!$B$9+[1]Parametros!$B$12/2),I97-(ROUNDUP(S97/2,0)*([1]Parametros!$B$7+[1]Parametros!$B$9+[1]Parametros!$B$12/2)+ROUNDDOWN(S97/2,0)*([1]Parametros!$B$7+[1]Parametros!$B$9+[1]Parametros!$B$12/2+[1]Parametros!$B$12+[1]Parametros!$B$10))/S97)</f>
        <v>489.35</v>
      </c>
      <c r="V97" s="13">
        <f>S97*[1]Parametros!$B$8</f>
        <v>796</v>
      </c>
      <c r="W97" s="13">
        <f>[1]Parametros!$B$5*V97*[1]Parametros!$B$3*(U97-(V97*[1]Parametros!$B$3/(0.85*[1]Parametros!$B$2*H97))/2)/1000000</f>
        <v>142.54333009411764</v>
      </c>
      <c r="X97" s="13" t="str">
        <f t="shared" si="13"/>
        <v>CUMPLE</v>
      </c>
      <c r="Y97" s="13">
        <f>MAX(MAX(1.4/[1]Parametros!$B$3,0.25*SQRT([1]Parametros!$B$2)/[1]Parametros!$B$3)*H97*AB97,(0.85*[1]Parametros!$B$2/[1]Parametros!$B$3)*(1-SQRT(1-2*(L97*1000000/([1]Parametros!$B$5*H97*AB97^2))/(0.85*[1]Parametros!$B$2)))*H97*AB97)</f>
        <v>734.02500000000009</v>
      </c>
      <c r="Z97" s="14">
        <v>4</v>
      </c>
      <c r="AA97" s="14">
        <v>1</v>
      </c>
      <c r="AB97" s="13">
        <f>IF(AA97=1,I97-([1]Parametros!$B$7+[1]Parametros!$B$9+[1]Parametros!$B$12/2),I97-(ROUNDUP(Z97/2,0)*([1]Parametros!$B$7+[1]Parametros!$B$9+[1]Parametros!$B$12/2)+ROUNDDOWN(Z97/2,0)*([1]Parametros!$B$7+[1]Parametros!$B$9+[1]Parametros!$B$12/2+[1]Parametros!$B$12+[1]Parametros!$B$10))/Z97)</f>
        <v>489.35</v>
      </c>
      <c r="AC97" s="13">
        <f>Z97*[1]Parametros!$B$8</f>
        <v>796</v>
      </c>
      <c r="AD97" s="13">
        <f>[1]Parametros!$B$5*AC97*[1]Parametros!$B$3*(AB97-(AC97*[1]Parametros!$B$3/(0.85*[1]Parametros!$B$2*H97))/2)/1000000</f>
        <v>142.54333009411764</v>
      </c>
      <c r="AE97" s="13" t="str">
        <f t="shared" si="14"/>
        <v>CUMPLE</v>
      </c>
      <c r="AF97" s="13">
        <f>V97*1.25*[1]Parametros!$B$3*(U97-(V97*1.25*[1]Parametros!$B$3/(0.85*[1]Parametros!$B$2*H97))/2)/1000000</f>
        <v>196.34621794117646</v>
      </c>
      <c r="AG97" s="13">
        <f>AC97*1.25*[1]Parametros!$B$3*(AB97-(AC97*1.25*[1]Parametros!$B$3/(0.85*[1]Parametros!$B$2*H97))/2)/1000000</f>
        <v>196.34621794117646</v>
      </c>
      <c r="AH97" s="13">
        <f t="shared" si="15"/>
        <v>168.36257573087747</v>
      </c>
      <c r="AI97" s="13">
        <f t="shared" si="16"/>
        <v>168.36257573087747</v>
      </c>
      <c r="AJ97" s="13">
        <f>0.17*SQRT([1]Parametros!$B$2)*H97*MIN(U97,AB97)/1000</f>
        <v>198.08885582262698</v>
      </c>
      <c r="AK97" s="13">
        <f>MAX(AI97/[1]Parametros!$B$6-AJ97,0)</f>
        <v>26.394578485209649</v>
      </c>
      <c r="AL97" s="13">
        <f>0.66*SQRT([1]Parametros!$B$2)*H97*MIN(U97,AB97)/1000</f>
        <v>769.05085201725785</v>
      </c>
      <c r="AM97" s="13" t="str">
        <f t="shared" si="17"/>
        <v>CUMPLE</v>
      </c>
      <c r="AN97" s="13" t="s">
        <v>64</v>
      </c>
      <c r="AO97" s="14">
        <v>2</v>
      </c>
      <c r="AP97" s="13">
        <f>ROUNDDOWN(MIN(IF(BC97+BD97=0,1000000000,AO97*BB97/(BC97+BD97)),MIN(U97,AB97)/4,8*[1]Parametros!$B$12,24*BA97,300,IF(AV97=0,1000000000,2*((H97-2*([1]Parametros!$B$7+[1]Parametros!$B$9/2))+(I97-2*([1]Parametros!$B$7+[1]Parametros!$B$9/2)))/8))/10,0)*10</f>
        <v>120</v>
      </c>
      <c r="AQ97" s="13">
        <f>ROUNDDOWN(MIN(IF(BC97+BD97=0,1000000000,AO97*BB97/(BC97+BD97)),IF(AK97&gt;0.33*SQRT([1]Parametros!$B$2)*H97*MIN(U97,AB97)/1000,MIN(U97,AB97)/4,MIN(U97,AB97)/2),600,IF(AV97=0,1000000000,2*((H97-2*([1]Parametros!$B$7+[1]Parametros!$B$9/2))+(I97-2*([1]Parametros!$B$7+[1]Parametros!$B$9/2)))/8))/10,0)*10</f>
        <v>200</v>
      </c>
      <c r="AR97" s="13">
        <f>[1]Parametros!$B$6*(AJ97+MAX(BE97-BD97,0)*[1]Parametros!$B$4*MIN(U97,AB97)/1000)</f>
        <v>290.89981101684248</v>
      </c>
      <c r="AS97" s="13" t="str">
        <f t="shared" si="18"/>
        <v>CUMPLE</v>
      </c>
      <c r="AT97" s="13">
        <f>[1]Parametros!$B$6*0.083*SQRT([1]Parametros!$B$2)*(H97*I97)^2/(2*(H97+I97))/1000000</f>
        <v>10.08878303333792</v>
      </c>
      <c r="AU97" s="13" t="str">
        <f t="shared" si="19"/>
        <v>DISEÑAR</v>
      </c>
      <c r="AV97" s="13">
        <f>IF(Q97&lt;=AT97,0,Q97*1000000/([1]Parametros!$B$6*2*0.85*(H97-2*([1]Parametros!$B$7+[1]Parametros!$B$9/2))*(I97-2*([1]Parametros!$B$7+[1]Parametros!$B$9/2))*[1]Parametros!$B$4))</f>
        <v>0.12998144071947654</v>
      </c>
      <c r="AW97" s="13">
        <f>AV97*2*((H97-2*([1]Parametros!$B$7+[1]Parametros!$B$9/2))+(I97-2*([1]Parametros!$B$7+[1]Parametros!$B$9/2)))*[1]Parametros!$B$4/[1]Parametros!$B$3</f>
        <v>211.76576322017118</v>
      </c>
      <c r="AX97" s="14">
        <v>8</v>
      </c>
      <c r="AY97" s="13" t="str">
        <f t="shared" si="20"/>
        <v>CUMPLE</v>
      </c>
      <c r="AZ97" s="13" t="str">
        <f t="shared" si="21"/>
        <v>CUMPLE</v>
      </c>
      <c r="BA97" s="14">
        <v>9.5</v>
      </c>
      <c r="BB97" s="14">
        <v>71</v>
      </c>
      <c r="BC97" s="13">
        <f>MAX(IF(AK97=0,0,AK97*1000/([1]Parametros!$B$4*MIN(U97,AB97))),MAX(0.062*SQRT([1]Parametros!$B$2)*H97/[1]Parametros!$B$4,0.35*H97/[1]Parametros!$B$4))</f>
        <v>0.375</v>
      </c>
      <c r="BD97" s="13">
        <f t="shared" si="22"/>
        <v>0.25996288143895308</v>
      </c>
      <c r="BE97" s="13">
        <f t="shared" si="23"/>
        <v>1.1833333333333333</v>
      </c>
      <c r="BF97" s="13">
        <f>SQRT((AI97*1000/(H97*MIN(U97,AB97)))^2+(Q97*1000000*2*((H97-2*([1]Parametros!$B$7+[1]Parametros!$B$9/2))+(I97-2*([1]Parametros!$B$7+[1]Parametros!$B$9/2)))/(1.7*((H97-2*([1]Parametros!$B$7+[1]Parametros!$B$9/2))*(I97-2*([1]Parametros!$B$7+[1]Parametros!$B$9/2)))^2))^2)</f>
        <v>0.86673504791111999</v>
      </c>
      <c r="BG97" s="13">
        <f>[1]Parametros!$B$6*(AJ97*1000/(H97*MIN(U97,AB97))+0.66*SQRT([1]Parametros!$B$2))</f>
        <v>3.2939603822754151</v>
      </c>
      <c r="BH97" s="13" t="str">
        <f t="shared" si="24"/>
        <v>CUMPLE</v>
      </c>
      <c r="BI97" s="13">
        <f>AX97*[1]Parametros!$B$8</f>
        <v>1592</v>
      </c>
      <c r="BJ97" s="15" t="str">
        <f t="shared" si="25"/>
        <v>CUMPLE</v>
      </c>
    </row>
    <row r="98" spans="1:62" x14ac:dyDescent="0.3">
      <c r="A98" s="16" t="s">
        <v>66</v>
      </c>
      <c r="B98" s="17">
        <v>1005</v>
      </c>
      <c r="C98" s="13">
        <v>1</v>
      </c>
      <c r="D98" s="13">
        <v>3.2147700000000001</v>
      </c>
      <c r="E98" s="13">
        <v>3.2147700000000001</v>
      </c>
      <c r="F98" s="13">
        <v>450</v>
      </c>
      <c r="G98" s="13">
        <v>550</v>
      </c>
      <c r="H98" s="13">
        <v>450</v>
      </c>
      <c r="I98" s="13">
        <v>550</v>
      </c>
      <c r="J98" s="14">
        <v>57.593600000000002</v>
      </c>
      <c r="K98" s="13">
        <v>1005</v>
      </c>
      <c r="L98" s="14">
        <v>29.933900000000001</v>
      </c>
      <c r="M98" s="13">
        <v>1005</v>
      </c>
      <c r="N98" s="14">
        <v>46.253999999999998</v>
      </c>
      <c r="O98" s="14">
        <v>107.59099999999999</v>
      </c>
      <c r="P98" s="13">
        <v>1005</v>
      </c>
      <c r="Q98" s="14">
        <v>11.378</v>
      </c>
      <c r="R98" s="13">
        <f>MAX(MAX(1.4/[1]Parametros!$B$3,0.25*SQRT([1]Parametros!$B$2)/[1]Parametros!$B$3)*H98*U98,(0.85*[1]Parametros!$B$2/[1]Parametros!$B$3)*(1-SQRT(1-2*(J98*1000000/([1]Parametros!$B$5*H98*U98^2))/(0.85*[1]Parametros!$B$2)))*H98*U98)</f>
        <v>734.02500000000009</v>
      </c>
      <c r="S98" s="14">
        <v>4</v>
      </c>
      <c r="T98" s="14">
        <v>1</v>
      </c>
      <c r="U98" s="13">
        <f>IF(T98=1,I98-([1]Parametros!$B$7+[1]Parametros!$B$9+[1]Parametros!$B$12/2),I98-(ROUNDUP(S98/2,0)*([1]Parametros!$B$7+[1]Parametros!$B$9+[1]Parametros!$B$12/2)+ROUNDDOWN(S98/2,0)*([1]Parametros!$B$7+[1]Parametros!$B$9+[1]Parametros!$B$12/2+[1]Parametros!$B$12+[1]Parametros!$B$10))/S98)</f>
        <v>489.35</v>
      </c>
      <c r="V98" s="13">
        <f>S98*[1]Parametros!$B$8</f>
        <v>796</v>
      </c>
      <c r="W98" s="13">
        <f>[1]Parametros!$B$5*V98*[1]Parametros!$B$3*(U98-(V98*[1]Parametros!$B$3/(0.85*[1]Parametros!$B$2*H98))/2)/1000000</f>
        <v>142.54333009411764</v>
      </c>
      <c r="X98" s="13" t="str">
        <f t="shared" si="13"/>
        <v>CUMPLE</v>
      </c>
      <c r="Y98" s="13">
        <f>MAX(MAX(1.4/[1]Parametros!$B$3,0.25*SQRT([1]Parametros!$B$2)/[1]Parametros!$B$3)*H98*AB98,(0.85*[1]Parametros!$B$2/[1]Parametros!$B$3)*(1-SQRT(1-2*(L98*1000000/([1]Parametros!$B$5*H98*AB98^2))/(0.85*[1]Parametros!$B$2)))*H98*AB98)</f>
        <v>734.02500000000009</v>
      </c>
      <c r="Z98" s="14">
        <v>4</v>
      </c>
      <c r="AA98" s="14">
        <v>1</v>
      </c>
      <c r="AB98" s="13">
        <f>IF(AA98=1,I98-([1]Parametros!$B$7+[1]Parametros!$B$9+[1]Parametros!$B$12/2),I98-(ROUNDUP(Z98/2,0)*([1]Parametros!$B$7+[1]Parametros!$B$9+[1]Parametros!$B$12/2)+ROUNDDOWN(Z98/2,0)*([1]Parametros!$B$7+[1]Parametros!$B$9+[1]Parametros!$B$12/2+[1]Parametros!$B$12+[1]Parametros!$B$10))/Z98)</f>
        <v>489.35</v>
      </c>
      <c r="AC98" s="13">
        <f>Z98*[1]Parametros!$B$8</f>
        <v>796</v>
      </c>
      <c r="AD98" s="13">
        <f>[1]Parametros!$B$5*AC98*[1]Parametros!$B$3*(AB98-(AC98*[1]Parametros!$B$3/(0.85*[1]Parametros!$B$2*H98))/2)/1000000</f>
        <v>142.54333009411764</v>
      </c>
      <c r="AE98" s="13" t="str">
        <f t="shared" si="14"/>
        <v>CUMPLE</v>
      </c>
      <c r="AF98" s="13">
        <f>V98*1.25*[1]Parametros!$B$3*(U98-(V98*1.25*[1]Parametros!$B$3/(0.85*[1]Parametros!$B$2*H98))/2)/1000000</f>
        <v>196.34621794117646</v>
      </c>
      <c r="AG98" s="13">
        <f>AC98*1.25*[1]Parametros!$B$3*(AB98-(AC98*1.25*[1]Parametros!$B$3/(0.85*[1]Parametros!$B$2*H98))/2)/1000000</f>
        <v>196.34621794117646</v>
      </c>
      <c r="AH98" s="13">
        <f t="shared" si="15"/>
        <v>168.40657573087745</v>
      </c>
      <c r="AI98" s="13">
        <f t="shared" si="16"/>
        <v>168.40657573087745</v>
      </c>
      <c r="AJ98" s="13">
        <f>0.17*SQRT([1]Parametros!$B$2)*H98*MIN(U98,AB98)/1000</f>
        <v>198.08885582262698</v>
      </c>
      <c r="AK98" s="13">
        <f>MAX(AI98/[1]Parametros!$B$6-AJ98,0)</f>
        <v>26.453245151876274</v>
      </c>
      <c r="AL98" s="13">
        <f>0.66*SQRT([1]Parametros!$B$2)*H98*MIN(U98,AB98)/1000</f>
        <v>769.05085201725785</v>
      </c>
      <c r="AM98" s="13" t="str">
        <f t="shared" si="17"/>
        <v>CUMPLE</v>
      </c>
      <c r="AN98" s="13" t="s">
        <v>64</v>
      </c>
      <c r="AO98" s="14">
        <v>2</v>
      </c>
      <c r="AP98" s="13">
        <f>ROUNDDOWN(MIN(IF(BC98+BD98=0,1000000000,AO98*BB98/(BC98+BD98)),MIN(U98,AB98)/4,8*[1]Parametros!$B$12,24*BA98,300,IF(AV98=0,1000000000,2*((H98-2*([1]Parametros!$B$7+[1]Parametros!$B$9/2))+(I98-2*([1]Parametros!$B$7+[1]Parametros!$B$9/2)))/8))/10,0)*10</f>
        <v>120</v>
      </c>
      <c r="AQ98" s="13">
        <f>ROUNDDOWN(MIN(IF(BC98+BD98=0,1000000000,AO98*BB98/(BC98+BD98)),IF(AK98&gt;0.33*SQRT([1]Parametros!$B$2)*H98*MIN(U98,AB98)/1000,MIN(U98,AB98)/4,MIN(U98,AB98)/2),600,IF(AV98=0,1000000000,2*((H98-2*([1]Parametros!$B$7+[1]Parametros!$B$9/2))+(I98-2*([1]Parametros!$B$7+[1]Parametros!$B$9/2)))/8))/10,0)*10</f>
        <v>200</v>
      </c>
      <c r="AR98" s="13">
        <f>[1]Parametros!$B$6*(AJ98+MAX(BE98-BD98,0)*[1]Parametros!$B$4*MIN(U98,AB98)/1000)</f>
        <v>290.88219383432681</v>
      </c>
      <c r="AS98" s="13" t="str">
        <f t="shared" si="18"/>
        <v>CUMPLE</v>
      </c>
      <c r="AT98" s="13">
        <f>[1]Parametros!$B$6*0.083*SQRT([1]Parametros!$B$2)*(H98*I98)^2/(2*(H98+I98))/1000000</f>
        <v>10.08878303333792</v>
      </c>
      <c r="AU98" s="13" t="str">
        <f t="shared" si="19"/>
        <v>DISEÑAR</v>
      </c>
      <c r="AV98" s="13">
        <f>IF(Q98&lt;=AT98,0,Q98*1000000/([1]Parametros!$B$6*2*0.85*(H98-2*([1]Parametros!$B$7+[1]Parametros!$B$9/2))*(I98-2*([1]Parametros!$B$7+[1]Parametros!$B$9/2))*[1]Parametros!$B$4))</f>
        <v>0.13003858546612188</v>
      </c>
      <c r="AW98" s="13">
        <f>AV98*2*((H98-2*([1]Parametros!$B$7+[1]Parametros!$B$9/2))+(I98-2*([1]Parametros!$B$7+[1]Parametros!$B$9/2)))*[1]Parametros!$B$4/[1]Parametros!$B$3</f>
        <v>211.85886344140576</v>
      </c>
      <c r="AX98" s="14">
        <v>8</v>
      </c>
      <c r="AY98" s="13" t="str">
        <f t="shared" si="20"/>
        <v>CUMPLE</v>
      </c>
      <c r="AZ98" s="13" t="str">
        <f t="shared" si="21"/>
        <v>CUMPLE</v>
      </c>
      <c r="BA98" s="14">
        <v>9.5</v>
      </c>
      <c r="BB98" s="14">
        <v>71</v>
      </c>
      <c r="BC98" s="13">
        <f>MAX(IF(AK98=0,0,AK98*1000/([1]Parametros!$B$4*MIN(U98,AB98))),MAX(0.062*SQRT([1]Parametros!$B$2)*H98/[1]Parametros!$B$4,0.35*H98/[1]Parametros!$B$4))</f>
        <v>0.375</v>
      </c>
      <c r="BD98" s="13">
        <f t="shared" si="22"/>
        <v>0.26007717093224375</v>
      </c>
      <c r="BE98" s="13">
        <f t="shared" si="23"/>
        <v>1.1833333333333333</v>
      </c>
      <c r="BF98" s="13">
        <f>SQRT((AI98*1000/(H98*MIN(U98,AB98)))^2+(Q98*1000000*2*((H98-2*([1]Parametros!$B$7+[1]Parametros!$B$9/2))+(I98-2*([1]Parametros!$B$7+[1]Parametros!$B$9/2)))/(1.7*((H98-2*([1]Parametros!$B$7+[1]Parametros!$B$9/2))*(I98-2*([1]Parametros!$B$7+[1]Parametros!$B$9/2)))^2))^2)</f>
        <v>0.86699584986351685</v>
      </c>
      <c r="BG98" s="13">
        <f>[1]Parametros!$B$6*(AJ98*1000/(H98*MIN(U98,AB98))+0.66*SQRT([1]Parametros!$B$2))</f>
        <v>3.2939603822754151</v>
      </c>
      <c r="BH98" s="13" t="str">
        <f t="shared" si="24"/>
        <v>CUMPLE</v>
      </c>
      <c r="BI98" s="13">
        <f>AX98*[1]Parametros!$B$8</f>
        <v>1592</v>
      </c>
      <c r="BJ98" s="15" t="str">
        <f t="shared" si="25"/>
        <v>CUMPLE</v>
      </c>
    </row>
    <row r="99" spans="1:62" x14ac:dyDescent="0.3">
      <c r="A99" s="16" t="s">
        <v>66</v>
      </c>
      <c r="B99" s="17">
        <v>1006</v>
      </c>
      <c r="C99" s="13">
        <v>1</v>
      </c>
      <c r="D99" s="13">
        <v>3.4</v>
      </c>
      <c r="E99" s="13">
        <v>3.4</v>
      </c>
      <c r="F99" s="13">
        <v>450</v>
      </c>
      <c r="G99" s="13">
        <v>550</v>
      </c>
      <c r="H99" s="13">
        <v>450</v>
      </c>
      <c r="I99" s="13">
        <v>550</v>
      </c>
      <c r="J99" s="14">
        <v>42.0169</v>
      </c>
      <c r="K99" s="13">
        <v>1006</v>
      </c>
      <c r="L99" s="14">
        <v>16.401700000000002</v>
      </c>
      <c r="M99" s="13">
        <v>1006</v>
      </c>
      <c r="N99" s="14">
        <v>27.879000000000001</v>
      </c>
      <c r="O99" s="14">
        <v>74.698999999999998</v>
      </c>
      <c r="P99" s="13">
        <v>1006</v>
      </c>
      <c r="Q99" s="14">
        <v>2.7349999999999999</v>
      </c>
      <c r="R99" s="13">
        <f>MAX(MAX(1.4/[1]Parametros!$B$3,0.25*SQRT([1]Parametros!$B$2)/[1]Parametros!$B$3)*H99*U99,(0.85*[1]Parametros!$B$2/[1]Parametros!$B$3)*(1-SQRT(1-2*(J99*1000000/([1]Parametros!$B$5*H99*U99^2))/(0.85*[1]Parametros!$B$2)))*H99*U99)</f>
        <v>734.02500000000009</v>
      </c>
      <c r="S99" s="14">
        <v>4</v>
      </c>
      <c r="T99" s="14">
        <v>1</v>
      </c>
      <c r="U99" s="13">
        <f>IF(T99=1,I99-([1]Parametros!$B$7+[1]Parametros!$B$9+[1]Parametros!$B$12/2),I99-(ROUNDUP(S99/2,0)*([1]Parametros!$B$7+[1]Parametros!$B$9+[1]Parametros!$B$12/2)+ROUNDDOWN(S99/2,0)*([1]Parametros!$B$7+[1]Parametros!$B$9+[1]Parametros!$B$12/2+[1]Parametros!$B$12+[1]Parametros!$B$10))/S99)</f>
        <v>489.35</v>
      </c>
      <c r="V99" s="13">
        <f>S99*[1]Parametros!$B$8</f>
        <v>796</v>
      </c>
      <c r="W99" s="13">
        <f>[1]Parametros!$B$5*V99*[1]Parametros!$B$3*(U99-(V99*[1]Parametros!$B$3/(0.85*[1]Parametros!$B$2*H99))/2)/1000000</f>
        <v>142.54333009411764</v>
      </c>
      <c r="X99" s="13" t="str">
        <f t="shared" si="13"/>
        <v>CUMPLE</v>
      </c>
      <c r="Y99" s="13">
        <f>MAX(MAX(1.4/[1]Parametros!$B$3,0.25*SQRT([1]Parametros!$B$2)/[1]Parametros!$B$3)*H99*AB99,(0.85*[1]Parametros!$B$2/[1]Parametros!$B$3)*(1-SQRT(1-2*(L99*1000000/([1]Parametros!$B$5*H99*AB99^2))/(0.85*[1]Parametros!$B$2)))*H99*AB99)</f>
        <v>734.02500000000009</v>
      </c>
      <c r="Z99" s="14">
        <v>4</v>
      </c>
      <c r="AA99" s="14">
        <v>1</v>
      </c>
      <c r="AB99" s="13">
        <f>IF(AA99=1,I99-([1]Parametros!$B$7+[1]Parametros!$B$9+[1]Parametros!$B$12/2),I99-(ROUNDUP(Z99/2,0)*([1]Parametros!$B$7+[1]Parametros!$B$9+[1]Parametros!$B$12/2)+ROUNDDOWN(Z99/2,0)*([1]Parametros!$B$7+[1]Parametros!$B$9+[1]Parametros!$B$12/2+[1]Parametros!$B$12+[1]Parametros!$B$10))/Z99)</f>
        <v>489.35</v>
      </c>
      <c r="AC99" s="13">
        <f>Z99*[1]Parametros!$B$8</f>
        <v>796</v>
      </c>
      <c r="AD99" s="13">
        <f>[1]Parametros!$B$5*AC99*[1]Parametros!$B$3*(AB99-(AC99*[1]Parametros!$B$3/(0.85*[1]Parametros!$B$2*H99))/2)/1000000</f>
        <v>142.54333009411764</v>
      </c>
      <c r="AE99" s="13" t="str">
        <f t="shared" si="14"/>
        <v>CUMPLE</v>
      </c>
      <c r="AF99" s="13">
        <f>V99*1.25*[1]Parametros!$B$3*(U99-(V99*1.25*[1]Parametros!$B$3/(0.85*[1]Parametros!$B$2*H99))/2)/1000000</f>
        <v>196.34621794117646</v>
      </c>
      <c r="AG99" s="13">
        <f>AC99*1.25*[1]Parametros!$B$3*(AB99-(AC99*1.25*[1]Parametros!$B$3/(0.85*[1]Parametros!$B$2*H99))/2)/1000000</f>
        <v>196.34621794117646</v>
      </c>
      <c r="AH99" s="13">
        <f t="shared" si="15"/>
        <v>143.37677525951557</v>
      </c>
      <c r="AI99" s="13">
        <f t="shared" si="16"/>
        <v>143.37677525951557</v>
      </c>
      <c r="AJ99" s="13">
        <f>0.17*SQRT([1]Parametros!$B$2)*H99*MIN(U99,AB99)/1000</f>
        <v>198.08885582262698</v>
      </c>
      <c r="AK99" s="13">
        <f>MAX(AI99/[1]Parametros!$B$6-AJ99,0)</f>
        <v>0</v>
      </c>
      <c r="AL99" s="13">
        <f>0.66*SQRT([1]Parametros!$B$2)*H99*MIN(U99,AB99)/1000</f>
        <v>769.05085201725785</v>
      </c>
      <c r="AM99" s="13" t="str">
        <f t="shared" si="17"/>
        <v>CUMPLE</v>
      </c>
      <c r="AN99" s="13" t="s">
        <v>64</v>
      </c>
      <c r="AO99" s="14">
        <v>2</v>
      </c>
      <c r="AP99" s="13">
        <f>ROUNDDOWN(MIN(IF(BC99+BD99=0,1000000000,AO99*BB99/(BC99+BD99)),MIN(U99,AB99)/4,8*[1]Parametros!$B$12,24*BA99,300,IF(AV99=0,1000000000,2*((H99-2*([1]Parametros!$B$7+[1]Parametros!$B$9/2))+(I99-2*([1]Parametros!$B$7+[1]Parametros!$B$9/2)))/8))/10,0)*10</f>
        <v>120</v>
      </c>
      <c r="AQ99" s="13">
        <f>ROUNDDOWN(MIN(IF(BC99+BD99=0,1000000000,AO99*BB99/(BC99+BD99)),IF(AK99&gt;0.33*SQRT([1]Parametros!$B$2)*H99*MIN(U99,AB99)/1000,MIN(U99,AB99)/4,MIN(U99,AB99)/2),600,IF(AV99=0,1000000000,2*((H99-2*([1]Parametros!$B$7+[1]Parametros!$B$9/2))+(I99-2*([1]Parametros!$B$7+[1]Parametros!$B$9/2)))/8))/10,0)*10</f>
        <v>240</v>
      </c>
      <c r="AR99" s="13">
        <f>[1]Parametros!$B$6*(AJ99+MAX(BE99-BD99,0)*[1]Parametros!$B$4*MIN(U99,AB99)/1000)</f>
        <v>330.97185436697026</v>
      </c>
      <c r="AS99" s="13" t="str">
        <f t="shared" si="18"/>
        <v>CUMPLE</v>
      </c>
      <c r="AT99" s="13">
        <f>[1]Parametros!$B$6*0.083*SQRT([1]Parametros!$B$2)*(H99*I99)^2/(2*(H99+I99))/1000000</f>
        <v>10.08878303333792</v>
      </c>
      <c r="AU99" s="13" t="str">
        <f t="shared" si="19"/>
        <v>DESPRECIABLE</v>
      </c>
      <c r="AV99" s="13">
        <f>IF(Q99&lt;=AT99,0,Q99*1000000/([1]Parametros!$B$6*2*0.85*(H99-2*([1]Parametros!$B$7+[1]Parametros!$B$9/2))*(I99-2*([1]Parametros!$B$7+[1]Parametros!$B$9/2))*[1]Parametros!$B$4))</f>
        <v>0</v>
      </c>
      <c r="AW99" s="13">
        <f>AV99*2*((H99-2*([1]Parametros!$B$7+[1]Parametros!$B$9/2))+(I99-2*([1]Parametros!$B$7+[1]Parametros!$B$9/2)))*[1]Parametros!$B$4/[1]Parametros!$B$3</f>
        <v>0</v>
      </c>
      <c r="AX99" s="14">
        <v>0</v>
      </c>
      <c r="AY99" s="13" t="str">
        <f t="shared" si="20"/>
        <v>DESPRECIABLE</v>
      </c>
      <c r="AZ99" s="13" t="str">
        <f t="shared" si="21"/>
        <v>CUMPLE</v>
      </c>
      <c r="BA99" s="14">
        <v>9.5</v>
      </c>
      <c r="BB99" s="14">
        <v>71</v>
      </c>
      <c r="BC99" s="13">
        <f>MAX(IF(AK99=0,0,AK99*1000/([1]Parametros!$B$4*MIN(U99,AB99))),MAX(0.062*SQRT([1]Parametros!$B$2)*H99/[1]Parametros!$B$4,0.35*H99/[1]Parametros!$B$4))</f>
        <v>0.375</v>
      </c>
      <c r="BD99" s="13">
        <f t="shared" si="22"/>
        <v>0</v>
      </c>
      <c r="BE99" s="13">
        <f t="shared" si="23"/>
        <v>1.1833333333333333</v>
      </c>
      <c r="BF99" s="13">
        <f>SQRT((AI99*1000/(H99*MIN(U99,AB99)))^2+(Q99*1000000*2*((H99-2*([1]Parametros!$B$7+[1]Parametros!$B$9/2))+(I99-2*([1]Parametros!$B$7+[1]Parametros!$B$9/2)))/(1.7*((H99-2*([1]Parametros!$B$7+[1]Parametros!$B$9/2))*(I99-2*([1]Parametros!$B$7+[1]Parametros!$B$9/2)))^2))^2)</f>
        <v>0.65845895753315575</v>
      </c>
      <c r="BG99" s="13">
        <f>[1]Parametros!$B$6*(AJ99*1000/(H99*MIN(U99,AB99))+0.66*SQRT([1]Parametros!$B$2))</f>
        <v>3.2939603822754151</v>
      </c>
      <c r="BH99" s="13" t="str">
        <f t="shared" si="24"/>
        <v>CUMPLE</v>
      </c>
      <c r="BI99" s="13">
        <f>AX99*[1]Parametros!$B$8</f>
        <v>0</v>
      </c>
      <c r="BJ99" s="15" t="str">
        <f t="shared" si="25"/>
        <v>CUMPLE</v>
      </c>
    </row>
    <row r="100" spans="1:62" x14ac:dyDescent="0.3">
      <c r="A100" s="16" t="s">
        <v>66</v>
      </c>
      <c r="B100" s="17">
        <v>1035</v>
      </c>
      <c r="C100" s="13">
        <v>1</v>
      </c>
      <c r="D100" s="13">
        <v>3.4</v>
      </c>
      <c r="E100" s="13">
        <v>3.4</v>
      </c>
      <c r="F100" s="13">
        <v>450</v>
      </c>
      <c r="G100" s="13">
        <v>550</v>
      </c>
      <c r="H100" s="13">
        <v>450</v>
      </c>
      <c r="I100" s="13">
        <v>550</v>
      </c>
      <c r="J100" s="14">
        <v>42.016500000000001</v>
      </c>
      <c r="K100" s="13">
        <v>1035</v>
      </c>
      <c r="L100" s="14">
        <v>16.403300000000002</v>
      </c>
      <c r="M100" s="13">
        <v>1035</v>
      </c>
      <c r="N100" s="14">
        <v>27.878</v>
      </c>
      <c r="O100" s="14">
        <v>74.709000000000003</v>
      </c>
      <c r="P100" s="13">
        <v>1035</v>
      </c>
      <c r="Q100" s="14">
        <v>2.7368000000000001</v>
      </c>
      <c r="R100" s="13">
        <f>MAX(MAX(1.4/[1]Parametros!$B$3,0.25*SQRT([1]Parametros!$B$2)/[1]Parametros!$B$3)*H100*U100,(0.85*[1]Parametros!$B$2/[1]Parametros!$B$3)*(1-SQRT(1-2*(J100*1000000/([1]Parametros!$B$5*H100*U100^2))/(0.85*[1]Parametros!$B$2)))*H100*U100)</f>
        <v>734.02500000000009</v>
      </c>
      <c r="S100" s="14">
        <v>4</v>
      </c>
      <c r="T100" s="14">
        <v>1</v>
      </c>
      <c r="U100" s="13">
        <f>IF(T100=1,I100-([1]Parametros!$B$7+[1]Parametros!$B$9+[1]Parametros!$B$12/2),I100-(ROUNDUP(S100/2,0)*([1]Parametros!$B$7+[1]Parametros!$B$9+[1]Parametros!$B$12/2)+ROUNDDOWN(S100/2,0)*([1]Parametros!$B$7+[1]Parametros!$B$9+[1]Parametros!$B$12/2+[1]Parametros!$B$12+[1]Parametros!$B$10))/S100)</f>
        <v>489.35</v>
      </c>
      <c r="V100" s="13">
        <f>S100*[1]Parametros!$B$8</f>
        <v>796</v>
      </c>
      <c r="W100" s="13">
        <f>[1]Parametros!$B$5*V100*[1]Parametros!$B$3*(U100-(V100*[1]Parametros!$B$3/(0.85*[1]Parametros!$B$2*H100))/2)/1000000</f>
        <v>142.54333009411764</v>
      </c>
      <c r="X100" s="13" t="str">
        <f t="shared" si="13"/>
        <v>CUMPLE</v>
      </c>
      <c r="Y100" s="13">
        <f>MAX(MAX(1.4/[1]Parametros!$B$3,0.25*SQRT([1]Parametros!$B$2)/[1]Parametros!$B$3)*H100*AB100,(0.85*[1]Parametros!$B$2/[1]Parametros!$B$3)*(1-SQRT(1-2*(L100*1000000/([1]Parametros!$B$5*H100*AB100^2))/(0.85*[1]Parametros!$B$2)))*H100*AB100)</f>
        <v>734.02500000000009</v>
      </c>
      <c r="Z100" s="14">
        <v>4</v>
      </c>
      <c r="AA100" s="14">
        <v>1</v>
      </c>
      <c r="AB100" s="13">
        <f>IF(AA100=1,I100-([1]Parametros!$B$7+[1]Parametros!$B$9+[1]Parametros!$B$12/2),I100-(ROUNDUP(Z100/2,0)*([1]Parametros!$B$7+[1]Parametros!$B$9+[1]Parametros!$B$12/2)+ROUNDDOWN(Z100/2,0)*([1]Parametros!$B$7+[1]Parametros!$B$9+[1]Parametros!$B$12/2+[1]Parametros!$B$12+[1]Parametros!$B$10))/Z100)</f>
        <v>489.35</v>
      </c>
      <c r="AC100" s="13">
        <f>Z100*[1]Parametros!$B$8</f>
        <v>796</v>
      </c>
      <c r="AD100" s="13">
        <f>[1]Parametros!$B$5*AC100*[1]Parametros!$B$3*(AB100-(AC100*[1]Parametros!$B$3/(0.85*[1]Parametros!$B$2*H100))/2)/1000000</f>
        <v>142.54333009411764</v>
      </c>
      <c r="AE100" s="13" t="str">
        <f t="shared" si="14"/>
        <v>CUMPLE</v>
      </c>
      <c r="AF100" s="13">
        <f>V100*1.25*[1]Parametros!$B$3*(U100-(V100*1.25*[1]Parametros!$B$3/(0.85*[1]Parametros!$B$2*H100))/2)/1000000</f>
        <v>196.34621794117646</v>
      </c>
      <c r="AG100" s="13">
        <f>AC100*1.25*[1]Parametros!$B$3*(AB100-(AC100*1.25*[1]Parametros!$B$3/(0.85*[1]Parametros!$B$2*H100))/2)/1000000</f>
        <v>196.34621794117646</v>
      </c>
      <c r="AH100" s="13">
        <f t="shared" si="15"/>
        <v>143.37577525951556</v>
      </c>
      <c r="AI100" s="13">
        <f t="shared" si="16"/>
        <v>143.37577525951556</v>
      </c>
      <c r="AJ100" s="13">
        <f>0.17*SQRT([1]Parametros!$B$2)*H100*MIN(U100,AB100)/1000</f>
        <v>198.08885582262698</v>
      </c>
      <c r="AK100" s="13">
        <f>MAX(AI100/[1]Parametros!$B$6-AJ100,0)</f>
        <v>0</v>
      </c>
      <c r="AL100" s="13">
        <f>0.66*SQRT([1]Parametros!$B$2)*H100*MIN(U100,AB100)/1000</f>
        <v>769.05085201725785</v>
      </c>
      <c r="AM100" s="13" t="str">
        <f t="shared" si="17"/>
        <v>CUMPLE</v>
      </c>
      <c r="AN100" s="13" t="s">
        <v>64</v>
      </c>
      <c r="AO100" s="14">
        <v>2</v>
      </c>
      <c r="AP100" s="13">
        <f>ROUNDDOWN(MIN(IF(BC100+BD100=0,1000000000,AO100*BB100/(BC100+BD100)),MIN(U100,AB100)/4,8*[1]Parametros!$B$12,24*BA100,300,IF(AV100=0,1000000000,2*((H100-2*([1]Parametros!$B$7+[1]Parametros!$B$9/2))+(I100-2*([1]Parametros!$B$7+[1]Parametros!$B$9/2)))/8))/10,0)*10</f>
        <v>120</v>
      </c>
      <c r="AQ100" s="13">
        <f>ROUNDDOWN(MIN(IF(BC100+BD100=0,1000000000,AO100*BB100/(BC100+BD100)),IF(AK100&gt;0.33*SQRT([1]Parametros!$B$2)*H100*MIN(U100,AB100)/1000,MIN(U100,AB100)/4,MIN(U100,AB100)/2),600,IF(AV100=0,1000000000,2*((H100-2*([1]Parametros!$B$7+[1]Parametros!$B$9/2))+(I100-2*([1]Parametros!$B$7+[1]Parametros!$B$9/2)))/8))/10,0)*10</f>
        <v>240</v>
      </c>
      <c r="AR100" s="13">
        <f>[1]Parametros!$B$6*(AJ100+MAX(BE100-BD100,0)*[1]Parametros!$B$4*MIN(U100,AB100)/1000)</f>
        <v>330.97185436697026</v>
      </c>
      <c r="AS100" s="13" t="str">
        <f t="shared" si="18"/>
        <v>CUMPLE</v>
      </c>
      <c r="AT100" s="13">
        <f>[1]Parametros!$B$6*0.083*SQRT([1]Parametros!$B$2)*(H100*I100)^2/(2*(H100+I100))/1000000</f>
        <v>10.08878303333792</v>
      </c>
      <c r="AU100" s="13" t="str">
        <f t="shared" si="19"/>
        <v>DESPRECIABLE</v>
      </c>
      <c r="AV100" s="13">
        <f>IF(Q100&lt;=AT100,0,Q100*1000000/([1]Parametros!$B$6*2*0.85*(H100-2*([1]Parametros!$B$7+[1]Parametros!$B$9/2))*(I100-2*([1]Parametros!$B$7+[1]Parametros!$B$9/2))*[1]Parametros!$B$4))</f>
        <v>0</v>
      </c>
      <c r="AW100" s="13">
        <f>AV100*2*((H100-2*([1]Parametros!$B$7+[1]Parametros!$B$9/2))+(I100-2*([1]Parametros!$B$7+[1]Parametros!$B$9/2)))*[1]Parametros!$B$4/[1]Parametros!$B$3</f>
        <v>0</v>
      </c>
      <c r="AX100" s="14">
        <v>0</v>
      </c>
      <c r="AY100" s="13" t="str">
        <f t="shared" si="20"/>
        <v>DESPRECIABLE</v>
      </c>
      <c r="AZ100" s="13" t="str">
        <f t="shared" si="21"/>
        <v>CUMPLE</v>
      </c>
      <c r="BA100" s="14">
        <v>9.5</v>
      </c>
      <c r="BB100" s="14">
        <v>71</v>
      </c>
      <c r="BC100" s="13">
        <f>MAX(IF(AK100=0,0,AK100*1000/([1]Parametros!$B$4*MIN(U100,AB100))),MAX(0.062*SQRT([1]Parametros!$B$2)*H100/[1]Parametros!$B$4,0.35*H100/[1]Parametros!$B$4))</f>
        <v>0.375</v>
      </c>
      <c r="BD100" s="13">
        <f t="shared" si="22"/>
        <v>0</v>
      </c>
      <c r="BE100" s="13">
        <f t="shared" si="23"/>
        <v>1.1833333333333333</v>
      </c>
      <c r="BF100" s="13">
        <f>SQRT((AI100*1000/(H100*MIN(U100,AB100)))^2+(Q100*1000000*2*((H100-2*([1]Parametros!$B$7+[1]Parametros!$B$9/2))+(I100-2*([1]Parametros!$B$7+[1]Parametros!$B$9/2)))/(1.7*((H100-2*([1]Parametros!$B$7+[1]Parametros!$B$9/2))*(I100-2*([1]Parametros!$B$7+[1]Parametros!$B$9/2)))^2))^2)</f>
        <v>0.6584641044803351</v>
      </c>
      <c r="BG100" s="13">
        <f>[1]Parametros!$B$6*(AJ100*1000/(H100*MIN(U100,AB100))+0.66*SQRT([1]Parametros!$B$2))</f>
        <v>3.2939603822754151</v>
      </c>
      <c r="BH100" s="13" t="str">
        <f t="shared" si="24"/>
        <v>CUMPLE</v>
      </c>
      <c r="BI100" s="13">
        <f>AX100*[1]Parametros!$B$8</f>
        <v>0</v>
      </c>
      <c r="BJ100" s="15" t="str">
        <f t="shared" si="25"/>
        <v>CUMPLE</v>
      </c>
    </row>
    <row r="101" spans="1:62" x14ac:dyDescent="0.3">
      <c r="A101" s="16" t="s">
        <v>66</v>
      </c>
      <c r="B101" s="17">
        <v>1036</v>
      </c>
      <c r="C101" s="13">
        <v>1</v>
      </c>
      <c r="D101" s="13">
        <v>3.2147700000000001</v>
      </c>
      <c r="E101" s="13">
        <v>3.2147700000000001</v>
      </c>
      <c r="F101" s="13">
        <v>450</v>
      </c>
      <c r="G101" s="13">
        <v>550</v>
      </c>
      <c r="H101" s="13">
        <v>450</v>
      </c>
      <c r="I101" s="13">
        <v>550</v>
      </c>
      <c r="J101" s="14">
        <v>57.585700000000003</v>
      </c>
      <c r="K101" s="13">
        <v>1036</v>
      </c>
      <c r="L101" s="14">
        <v>29.9223</v>
      </c>
      <c r="M101" s="13">
        <v>1036</v>
      </c>
      <c r="N101" s="14">
        <v>46.26</v>
      </c>
      <c r="O101" s="14">
        <v>107.605</v>
      </c>
      <c r="P101" s="13">
        <v>1036</v>
      </c>
      <c r="Q101" s="14">
        <v>11.361700000000001</v>
      </c>
      <c r="R101" s="13">
        <f>MAX(MAX(1.4/[1]Parametros!$B$3,0.25*SQRT([1]Parametros!$B$2)/[1]Parametros!$B$3)*H101*U101,(0.85*[1]Parametros!$B$2/[1]Parametros!$B$3)*(1-SQRT(1-2*(J101*1000000/([1]Parametros!$B$5*H101*U101^2))/(0.85*[1]Parametros!$B$2)))*H101*U101)</f>
        <v>734.02500000000009</v>
      </c>
      <c r="S101" s="14">
        <v>4</v>
      </c>
      <c r="T101" s="14">
        <v>1</v>
      </c>
      <c r="U101" s="13">
        <f>IF(T101=1,I101-([1]Parametros!$B$7+[1]Parametros!$B$9+[1]Parametros!$B$12/2),I101-(ROUNDUP(S101/2,0)*([1]Parametros!$B$7+[1]Parametros!$B$9+[1]Parametros!$B$12/2)+ROUNDDOWN(S101/2,0)*([1]Parametros!$B$7+[1]Parametros!$B$9+[1]Parametros!$B$12/2+[1]Parametros!$B$12+[1]Parametros!$B$10))/S101)</f>
        <v>489.35</v>
      </c>
      <c r="V101" s="13">
        <f>S101*[1]Parametros!$B$8</f>
        <v>796</v>
      </c>
      <c r="W101" s="13">
        <f>[1]Parametros!$B$5*V101*[1]Parametros!$B$3*(U101-(V101*[1]Parametros!$B$3/(0.85*[1]Parametros!$B$2*H101))/2)/1000000</f>
        <v>142.54333009411764</v>
      </c>
      <c r="X101" s="13" t="str">
        <f t="shared" si="13"/>
        <v>CUMPLE</v>
      </c>
      <c r="Y101" s="13">
        <f>MAX(MAX(1.4/[1]Parametros!$B$3,0.25*SQRT([1]Parametros!$B$2)/[1]Parametros!$B$3)*H101*AB101,(0.85*[1]Parametros!$B$2/[1]Parametros!$B$3)*(1-SQRT(1-2*(L101*1000000/([1]Parametros!$B$5*H101*AB101^2))/(0.85*[1]Parametros!$B$2)))*H101*AB101)</f>
        <v>734.02500000000009</v>
      </c>
      <c r="Z101" s="14">
        <v>4</v>
      </c>
      <c r="AA101" s="14">
        <v>1</v>
      </c>
      <c r="AB101" s="13">
        <f>IF(AA101=1,I101-([1]Parametros!$B$7+[1]Parametros!$B$9+[1]Parametros!$B$12/2),I101-(ROUNDUP(Z101/2,0)*([1]Parametros!$B$7+[1]Parametros!$B$9+[1]Parametros!$B$12/2)+ROUNDDOWN(Z101/2,0)*([1]Parametros!$B$7+[1]Parametros!$B$9+[1]Parametros!$B$12/2+[1]Parametros!$B$12+[1]Parametros!$B$10))/Z101)</f>
        <v>489.35</v>
      </c>
      <c r="AC101" s="13">
        <f>Z101*[1]Parametros!$B$8</f>
        <v>796</v>
      </c>
      <c r="AD101" s="13">
        <f>[1]Parametros!$B$5*AC101*[1]Parametros!$B$3*(AB101-(AC101*[1]Parametros!$B$3/(0.85*[1]Parametros!$B$2*H101))/2)/1000000</f>
        <v>142.54333009411764</v>
      </c>
      <c r="AE101" s="13" t="str">
        <f t="shared" si="14"/>
        <v>CUMPLE</v>
      </c>
      <c r="AF101" s="13">
        <f>V101*1.25*[1]Parametros!$B$3*(U101-(V101*1.25*[1]Parametros!$B$3/(0.85*[1]Parametros!$B$2*H101))/2)/1000000</f>
        <v>196.34621794117646</v>
      </c>
      <c r="AG101" s="13">
        <f>AC101*1.25*[1]Parametros!$B$3*(AB101-(AC101*1.25*[1]Parametros!$B$3/(0.85*[1]Parametros!$B$2*H101))/2)/1000000</f>
        <v>196.34621794117646</v>
      </c>
      <c r="AH101" s="13">
        <f t="shared" si="15"/>
        <v>168.41257573087745</v>
      </c>
      <c r="AI101" s="13">
        <f t="shared" si="16"/>
        <v>168.41257573087745</v>
      </c>
      <c r="AJ101" s="13">
        <f>0.17*SQRT([1]Parametros!$B$2)*H101*MIN(U101,AB101)/1000</f>
        <v>198.08885582262698</v>
      </c>
      <c r="AK101" s="13">
        <f>MAX(AI101/[1]Parametros!$B$6-AJ101,0)</f>
        <v>26.461245151876284</v>
      </c>
      <c r="AL101" s="13">
        <f>0.66*SQRT([1]Parametros!$B$2)*H101*MIN(U101,AB101)/1000</f>
        <v>769.05085201725785</v>
      </c>
      <c r="AM101" s="13" t="str">
        <f t="shared" si="17"/>
        <v>CUMPLE</v>
      </c>
      <c r="AN101" s="13" t="s">
        <v>64</v>
      </c>
      <c r="AO101" s="14">
        <v>2</v>
      </c>
      <c r="AP101" s="13">
        <f>ROUNDDOWN(MIN(IF(BC101+BD101=0,1000000000,AO101*BB101/(BC101+BD101)),MIN(U101,AB101)/4,8*[1]Parametros!$B$12,24*BA101,300,IF(AV101=0,1000000000,2*((H101-2*([1]Parametros!$B$7+[1]Parametros!$B$9/2))+(I101-2*([1]Parametros!$B$7+[1]Parametros!$B$9/2)))/8))/10,0)*10</f>
        <v>120</v>
      </c>
      <c r="AQ101" s="13">
        <f>ROUNDDOWN(MIN(IF(BC101+BD101=0,1000000000,AO101*BB101/(BC101+BD101)),IF(AK101&gt;0.33*SQRT([1]Parametros!$B$2)*H101*MIN(U101,AB101)/1000,MIN(U101,AB101)/4,MIN(U101,AB101)/2),600,IF(AV101=0,1000000000,2*((H101-2*([1]Parametros!$B$7+[1]Parametros!$B$9/2))+(I101-2*([1]Parametros!$B$7+[1]Parametros!$B$9/2)))/8))/10,0)*10</f>
        <v>200</v>
      </c>
      <c r="AR101" s="13">
        <f>[1]Parametros!$B$6*(AJ101+MAX(BE101-BD101,0)*[1]Parametros!$B$4*MIN(U101,AB101)/1000)</f>
        <v>290.93962584932785</v>
      </c>
      <c r="AS101" s="13" t="str">
        <f t="shared" si="18"/>
        <v>CUMPLE</v>
      </c>
      <c r="AT101" s="13">
        <f>[1]Parametros!$B$6*0.083*SQRT([1]Parametros!$B$2)*(H101*I101)^2/(2*(H101+I101))/1000000</f>
        <v>10.08878303333792</v>
      </c>
      <c r="AU101" s="13" t="str">
        <f t="shared" si="19"/>
        <v>DISEÑAR</v>
      </c>
      <c r="AV101" s="13">
        <f>IF(Q101&lt;=AT101,0,Q101*1000000/([1]Parametros!$B$6*2*0.85*(H101-2*([1]Parametros!$B$7+[1]Parametros!$B$9/2))*(I101-2*([1]Parametros!$B$7+[1]Parametros!$B$9/2))*[1]Parametros!$B$4))</f>
        <v>0.12985229359205808</v>
      </c>
      <c r="AW101" s="13">
        <f>AV101*2*((H101-2*([1]Parametros!$B$7+[1]Parametros!$B$9/2))+(I101-2*([1]Parametros!$B$7+[1]Parametros!$B$9/2)))*[1]Parametros!$B$4/[1]Parametros!$B$3</f>
        <v>211.55535672018104</v>
      </c>
      <c r="AX101" s="14">
        <v>8</v>
      </c>
      <c r="AY101" s="13" t="str">
        <f t="shared" si="20"/>
        <v>CUMPLE</v>
      </c>
      <c r="AZ101" s="13" t="str">
        <f t="shared" si="21"/>
        <v>CUMPLE</v>
      </c>
      <c r="BA101" s="14">
        <v>9.5</v>
      </c>
      <c r="BB101" s="14">
        <v>71</v>
      </c>
      <c r="BC101" s="13">
        <f>MAX(IF(AK101=0,0,AK101*1000/([1]Parametros!$B$4*MIN(U101,AB101))),MAX(0.062*SQRT([1]Parametros!$B$2)*H101/[1]Parametros!$B$4,0.35*H101/[1]Parametros!$B$4))</f>
        <v>0.375</v>
      </c>
      <c r="BD101" s="13">
        <f t="shared" si="22"/>
        <v>0.25970458718411615</v>
      </c>
      <c r="BE101" s="13">
        <f t="shared" si="23"/>
        <v>1.1833333333333333</v>
      </c>
      <c r="BF101" s="13">
        <f>SQRT((AI101*1000/(H101*MIN(U101,AB101)))^2+(Q101*1000000*2*((H101-2*([1]Parametros!$B$7+[1]Parametros!$B$9/2))+(I101-2*([1]Parametros!$B$7+[1]Parametros!$B$9/2)))/(1.7*((H101-2*([1]Parametros!$B$7+[1]Parametros!$B$9/2))*(I101-2*([1]Parametros!$B$7+[1]Parametros!$B$9/2)))^2))^2)</f>
        <v>0.86674440012970855</v>
      </c>
      <c r="BG101" s="13">
        <f>[1]Parametros!$B$6*(AJ101*1000/(H101*MIN(U101,AB101))+0.66*SQRT([1]Parametros!$B$2))</f>
        <v>3.2939603822754151</v>
      </c>
      <c r="BH101" s="13" t="str">
        <f t="shared" si="24"/>
        <v>CUMPLE</v>
      </c>
      <c r="BI101" s="13">
        <f>AX101*[1]Parametros!$B$8</f>
        <v>1592</v>
      </c>
      <c r="BJ101" s="15" t="str">
        <f t="shared" si="25"/>
        <v>CUMPLE</v>
      </c>
    </row>
    <row r="102" spans="1:62" x14ac:dyDescent="0.3">
      <c r="A102" s="16" t="s">
        <v>66</v>
      </c>
      <c r="B102" s="17">
        <v>1037</v>
      </c>
      <c r="C102" s="13">
        <v>1</v>
      </c>
      <c r="D102" s="13">
        <v>3.2147700000000001</v>
      </c>
      <c r="E102" s="13">
        <v>3.2147700000000001</v>
      </c>
      <c r="F102" s="13">
        <v>450</v>
      </c>
      <c r="G102" s="13">
        <v>550</v>
      </c>
      <c r="H102" s="13">
        <v>450</v>
      </c>
      <c r="I102" s="13">
        <v>550</v>
      </c>
      <c r="J102" s="14">
        <v>57.524900000000002</v>
      </c>
      <c r="K102" s="13">
        <v>1037</v>
      </c>
      <c r="L102" s="14">
        <v>29.8841</v>
      </c>
      <c r="M102" s="13">
        <v>1037</v>
      </c>
      <c r="N102" s="14">
        <v>46.222999999999999</v>
      </c>
      <c r="O102" s="14">
        <v>107.56399999999999</v>
      </c>
      <c r="P102" s="13">
        <v>1037</v>
      </c>
      <c r="Q102" s="14">
        <v>11.366199999999999</v>
      </c>
      <c r="R102" s="13">
        <f>MAX(MAX(1.4/[1]Parametros!$B$3,0.25*SQRT([1]Parametros!$B$2)/[1]Parametros!$B$3)*H102*U102,(0.85*[1]Parametros!$B$2/[1]Parametros!$B$3)*(1-SQRT(1-2*(J102*1000000/([1]Parametros!$B$5*H102*U102^2))/(0.85*[1]Parametros!$B$2)))*H102*U102)</f>
        <v>734.02500000000009</v>
      </c>
      <c r="S102" s="14">
        <v>4</v>
      </c>
      <c r="T102" s="14">
        <v>1</v>
      </c>
      <c r="U102" s="13">
        <f>IF(T102=1,I102-([1]Parametros!$B$7+[1]Parametros!$B$9+[1]Parametros!$B$12/2),I102-(ROUNDUP(S102/2,0)*([1]Parametros!$B$7+[1]Parametros!$B$9+[1]Parametros!$B$12/2)+ROUNDDOWN(S102/2,0)*([1]Parametros!$B$7+[1]Parametros!$B$9+[1]Parametros!$B$12/2+[1]Parametros!$B$12+[1]Parametros!$B$10))/S102)</f>
        <v>489.35</v>
      </c>
      <c r="V102" s="13">
        <f>S102*[1]Parametros!$B$8</f>
        <v>796</v>
      </c>
      <c r="W102" s="13">
        <f>[1]Parametros!$B$5*V102*[1]Parametros!$B$3*(U102-(V102*[1]Parametros!$B$3/(0.85*[1]Parametros!$B$2*H102))/2)/1000000</f>
        <v>142.54333009411764</v>
      </c>
      <c r="X102" s="13" t="str">
        <f t="shared" si="13"/>
        <v>CUMPLE</v>
      </c>
      <c r="Y102" s="13">
        <f>MAX(MAX(1.4/[1]Parametros!$B$3,0.25*SQRT([1]Parametros!$B$2)/[1]Parametros!$B$3)*H102*AB102,(0.85*[1]Parametros!$B$2/[1]Parametros!$B$3)*(1-SQRT(1-2*(L102*1000000/([1]Parametros!$B$5*H102*AB102^2))/(0.85*[1]Parametros!$B$2)))*H102*AB102)</f>
        <v>734.02500000000009</v>
      </c>
      <c r="Z102" s="14">
        <v>4</v>
      </c>
      <c r="AA102" s="14">
        <v>1</v>
      </c>
      <c r="AB102" s="13">
        <f>IF(AA102=1,I102-([1]Parametros!$B$7+[1]Parametros!$B$9+[1]Parametros!$B$12/2),I102-(ROUNDUP(Z102/2,0)*([1]Parametros!$B$7+[1]Parametros!$B$9+[1]Parametros!$B$12/2)+ROUNDDOWN(Z102/2,0)*([1]Parametros!$B$7+[1]Parametros!$B$9+[1]Parametros!$B$12/2+[1]Parametros!$B$12+[1]Parametros!$B$10))/Z102)</f>
        <v>489.35</v>
      </c>
      <c r="AC102" s="13">
        <f>Z102*[1]Parametros!$B$8</f>
        <v>796</v>
      </c>
      <c r="AD102" s="13">
        <f>[1]Parametros!$B$5*AC102*[1]Parametros!$B$3*(AB102-(AC102*[1]Parametros!$B$3/(0.85*[1]Parametros!$B$2*H102))/2)/1000000</f>
        <v>142.54333009411764</v>
      </c>
      <c r="AE102" s="13" t="str">
        <f t="shared" si="14"/>
        <v>CUMPLE</v>
      </c>
      <c r="AF102" s="13">
        <f>V102*1.25*[1]Parametros!$B$3*(U102-(V102*1.25*[1]Parametros!$B$3/(0.85*[1]Parametros!$B$2*H102))/2)/1000000</f>
        <v>196.34621794117646</v>
      </c>
      <c r="AG102" s="13">
        <f>AC102*1.25*[1]Parametros!$B$3*(AB102-(AC102*1.25*[1]Parametros!$B$3/(0.85*[1]Parametros!$B$2*H102))/2)/1000000</f>
        <v>196.34621794117646</v>
      </c>
      <c r="AH102" s="13">
        <f t="shared" si="15"/>
        <v>168.37557573087747</v>
      </c>
      <c r="AI102" s="13">
        <f t="shared" si="16"/>
        <v>168.37557573087747</v>
      </c>
      <c r="AJ102" s="13">
        <f>0.17*SQRT([1]Parametros!$B$2)*H102*MIN(U102,AB102)/1000</f>
        <v>198.08885582262698</v>
      </c>
      <c r="AK102" s="13">
        <f>MAX(AI102/[1]Parametros!$B$6-AJ102,0)</f>
        <v>26.41191181854299</v>
      </c>
      <c r="AL102" s="13">
        <f>0.66*SQRT([1]Parametros!$B$2)*H102*MIN(U102,AB102)/1000</f>
        <v>769.05085201725785</v>
      </c>
      <c r="AM102" s="13" t="str">
        <f t="shared" si="17"/>
        <v>CUMPLE</v>
      </c>
      <c r="AN102" s="13" t="s">
        <v>64</v>
      </c>
      <c r="AO102" s="14">
        <v>2</v>
      </c>
      <c r="AP102" s="13">
        <f>ROUNDDOWN(MIN(IF(BC102+BD102=0,1000000000,AO102*BB102/(BC102+BD102)),MIN(U102,AB102)/4,8*[1]Parametros!$B$12,24*BA102,300,IF(AV102=0,1000000000,2*((H102-2*([1]Parametros!$B$7+[1]Parametros!$B$9/2))+(I102-2*([1]Parametros!$B$7+[1]Parametros!$B$9/2)))/8))/10,0)*10</f>
        <v>120</v>
      </c>
      <c r="AQ102" s="13">
        <f>ROUNDDOWN(MIN(IF(BC102+BD102=0,1000000000,AO102*BB102/(BC102+BD102)),IF(AK102&gt;0.33*SQRT([1]Parametros!$B$2)*H102*MIN(U102,AB102)/1000,MIN(U102,AB102)/4,MIN(U102,AB102)/2),600,IF(AV102=0,1000000000,2*((H102-2*([1]Parametros!$B$7+[1]Parametros!$B$9/2))+(I102-2*([1]Parametros!$B$7+[1]Parametros!$B$9/2)))/8))/10,0)*10</f>
        <v>200</v>
      </c>
      <c r="AR102" s="13">
        <f>[1]Parametros!$B$6*(AJ102+MAX(BE102-BD102,0)*[1]Parametros!$B$4*MIN(U102,AB102)/1000)</f>
        <v>290.92377038506373</v>
      </c>
      <c r="AS102" s="13" t="str">
        <f t="shared" si="18"/>
        <v>CUMPLE</v>
      </c>
      <c r="AT102" s="13">
        <f>[1]Parametros!$B$6*0.083*SQRT([1]Parametros!$B$2)*(H102*I102)^2/(2*(H102+I102))/1000000</f>
        <v>10.08878303333792</v>
      </c>
      <c r="AU102" s="13" t="str">
        <f t="shared" si="19"/>
        <v>DISEÑAR</v>
      </c>
      <c r="AV102" s="13">
        <f>IF(Q102&lt;=AT102,0,Q102*1000000/([1]Parametros!$B$6*2*0.85*(H102-2*([1]Parametros!$B$7+[1]Parametros!$B$9/2))*(I102-2*([1]Parametros!$B$7+[1]Parametros!$B$9/2))*[1]Parametros!$B$4))</f>
        <v>0.12990372386403887</v>
      </c>
      <c r="AW102" s="13">
        <f>AV102*2*((H102-2*([1]Parametros!$B$7+[1]Parametros!$B$9/2))+(I102-2*([1]Parametros!$B$7+[1]Parametros!$B$9/2)))*[1]Parametros!$B$4/[1]Parametros!$B$3</f>
        <v>211.63914691929213</v>
      </c>
      <c r="AX102" s="14">
        <v>8</v>
      </c>
      <c r="AY102" s="13" t="str">
        <f t="shared" si="20"/>
        <v>CUMPLE</v>
      </c>
      <c r="AZ102" s="13" t="str">
        <f t="shared" si="21"/>
        <v>CUMPLE</v>
      </c>
      <c r="BA102" s="14">
        <v>9.5</v>
      </c>
      <c r="BB102" s="14">
        <v>71</v>
      </c>
      <c r="BC102" s="13">
        <f>MAX(IF(AK102=0,0,AK102*1000/([1]Parametros!$B$4*MIN(U102,AB102))),MAX(0.062*SQRT([1]Parametros!$B$2)*H102/[1]Parametros!$B$4,0.35*H102/[1]Parametros!$B$4))</f>
        <v>0.375</v>
      </c>
      <c r="BD102" s="13">
        <f t="shared" si="22"/>
        <v>0.25980744772807773</v>
      </c>
      <c r="BE102" s="13">
        <f t="shared" si="23"/>
        <v>1.1833333333333333</v>
      </c>
      <c r="BF102" s="13">
        <f>SQRT((AI102*1000/(H102*MIN(U102,AB102)))^2+(Q102*1000000*2*((H102-2*([1]Parametros!$B$7+[1]Parametros!$B$9/2))+(I102-2*([1]Parametros!$B$7+[1]Parametros!$B$9/2)))/(1.7*((H102-2*([1]Parametros!$B$7+[1]Parametros!$B$9/2))*(I102-2*([1]Parametros!$B$7+[1]Parametros!$B$9/2)))^2))^2)</f>
        <v>0.8666721809132385</v>
      </c>
      <c r="BG102" s="13">
        <f>[1]Parametros!$B$6*(AJ102*1000/(H102*MIN(U102,AB102))+0.66*SQRT([1]Parametros!$B$2))</f>
        <v>3.2939603822754151</v>
      </c>
      <c r="BH102" s="13" t="str">
        <f t="shared" si="24"/>
        <v>CUMPLE</v>
      </c>
      <c r="BI102" s="13">
        <f>AX102*[1]Parametros!$B$8</f>
        <v>1592</v>
      </c>
      <c r="BJ102" s="15" t="str">
        <f t="shared" si="25"/>
        <v>CUMPLE</v>
      </c>
    </row>
    <row r="103" spans="1:62" x14ac:dyDescent="0.3">
      <c r="A103" s="16" t="s">
        <v>66</v>
      </c>
      <c r="B103" s="17">
        <v>1038</v>
      </c>
      <c r="C103" s="13">
        <v>1</v>
      </c>
      <c r="D103" s="13">
        <v>3.4</v>
      </c>
      <c r="E103" s="13">
        <v>3.4</v>
      </c>
      <c r="F103" s="13">
        <v>450</v>
      </c>
      <c r="G103" s="13">
        <v>550</v>
      </c>
      <c r="H103" s="13">
        <v>450</v>
      </c>
      <c r="I103" s="13">
        <v>550</v>
      </c>
      <c r="J103" s="14">
        <v>41.999499999999998</v>
      </c>
      <c r="K103" s="13">
        <v>1038</v>
      </c>
      <c r="L103" s="14">
        <v>16.396599999999999</v>
      </c>
      <c r="M103" s="13">
        <v>1038</v>
      </c>
      <c r="N103" s="14">
        <v>27.87</v>
      </c>
      <c r="O103" s="14">
        <v>74.700999999999993</v>
      </c>
      <c r="P103" s="13">
        <v>1038</v>
      </c>
      <c r="Q103" s="14">
        <v>2.7406000000000001</v>
      </c>
      <c r="R103" s="13">
        <f>MAX(MAX(1.4/[1]Parametros!$B$3,0.25*SQRT([1]Parametros!$B$2)/[1]Parametros!$B$3)*H103*U103,(0.85*[1]Parametros!$B$2/[1]Parametros!$B$3)*(1-SQRT(1-2*(J103*1000000/([1]Parametros!$B$5*H103*U103^2))/(0.85*[1]Parametros!$B$2)))*H103*U103)</f>
        <v>734.02500000000009</v>
      </c>
      <c r="S103" s="14">
        <v>4</v>
      </c>
      <c r="T103" s="14">
        <v>1</v>
      </c>
      <c r="U103" s="13">
        <f>IF(T103=1,I103-([1]Parametros!$B$7+[1]Parametros!$B$9+[1]Parametros!$B$12/2),I103-(ROUNDUP(S103/2,0)*([1]Parametros!$B$7+[1]Parametros!$B$9+[1]Parametros!$B$12/2)+ROUNDDOWN(S103/2,0)*([1]Parametros!$B$7+[1]Parametros!$B$9+[1]Parametros!$B$12/2+[1]Parametros!$B$12+[1]Parametros!$B$10))/S103)</f>
        <v>489.35</v>
      </c>
      <c r="V103" s="13">
        <f>S103*[1]Parametros!$B$8</f>
        <v>796</v>
      </c>
      <c r="W103" s="13">
        <f>[1]Parametros!$B$5*V103*[1]Parametros!$B$3*(U103-(V103*[1]Parametros!$B$3/(0.85*[1]Parametros!$B$2*H103))/2)/1000000</f>
        <v>142.54333009411764</v>
      </c>
      <c r="X103" s="13" t="str">
        <f t="shared" si="13"/>
        <v>CUMPLE</v>
      </c>
      <c r="Y103" s="13">
        <f>MAX(MAX(1.4/[1]Parametros!$B$3,0.25*SQRT([1]Parametros!$B$2)/[1]Parametros!$B$3)*H103*AB103,(0.85*[1]Parametros!$B$2/[1]Parametros!$B$3)*(1-SQRT(1-2*(L103*1000000/([1]Parametros!$B$5*H103*AB103^2))/(0.85*[1]Parametros!$B$2)))*H103*AB103)</f>
        <v>734.02500000000009</v>
      </c>
      <c r="Z103" s="14">
        <v>4</v>
      </c>
      <c r="AA103" s="14">
        <v>1</v>
      </c>
      <c r="AB103" s="13">
        <f>IF(AA103=1,I103-([1]Parametros!$B$7+[1]Parametros!$B$9+[1]Parametros!$B$12/2),I103-(ROUNDUP(Z103/2,0)*([1]Parametros!$B$7+[1]Parametros!$B$9+[1]Parametros!$B$12/2)+ROUNDDOWN(Z103/2,0)*([1]Parametros!$B$7+[1]Parametros!$B$9+[1]Parametros!$B$12/2+[1]Parametros!$B$12+[1]Parametros!$B$10))/Z103)</f>
        <v>489.35</v>
      </c>
      <c r="AC103" s="13">
        <f>Z103*[1]Parametros!$B$8</f>
        <v>796</v>
      </c>
      <c r="AD103" s="13">
        <f>[1]Parametros!$B$5*AC103*[1]Parametros!$B$3*(AB103-(AC103*[1]Parametros!$B$3/(0.85*[1]Parametros!$B$2*H103))/2)/1000000</f>
        <v>142.54333009411764</v>
      </c>
      <c r="AE103" s="13" t="str">
        <f t="shared" si="14"/>
        <v>CUMPLE</v>
      </c>
      <c r="AF103" s="13">
        <f>V103*1.25*[1]Parametros!$B$3*(U103-(V103*1.25*[1]Parametros!$B$3/(0.85*[1]Parametros!$B$2*H103))/2)/1000000</f>
        <v>196.34621794117646</v>
      </c>
      <c r="AG103" s="13">
        <f>AC103*1.25*[1]Parametros!$B$3*(AB103-(AC103*1.25*[1]Parametros!$B$3/(0.85*[1]Parametros!$B$2*H103))/2)/1000000</f>
        <v>196.34621794117646</v>
      </c>
      <c r="AH103" s="13">
        <f t="shared" si="15"/>
        <v>143.36777525951555</v>
      </c>
      <c r="AI103" s="13">
        <f t="shared" si="16"/>
        <v>143.36777525951555</v>
      </c>
      <c r="AJ103" s="13">
        <f>0.17*SQRT([1]Parametros!$B$2)*H103*MIN(U103,AB103)/1000</f>
        <v>198.08885582262698</v>
      </c>
      <c r="AK103" s="13">
        <f>MAX(AI103/[1]Parametros!$B$6-AJ103,0)</f>
        <v>0</v>
      </c>
      <c r="AL103" s="13">
        <f>0.66*SQRT([1]Parametros!$B$2)*H103*MIN(U103,AB103)/1000</f>
        <v>769.05085201725785</v>
      </c>
      <c r="AM103" s="13" t="str">
        <f t="shared" si="17"/>
        <v>CUMPLE</v>
      </c>
      <c r="AN103" s="13" t="s">
        <v>64</v>
      </c>
      <c r="AO103" s="14">
        <v>2</v>
      </c>
      <c r="AP103" s="13">
        <f>ROUNDDOWN(MIN(IF(BC103+BD103=0,1000000000,AO103*BB103/(BC103+BD103)),MIN(U103,AB103)/4,8*[1]Parametros!$B$12,24*BA103,300,IF(AV103=0,1000000000,2*((H103-2*([1]Parametros!$B$7+[1]Parametros!$B$9/2))+(I103-2*([1]Parametros!$B$7+[1]Parametros!$B$9/2)))/8))/10,0)*10</f>
        <v>120</v>
      </c>
      <c r="AQ103" s="13">
        <f>ROUNDDOWN(MIN(IF(BC103+BD103=0,1000000000,AO103*BB103/(BC103+BD103)),IF(AK103&gt;0.33*SQRT([1]Parametros!$B$2)*H103*MIN(U103,AB103)/1000,MIN(U103,AB103)/4,MIN(U103,AB103)/2),600,IF(AV103=0,1000000000,2*((H103-2*([1]Parametros!$B$7+[1]Parametros!$B$9/2))+(I103-2*([1]Parametros!$B$7+[1]Parametros!$B$9/2)))/8))/10,0)*10</f>
        <v>240</v>
      </c>
      <c r="AR103" s="13">
        <f>[1]Parametros!$B$6*(AJ103+MAX(BE103-BD103,0)*[1]Parametros!$B$4*MIN(U103,AB103)/1000)</f>
        <v>330.97185436697026</v>
      </c>
      <c r="AS103" s="13" t="str">
        <f t="shared" si="18"/>
        <v>CUMPLE</v>
      </c>
      <c r="AT103" s="13">
        <f>[1]Parametros!$B$6*0.083*SQRT([1]Parametros!$B$2)*(H103*I103)^2/(2*(H103+I103))/1000000</f>
        <v>10.08878303333792</v>
      </c>
      <c r="AU103" s="13" t="str">
        <f t="shared" si="19"/>
        <v>DESPRECIABLE</v>
      </c>
      <c r="AV103" s="13">
        <f>IF(Q103&lt;=AT103,0,Q103*1000000/([1]Parametros!$B$6*2*0.85*(H103-2*([1]Parametros!$B$7+[1]Parametros!$B$9/2))*(I103-2*([1]Parametros!$B$7+[1]Parametros!$B$9/2))*[1]Parametros!$B$4))</f>
        <v>0</v>
      </c>
      <c r="AW103" s="13">
        <f>AV103*2*((H103-2*([1]Parametros!$B$7+[1]Parametros!$B$9/2))+(I103-2*([1]Parametros!$B$7+[1]Parametros!$B$9/2)))*[1]Parametros!$B$4/[1]Parametros!$B$3</f>
        <v>0</v>
      </c>
      <c r="AX103" s="14">
        <v>0</v>
      </c>
      <c r="AY103" s="13" t="str">
        <f t="shared" si="20"/>
        <v>DESPRECIABLE</v>
      </c>
      <c r="AZ103" s="13" t="str">
        <f t="shared" si="21"/>
        <v>CUMPLE</v>
      </c>
      <c r="BA103" s="14">
        <v>9.5</v>
      </c>
      <c r="BB103" s="14">
        <v>71</v>
      </c>
      <c r="BC103" s="13">
        <f>MAX(IF(AK103=0,0,AK103*1000/([1]Parametros!$B$4*MIN(U103,AB103))),MAX(0.062*SQRT([1]Parametros!$B$2)*H103/[1]Parametros!$B$4,0.35*H103/[1]Parametros!$B$4))</f>
        <v>0.375</v>
      </c>
      <c r="BD103" s="13">
        <f t="shared" si="22"/>
        <v>0</v>
      </c>
      <c r="BE103" s="13">
        <f t="shared" si="23"/>
        <v>1.1833333333333333</v>
      </c>
      <c r="BF103" s="13">
        <f>SQRT((AI103*1000/(H103*MIN(U103,AB103)))^2+(Q103*1000000*2*((H103-2*([1]Parametros!$B$7+[1]Parametros!$B$9/2))+(I103-2*([1]Parametros!$B$7+[1]Parametros!$B$9/2)))/(1.7*((H103-2*([1]Parametros!$B$7+[1]Parametros!$B$9/2))*(I103-2*([1]Parametros!$B$7+[1]Parametros!$B$9/2)))^2))^2)</f>
        <v>0.65844854876115022</v>
      </c>
      <c r="BG103" s="13">
        <f>[1]Parametros!$B$6*(AJ103*1000/(H103*MIN(U103,AB103))+0.66*SQRT([1]Parametros!$B$2))</f>
        <v>3.2939603822754151</v>
      </c>
      <c r="BH103" s="13" t="str">
        <f t="shared" si="24"/>
        <v>CUMPLE</v>
      </c>
      <c r="BI103" s="13">
        <f>AX103*[1]Parametros!$B$8</f>
        <v>0</v>
      </c>
      <c r="BJ103" s="15" t="str">
        <f t="shared" si="25"/>
        <v>CUMPLE</v>
      </c>
    </row>
    <row r="104" spans="1:62" x14ac:dyDescent="0.3">
      <c r="A104" s="18" t="s">
        <v>67</v>
      </c>
      <c r="B104" s="19">
        <v>61</v>
      </c>
      <c r="C104" s="13">
        <v>1</v>
      </c>
      <c r="D104" s="13">
        <v>3.25</v>
      </c>
      <c r="E104" s="13">
        <v>3.25</v>
      </c>
      <c r="F104" s="13">
        <v>450</v>
      </c>
      <c r="G104" s="13">
        <v>550</v>
      </c>
      <c r="H104" s="13">
        <v>450</v>
      </c>
      <c r="I104" s="13">
        <v>550</v>
      </c>
      <c r="J104" s="14">
        <v>204.95939999999999</v>
      </c>
      <c r="K104" s="13">
        <v>61</v>
      </c>
      <c r="L104" s="14">
        <v>173.59270000000001</v>
      </c>
      <c r="M104" s="13">
        <v>61</v>
      </c>
      <c r="N104" s="14">
        <v>118.96599999999999</v>
      </c>
      <c r="O104" s="14">
        <v>506.77699999999999</v>
      </c>
      <c r="P104" s="13">
        <v>61</v>
      </c>
      <c r="Q104" s="14">
        <v>74.812200000000004</v>
      </c>
      <c r="R104" s="13">
        <f>MAX(MAX(1.4/[1]Parametros!$B$3,0.25*SQRT([1]Parametros!$B$2)/[1]Parametros!$B$3)*H104*U104,(0.85*[1]Parametros!$B$2/[1]Parametros!$B$3)*(1-SQRT(1-2*(J104*1000000/([1]Parametros!$B$5*H104*U104^2))/(0.85*[1]Parametros!$B$2)))*H104*U104)</f>
        <v>1162.1606826701582</v>
      </c>
      <c r="S104" s="14">
        <v>6</v>
      </c>
      <c r="T104" s="14">
        <v>1</v>
      </c>
      <c r="U104" s="13">
        <f>IF(T104=1,I104-([1]Parametros!$B$7+[1]Parametros!$B$9+[1]Parametros!$B$12/2),I104-(ROUNDUP(S104/2,0)*([1]Parametros!$B$7+[1]Parametros!$B$9+[1]Parametros!$B$12/2)+ROUNDDOWN(S104/2,0)*([1]Parametros!$B$7+[1]Parametros!$B$9+[1]Parametros!$B$12/2+[1]Parametros!$B$12+[1]Parametros!$B$10))/S104)</f>
        <v>489.35</v>
      </c>
      <c r="V104" s="13">
        <f>S104*[1]Parametros!$B$8</f>
        <v>1194</v>
      </c>
      <c r="W104" s="13">
        <f>[1]Parametros!$B$5*V104*[1]Parametros!$B$3*(U104-(V104*[1]Parametros!$B$3/(0.85*[1]Parametros!$B$2*H104))/2)/1000000</f>
        <v>210.29283561176473</v>
      </c>
      <c r="X104" s="13" t="str">
        <f t="shared" si="13"/>
        <v>CUMPLE</v>
      </c>
      <c r="Y104" s="13">
        <f>MAX(MAX(1.4/[1]Parametros!$B$3,0.25*SQRT([1]Parametros!$B$2)/[1]Parametros!$B$3)*H104*AB104,(0.85*[1]Parametros!$B$2/[1]Parametros!$B$3)*(1-SQRT(1-2*(L104*1000000/([1]Parametros!$B$5*H104*AB104^2))/(0.85*[1]Parametros!$B$2)))*H104*AB104)</f>
        <v>976.69238360529846</v>
      </c>
      <c r="Z104" s="14">
        <v>5</v>
      </c>
      <c r="AA104" s="14">
        <v>1</v>
      </c>
      <c r="AB104" s="13">
        <f>IF(AA104=1,I104-([1]Parametros!$B$7+[1]Parametros!$B$9+[1]Parametros!$B$12/2),I104-(ROUNDUP(Z104/2,0)*([1]Parametros!$B$7+[1]Parametros!$B$9+[1]Parametros!$B$12/2)+ROUNDDOWN(Z104/2,0)*([1]Parametros!$B$7+[1]Parametros!$B$9+[1]Parametros!$B$12/2+[1]Parametros!$B$12+[1]Parametros!$B$10))/Z104)</f>
        <v>489.35</v>
      </c>
      <c r="AC104" s="13">
        <f>Z104*[1]Parametros!$B$8</f>
        <v>995</v>
      </c>
      <c r="AD104" s="13">
        <f>[1]Parametros!$B$5*AC104*[1]Parametros!$B$3*(AB104-(AC104*[1]Parametros!$B$3/(0.85*[1]Parametros!$B$2*H104))/2)/1000000</f>
        <v>176.71159614705886</v>
      </c>
      <c r="AE104" s="13" t="str">
        <f t="shared" si="14"/>
        <v>CUMPLE</v>
      </c>
      <c r="AF104" s="13">
        <f>V104*1.25*[1]Parametros!$B$3*(U104-(V104*1.25*[1]Parametros!$B$3/(0.85*[1]Parametros!$B$2*H104))/2)/1000000</f>
        <v>288.40446661764707</v>
      </c>
      <c r="AG104" s="13">
        <f>AC104*1.25*[1]Parametros!$B$3*(AB104-(AC104*1.25*[1]Parametros!$B$3/(0.85*[1]Parametros!$B$2*H104))/2)/1000000</f>
        <v>242.88491397058826</v>
      </c>
      <c r="AH104" s="13">
        <f t="shared" si="15"/>
        <v>282.43965556561085</v>
      </c>
      <c r="AI104" s="13">
        <f t="shared" si="16"/>
        <v>506.77699999999999</v>
      </c>
      <c r="AJ104" s="13">
        <f>0.17*SQRT([1]Parametros!$B$2)*H104*MIN(U104,AB104)/1000</f>
        <v>198.08885582262698</v>
      </c>
      <c r="AK104" s="13">
        <f>MAX(AI104/[1]Parametros!$B$6-AJ104,0)</f>
        <v>477.61381084403968</v>
      </c>
      <c r="AL104" s="13">
        <f>0.66*SQRT([1]Parametros!$B$2)*H104*MIN(U104,AB104)/1000</f>
        <v>769.05085201725785</v>
      </c>
      <c r="AM104" s="13" t="str">
        <f t="shared" si="17"/>
        <v>CUMPLE</v>
      </c>
      <c r="AN104" s="13" t="s">
        <v>68</v>
      </c>
      <c r="AO104" s="14">
        <v>4</v>
      </c>
      <c r="AP104" s="13">
        <f>ROUNDDOWN(MIN(IF(BC104+BD104=0,1000000000,AO104*BB104/(BC104+BD104)),MIN(U104,AB104)/4,8*[1]Parametros!$B$12,24*BA104,300,IF(AV104=0,1000000000,2*((H104-2*([1]Parametros!$B$7+[1]Parametros!$B$9/2))+(I104-2*([1]Parametros!$B$7+[1]Parametros!$B$9/2)))/8))/10,0)*10</f>
        <v>120</v>
      </c>
      <c r="AQ104" s="13">
        <f>ROUNDDOWN(MIN(IF(BC104+BD104=0,1000000000,AO104*BB104/(BC104+BD104)),IF(AK104&gt;0.33*SQRT([1]Parametros!$B$2)*H104*MIN(U104,AB104)/1000,MIN(U104,AB104)/4,MIN(U104,AB104)/2),600,IF(AV104=0,1000000000,2*((H104-2*([1]Parametros!$B$7+[1]Parametros!$B$9/2))+(I104-2*([1]Parametros!$B$7+[1]Parametros!$B$9/2)))/8))/10,0)*10</f>
        <v>120</v>
      </c>
      <c r="AR104" s="13">
        <f>[1]Parametros!$B$6*(AJ104+MAX(BE104-BD104,0)*[1]Parametros!$B$4*MIN(U104,AB104)/1000)</f>
        <v>547.79518050730883</v>
      </c>
      <c r="AS104" s="13" t="str">
        <f t="shared" si="18"/>
        <v>CUMPLE</v>
      </c>
      <c r="AT104" s="13">
        <f>[1]Parametros!$B$6*0.083*SQRT([1]Parametros!$B$2)*(H104*I104)^2/(2*(H104+I104))/1000000</f>
        <v>10.08878303333792</v>
      </c>
      <c r="AU104" s="13" t="str">
        <f t="shared" si="19"/>
        <v>DISEÑAR</v>
      </c>
      <c r="AV104" s="13">
        <f>IF(Q104&lt;=AT104,0,Q104*1000000/([1]Parametros!$B$6*2*0.85*(H104-2*([1]Parametros!$B$7+[1]Parametros!$B$9/2))*(I104-2*([1]Parametros!$B$7+[1]Parametros!$B$9/2))*[1]Parametros!$B$4))</f>
        <v>0.85502484299601</v>
      </c>
      <c r="AW104" s="13">
        <f>AV104*2*((H104-2*([1]Parametros!$B$7+[1]Parametros!$B$9/2))+(I104-2*([1]Parametros!$B$7+[1]Parametros!$B$9/2)))*[1]Parametros!$B$4/[1]Parametros!$B$3</f>
        <v>1393.0064742090995</v>
      </c>
      <c r="AX104" s="14">
        <v>8</v>
      </c>
      <c r="AY104" s="13" t="str">
        <f t="shared" si="20"/>
        <v>NO CUMPLE</v>
      </c>
      <c r="AZ104" s="13" t="str">
        <f t="shared" si="21"/>
        <v>NO CUMPLE</v>
      </c>
      <c r="BA104" s="14">
        <v>12.7</v>
      </c>
      <c r="BB104" s="14">
        <v>129</v>
      </c>
      <c r="BC104" s="13">
        <f>MAX(IF(AK104=0,0,AK104*1000/([1]Parametros!$B$4*MIN(U104,AB104))),MAX(0.062*SQRT([1]Parametros!$B$2)*H104/[1]Parametros!$B$4,0.35*H104/[1]Parametros!$B$4))</f>
        <v>2.3238494740060411</v>
      </c>
      <c r="BD104" s="13">
        <f t="shared" si="22"/>
        <v>1.71004968599202</v>
      </c>
      <c r="BE104" s="13">
        <f t="shared" si="23"/>
        <v>4.3</v>
      </c>
      <c r="BF104" s="13">
        <f>SQRT((AI104*1000/(H104*MIN(U104,AB104)))^2+(Q104*1000000*2*((H104-2*([1]Parametros!$B$7+[1]Parametros!$B$9/2))+(I104-2*([1]Parametros!$B$7+[1]Parametros!$B$9/2)))/(1.7*((H104-2*([1]Parametros!$B$7+[1]Parametros!$B$9/2))*(I104-2*([1]Parametros!$B$7+[1]Parametros!$B$9/2)))^2))^2)</f>
        <v>3.5367099100423842</v>
      </c>
      <c r="BG104" s="13">
        <f>[1]Parametros!$B$6*(AJ104*1000/(H104*MIN(U104,AB104))+0.66*SQRT([1]Parametros!$B$2))</f>
        <v>3.2939603822754151</v>
      </c>
      <c r="BH104" s="13" t="str">
        <f t="shared" si="24"/>
        <v>NO CUMPLE</v>
      </c>
      <c r="BI104" s="13">
        <f>AX104*[1]Parametros!$B$8</f>
        <v>1592</v>
      </c>
      <c r="BJ104" s="15" t="str">
        <f t="shared" si="25"/>
        <v>CUMPLE</v>
      </c>
    </row>
    <row r="105" spans="1:62" x14ac:dyDescent="0.3">
      <c r="A105" s="18" t="s">
        <v>67</v>
      </c>
      <c r="B105" s="19">
        <v>62</v>
      </c>
      <c r="C105" s="13">
        <v>1</v>
      </c>
      <c r="D105" s="13">
        <v>3.25</v>
      </c>
      <c r="E105" s="13">
        <v>3.25</v>
      </c>
      <c r="F105" s="13">
        <v>450</v>
      </c>
      <c r="G105" s="13">
        <v>550</v>
      </c>
      <c r="H105" s="13">
        <v>450</v>
      </c>
      <c r="I105" s="13">
        <v>550</v>
      </c>
      <c r="J105" s="14">
        <v>204.8766</v>
      </c>
      <c r="K105" s="13">
        <v>62</v>
      </c>
      <c r="L105" s="14">
        <v>173.64779999999999</v>
      </c>
      <c r="M105" s="13">
        <v>62</v>
      </c>
      <c r="N105" s="14">
        <v>118.937</v>
      </c>
      <c r="O105" s="14">
        <v>506.74799999999999</v>
      </c>
      <c r="P105" s="13">
        <v>62</v>
      </c>
      <c r="Q105" s="14">
        <v>74.8108</v>
      </c>
      <c r="R105" s="13">
        <f>MAX(MAX(1.4/[1]Parametros!$B$3,0.25*SQRT([1]Parametros!$B$2)/[1]Parametros!$B$3)*H105*U105,(0.85*[1]Parametros!$B$2/[1]Parametros!$B$3)*(1-SQRT(1-2*(J105*1000000/([1]Parametros!$B$5*H105*U105^2))/(0.85*[1]Parametros!$B$2)))*H105*U105)</f>
        <v>1161.6670928852575</v>
      </c>
      <c r="S105" s="14">
        <v>6</v>
      </c>
      <c r="T105" s="14">
        <v>1</v>
      </c>
      <c r="U105" s="13">
        <f>IF(T105=1,I105-([1]Parametros!$B$7+[1]Parametros!$B$9+[1]Parametros!$B$12/2),I105-(ROUNDUP(S105/2,0)*([1]Parametros!$B$7+[1]Parametros!$B$9+[1]Parametros!$B$12/2)+ROUNDDOWN(S105/2,0)*([1]Parametros!$B$7+[1]Parametros!$B$9+[1]Parametros!$B$12/2+[1]Parametros!$B$12+[1]Parametros!$B$10))/S105)</f>
        <v>489.35</v>
      </c>
      <c r="V105" s="13">
        <f>S105*[1]Parametros!$B$8</f>
        <v>1194</v>
      </c>
      <c r="W105" s="13">
        <f>[1]Parametros!$B$5*V105*[1]Parametros!$B$3*(U105-(V105*[1]Parametros!$B$3/(0.85*[1]Parametros!$B$2*H105))/2)/1000000</f>
        <v>210.29283561176473</v>
      </c>
      <c r="X105" s="13" t="str">
        <f t="shared" si="13"/>
        <v>CUMPLE</v>
      </c>
      <c r="Y105" s="13">
        <f>MAX(MAX(1.4/[1]Parametros!$B$3,0.25*SQRT([1]Parametros!$B$2)/[1]Parametros!$B$3)*H105*AB105,(0.85*[1]Parametros!$B$2/[1]Parametros!$B$3)*(1-SQRT(1-2*(L105*1000000/([1]Parametros!$B$5*H105*AB105^2))/(0.85*[1]Parametros!$B$2)))*H105*AB105)</f>
        <v>977.01556236786303</v>
      </c>
      <c r="Z105" s="14">
        <v>5</v>
      </c>
      <c r="AA105" s="14">
        <v>1</v>
      </c>
      <c r="AB105" s="13">
        <f>IF(AA105=1,I105-([1]Parametros!$B$7+[1]Parametros!$B$9+[1]Parametros!$B$12/2),I105-(ROUNDUP(Z105/2,0)*([1]Parametros!$B$7+[1]Parametros!$B$9+[1]Parametros!$B$12/2)+ROUNDDOWN(Z105/2,0)*([1]Parametros!$B$7+[1]Parametros!$B$9+[1]Parametros!$B$12/2+[1]Parametros!$B$12+[1]Parametros!$B$10))/Z105)</f>
        <v>489.35</v>
      </c>
      <c r="AC105" s="13">
        <f>Z105*[1]Parametros!$B$8</f>
        <v>995</v>
      </c>
      <c r="AD105" s="13">
        <f>[1]Parametros!$B$5*AC105*[1]Parametros!$B$3*(AB105-(AC105*[1]Parametros!$B$3/(0.85*[1]Parametros!$B$2*H105))/2)/1000000</f>
        <v>176.71159614705886</v>
      </c>
      <c r="AE105" s="13" t="str">
        <f t="shared" si="14"/>
        <v>CUMPLE</v>
      </c>
      <c r="AF105" s="13">
        <f>V105*1.25*[1]Parametros!$B$3*(U105-(V105*1.25*[1]Parametros!$B$3/(0.85*[1]Parametros!$B$2*H105))/2)/1000000</f>
        <v>288.40446661764707</v>
      </c>
      <c r="AG105" s="13">
        <f>AC105*1.25*[1]Parametros!$B$3*(AB105-(AC105*1.25*[1]Parametros!$B$3/(0.85*[1]Parametros!$B$2*H105))/2)/1000000</f>
        <v>242.88491397058826</v>
      </c>
      <c r="AH105" s="13">
        <f t="shared" si="15"/>
        <v>282.41065556561085</v>
      </c>
      <c r="AI105" s="13">
        <f t="shared" si="16"/>
        <v>506.74799999999999</v>
      </c>
      <c r="AJ105" s="13">
        <f>0.17*SQRT([1]Parametros!$B$2)*H105*MIN(U105,AB105)/1000</f>
        <v>198.08885582262698</v>
      </c>
      <c r="AK105" s="13">
        <f>MAX(AI105/[1]Parametros!$B$6-AJ105,0)</f>
        <v>477.57514417737298</v>
      </c>
      <c r="AL105" s="13">
        <f>0.66*SQRT([1]Parametros!$B$2)*H105*MIN(U105,AB105)/1000</f>
        <v>769.05085201725785</v>
      </c>
      <c r="AM105" s="13" t="str">
        <f t="shared" si="17"/>
        <v>CUMPLE</v>
      </c>
      <c r="AN105" s="13" t="s">
        <v>68</v>
      </c>
      <c r="AO105" s="14">
        <v>4</v>
      </c>
      <c r="AP105" s="13">
        <f>ROUNDDOWN(MIN(IF(BC105+BD105=0,1000000000,AO105*BB105/(BC105+BD105)),MIN(U105,AB105)/4,8*[1]Parametros!$B$12,24*BA105,300,IF(AV105=0,1000000000,2*((H105-2*([1]Parametros!$B$7+[1]Parametros!$B$9/2))+(I105-2*([1]Parametros!$B$7+[1]Parametros!$B$9/2)))/8))/10,0)*10</f>
        <v>120</v>
      </c>
      <c r="AQ105" s="13">
        <f>ROUNDDOWN(MIN(IF(BC105+BD105=0,1000000000,AO105*BB105/(BC105+BD105)),IF(AK105&gt;0.33*SQRT([1]Parametros!$B$2)*H105*MIN(U105,AB105)/1000,MIN(U105,AB105)/4,MIN(U105,AB105)/2),600,IF(AV105=0,1000000000,2*((H105-2*([1]Parametros!$B$7+[1]Parametros!$B$9/2))+(I105-2*([1]Parametros!$B$7+[1]Parametros!$B$9/2)))/8))/10,0)*10</f>
        <v>120</v>
      </c>
      <c r="AR105" s="13">
        <f>[1]Parametros!$B$6*(AJ105+MAX(BE105-BD105,0)*[1]Parametros!$B$4*MIN(U105,AB105)/1000)</f>
        <v>547.8001133184132</v>
      </c>
      <c r="AS105" s="13" t="str">
        <f t="shared" si="18"/>
        <v>CUMPLE</v>
      </c>
      <c r="AT105" s="13">
        <f>[1]Parametros!$B$6*0.083*SQRT([1]Parametros!$B$2)*(H105*I105)^2/(2*(H105+I105))/1000000</f>
        <v>10.08878303333792</v>
      </c>
      <c r="AU105" s="13" t="str">
        <f t="shared" si="19"/>
        <v>DISEÑAR</v>
      </c>
      <c r="AV105" s="13">
        <f>IF(Q105&lt;=AT105,0,Q105*1000000/([1]Parametros!$B$6*2*0.85*(H105-2*([1]Parametros!$B$7+[1]Parametros!$B$9/2))*(I105-2*([1]Parametros!$B$7+[1]Parametros!$B$9/2))*[1]Parametros!$B$4))</f>
        <v>0.8550088424669493</v>
      </c>
      <c r="AW105" s="13">
        <f>AV105*2*((H105-2*([1]Parametros!$B$7+[1]Parametros!$B$9/2))+(I105-2*([1]Parametros!$B$7+[1]Parametros!$B$9/2)))*[1]Parametros!$B$4/[1]Parametros!$B$3</f>
        <v>1392.9804061471541</v>
      </c>
      <c r="AX105" s="14">
        <v>8</v>
      </c>
      <c r="AY105" s="13" t="str">
        <f t="shared" si="20"/>
        <v>NO CUMPLE</v>
      </c>
      <c r="AZ105" s="13" t="str">
        <f t="shared" si="21"/>
        <v>NO CUMPLE</v>
      </c>
      <c r="BA105" s="14">
        <v>12.7</v>
      </c>
      <c r="BB105" s="14">
        <v>129</v>
      </c>
      <c r="BC105" s="13">
        <f>MAX(IF(AK105=0,0,AK105*1000/([1]Parametros!$B$4*MIN(U105,AB105))),MAX(0.062*SQRT([1]Parametros!$B$2)*H105/[1]Parametros!$B$4,0.35*H105/[1]Parametros!$B$4))</f>
        <v>2.3236613397625274</v>
      </c>
      <c r="BD105" s="13">
        <f t="shared" si="22"/>
        <v>1.7100176849338986</v>
      </c>
      <c r="BE105" s="13">
        <f t="shared" si="23"/>
        <v>4.3</v>
      </c>
      <c r="BF105" s="13">
        <f>SQRT((AI105*1000/(H105*MIN(U105,AB105)))^2+(Q105*1000000*2*((H105-2*([1]Parametros!$B$7+[1]Parametros!$B$9/2))+(I105-2*([1]Parametros!$B$7+[1]Parametros!$B$9/2)))/(1.7*((H105-2*([1]Parametros!$B$7+[1]Parametros!$B$9/2))*(I105-2*([1]Parametros!$B$7+[1]Parametros!$B$9/2)))^2))^2)</f>
        <v>3.5365860559267643</v>
      </c>
      <c r="BG105" s="13">
        <f>[1]Parametros!$B$6*(AJ105*1000/(H105*MIN(U105,AB105))+0.66*SQRT([1]Parametros!$B$2))</f>
        <v>3.2939603822754151</v>
      </c>
      <c r="BH105" s="13" t="str">
        <f t="shared" si="24"/>
        <v>NO CUMPLE</v>
      </c>
      <c r="BI105" s="13">
        <f>AX105*[1]Parametros!$B$8</f>
        <v>1592</v>
      </c>
      <c r="BJ105" s="15" t="str">
        <f t="shared" si="25"/>
        <v>CUMPLE</v>
      </c>
    </row>
    <row r="106" spans="1:62" x14ac:dyDescent="0.3">
      <c r="A106" s="18" t="s">
        <v>67</v>
      </c>
      <c r="B106" s="19">
        <v>87</v>
      </c>
      <c r="C106" s="13">
        <v>1</v>
      </c>
      <c r="D106" s="13">
        <v>3.25</v>
      </c>
      <c r="E106" s="13">
        <v>3.25</v>
      </c>
      <c r="F106" s="13">
        <v>450</v>
      </c>
      <c r="G106" s="13">
        <v>550</v>
      </c>
      <c r="H106" s="13">
        <v>450</v>
      </c>
      <c r="I106" s="13">
        <v>550</v>
      </c>
      <c r="J106" s="14">
        <v>204.91159999999999</v>
      </c>
      <c r="K106" s="13">
        <v>87</v>
      </c>
      <c r="L106" s="14">
        <v>173.61840000000001</v>
      </c>
      <c r="M106" s="13">
        <v>87</v>
      </c>
      <c r="N106" s="14">
        <v>118.952</v>
      </c>
      <c r="O106" s="14">
        <v>506.75400000000002</v>
      </c>
      <c r="P106" s="13">
        <v>87</v>
      </c>
      <c r="Q106" s="14">
        <v>74.817999999999998</v>
      </c>
      <c r="R106" s="13">
        <f>MAX(MAX(1.4/[1]Parametros!$B$3,0.25*SQRT([1]Parametros!$B$2)/[1]Parametros!$B$3)*H106*U106,(0.85*[1]Parametros!$B$2/[1]Parametros!$B$3)*(1-SQRT(1-2*(J106*1000000/([1]Parametros!$B$5*H106*U106^2))/(0.85*[1]Parametros!$B$2)))*H106*U106)</f>
        <v>1161.8757332834964</v>
      </c>
      <c r="S106" s="14">
        <v>6</v>
      </c>
      <c r="T106" s="14">
        <v>1</v>
      </c>
      <c r="U106" s="13">
        <f>IF(T106=1,I106-([1]Parametros!$B$7+[1]Parametros!$B$9+[1]Parametros!$B$12/2),I106-(ROUNDUP(S106/2,0)*([1]Parametros!$B$7+[1]Parametros!$B$9+[1]Parametros!$B$12/2)+ROUNDDOWN(S106/2,0)*([1]Parametros!$B$7+[1]Parametros!$B$9+[1]Parametros!$B$12/2+[1]Parametros!$B$12+[1]Parametros!$B$10))/S106)</f>
        <v>489.35</v>
      </c>
      <c r="V106" s="13">
        <f>S106*[1]Parametros!$B$8</f>
        <v>1194</v>
      </c>
      <c r="W106" s="13">
        <f>[1]Parametros!$B$5*V106*[1]Parametros!$B$3*(U106-(V106*[1]Parametros!$B$3/(0.85*[1]Parametros!$B$2*H106))/2)/1000000</f>
        <v>210.29283561176473</v>
      </c>
      <c r="X106" s="13" t="str">
        <f t="shared" si="13"/>
        <v>CUMPLE</v>
      </c>
      <c r="Y106" s="13">
        <f>MAX(MAX(1.4/[1]Parametros!$B$3,0.25*SQRT([1]Parametros!$B$2)/[1]Parametros!$B$3)*H106*AB106,(0.85*[1]Parametros!$B$2/[1]Parametros!$B$3)*(1-SQRT(1-2*(L106*1000000/([1]Parametros!$B$5*H106*AB106^2))/(0.85*[1]Parametros!$B$2)))*H106*AB106)</f>
        <v>976.84312102699346</v>
      </c>
      <c r="Z106" s="14">
        <v>5</v>
      </c>
      <c r="AA106" s="14">
        <v>1</v>
      </c>
      <c r="AB106" s="13">
        <f>IF(AA106=1,I106-([1]Parametros!$B$7+[1]Parametros!$B$9+[1]Parametros!$B$12/2),I106-(ROUNDUP(Z106/2,0)*([1]Parametros!$B$7+[1]Parametros!$B$9+[1]Parametros!$B$12/2)+ROUNDDOWN(Z106/2,0)*([1]Parametros!$B$7+[1]Parametros!$B$9+[1]Parametros!$B$12/2+[1]Parametros!$B$12+[1]Parametros!$B$10))/Z106)</f>
        <v>489.35</v>
      </c>
      <c r="AC106" s="13">
        <f>Z106*[1]Parametros!$B$8</f>
        <v>995</v>
      </c>
      <c r="AD106" s="13">
        <f>[1]Parametros!$B$5*AC106*[1]Parametros!$B$3*(AB106-(AC106*[1]Parametros!$B$3/(0.85*[1]Parametros!$B$2*H106))/2)/1000000</f>
        <v>176.71159614705886</v>
      </c>
      <c r="AE106" s="13" t="str">
        <f t="shared" si="14"/>
        <v>CUMPLE</v>
      </c>
      <c r="AF106" s="13">
        <f>V106*1.25*[1]Parametros!$B$3*(U106-(V106*1.25*[1]Parametros!$B$3/(0.85*[1]Parametros!$B$2*H106))/2)/1000000</f>
        <v>288.40446661764707</v>
      </c>
      <c r="AG106" s="13">
        <f>AC106*1.25*[1]Parametros!$B$3*(AB106-(AC106*1.25*[1]Parametros!$B$3/(0.85*[1]Parametros!$B$2*H106))/2)/1000000</f>
        <v>242.88491397058826</v>
      </c>
      <c r="AH106" s="13">
        <f t="shared" si="15"/>
        <v>282.4256555656109</v>
      </c>
      <c r="AI106" s="13">
        <f t="shared" si="16"/>
        <v>506.75400000000002</v>
      </c>
      <c r="AJ106" s="13">
        <f>0.17*SQRT([1]Parametros!$B$2)*H106*MIN(U106,AB106)/1000</f>
        <v>198.08885582262698</v>
      </c>
      <c r="AK106" s="13">
        <f>MAX(AI106/[1]Parametros!$B$6-AJ106,0)</f>
        <v>477.58314417737301</v>
      </c>
      <c r="AL106" s="13">
        <f>0.66*SQRT([1]Parametros!$B$2)*H106*MIN(U106,AB106)/1000</f>
        <v>769.05085201725785</v>
      </c>
      <c r="AM106" s="13" t="str">
        <f t="shared" si="17"/>
        <v>CUMPLE</v>
      </c>
      <c r="AN106" s="13" t="s">
        <v>68</v>
      </c>
      <c r="AO106" s="14">
        <v>4</v>
      </c>
      <c r="AP106" s="13">
        <f>ROUNDDOWN(MIN(IF(BC106+BD106=0,1000000000,AO106*BB106/(BC106+BD106)),MIN(U106,AB106)/4,8*[1]Parametros!$B$12,24*BA106,300,IF(AV106=0,1000000000,2*((H106-2*([1]Parametros!$B$7+[1]Parametros!$B$9/2))+(I106-2*([1]Parametros!$B$7+[1]Parametros!$B$9/2)))/8))/10,0)*10</f>
        <v>120</v>
      </c>
      <c r="AQ106" s="13">
        <f>ROUNDDOWN(MIN(IF(BC106+BD106=0,1000000000,AO106*BB106/(BC106+BD106)),IF(AK106&gt;0.33*SQRT([1]Parametros!$B$2)*H106*MIN(U106,AB106)/1000,MIN(U106,AB106)/4,MIN(U106,AB106)/2),600,IF(AV106=0,1000000000,2*((H106-2*([1]Parametros!$B$7+[1]Parametros!$B$9/2))+(I106-2*([1]Parametros!$B$7+[1]Parametros!$B$9/2)))/8))/10,0)*10</f>
        <v>120</v>
      </c>
      <c r="AR106" s="13">
        <f>[1]Parametros!$B$6*(AJ106+MAX(BE106-BD106,0)*[1]Parametros!$B$4*MIN(U106,AB106)/1000)</f>
        <v>547.7747445755906</v>
      </c>
      <c r="AS106" s="13" t="str">
        <f t="shared" si="18"/>
        <v>CUMPLE</v>
      </c>
      <c r="AT106" s="13">
        <f>[1]Parametros!$B$6*0.083*SQRT([1]Parametros!$B$2)*(H106*I106)^2/(2*(H106+I106))/1000000</f>
        <v>10.08878303333792</v>
      </c>
      <c r="AU106" s="13" t="str">
        <f t="shared" si="19"/>
        <v>DISEÑAR</v>
      </c>
      <c r="AV106" s="13">
        <f>IF(Q106&lt;=AT106,0,Q106*1000000/([1]Parametros!$B$6*2*0.85*(H106-2*([1]Parametros!$B$7+[1]Parametros!$B$9/2))*(I106-2*([1]Parametros!$B$7+[1]Parametros!$B$9/2))*[1]Parametros!$B$4))</f>
        <v>0.85509113090211863</v>
      </c>
      <c r="AW106" s="13">
        <f>AV106*2*((H106-2*([1]Parametros!$B$7+[1]Parametros!$B$9/2))+(I106-2*([1]Parametros!$B$7+[1]Parametros!$B$9/2)))*[1]Parametros!$B$4/[1]Parametros!$B$3</f>
        <v>1393.1144704657318</v>
      </c>
      <c r="AX106" s="14">
        <v>8</v>
      </c>
      <c r="AY106" s="13" t="str">
        <f t="shared" si="20"/>
        <v>NO CUMPLE</v>
      </c>
      <c r="AZ106" s="13" t="str">
        <f t="shared" si="21"/>
        <v>NO CUMPLE</v>
      </c>
      <c r="BA106" s="14">
        <v>12.7</v>
      </c>
      <c r="BB106" s="14">
        <v>129</v>
      </c>
      <c r="BC106" s="13">
        <f>MAX(IF(AK106=0,0,AK106*1000/([1]Parametros!$B$4*MIN(U106,AB106))),MAX(0.062*SQRT([1]Parametros!$B$2)*H106/[1]Parametros!$B$4,0.35*H106/[1]Parametros!$B$4))</f>
        <v>2.3237002640887718</v>
      </c>
      <c r="BD106" s="13">
        <f t="shared" si="22"/>
        <v>1.7101822618042373</v>
      </c>
      <c r="BE106" s="13">
        <f t="shared" si="23"/>
        <v>4.3</v>
      </c>
      <c r="BF106" s="13">
        <f>SQRT((AI106*1000/(H106*MIN(U106,AB106)))^2+(Q106*1000000*2*((H106-2*([1]Parametros!$B$7+[1]Parametros!$B$9/2))+(I106-2*([1]Parametros!$B$7+[1]Parametros!$B$9/2)))/(1.7*((H106-2*([1]Parametros!$B$7+[1]Parametros!$B$9/2))*(I106-2*([1]Parametros!$B$7+[1]Parametros!$B$9/2)))^2))^2)</f>
        <v>3.5368000461124467</v>
      </c>
      <c r="BG106" s="13">
        <f>[1]Parametros!$B$6*(AJ106*1000/(H106*MIN(U106,AB106))+0.66*SQRT([1]Parametros!$B$2))</f>
        <v>3.2939603822754151</v>
      </c>
      <c r="BH106" s="13" t="str">
        <f t="shared" si="24"/>
        <v>NO CUMPLE</v>
      </c>
      <c r="BI106" s="13">
        <f>AX106*[1]Parametros!$B$8</f>
        <v>1592</v>
      </c>
      <c r="BJ106" s="15" t="str">
        <f t="shared" si="25"/>
        <v>CUMPLE</v>
      </c>
    </row>
    <row r="107" spans="1:62" x14ac:dyDescent="0.3">
      <c r="A107" s="18" t="s">
        <v>67</v>
      </c>
      <c r="B107" s="19">
        <v>88</v>
      </c>
      <c r="C107" s="13">
        <v>1</v>
      </c>
      <c r="D107" s="13">
        <v>3.25</v>
      </c>
      <c r="E107" s="13">
        <v>3.25</v>
      </c>
      <c r="F107" s="13">
        <v>450</v>
      </c>
      <c r="G107" s="13">
        <v>550</v>
      </c>
      <c r="H107" s="13">
        <v>450</v>
      </c>
      <c r="I107" s="13">
        <v>550</v>
      </c>
      <c r="J107" s="14">
        <v>204.95920000000001</v>
      </c>
      <c r="K107" s="13">
        <v>88</v>
      </c>
      <c r="L107" s="14">
        <v>173.58680000000001</v>
      </c>
      <c r="M107" s="13">
        <v>88</v>
      </c>
      <c r="N107" s="14">
        <v>118.968</v>
      </c>
      <c r="O107" s="14">
        <v>506.77</v>
      </c>
      <c r="P107" s="13">
        <v>88</v>
      </c>
      <c r="Q107" s="14">
        <v>74.8185</v>
      </c>
      <c r="R107" s="13">
        <f>MAX(MAX(1.4/[1]Parametros!$B$3,0.25*SQRT([1]Parametros!$B$2)/[1]Parametros!$B$3)*H107*U107,(0.85*[1]Parametros!$B$2/[1]Parametros!$B$3)*(1-SQRT(1-2*(J107*1000000/([1]Parametros!$B$5*H107*U107^2))/(0.85*[1]Parametros!$B$2)))*H107*U107)</f>
        <v>1162.1594903983632</v>
      </c>
      <c r="S107" s="14">
        <v>6</v>
      </c>
      <c r="T107" s="14">
        <v>1</v>
      </c>
      <c r="U107" s="13">
        <f>IF(T107=1,I107-([1]Parametros!$B$7+[1]Parametros!$B$9+[1]Parametros!$B$12/2),I107-(ROUNDUP(S107/2,0)*([1]Parametros!$B$7+[1]Parametros!$B$9+[1]Parametros!$B$12/2)+ROUNDDOWN(S107/2,0)*([1]Parametros!$B$7+[1]Parametros!$B$9+[1]Parametros!$B$12/2+[1]Parametros!$B$12+[1]Parametros!$B$10))/S107)</f>
        <v>489.35</v>
      </c>
      <c r="V107" s="13">
        <f>S107*[1]Parametros!$B$8</f>
        <v>1194</v>
      </c>
      <c r="W107" s="13">
        <f>[1]Parametros!$B$5*V107*[1]Parametros!$B$3*(U107-(V107*[1]Parametros!$B$3/(0.85*[1]Parametros!$B$2*H107))/2)/1000000</f>
        <v>210.29283561176473</v>
      </c>
      <c r="X107" s="13" t="str">
        <f t="shared" si="13"/>
        <v>CUMPLE</v>
      </c>
      <c r="Y107" s="13">
        <f>MAX(MAX(1.4/[1]Parametros!$B$3,0.25*SQRT([1]Parametros!$B$2)/[1]Parametros!$B$3)*H107*AB107,(0.85*[1]Parametros!$B$2/[1]Parametros!$B$3)*(1-SQRT(1-2*(L107*1000000/([1]Parametros!$B$5*H107*AB107^2))/(0.85*[1]Parametros!$B$2)))*H107*AB107)</f>
        <v>976.65777879508857</v>
      </c>
      <c r="Z107" s="14">
        <v>5</v>
      </c>
      <c r="AA107" s="14">
        <v>1</v>
      </c>
      <c r="AB107" s="13">
        <f>IF(AA107=1,I107-([1]Parametros!$B$7+[1]Parametros!$B$9+[1]Parametros!$B$12/2),I107-(ROUNDUP(Z107/2,0)*([1]Parametros!$B$7+[1]Parametros!$B$9+[1]Parametros!$B$12/2)+ROUNDDOWN(Z107/2,0)*([1]Parametros!$B$7+[1]Parametros!$B$9+[1]Parametros!$B$12/2+[1]Parametros!$B$12+[1]Parametros!$B$10))/Z107)</f>
        <v>489.35</v>
      </c>
      <c r="AC107" s="13">
        <f>Z107*[1]Parametros!$B$8</f>
        <v>995</v>
      </c>
      <c r="AD107" s="13">
        <f>[1]Parametros!$B$5*AC107*[1]Parametros!$B$3*(AB107-(AC107*[1]Parametros!$B$3/(0.85*[1]Parametros!$B$2*H107))/2)/1000000</f>
        <v>176.71159614705886</v>
      </c>
      <c r="AE107" s="13" t="str">
        <f t="shared" si="14"/>
        <v>CUMPLE</v>
      </c>
      <c r="AF107" s="13">
        <f>V107*1.25*[1]Parametros!$B$3*(U107-(V107*1.25*[1]Parametros!$B$3/(0.85*[1]Parametros!$B$2*H107))/2)/1000000</f>
        <v>288.40446661764707</v>
      </c>
      <c r="AG107" s="13">
        <f>AC107*1.25*[1]Parametros!$B$3*(AB107-(AC107*1.25*[1]Parametros!$B$3/(0.85*[1]Parametros!$B$2*H107))/2)/1000000</f>
        <v>242.88491397058826</v>
      </c>
      <c r="AH107" s="13">
        <f t="shared" si="15"/>
        <v>282.44165556561086</v>
      </c>
      <c r="AI107" s="13">
        <f t="shared" si="16"/>
        <v>506.77</v>
      </c>
      <c r="AJ107" s="13">
        <f>0.17*SQRT([1]Parametros!$B$2)*H107*MIN(U107,AB107)/1000</f>
        <v>198.08885582262698</v>
      </c>
      <c r="AK107" s="13">
        <f>MAX(AI107/[1]Parametros!$B$6-AJ107,0)</f>
        <v>477.60447751070626</v>
      </c>
      <c r="AL107" s="13">
        <f>0.66*SQRT([1]Parametros!$B$2)*H107*MIN(U107,AB107)/1000</f>
        <v>769.05085201725785</v>
      </c>
      <c r="AM107" s="13" t="str">
        <f t="shared" si="17"/>
        <v>CUMPLE</v>
      </c>
      <c r="AN107" s="13" t="s">
        <v>68</v>
      </c>
      <c r="AO107" s="14">
        <v>4</v>
      </c>
      <c r="AP107" s="13">
        <f>ROUNDDOWN(MIN(IF(BC107+BD107=0,1000000000,AO107*BB107/(BC107+BD107)),MIN(U107,AB107)/4,8*[1]Parametros!$B$12,24*BA107,300,IF(AV107=0,1000000000,2*((H107-2*([1]Parametros!$B$7+[1]Parametros!$B$9/2))+(I107-2*([1]Parametros!$B$7+[1]Parametros!$B$9/2)))/8))/10,0)*10</f>
        <v>120</v>
      </c>
      <c r="AQ107" s="13">
        <f>ROUNDDOWN(MIN(IF(BC107+BD107=0,1000000000,AO107*BB107/(BC107+BD107)),IF(AK107&gt;0.33*SQRT([1]Parametros!$B$2)*H107*MIN(U107,AB107)/1000,MIN(U107,AB107)/4,MIN(U107,AB107)/2),600,IF(AV107=0,1000000000,2*((H107-2*([1]Parametros!$B$7+[1]Parametros!$B$9/2))+(I107-2*([1]Parametros!$B$7+[1]Parametros!$B$9/2)))/8))/10,0)*10</f>
        <v>120</v>
      </c>
      <c r="AR107" s="13">
        <f>[1]Parametros!$B$6*(AJ107+MAX(BE107-BD107,0)*[1]Parametros!$B$4*MIN(U107,AB107)/1000)</f>
        <v>547.772982857339</v>
      </c>
      <c r="AS107" s="13" t="str">
        <f t="shared" si="18"/>
        <v>CUMPLE</v>
      </c>
      <c r="AT107" s="13">
        <f>[1]Parametros!$B$6*0.083*SQRT([1]Parametros!$B$2)*(H107*I107)^2/(2*(H107+I107))/1000000</f>
        <v>10.08878303333792</v>
      </c>
      <c r="AU107" s="13" t="str">
        <f t="shared" si="19"/>
        <v>DISEÑAR</v>
      </c>
      <c r="AV107" s="13">
        <f>IF(Q107&lt;=AT107,0,Q107*1000000/([1]Parametros!$B$6*2*0.85*(H107-2*([1]Parametros!$B$7+[1]Parametros!$B$9/2))*(I107-2*([1]Parametros!$B$7+[1]Parametros!$B$9/2))*[1]Parametros!$B$4))</f>
        <v>0.85509684537678321</v>
      </c>
      <c r="AW107" s="13">
        <f>AV107*2*((H107-2*([1]Parametros!$B$7+[1]Parametros!$B$9/2))+(I107-2*([1]Parametros!$B$7+[1]Parametros!$B$9/2)))*[1]Parametros!$B$4/[1]Parametros!$B$3</f>
        <v>1393.1237804878554</v>
      </c>
      <c r="AX107" s="14">
        <v>8</v>
      </c>
      <c r="AY107" s="13" t="str">
        <f t="shared" si="20"/>
        <v>NO CUMPLE</v>
      </c>
      <c r="AZ107" s="13" t="str">
        <f t="shared" si="21"/>
        <v>NO CUMPLE</v>
      </c>
      <c r="BA107" s="14">
        <v>12.7</v>
      </c>
      <c r="BB107" s="14">
        <v>129</v>
      </c>
      <c r="BC107" s="13">
        <f>MAX(IF(AK107=0,0,AK107*1000/([1]Parametros!$B$4*MIN(U107,AB107))),MAX(0.062*SQRT([1]Parametros!$B$2)*H107/[1]Parametros!$B$4,0.35*H107/[1]Parametros!$B$4))</f>
        <v>2.3238040622920897</v>
      </c>
      <c r="BD107" s="13">
        <f t="shared" si="22"/>
        <v>1.7101936907535664</v>
      </c>
      <c r="BE107" s="13">
        <f t="shared" si="23"/>
        <v>4.3</v>
      </c>
      <c r="BF107" s="13">
        <f>SQRT((AI107*1000/(H107*MIN(U107,AB107)))^2+(Q107*1000000*2*((H107-2*([1]Parametros!$B$7+[1]Parametros!$B$9/2))+(I107-2*([1]Parametros!$B$7+[1]Parametros!$B$9/2)))/(1.7*((H107-2*([1]Parametros!$B$7+[1]Parametros!$B$9/2))*(I107-2*([1]Parametros!$B$7+[1]Parametros!$B$9/2)))^2))^2)</f>
        <v>3.5368609520599219</v>
      </c>
      <c r="BG107" s="13">
        <f>[1]Parametros!$B$6*(AJ107*1000/(H107*MIN(U107,AB107))+0.66*SQRT([1]Parametros!$B$2))</f>
        <v>3.2939603822754151</v>
      </c>
      <c r="BH107" s="13" t="str">
        <f t="shared" si="24"/>
        <v>NO CUMPLE</v>
      </c>
      <c r="BI107" s="13">
        <f>AX107*[1]Parametros!$B$8</f>
        <v>1592</v>
      </c>
      <c r="BJ107" s="15" t="str">
        <f t="shared" si="25"/>
        <v>CUMPLE</v>
      </c>
    </row>
    <row r="108" spans="1:62" x14ac:dyDescent="0.3">
      <c r="A108" s="18" t="s">
        <v>67</v>
      </c>
      <c r="B108" s="19">
        <v>261</v>
      </c>
      <c r="C108" s="13">
        <v>1</v>
      </c>
      <c r="D108" s="13">
        <v>3.25</v>
      </c>
      <c r="E108" s="13">
        <v>3.25</v>
      </c>
      <c r="F108" s="13">
        <v>450</v>
      </c>
      <c r="G108" s="13">
        <v>550</v>
      </c>
      <c r="H108" s="13">
        <v>450</v>
      </c>
      <c r="I108" s="13">
        <v>550</v>
      </c>
      <c r="J108" s="14">
        <v>176.708</v>
      </c>
      <c r="K108" s="13">
        <v>261</v>
      </c>
      <c r="L108" s="14">
        <v>150.44399999999999</v>
      </c>
      <c r="M108" s="13">
        <v>261</v>
      </c>
      <c r="N108" s="14">
        <v>106.96599999999999</v>
      </c>
      <c r="O108" s="14">
        <v>438.375</v>
      </c>
      <c r="P108" s="13">
        <v>261</v>
      </c>
      <c r="Q108" s="14">
        <v>64.982600000000005</v>
      </c>
      <c r="R108" s="13">
        <f>MAX(MAX(1.4/[1]Parametros!$B$3,0.25*SQRT([1]Parametros!$B$2)/[1]Parametros!$B$3)*H108*U108,(0.85*[1]Parametros!$B$2/[1]Parametros!$B$3)*(1-SQRT(1-2*(J108*1000000/([1]Parametros!$B$5*H108*U108^2))/(0.85*[1]Parametros!$B$2)))*H108*U108)</f>
        <v>994.97887416001106</v>
      </c>
      <c r="S108" s="14">
        <v>5</v>
      </c>
      <c r="T108" s="14">
        <v>1</v>
      </c>
      <c r="U108" s="13">
        <f>IF(T108=1,I108-([1]Parametros!$B$7+[1]Parametros!$B$9+[1]Parametros!$B$12/2),I108-(ROUNDUP(S108/2,0)*([1]Parametros!$B$7+[1]Parametros!$B$9+[1]Parametros!$B$12/2)+ROUNDDOWN(S108/2,0)*([1]Parametros!$B$7+[1]Parametros!$B$9+[1]Parametros!$B$12/2+[1]Parametros!$B$12+[1]Parametros!$B$10))/S108)</f>
        <v>489.35</v>
      </c>
      <c r="V108" s="13">
        <f>S108*[1]Parametros!$B$8</f>
        <v>995</v>
      </c>
      <c r="W108" s="13">
        <f>[1]Parametros!$B$5*V108*[1]Parametros!$B$3*(U108-(V108*[1]Parametros!$B$3/(0.85*[1]Parametros!$B$2*H108))/2)/1000000</f>
        <v>176.71159614705886</v>
      </c>
      <c r="X108" s="13" t="str">
        <f t="shared" si="13"/>
        <v>CUMPLE</v>
      </c>
      <c r="Y108" s="13">
        <f>MAX(MAX(1.4/[1]Parametros!$B$3,0.25*SQRT([1]Parametros!$B$2)/[1]Parametros!$B$3)*H108*AB108,(0.85*[1]Parametros!$B$2/[1]Parametros!$B$3)*(1-SQRT(1-2*(L108*1000000/([1]Parametros!$B$5*H108*AB108^2))/(0.85*[1]Parametros!$B$2)))*H108*AB108)</f>
        <v>841.71195547471177</v>
      </c>
      <c r="Z108" s="14">
        <v>5</v>
      </c>
      <c r="AA108" s="14">
        <v>1</v>
      </c>
      <c r="AB108" s="13">
        <f>IF(AA108=1,I108-([1]Parametros!$B$7+[1]Parametros!$B$9+[1]Parametros!$B$12/2),I108-(ROUNDUP(Z108/2,0)*([1]Parametros!$B$7+[1]Parametros!$B$9+[1]Parametros!$B$12/2)+ROUNDDOWN(Z108/2,0)*([1]Parametros!$B$7+[1]Parametros!$B$9+[1]Parametros!$B$12/2+[1]Parametros!$B$12+[1]Parametros!$B$10))/Z108)</f>
        <v>489.35</v>
      </c>
      <c r="AC108" s="13">
        <f>Z108*[1]Parametros!$B$8</f>
        <v>995</v>
      </c>
      <c r="AD108" s="13">
        <f>[1]Parametros!$B$5*AC108*[1]Parametros!$B$3*(AB108-(AC108*[1]Parametros!$B$3/(0.85*[1]Parametros!$B$2*H108))/2)/1000000</f>
        <v>176.71159614705886</v>
      </c>
      <c r="AE108" s="13" t="str">
        <f t="shared" si="14"/>
        <v>CUMPLE</v>
      </c>
      <c r="AF108" s="13">
        <f>V108*1.25*[1]Parametros!$B$3*(U108-(V108*1.25*[1]Parametros!$B$3/(0.85*[1]Parametros!$B$2*H108))/2)/1000000</f>
        <v>242.88491397058826</v>
      </c>
      <c r="AG108" s="13">
        <f>AC108*1.25*[1]Parametros!$B$3*(AB108-(AC108*1.25*[1]Parametros!$B$3/(0.85*[1]Parametros!$B$2*H108))/2)/1000000</f>
        <v>242.88491397058826</v>
      </c>
      <c r="AH108" s="13">
        <f t="shared" si="15"/>
        <v>256.43363936651582</v>
      </c>
      <c r="AI108" s="13">
        <f t="shared" si="16"/>
        <v>438.375</v>
      </c>
      <c r="AJ108" s="13">
        <f>0.17*SQRT([1]Parametros!$B$2)*H108*MIN(U108,AB108)/1000</f>
        <v>198.08885582262698</v>
      </c>
      <c r="AK108" s="13">
        <f>MAX(AI108/[1]Parametros!$B$6-AJ108,0)</f>
        <v>386.41114417737299</v>
      </c>
      <c r="AL108" s="13">
        <f>0.66*SQRT([1]Parametros!$B$2)*H108*MIN(U108,AB108)/1000</f>
        <v>769.05085201725785</v>
      </c>
      <c r="AM108" s="13" t="str">
        <f t="shared" si="17"/>
        <v>CUMPLE</v>
      </c>
      <c r="AN108" s="13" t="s">
        <v>64</v>
      </c>
      <c r="AO108" s="14">
        <v>4</v>
      </c>
      <c r="AP108" s="13">
        <f>ROUNDDOWN(MIN(IF(BC108+BD108=0,1000000000,AO108*BB108/(BC108+BD108)),MIN(U108,AB108)/4,8*[1]Parametros!$B$12,24*BA108,300,IF(AV108=0,1000000000,2*((H108-2*([1]Parametros!$B$7+[1]Parametros!$B$9/2))+(I108-2*([1]Parametros!$B$7+[1]Parametros!$B$9/2)))/8))/10,0)*10</f>
        <v>80</v>
      </c>
      <c r="AQ108" s="13">
        <f>ROUNDDOWN(MIN(IF(BC108+BD108=0,1000000000,AO108*BB108/(BC108+BD108)),IF(AK108&gt;0.33*SQRT([1]Parametros!$B$2)*H108*MIN(U108,AB108)/1000,MIN(U108,AB108)/4,MIN(U108,AB108)/2),600,IF(AV108=0,1000000000,2*((H108-2*([1]Parametros!$B$7+[1]Parametros!$B$9/2))+(I108-2*([1]Parametros!$B$7+[1]Parametros!$B$9/2)))/8))/10,0)*10</f>
        <v>80</v>
      </c>
      <c r="AR108" s="13">
        <f>[1]Parametros!$B$6*(AJ108+MAX(BE108-BD108,0)*[1]Parametros!$B$4*MIN(U108,AB108)/1000)</f>
        <v>466.8202144585016</v>
      </c>
      <c r="AS108" s="13" t="str">
        <f t="shared" si="18"/>
        <v>CUMPLE</v>
      </c>
      <c r="AT108" s="13">
        <f>[1]Parametros!$B$6*0.083*SQRT([1]Parametros!$B$2)*(H108*I108)^2/(2*(H108+I108))/1000000</f>
        <v>10.08878303333792</v>
      </c>
      <c r="AU108" s="13" t="str">
        <f t="shared" si="19"/>
        <v>DISEÑAR</v>
      </c>
      <c r="AV108" s="13">
        <f>IF(Q108&lt;=AT108,0,Q108*1000000/([1]Parametros!$B$6*2*0.85*(H108-2*([1]Parametros!$B$7+[1]Parametros!$B$9/2))*(I108-2*([1]Parametros!$B$7+[1]Parametros!$B$9/2))*[1]Parametros!$B$4))</f>
        <v>0.74268284267101525</v>
      </c>
      <c r="AW108" s="13">
        <f>AV108*2*((H108-2*([1]Parametros!$B$7+[1]Parametros!$B$9/2))+(I108-2*([1]Parametros!$B$7+[1]Parametros!$B$9/2)))*[1]Parametros!$B$4/[1]Parametros!$B$3</f>
        <v>1209.978887279618</v>
      </c>
      <c r="AX108" s="14">
        <v>8</v>
      </c>
      <c r="AY108" s="13" t="str">
        <f t="shared" si="20"/>
        <v>CUMPLE</v>
      </c>
      <c r="AZ108" s="13" t="str">
        <f t="shared" si="21"/>
        <v>CUMPLE</v>
      </c>
      <c r="BA108" s="14">
        <v>9.5</v>
      </c>
      <c r="BB108" s="14">
        <v>71</v>
      </c>
      <c r="BC108" s="13">
        <f>MAX(IF(AK108=0,0,AK108*1000/([1]Parametros!$B$4*MIN(U108,AB108))),MAX(0.062*SQRT([1]Parametros!$B$2)*H108/[1]Parametros!$B$4,0.35*H108/[1]Parametros!$B$4))</f>
        <v>1.8800991800462858</v>
      </c>
      <c r="BD108" s="13">
        <f t="shared" si="22"/>
        <v>1.4853656853420305</v>
      </c>
      <c r="BE108" s="13">
        <f t="shared" si="23"/>
        <v>3.55</v>
      </c>
      <c r="BF108" s="13">
        <f>SQRT((AI108*1000/(H108*MIN(U108,AB108)))^2+(Q108*1000000*2*((H108-2*([1]Parametros!$B$7+[1]Parametros!$B$9/2))+(I108-2*([1]Parametros!$B$7+[1]Parametros!$B$9/2)))/(1.7*((H108-2*([1]Parametros!$B$7+[1]Parametros!$B$9/2))*(I108-2*([1]Parametros!$B$7+[1]Parametros!$B$9/2)))^2))^2)</f>
        <v>3.0666593967653681</v>
      </c>
      <c r="BG108" s="13">
        <f>[1]Parametros!$B$6*(AJ108*1000/(H108*MIN(U108,AB108))+0.66*SQRT([1]Parametros!$B$2))</f>
        <v>3.2939603822754151</v>
      </c>
      <c r="BH108" s="13" t="str">
        <f t="shared" si="24"/>
        <v>CUMPLE</v>
      </c>
      <c r="BI108" s="13">
        <f>AX108*[1]Parametros!$B$8</f>
        <v>1592</v>
      </c>
      <c r="BJ108" s="15" t="str">
        <f t="shared" si="25"/>
        <v>CUMPLE</v>
      </c>
    </row>
    <row r="109" spans="1:62" x14ac:dyDescent="0.3">
      <c r="A109" s="18" t="s">
        <v>67</v>
      </c>
      <c r="B109" s="19">
        <v>262</v>
      </c>
      <c r="C109" s="13">
        <v>1</v>
      </c>
      <c r="D109" s="13">
        <v>3.25</v>
      </c>
      <c r="E109" s="13">
        <v>3.25</v>
      </c>
      <c r="F109" s="13">
        <v>450</v>
      </c>
      <c r="G109" s="13">
        <v>550</v>
      </c>
      <c r="H109" s="13">
        <v>450</v>
      </c>
      <c r="I109" s="13">
        <v>550</v>
      </c>
      <c r="J109" s="14">
        <v>176.75360000000001</v>
      </c>
      <c r="K109" s="13">
        <v>262</v>
      </c>
      <c r="L109" s="14">
        <v>150.41669999999999</v>
      </c>
      <c r="M109" s="13">
        <v>262</v>
      </c>
      <c r="N109" s="14">
        <v>106.95</v>
      </c>
      <c r="O109" s="14">
        <v>438.39499999999998</v>
      </c>
      <c r="P109" s="13">
        <v>262</v>
      </c>
      <c r="Q109" s="14">
        <v>64.986400000000003</v>
      </c>
      <c r="R109" s="13">
        <f>MAX(MAX(1.4/[1]Parametros!$B$3,0.25*SQRT([1]Parametros!$B$2)/[1]Parametros!$B$3)*H109*U109,(0.85*[1]Parametros!$B$2/[1]Parametros!$B$3)*(1-SQRT(1-2*(J109*1000000/([1]Parametros!$B$5*H109*U109^2))/(0.85*[1]Parametros!$B$2)))*H109*U109)</f>
        <v>995.24675771371835</v>
      </c>
      <c r="S109" s="14">
        <v>6</v>
      </c>
      <c r="T109" s="14">
        <v>1</v>
      </c>
      <c r="U109" s="13">
        <f>IF(T109=1,I109-([1]Parametros!$B$7+[1]Parametros!$B$9+[1]Parametros!$B$12/2),I109-(ROUNDUP(S109/2,0)*([1]Parametros!$B$7+[1]Parametros!$B$9+[1]Parametros!$B$12/2)+ROUNDDOWN(S109/2,0)*([1]Parametros!$B$7+[1]Parametros!$B$9+[1]Parametros!$B$12/2+[1]Parametros!$B$12+[1]Parametros!$B$10))/S109)</f>
        <v>489.35</v>
      </c>
      <c r="V109" s="13">
        <f>S109*[1]Parametros!$B$8</f>
        <v>1194</v>
      </c>
      <c r="W109" s="13">
        <f>[1]Parametros!$B$5*V109*[1]Parametros!$B$3*(U109-(V109*[1]Parametros!$B$3/(0.85*[1]Parametros!$B$2*H109))/2)/1000000</f>
        <v>210.29283561176473</v>
      </c>
      <c r="X109" s="13" t="str">
        <f t="shared" si="13"/>
        <v>CUMPLE</v>
      </c>
      <c r="Y109" s="13">
        <f>MAX(MAX(1.4/[1]Parametros!$B$3,0.25*SQRT([1]Parametros!$B$2)/[1]Parametros!$B$3)*H109*AB109,(0.85*[1]Parametros!$B$2/[1]Parametros!$B$3)*(1-SQRT(1-2*(L109*1000000/([1]Parametros!$B$5*H109*AB109^2))/(0.85*[1]Parametros!$B$2)))*H109*AB109)</f>
        <v>841.55369307396961</v>
      </c>
      <c r="Z109" s="14">
        <v>5</v>
      </c>
      <c r="AA109" s="14">
        <v>1</v>
      </c>
      <c r="AB109" s="13">
        <f>IF(AA109=1,I109-([1]Parametros!$B$7+[1]Parametros!$B$9+[1]Parametros!$B$12/2),I109-(ROUNDUP(Z109/2,0)*([1]Parametros!$B$7+[1]Parametros!$B$9+[1]Parametros!$B$12/2)+ROUNDDOWN(Z109/2,0)*([1]Parametros!$B$7+[1]Parametros!$B$9+[1]Parametros!$B$12/2+[1]Parametros!$B$12+[1]Parametros!$B$10))/Z109)</f>
        <v>489.35</v>
      </c>
      <c r="AC109" s="13">
        <f>Z109*[1]Parametros!$B$8</f>
        <v>995</v>
      </c>
      <c r="AD109" s="13">
        <f>[1]Parametros!$B$5*AC109*[1]Parametros!$B$3*(AB109-(AC109*[1]Parametros!$B$3/(0.85*[1]Parametros!$B$2*H109))/2)/1000000</f>
        <v>176.71159614705886</v>
      </c>
      <c r="AE109" s="13" t="str">
        <f t="shared" si="14"/>
        <v>CUMPLE</v>
      </c>
      <c r="AF109" s="13">
        <f>V109*1.25*[1]Parametros!$B$3*(U109-(V109*1.25*[1]Parametros!$B$3/(0.85*[1]Parametros!$B$2*H109))/2)/1000000</f>
        <v>288.40446661764707</v>
      </c>
      <c r="AG109" s="13">
        <f>AC109*1.25*[1]Parametros!$B$3*(AB109-(AC109*1.25*[1]Parametros!$B$3/(0.85*[1]Parametros!$B$2*H109))/2)/1000000</f>
        <v>242.88491397058826</v>
      </c>
      <c r="AH109" s="13">
        <f t="shared" si="15"/>
        <v>270.42365556561089</v>
      </c>
      <c r="AI109" s="13">
        <f t="shared" si="16"/>
        <v>438.39499999999998</v>
      </c>
      <c r="AJ109" s="13">
        <f>0.17*SQRT([1]Parametros!$B$2)*H109*MIN(U109,AB109)/1000</f>
        <v>198.08885582262698</v>
      </c>
      <c r="AK109" s="13">
        <f>MAX(AI109/[1]Parametros!$B$6-AJ109,0)</f>
        <v>386.43781084403963</v>
      </c>
      <c r="AL109" s="13">
        <f>0.66*SQRT([1]Parametros!$B$2)*H109*MIN(U109,AB109)/1000</f>
        <v>769.05085201725785</v>
      </c>
      <c r="AM109" s="13" t="str">
        <f t="shared" si="17"/>
        <v>CUMPLE</v>
      </c>
      <c r="AN109" s="13" t="s">
        <v>64</v>
      </c>
      <c r="AO109" s="14">
        <v>4</v>
      </c>
      <c r="AP109" s="13">
        <f>ROUNDDOWN(MIN(IF(BC109+BD109=0,1000000000,AO109*BB109/(BC109+BD109)),MIN(U109,AB109)/4,8*[1]Parametros!$B$12,24*BA109,300,IF(AV109=0,1000000000,2*((H109-2*([1]Parametros!$B$7+[1]Parametros!$B$9/2))+(I109-2*([1]Parametros!$B$7+[1]Parametros!$B$9/2)))/8))/10,0)*10</f>
        <v>80</v>
      </c>
      <c r="AQ109" s="13">
        <f>ROUNDDOWN(MIN(IF(BC109+BD109=0,1000000000,AO109*BB109/(BC109+BD109)),IF(AK109&gt;0.33*SQRT([1]Parametros!$B$2)*H109*MIN(U109,AB109)/1000,MIN(U109,AB109)/4,MIN(U109,AB109)/2),600,IF(AV109=0,1000000000,2*((H109-2*([1]Parametros!$B$7+[1]Parametros!$B$9/2))+(I109-2*([1]Parametros!$B$7+[1]Parametros!$B$9/2)))/8))/10,0)*10</f>
        <v>80</v>
      </c>
      <c r="AR109" s="13">
        <f>[1]Parametros!$B$6*(AJ109+MAX(BE109-BD109,0)*[1]Parametros!$B$4*MIN(U109,AB109)/1000)</f>
        <v>466.80682539978966</v>
      </c>
      <c r="AS109" s="13" t="str">
        <f t="shared" si="18"/>
        <v>CUMPLE</v>
      </c>
      <c r="AT109" s="13">
        <f>[1]Parametros!$B$6*0.083*SQRT([1]Parametros!$B$2)*(H109*I109)^2/(2*(H109+I109))/1000000</f>
        <v>10.08878303333792</v>
      </c>
      <c r="AU109" s="13" t="str">
        <f t="shared" si="19"/>
        <v>DISEÑAR</v>
      </c>
      <c r="AV109" s="13">
        <f>IF(Q109&lt;=AT109,0,Q109*1000000/([1]Parametros!$B$6*2*0.85*(H109-2*([1]Parametros!$B$7+[1]Parametros!$B$9/2))*(I109-2*([1]Parametros!$B$7+[1]Parametros!$B$9/2))*[1]Parametros!$B$4))</f>
        <v>0.74272627267846569</v>
      </c>
      <c r="AW109" s="13">
        <f>AV109*2*((H109-2*([1]Parametros!$B$7+[1]Parametros!$B$9/2))+(I109-2*([1]Parametros!$B$7+[1]Parametros!$B$9/2)))*[1]Parametros!$B$4/[1]Parametros!$B$3</f>
        <v>1210.0496434477564</v>
      </c>
      <c r="AX109" s="14">
        <v>8</v>
      </c>
      <c r="AY109" s="13" t="str">
        <f t="shared" si="20"/>
        <v>CUMPLE</v>
      </c>
      <c r="AZ109" s="13" t="str">
        <f t="shared" si="21"/>
        <v>CUMPLE</v>
      </c>
      <c r="BA109" s="14">
        <v>9.5</v>
      </c>
      <c r="BB109" s="14">
        <v>71</v>
      </c>
      <c r="BC109" s="13">
        <f>MAX(IF(AK109=0,0,AK109*1000/([1]Parametros!$B$4*MIN(U109,AB109))),MAX(0.062*SQRT([1]Parametros!$B$2)*H109/[1]Parametros!$B$4,0.35*H109/[1]Parametros!$B$4))</f>
        <v>1.8802289278004334</v>
      </c>
      <c r="BD109" s="13">
        <f t="shared" si="22"/>
        <v>1.4854525453569314</v>
      </c>
      <c r="BE109" s="13">
        <f t="shared" si="23"/>
        <v>3.55</v>
      </c>
      <c r="BF109" s="13">
        <f>SQRT((AI109*1000/(H109*MIN(U109,AB109)))^2+(Q109*1000000*2*((H109-2*([1]Parametros!$B$7+[1]Parametros!$B$9/2))+(I109-2*([1]Parametros!$B$7+[1]Parametros!$B$9/2)))/(1.7*((H109-2*([1]Parametros!$B$7+[1]Parametros!$B$9/2))*(I109-2*([1]Parametros!$B$7+[1]Parametros!$B$9/2)))^2))^2)</f>
        <v>3.0668221150960102</v>
      </c>
      <c r="BG109" s="13">
        <f>[1]Parametros!$B$6*(AJ109*1000/(H109*MIN(U109,AB109))+0.66*SQRT([1]Parametros!$B$2))</f>
        <v>3.2939603822754151</v>
      </c>
      <c r="BH109" s="13" t="str">
        <f t="shared" si="24"/>
        <v>CUMPLE</v>
      </c>
      <c r="BI109" s="13">
        <f>AX109*[1]Parametros!$B$8</f>
        <v>1592</v>
      </c>
      <c r="BJ109" s="15" t="str">
        <f t="shared" si="25"/>
        <v>CUMPLE</v>
      </c>
    </row>
    <row r="110" spans="1:62" x14ac:dyDescent="0.3">
      <c r="A110" s="18" t="s">
        <v>67</v>
      </c>
      <c r="B110" s="19">
        <v>287</v>
      </c>
      <c r="C110" s="13">
        <v>1</v>
      </c>
      <c r="D110" s="13">
        <v>3.25</v>
      </c>
      <c r="E110" s="13">
        <v>3.25</v>
      </c>
      <c r="F110" s="13">
        <v>450</v>
      </c>
      <c r="G110" s="13">
        <v>550</v>
      </c>
      <c r="H110" s="13">
        <v>450</v>
      </c>
      <c r="I110" s="13">
        <v>550</v>
      </c>
      <c r="J110" s="14">
        <v>176.68979999999999</v>
      </c>
      <c r="K110" s="13">
        <v>287</v>
      </c>
      <c r="L110" s="14">
        <v>150.47210000000001</v>
      </c>
      <c r="M110" s="13">
        <v>287</v>
      </c>
      <c r="N110" s="14">
        <v>106.992</v>
      </c>
      <c r="O110" s="14">
        <v>438.40100000000001</v>
      </c>
      <c r="P110" s="13">
        <v>287</v>
      </c>
      <c r="Q110" s="14">
        <v>64.996600000000001</v>
      </c>
      <c r="R110" s="13">
        <f>MAX(MAX(1.4/[1]Parametros!$B$3,0.25*SQRT([1]Parametros!$B$2)/[1]Parametros!$B$3)*H110*U110,(0.85*[1]Parametros!$B$2/[1]Parametros!$B$3)*(1-SQRT(1-2*(J110*1000000/([1]Parametros!$B$5*H110*U110^2))/(0.85*[1]Parametros!$B$2)))*H110*U110)</f>
        <v>994.871957468912</v>
      </c>
      <c r="S110" s="14">
        <v>5</v>
      </c>
      <c r="T110" s="14">
        <v>1</v>
      </c>
      <c r="U110" s="13">
        <f>IF(T110=1,I110-([1]Parametros!$B$7+[1]Parametros!$B$9+[1]Parametros!$B$12/2),I110-(ROUNDUP(S110/2,0)*([1]Parametros!$B$7+[1]Parametros!$B$9+[1]Parametros!$B$12/2)+ROUNDDOWN(S110/2,0)*([1]Parametros!$B$7+[1]Parametros!$B$9+[1]Parametros!$B$12/2+[1]Parametros!$B$12+[1]Parametros!$B$10))/S110)</f>
        <v>489.35</v>
      </c>
      <c r="V110" s="13">
        <f>S110*[1]Parametros!$B$8</f>
        <v>995</v>
      </c>
      <c r="W110" s="13">
        <f>[1]Parametros!$B$5*V110*[1]Parametros!$B$3*(U110-(V110*[1]Parametros!$B$3/(0.85*[1]Parametros!$B$2*H110))/2)/1000000</f>
        <v>176.71159614705886</v>
      </c>
      <c r="X110" s="13" t="str">
        <f t="shared" si="13"/>
        <v>CUMPLE</v>
      </c>
      <c r="Y110" s="13">
        <f>MAX(MAX(1.4/[1]Parametros!$B$3,0.25*SQRT([1]Parametros!$B$2)/[1]Parametros!$B$3)*H110*AB110,(0.85*[1]Parametros!$B$2/[1]Parametros!$B$3)*(1-SQRT(1-2*(L110*1000000/([1]Parametros!$B$5*H110*AB110^2))/(0.85*[1]Parametros!$B$2)))*H110*AB110)</f>
        <v>841.87485784946091</v>
      </c>
      <c r="Z110" s="14">
        <v>5</v>
      </c>
      <c r="AA110" s="14">
        <v>1</v>
      </c>
      <c r="AB110" s="13">
        <f>IF(AA110=1,I110-([1]Parametros!$B$7+[1]Parametros!$B$9+[1]Parametros!$B$12/2),I110-(ROUNDUP(Z110/2,0)*([1]Parametros!$B$7+[1]Parametros!$B$9+[1]Parametros!$B$12/2)+ROUNDDOWN(Z110/2,0)*([1]Parametros!$B$7+[1]Parametros!$B$9+[1]Parametros!$B$12/2+[1]Parametros!$B$12+[1]Parametros!$B$10))/Z110)</f>
        <v>489.35</v>
      </c>
      <c r="AC110" s="13">
        <f>Z110*[1]Parametros!$B$8</f>
        <v>995</v>
      </c>
      <c r="AD110" s="13">
        <f>[1]Parametros!$B$5*AC110*[1]Parametros!$B$3*(AB110-(AC110*[1]Parametros!$B$3/(0.85*[1]Parametros!$B$2*H110))/2)/1000000</f>
        <v>176.71159614705886</v>
      </c>
      <c r="AE110" s="13" t="str">
        <f t="shared" si="14"/>
        <v>CUMPLE</v>
      </c>
      <c r="AF110" s="13">
        <f>V110*1.25*[1]Parametros!$B$3*(U110-(V110*1.25*[1]Parametros!$B$3/(0.85*[1]Parametros!$B$2*H110))/2)/1000000</f>
        <v>242.88491397058826</v>
      </c>
      <c r="AG110" s="13">
        <f>AC110*1.25*[1]Parametros!$B$3*(AB110-(AC110*1.25*[1]Parametros!$B$3/(0.85*[1]Parametros!$B$2*H110))/2)/1000000</f>
        <v>242.88491397058826</v>
      </c>
      <c r="AH110" s="13">
        <f t="shared" si="15"/>
        <v>256.45963936651583</v>
      </c>
      <c r="AI110" s="13">
        <f t="shared" si="16"/>
        <v>438.40100000000001</v>
      </c>
      <c r="AJ110" s="13">
        <f>0.17*SQRT([1]Parametros!$B$2)*H110*MIN(U110,AB110)/1000</f>
        <v>198.08885582262698</v>
      </c>
      <c r="AK110" s="13">
        <f>MAX(AI110/[1]Parametros!$B$6-AJ110,0)</f>
        <v>386.44581084403967</v>
      </c>
      <c r="AL110" s="13">
        <f>0.66*SQRT([1]Parametros!$B$2)*H110*MIN(U110,AB110)/1000</f>
        <v>769.05085201725785</v>
      </c>
      <c r="AM110" s="13" t="str">
        <f t="shared" si="17"/>
        <v>CUMPLE</v>
      </c>
      <c r="AN110" s="13" t="s">
        <v>64</v>
      </c>
      <c r="AO110" s="14">
        <v>4</v>
      </c>
      <c r="AP110" s="13">
        <f>ROUNDDOWN(MIN(IF(BC110+BD110=0,1000000000,AO110*BB110/(BC110+BD110)),MIN(U110,AB110)/4,8*[1]Parametros!$B$12,24*BA110,300,IF(AV110=0,1000000000,2*((H110-2*([1]Parametros!$B$7+[1]Parametros!$B$9/2))+(I110-2*([1]Parametros!$B$7+[1]Parametros!$B$9/2)))/8))/10,0)*10</f>
        <v>80</v>
      </c>
      <c r="AQ110" s="13">
        <f>ROUNDDOWN(MIN(IF(BC110+BD110=0,1000000000,AO110*BB110/(BC110+BD110)),IF(AK110&gt;0.33*SQRT([1]Parametros!$B$2)*H110*MIN(U110,AB110)/1000,MIN(U110,AB110)/4,MIN(U110,AB110)/2),600,IF(AV110=0,1000000000,2*((H110-2*([1]Parametros!$B$7+[1]Parametros!$B$9/2))+(I110-2*([1]Parametros!$B$7+[1]Parametros!$B$9/2)))/8))/10,0)*10</f>
        <v>80</v>
      </c>
      <c r="AR110" s="13">
        <f>[1]Parametros!$B$6*(AJ110+MAX(BE110-BD110,0)*[1]Parametros!$B$4*MIN(U110,AB110)/1000)</f>
        <v>466.7708863474578</v>
      </c>
      <c r="AS110" s="13" t="str">
        <f t="shared" si="18"/>
        <v>CUMPLE</v>
      </c>
      <c r="AT110" s="13">
        <f>[1]Parametros!$B$6*0.083*SQRT([1]Parametros!$B$2)*(H110*I110)^2/(2*(H110+I110))/1000000</f>
        <v>10.08878303333792</v>
      </c>
      <c r="AU110" s="13" t="str">
        <f t="shared" si="19"/>
        <v>DISEÑAR</v>
      </c>
      <c r="AV110" s="13">
        <f>IF(Q110&lt;=AT110,0,Q110*1000000/([1]Parametros!$B$6*2*0.85*(H110-2*([1]Parametros!$B$7+[1]Parametros!$B$9/2))*(I110-2*([1]Parametros!$B$7+[1]Parametros!$B$9/2))*[1]Parametros!$B$4))</f>
        <v>0.74284284796162214</v>
      </c>
      <c r="AW110" s="13">
        <f>AV110*2*((H110-2*([1]Parametros!$B$7+[1]Parametros!$B$9/2))+(I110-2*([1]Parametros!$B$7+[1]Parametros!$B$9/2)))*[1]Parametros!$B$4/[1]Parametros!$B$3</f>
        <v>1210.2395678990749</v>
      </c>
      <c r="AX110" s="14">
        <v>8</v>
      </c>
      <c r="AY110" s="13" t="str">
        <f t="shared" si="20"/>
        <v>CUMPLE</v>
      </c>
      <c r="AZ110" s="13" t="str">
        <f t="shared" si="21"/>
        <v>CUMPLE</v>
      </c>
      <c r="BA110" s="14">
        <v>9.5</v>
      </c>
      <c r="BB110" s="14">
        <v>71</v>
      </c>
      <c r="BC110" s="13">
        <f>MAX(IF(AK110=0,0,AK110*1000/([1]Parametros!$B$4*MIN(U110,AB110))),MAX(0.062*SQRT([1]Parametros!$B$2)*H110/[1]Parametros!$B$4,0.35*H110/[1]Parametros!$B$4))</f>
        <v>1.8802678521266776</v>
      </c>
      <c r="BD110" s="13">
        <f t="shared" si="22"/>
        <v>1.4856856959232443</v>
      </c>
      <c r="BE110" s="13">
        <f t="shared" si="23"/>
        <v>3.55</v>
      </c>
      <c r="BF110" s="13">
        <f>SQRT((AI110*1000/(H110*MIN(U110,AB110)))^2+(Q110*1000000*2*((H110-2*([1]Parametros!$B$7+[1]Parametros!$B$9/2))+(I110-2*([1]Parametros!$B$7+[1]Parametros!$B$9/2)))/(1.7*((H110-2*([1]Parametros!$B$7+[1]Parametros!$B$9/2))*(I110-2*([1]Parametros!$B$7+[1]Parametros!$B$9/2)))^2))^2)</f>
        <v>3.0671183248921983</v>
      </c>
      <c r="BG110" s="13">
        <f>[1]Parametros!$B$6*(AJ110*1000/(H110*MIN(U110,AB110))+0.66*SQRT([1]Parametros!$B$2))</f>
        <v>3.2939603822754151</v>
      </c>
      <c r="BH110" s="13" t="str">
        <f t="shared" si="24"/>
        <v>CUMPLE</v>
      </c>
      <c r="BI110" s="13">
        <f>AX110*[1]Parametros!$B$8</f>
        <v>1592</v>
      </c>
      <c r="BJ110" s="15" t="str">
        <f t="shared" si="25"/>
        <v>CUMPLE</v>
      </c>
    </row>
    <row r="111" spans="1:62" x14ac:dyDescent="0.3">
      <c r="A111" s="18" t="s">
        <v>67</v>
      </c>
      <c r="B111" s="19">
        <v>288</v>
      </c>
      <c r="C111" s="13">
        <v>1</v>
      </c>
      <c r="D111" s="13">
        <v>3.25</v>
      </c>
      <c r="E111" s="13">
        <v>3.25</v>
      </c>
      <c r="F111" s="13">
        <v>450</v>
      </c>
      <c r="G111" s="13">
        <v>550</v>
      </c>
      <c r="H111" s="13">
        <v>450</v>
      </c>
      <c r="I111" s="13">
        <v>550</v>
      </c>
      <c r="J111" s="14">
        <v>176.72649999999999</v>
      </c>
      <c r="K111" s="13">
        <v>288</v>
      </c>
      <c r="L111" s="14">
        <v>150.4504</v>
      </c>
      <c r="M111" s="13">
        <v>288</v>
      </c>
      <c r="N111" s="14">
        <v>106.98099999999999</v>
      </c>
      <c r="O111" s="14">
        <v>438.41199999999998</v>
      </c>
      <c r="P111" s="13">
        <v>288</v>
      </c>
      <c r="Q111" s="14">
        <v>64.995699999999999</v>
      </c>
      <c r="R111" s="13">
        <f>MAX(MAX(1.4/[1]Parametros!$B$3,0.25*SQRT([1]Parametros!$B$2)/[1]Parametros!$B$3)*H111*U111,(0.85*[1]Parametros!$B$2/[1]Parametros!$B$3)*(1-SQRT(1-2*(J111*1000000/([1]Parametros!$B$5*H111*U111^2))/(0.85*[1]Parametros!$B$2)))*H111*U111)</f>
        <v>995.08755423435616</v>
      </c>
      <c r="S111" s="14">
        <v>6</v>
      </c>
      <c r="T111" s="14">
        <v>1</v>
      </c>
      <c r="U111" s="13">
        <f>IF(T111=1,I111-([1]Parametros!$B$7+[1]Parametros!$B$9+[1]Parametros!$B$12/2),I111-(ROUNDUP(S111/2,0)*([1]Parametros!$B$7+[1]Parametros!$B$9+[1]Parametros!$B$12/2)+ROUNDDOWN(S111/2,0)*([1]Parametros!$B$7+[1]Parametros!$B$9+[1]Parametros!$B$12/2+[1]Parametros!$B$12+[1]Parametros!$B$10))/S111)</f>
        <v>489.35</v>
      </c>
      <c r="V111" s="13">
        <f>S111*[1]Parametros!$B$8</f>
        <v>1194</v>
      </c>
      <c r="W111" s="13">
        <f>[1]Parametros!$B$5*V111*[1]Parametros!$B$3*(U111-(V111*[1]Parametros!$B$3/(0.85*[1]Parametros!$B$2*H111))/2)/1000000</f>
        <v>210.29283561176473</v>
      </c>
      <c r="X111" s="13" t="str">
        <f t="shared" si="13"/>
        <v>CUMPLE</v>
      </c>
      <c r="Y111" s="13">
        <f>MAX(MAX(1.4/[1]Parametros!$B$3,0.25*SQRT([1]Parametros!$B$2)/[1]Parametros!$B$3)*H111*AB111,(0.85*[1]Parametros!$B$2/[1]Parametros!$B$3)*(1-SQRT(1-2*(L111*1000000/([1]Parametros!$B$5*H111*AB111^2))/(0.85*[1]Parametros!$B$2)))*H111*AB111)</f>
        <v>841.74905759438911</v>
      </c>
      <c r="Z111" s="14">
        <v>5</v>
      </c>
      <c r="AA111" s="14">
        <v>1</v>
      </c>
      <c r="AB111" s="13">
        <f>IF(AA111=1,I111-([1]Parametros!$B$7+[1]Parametros!$B$9+[1]Parametros!$B$12/2),I111-(ROUNDUP(Z111/2,0)*([1]Parametros!$B$7+[1]Parametros!$B$9+[1]Parametros!$B$12/2)+ROUNDDOWN(Z111/2,0)*([1]Parametros!$B$7+[1]Parametros!$B$9+[1]Parametros!$B$12/2+[1]Parametros!$B$12+[1]Parametros!$B$10))/Z111)</f>
        <v>489.35</v>
      </c>
      <c r="AC111" s="13">
        <f>Z111*[1]Parametros!$B$8</f>
        <v>995</v>
      </c>
      <c r="AD111" s="13">
        <f>[1]Parametros!$B$5*AC111*[1]Parametros!$B$3*(AB111-(AC111*[1]Parametros!$B$3/(0.85*[1]Parametros!$B$2*H111))/2)/1000000</f>
        <v>176.71159614705886</v>
      </c>
      <c r="AE111" s="13" t="str">
        <f t="shared" si="14"/>
        <v>CUMPLE</v>
      </c>
      <c r="AF111" s="13">
        <f>V111*1.25*[1]Parametros!$B$3*(U111-(V111*1.25*[1]Parametros!$B$3/(0.85*[1]Parametros!$B$2*H111))/2)/1000000</f>
        <v>288.40446661764707</v>
      </c>
      <c r="AG111" s="13">
        <f>AC111*1.25*[1]Parametros!$B$3*(AB111-(AC111*1.25*[1]Parametros!$B$3/(0.85*[1]Parametros!$B$2*H111))/2)/1000000</f>
        <v>242.88491397058826</v>
      </c>
      <c r="AH111" s="13">
        <f t="shared" si="15"/>
        <v>270.45465556561089</v>
      </c>
      <c r="AI111" s="13">
        <f t="shared" si="16"/>
        <v>438.41199999999998</v>
      </c>
      <c r="AJ111" s="13">
        <f>0.17*SQRT([1]Parametros!$B$2)*H111*MIN(U111,AB111)/1000</f>
        <v>198.08885582262698</v>
      </c>
      <c r="AK111" s="13">
        <f>MAX(AI111/[1]Parametros!$B$6-AJ111,0)</f>
        <v>386.46047751070626</v>
      </c>
      <c r="AL111" s="13">
        <f>0.66*SQRT([1]Parametros!$B$2)*H111*MIN(U111,AB111)/1000</f>
        <v>769.05085201725785</v>
      </c>
      <c r="AM111" s="13" t="str">
        <f t="shared" si="17"/>
        <v>CUMPLE</v>
      </c>
      <c r="AN111" s="13" t="s">
        <v>64</v>
      </c>
      <c r="AO111" s="14">
        <v>4</v>
      </c>
      <c r="AP111" s="13">
        <f>ROUNDDOWN(MIN(IF(BC111+BD111=0,1000000000,AO111*BB111/(BC111+BD111)),MIN(U111,AB111)/4,8*[1]Parametros!$B$12,24*BA111,300,IF(AV111=0,1000000000,2*((H111-2*([1]Parametros!$B$7+[1]Parametros!$B$9/2))+(I111-2*([1]Parametros!$B$7+[1]Parametros!$B$9/2)))/8))/10,0)*10</f>
        <v>80</v>
      </c>
      <c r="AQ111" s="13">
        <f>ROUNDDOWN(MIN(IF(BC111+BD111=0,1000000000,AO111*BB111/(BC111+BD111)),IF(AK111&gt;0.33*SQRT([1]Parametros!$B$2)*H111*MIN(U111,AB111)/1000,MIN(U111,AB111)/4,MIN(U111,AB111)/2),600,IF(AV111=0,1000000000,2*((H111-2*([1]Parametros!$B$7+[1]Parametros!$B$9/2))+(I111-2*([1]Parametros!$B$7+[1]Parametros!$B$9/2)))/8))/10,0)*10</f>
        <v>80</v>
      </c>
      <c r="AR111" s="13">
        <f>[1]Parametros!$B$6*(AJ111+MAX(BE111-BD111,0)*[1]Parametros!$B$4*MIN(U111,AB111)/1000)</f>
        <v>466.77405744031057</v>
      </c>
      <c r="AS111" s="13" t="str">
        <f t="shared" si="18"/>
        <v>CUMPLE</v>
      </c>
      <c r="AT111" s="13">
        <f>[1]Parametros!$B$6*0.083*SQRT([1]Parametros!$B$2)*(H111*I111)^2/(2*(H111+I111))/1000000</f>
        <v>10.08878303333792</v>
      </c>
      <c r="AU111" s="13" t="str">
        <f t="shared" si="19"/>
        <v>DISEÑAR</v>
      </c>
      <c r="AV111" s="13">
        <f>IF(Q111&lt;=AT111,0,Q111*1000000/([1]Parametros!$B$6*2*0.85*(H111-2*([1]Parametros!$B$7+[1]Parametros!$B$9/2))*(I111-2*([1]Parametros!$B$7+[1]Parametros!$B$9/2))*[1]Parametros!$B$4))</f>
        <v>0.74283256190722591</v>
      </c>
      <c r="AW111" s="13">
        <f>AV111*2*((H111-2*([1]Parametros!$B$7+[1]Parametros!$B$9/2))+(I111-2*([1]Parametros!$B$7+[1]Parametros!$B$9/2)))*[1]Parametros!$B$4/[1]Parametros!$B$3</f>
        <v>1210.2228098592525</v>
      </c>
      <c r="AX111" s="14">
        <v>8</v>
      </c>
      <c r="AY111" s="13" t="str">
        <f t="shared" si="20"/>
        <v>CUMPLE</v>
      </c>
      <c r="AZ111" s="13" t="str">
        <f t="shared" si="21"/>
        <v>CUMPLE</v>
      </c>
      <c r="BA111" s="14">
        <v>9.5</v>
      </c>
      <c r="BB111" s="14">
        <v>71</v>
      </c>
      <c r="BC111" s="13">
        <f>MAX(IF(AK111=0,0,AK111*1000/([1]Parametros!$B$4*MIN(U111,AB111))),MAX(0.062*SQRT([1]Parametros!$B$2)*H111/[1]Parametros!$B$4,0.35*H111/[1]Parametros!$B$4))</f>
        <v>1.8803392133914583</v>
      </c>
      <c r="BD111" s="13">
        <f t="shared" si="22"/>
        <v>1.4856651238144518</v>
      </c>
      <c r="BE111" s="13">
        <f t="shared" si="23"/>
        <v>3.55</v>
      </c>
      <c r="BF111" s="13">
        <f>SQRT((AI111*1000/(H111*MIN(U111,AB111)))^2+(Q111*1000000*2*((H111-2*([1]Parametros!$B$7+[1]Parametros!$B$9/2))+(I111-2*([1]Parametros!$B$7+[1]Parametros!$B$9/2)))/(1.7*((H111-2*([1]Parametros!$B$7+[1]Parametros!$B$9/2))*(I111-2*([1]Parametros!$B$7+[1]Parametros!$B$9/2)))^2))^2)</f>
        <v>3.0671261733628676</v>
      </c>
      <c r="BG111" s="13">
        <f>[1]Parametros!$B$6*(AJ111*1000/(H111*MIN(U111,AB111))+0.66*SQRT([1]Parametros!$B$2))</f>
        <v>3.2939603822754151</v>
      </c>
      <c r="BH111" s="13" t="str">
        <f t="shared" si="24"/>
        <v>CUMPLE</v>
      </c>
      <c r="BI111" s="13">
        <f>AX111*[1]Parametros!$B$8</f>
        <v>1592</v>
      </c>
      <c r="BJ111" s="15" t="str">
        <f t="shared" si="25"/>
        <v>CUMPLE</v>
      </c>
    </row>
    <row r="112" spans="1:62" x14ac:dyDescent="0.3">
      <c r="A112" s="18" t="s">
        <v>67</v>
      </c>
      <c r="B112" s="19">
        <v>819</v>
      </c>
      <c r="C112" s="13">
        <v>1</v>
      </c>
      <c r="D112" s="13">
        <v>3.25</v>
      </c>
      <c r="E112" s="13">
        <v>3.25</v>
      </c>
      <c r="F112" s="13">
        <v>450</v>
      </c>
      <c r="G112" s="13">
        <v>550</v>
      </c>
      <c r="H112" s="13">
        <v>450</v>
      </c>
      <c r="I112" s="13">
        <v>550</v>
      </c>
      <c r="J112" s="14">
        <v>136.21340000000001</v>
      </c>
      <c r="K112" s="13">
        <v>819</v>
      </c>
      <c r="L112" s="14">
        <v>110.59610000000001</v>
      </c>
      <c r="M112" s="13">
        <v>819</v>
      </c>
      <c r="N112" s="14">
        <v>86.614000000000004</v>
      </c>
      <c r="O112" s="14">
        <v>333.82299999999998</v>
      </c>
      <c r="P112" s="13">
        <v>819</v>
      </c>
      <c r="Q112" s="14">
        <v>48.1995</v>
      </c>
      <c r="R112" s="13">
        <f>MAX(MAX(1.4/[1]Parametros!$B$3,0.25*SQRT([1]Parametros!$B$2)/[1]Parametros!$B$3)*H112*U112,(0.85*[1]Parametros!$B$2/[1]Parametros!$B$3)*(1-SQRT(1-2*(J112*1000000/([1]Parametros!$B$5*H112*U112^2))/(0.85*[1]Parametros!$B$2)))*H112*U112)</f>
        <v>759.50473967197831</v>
      </c>
      <c r="S112" s="14">
        <v>4</v>
      </c>
      <c r="T112" s="14">
        <v>1</v>
      </c>
      <c r="U112" s="13">
        <f>IF(T112=1,I112-([1]Parametros!$B$7+[1]Parametros!$B$9+[1]Parametros!$B$12/2),I112-(ROUNDUP(S112/2,0)*([1]Parametros!$B$7+[1]Parametros!$B$9+[1]Parametros!$B$12/2)+ROUNDDOWN(S112/2,0)*([1]Parametros!$B$7+[1]Parametros!$B$9+[1]Parametros!$B$12/2+[1]Parametros!$B$12+[1]Parametros!$B$10))/S112)</f>
        <v>489.35</v>
      </c>
      <c r="V112" s="13">
        <f>S112*[1]Parametros!$B$8</f>
        <v>796</v>
      </c>
      <c r="W112" s="13">
        <f>[1]Parametros!$B$5*V112*[1]Parametros!$B$3*(U112-(V112*[1]Parametros!$B$3/(0.85*[1]Parametros!$B$2*H112))/2)/1000000</f>
        <v>142.54333009411764</v>
      </c>
      <c r="X112" s="13" t="str">
        <f t="shared" si="13"/>
        <v>CUMPLE</v>
      </c>
      <c r="Y112" s="13">
        <f>MAX(MAX(1.4/[1]Parametros!$B$3,0.25*SQRT([1]Parametros!$B$2)/[1]Parametros!$B$3)*H112*AB112,(0.85*[1]Parametros!$B$2/[1]Parametros!$B$3)*(1-SQRT(1-2*(L112*1000000/([1]Parametros!$B$5*H112*AB112^2))/(0.85*[1]Parametros!$B$2)))*H112*AB112)</f>
        <v>734.02500000000009</v>
      </c>
      <c r="Z112" s="14">
        <v>4</v>
      </c>
      <c r="AA112" s="14">
        <v>1</v>
      </c>
      <c r="AB112" s="13">
        <f>IF(AA112=1,I112-([1]Parametros!$B$7+[1]Parametros!$B$9+[1]Parametros!$B$12/2),I112-(ROUNDUP(Z112/2,0)*([1]Parametros!$B$7+[1]Parametros!$B$9+[1]Parametros!$B$12/2)+ROUNDDOWN(Z112/2,0)*([1]Parametros!$B$7+[1]Parametros!$B$9+[1]Parametros!$B$12/2+[1]Parametros!$B$12+[1]Parametros!$B$10))/Z112)</f>
        <v>489.35</v>
      </c>
      <c r="AC112" s="13">
        <f>Z112*[1]Parametros!$B$8</f>
        <v>796</v>
      </c>
      <c r="AD112" s="13">
        <f>[1]Parametros!$B$5*AC112*[1]Parametros!$B$3*(AB112-(AC112*[1]Parametros!$B$3/(0.85*[1]Parametros!$B$2*H112))/2)/1000000</f>
        <v>142.54333009411764</v>
      </c>
      <c r="AE112" s="13" t="str">
        <f t="shared" si="14"/>
        <v>CUMPLE</v>
      </c>
      <c r="AF112" s="13">
        <f>V112*1.25*[1]Parametros!$B$3*(U112-(V112*1.25*[1]Parametros!$B$3/(0.85*[1]Parametros!$B$2*H112))/2)/1000000</f>
        <v>196.34621794117646</v>
      </c>
      <c r="AG112" s="13">
        <f>AC112*1.25*[1]Parametros!$B$3*(AB112-(AC112*1.25*[1]Parametros!$B$3/(0.85*[1]Parametros!$B$2*H112))/2)/1000000</f>
        <v>196.34621794117646</v>
      </c>
      <c r="AH112" s="13">
        <f t="shared" si="15"/>
        <v>207.44244180995474</v>
      </c>
      <c r="AI112" s="13">
        <f t="shared" si="16"/>
        <v>333.82299999999998</v>
      </c>
      <c r="AJ112" s="13">
        <f>0.17*SQRT([1]Parametros!$B$2)*H112*MIN(U112,AB112)/1000</f>
        <v>198.08885582262698</v>
      </c>
      <c r="AK112" s="13">
        <f>MAX(AI112/[1]Parametros!$B$6-AJ112,0)</f>
        <v>247.00847751070634</v>
      </c>
      <c r="AL112" s="13">
        <f>0.66*SQRT([1]Parametros!$B$2)*H112*MIN(U112,AB112)/1000</f>
        <v>769.05085201725785</v>
      </c>
      <c r="AM112" s="13" t="str">
        <f t="shared" si="17"/>
        <v>CUMPLE</v>
      </c>
      <c r="AN112" s="13" t="s">
        <v>68</v>
      </c>
      <c r="AO112" s="14">
        <v>2</v>
      </c>
      <c r="AP112" s="13">
        <f>ROUNDDOWN(MIN(IF(BC112+BD112=0,1000000000,AO112*BB112/(BC112+BD112)),MIN(U112,AB112)/4,8*[1]Parametros!$B$12,24*BA112,300,IF(AV112=0,1000000000,2*((H112-2*([1]Parametros!$B$7+[1]Parametros!$B$9/2))+(I112-2*([1]Parametros!$B$7+[1]Parametros!$B$9/2)))/8))/10,0)*10</f>
        <v>110</v>
      </c>
      <c r="AQ112" s="13">
        <f>ROUNDDOWN(MIN(IF(BC112+BD112=0,1000000000,AO112*BB112/(BC112+BD112)),IF(AK112&gt;0.33*SQRT([1]Parametros!$B$2)*H112*MIN(U112,AB112)/1000,MIN(U112,AB112)/4,MIN(U112,AB112)/2),600,IF(AV112=0,1000000000,2*((H112-2*([1]Parametros!$B$7+[1]Parametros!$B$9/2))+(I112-2*([1]Parametros!$B$7+[1]Parametros!$B$9/2)))/8))/10,0)*10</f>
        <v>110</v>
      </c>
      <c r="AR112" s="13">
        <f>[1]Parametros!$B$6*(AJ112+MAX(BE112-BD112,0)*[1]Parametros!$B$4*MIN(U112,AB112)/1000)</f>
        <v>340.27944140695467</v>
      </c>
      <c r="AS112" s="13" t="str">
        <f t="shared" si="18"/>
        <v>CUMPLE</v>
      </c>
      <c r="AT112" s="13">
        <f>[1]Parametros!$B$6*0.083*SQRT([1]Parametros!$B$2)*(H112*I112)^2/(2*(H112+I112))/1000000</f>
        <v>10.08878303333792</v>
      </c>
      <c r="AU112" s="13" t="str">
        <f t="shared" si="19"/>
        <v>DISEÑAR</v>
      </c>
      <c r="AV112" s="13">
        <f>IF(Q112&lt;=AT112,0,Q112*1000000/([1]Parametros!$B$6*2*0.85*(H112-2*([1]Parametros!$B$7+[1]Parametros!$B$9/2))*(I112-2*([1]Parametros!$B$7+[1]Parametros!$B$9/2))*[1]Parametros!$B$4))</f>
        <v>0.55086964318635445</v>
      </c>
      <c r="AW112" s="13">
        <f>AV112*2*((H112-2*([1]Parametros!$B$7+[1]Parametros!$B$9/2))+(I112-2*([1]Parametros!$B$7+[1]Parametros!$B$9/2)))*[1]Parametros!$B$4/[1]Parametros!$B$3</f>
        <v>897.47682267920868</v>
      </c>
      <c r="AX112" s="14">
        <v>8</v>
      </c>
      <c r="AY112" s="13" t="str">
        <f t="shared" si="20"/>
        <v>CUMPLE</v>
      </c>
      <c r="AZ112" s="13" t="str">
        <f t="shared" si="21"/>
        <v>CUMPLE</v>
      </c>
      <c r="BA112" s="14">
        <v>12.7</v>
      </c>
      <c r="BB112" s="14">
        <v>129</v>
      </c>
      <c r="BC112" s="13">
        <f>MAX(IF(AK112=0,0,AK112*1000/([1]Parametros!$B$4*MIN(U112,AB112))),MAX(0.062*SQRT([1]Parametros!$B$2)*H112/[1]Parametros!$B$4,0.35*H112/[1]Parametros!$B$4))</f>
        <v>1.201829820464982</v>
      </c>
      <c r="BD112" s="13">
        <f t="shared" si="22"/>
        <v>1.1017392863727089</v>
      </c>
      <c r="BE112" s="13">
        <f t="shared" si="23"/>
        <v>2.3454545454545452</v>
      </c>
      <c r="BF112" s="13">
        <f>SQRT((AI112*1000/(H112*MIN(U112,AB112)))^2+(Q112*1000000*2*((H112-2*([1]Parametros!$B$7+[1]Parametros!$B$9/2))+(I112-2*([1]Parametros!$B$7+[1]Parametros!$B$9/2)))/(1.7*((H112-2*([1]Parametros!$B$7+[1]Parametros!$B$9/2))*(I112-2*([1]Parametros!$B$7+[1]Parametros!$B$9/2)))^2))^2)</f>
        <v>2.3003768868857475</v>
      </c>
      <c r="BG112" s="13">
        <f>[1]Parametros!$B$6*(AJ112*1000/(H112*MIN(U112,AB112))+0.66*SQRT([1]Parametros!$B$2))</f>
        <v>3.2939603822754151</v>
      </c>
      <c r="BH112" s="13" t="str">
        <f t="shared" si="24"/>
        <v>CUMPLE</v>
      </c>
      <c r="BI112" s="13">
        <f>AX112*[1]Parametros!$B$8</f>
        <v>1592</v>
      </c>
      <c r="BJ112" s="15" t="str">
        <f t="shared" si="25"/>
        <v>CUMPLE</v>
      </c>
    </row>
    <row r="113" spans="1:62" x14ac:dyDescent="0.3">
      <c r="A113" s="18" t="s">
        <v>67</v>
      </c>
      <c r="B113" s="19">
        <v>820</v>
      </c>
      <c r="C113" s="13">
        <v>1</v>
      </c>
      <c r="D113" s="13">
        <v>3.25</v>
      </c>
      <c r="E113" s="13">
        <v>3.25</v>
      </c>
      <c r="F113" s="13">
        <v>450</v>
      </c>
      <c r="G113" s="13">
        <v>550</v>
      </c>
      <c r="H113" s="13">
        <v>450</v>
      </c>
      <c r="I113" s="13">
        <v>550</v>
      </c>
      <c r="J113" s="14">
        <v>136.2235</v>
      </c>
      <c r="K113" s="13">
        <v>820</v>
      </c>
      <c r="L113" s="14">
        <v>110.6332</v>
      </c>
      <c r="M113" s="13">
        <v>820</v>
      </c>
      <c r="N113" s="14">
        <v>86.631</v>
      </c>
      <c r="O113" s="14">
        <v>333.84</v>
      </c>
      <c r="P113" s="13">
        <v>820</v>
      </c>
      <c r="Q113" s="14">
        <v>48.200099999999999</v>
      </c>
      <c r="R113" s="13">
        <f>MAX(MAX(1.4/[1]Parametros!$B$3,0.25*SQRT([1]Parametros!$B$2)/[1]Parametros!$B$3)*H113*U113,(0.85*[1]Parametros!$B$2/[1]Parametros!$B$3)*(1-SQRT(1-2*(J113*1000000/([1]Parametros!$B$5*H113*U113^2))/(0.85*[1]Parametros!$B$2)))*H113*U113)</f>
        <v>759.56288077042404</v>
      </c>
      <c r="S113" s="14">
        <v>4</v>
      </c>
      <c r="T113" s="14">
        <v>1</v>
      </c>
      <c r="U113" s="13">
        <f>IF(T113=1,I113-([1]Parametros!$B$7+[1]Parametros!$B$9+[1]Parametros!$B$12/2),I113-(ROUNDUP(S113/2,0)*([1]Parametros!$B$7+[1]Parametros!$B$9+[1]Parametros!$B$12/2)+ROUNDDOWN(S113/2,0)*([1]Parametros!$B$7+[1]Parametros!$B$9+[1]Parametros!$B$12/2+[1]Parametros!$B$12+[1]Parametros!$B$10))/S113)</f>
        <v>489.35</v>
      </c>
      <c r="V113" s="13">
        <f>S113*[1]Parametros!$B$8</f>
        <v>796</v>
      </c>
      <c r="W113" s="13">
        <f>[1]Parametros!$B$5*V113*[1]Parametros!$B$3*(U113-(V113*[1]Parametros!$B$3/(0.85*[1]Parametros!$B$2*H113))/2)/1000000</f>
        <v>142.54333009411764</v>
      </c>
      <c r="X113" s="13" t="str">
        <f t="shared" si="13"/>
        <v>CUMPLE</v>
      </c>
      <c r="Y113" s="13">
        <f>MAX(MAX(1.4/[1]Parametros!$B$3,0.25*SQRT([1]Parametros!$B$2)/[1]Parametros!$B$3)*H113*AB113,(0.85*[1]Parametros!$B$2/[1]Parametros!$B$3)*(1-SQRT(1-2*(L113*1000000/([1]Parametros!$B$5*H113*AB113^2))/(0.85*[1]Parametros!$B$2)))*H113*AB113)</f>
        <v>734.02500000000009</v>
      </c>
      <c r="Z113" s="14">
        <v>4</v>
      </c>
      <c r="AA113" s="14">
        <v>1</v>
      </c>
      <c r="AB113" s="13">
        <f>IF(AA113=1,I113-([1]Parametros!$B$7+[1]Parametros!$B$9+[1]Parametros!$B$12/2),I113-(ROUNDUP(Z113/2,0)*([1]Parametros!$B$7+[1]Parametros!$B$9+[1]Parametros!$B$12/2)+ROUNDDOWN(Z113/2,0)*([1]Parametros!$B$7+[1]Parametros!$B$9+[1]Parametros!$B$12/2+[1]Parametros!$B$12+[1]Parametros!$B$10))/Z113)</f>
        <v>489.35</v>
      </c>
      <c r="AC113" s="13">
        <f>Z113*[1]Parametros!$B$8</f>
        <v>796</v>
      </c>
      <c r="AD113" s="13">
        <f>[1]Parametros!$B$5*AC113*[1]Parametros!$B$3*(AB113-(AC113*[1]Parametros!$B$3/(0.85*[1]Parametros!$B$2*H113))/2)/1000000</f>
        <v>142.54333009411764</v>
      </c>
      <c r="AE113" s="13" t="str">
        <f t="shared" si="14"/>
        <v>CUMPLE</v>
      </c>
      <c r="AF113" s="13">
        <f>V113*1.25*[1]Parametros!$B$3*(U113-(V113*1.25*[1]Parametros!$B$3/(0.85*[1]Parametros!$B$2*H113))/2)/1000000</f>
        <v>196.34621794117646</v>
      </c>
      <c r="AG113" s="13">
        <f>AC113*1.25*[1]Parametros!$B$3*(AB113-(AC113*1.25*[1]Parametros!$B$3/(0.85*[1]Parametros!$B$2*H113))/2)/1000000</f>
        <v>196.34621794117646</v>
      </c>
      <c r="AH113" s="13">
        <f t="shared" si="15"/>
        <v>207.45944180995474</v>
      </c>
      <c r="AI113" s="13">
        <f t="shared" si="16"/>
        <v>333.84</v>
      </c>
      <c r="AJ113" s="13">
        <f>0.17*SQRT([1]Parametros!$B$2)*H113*MIN(U113,AB113)/1000</f>
        <v>198.08885582262698</v>
      </c>
      <c r="AK113" s="13">
        <f>MAX(AI113/[1]Parametros!$B$6-AJ113,0)</f>
        <v>247.03114417737297</v>
      </c>
      <c r="AL113" s="13">
        <f>0.66*SQRT([1]Parametros!$B$2)*H113*MIN(U113,AB113)/1000</f>
        <v>769.05085201725785</v>
      </c>
      <c r="AM113" s="13" t="str">
        <f t="shared" si="17"/>
        <v>CUMPLE</v>
      </c>
      <c r="AN113" s="13" t="s">
        <v>68</v>
      </c>
      <c r="AO113" s="14">
        <v>2</v>
      </c>
      <c r="AP113" s="13">
        <f>ROUNDDOWN(MIN(IF(BC113+BD113=0,1000000000,AO113*BB113/(BC113+BD113)),MIN(U113,AB113)/4,8*[1]Parametros!$B$12,24*BA113,300,IF(AV113=0,1000000000,2*((H113-2*([1]Parametros!$B$7+[1]Parametros!$B$9/2))+(I113-2*([1]Parametros!$B$7+[1]Parametros!$B$9/2)))/8))/10,0)*10</f>
        <v>110</v>
      </c>
      <c r="AQ113" s="13">
        <f>ROUNDDOWN(MIN(IF(BC113+BD113=0,1000000000,AO113*BB113/(BC113+BD113)),IF(AK113&gt;0.33*SQRT([1]Parametros!$B$2)*H113*MIN(U113,AB113)/1000,MIN(U113,AB113)/4,MIN(U113,AB113)/2),600,IF(AV113=0,1000000000,2*((H113-2*([1]Parametros!$B$7+[1]Parametros!$B$9/2))+(I113-2*([1]Parametros!$B$7+[1]Parametros!$B$9/2)))/8))/10,0)*10</f>
        <v>110</v>
      </c>
      <c r="AR113" s="13">
        <f>[1]Parametros!$B$6*(AJ113+MAX(BE113-BD113,0)*[1]Parametros!$B$4*MIN(U113,AB113)/1000)</f>
        <v>340.27732734505287</v>
      </c>
      <c r="AS113" s="13" t="str">
        <f t="shared" si="18"/>
        <v>CUMPLE</v>
      </c>
      <c r="AT113" s="13">
        <f>[1]Parametros!$B$6*0.083*SQRT([1]Parametros!$B$2)*(H113*I113)^2/(2*(H113+I113))/1000000</f>
        <v>10.08878303333792</v>
      </c>
      <c r="AU113" s="13" t="str">
        <f t="shared" si="19"/>
        <v>DISEÑAR</v>
      </c>
      <c r="AV113" s="13">
        <f>IF(Q113&lt;=AT113,0,Q113*1000000/([1]Parametros!$B$6*2*0.85*(H113-2*([1]Parametros!$B$7+[1]Parametros!$B$9/2))*(I113-2*([1]Parametros!$B$7+[1]Parametros!$B$9/2))*[1]Parametros!$B$4))</f>
        <v>0.55087650055595183</v>
      </c>
      <c r="AW113" s="13">
        <f>AV113*2*((H113-2*([1]Parametros!$B$7+[1]Parametros!$B$9/2))+(I113-2*([1]Parametros!$B$7+[1]Parametros!$B$9/2)))*[1]Parametros!$B$4/[1]Parametros!$B$3</f>
        <v>897.48799470575671</v>
      </c>
      <c r="AX113" s="14">
        <v>8</v>
      </c>
      <c r="AY113" s="13" t="str">
        <f t="shared" si="20"/>
        <v>CUMPLE</v>
      </c>
      <c r="AZ113" s="13" t="str">
        <f t="shared" si="21"/>
        <v>CUMPLE</v>
      </c>
      <c r="BA113" s="14">
        <v>12.7</v>
      </c>
      <c r="BB113" s="14">
        <v>129</v>
      </c>
      <c r="BC113" s="13">
        <f>MAX(IF(AK113=0,0,AK113*1000/([1]Parametros!$B$4*MIN(U113,AB113))),MAX(0.062*SQRT([1]Parametros!$B$2)*H113/[1]Parametros!$B$4,0.35*H113/[1]Parametros!$B$4))</f>
        <v>1.2019401060560071</v>
      </c>
      <c r="BD113" s="13">
        <f t="shared" si="22"/>
        <v>1.1017530011119037</v>
      </c>
      <c r="BE113" s="13">
        <f t="shared" si="23"/>
        <v>2.3454545454545452</v>
      </c>
      <c r="BF113" s="13">
        <f>SQRT((AI113*1000/(H113*MIN(U113,AB113)))^2+(Q113*1000000*2*((H113-2*([1]Parametros!$B$7+[1]Parametros!$B$9/2))+(I113-2*([1]Parametros!$B$7+[1]Parametros!$B$9/2)))/(1.7*((H113-2*([1]Parametros!$B$7+[1]Parametros!$B$9/2))*(I113-2*([1]Parametros!$B$7+[1]Parametros!$B$9/2)))^2))^2)</f>
        <v>2.3004439617877854</v>
      </c>
      <c r="BG113" s="13">
        <f>[1]Parametros!$B$6*(AJ113*1000/(H113*MIN(U113,AB113))+0.66*SQRT([1]Parametros!$B$2))</f>
        <v>3.2939603822754151</v>
      </c>
      <c r="BH113" s="13" t="str">
        <f t="shared" si="24"/>
        <v>CUMPLE</v>
      </c>
      <c r="BI113" s="13">
        <f>AX113*[1]Parametros!$B$8</f>
        <v>1592</v>
      </c>
      <c r="BJ113" s="15" t="str">
        <f t="shared" si="25"/>
        <v>CUMPLE</v>
      </c>
    </row>
    <row r="114" spans="1:62" x14ac:dyDescent="0.3">
      <c r="A114" s="18" t="s">
        <v>67</v>
      </c>
      <c r="B114" s="19">
        <v>845</v>
      </c>
      <c r="C114" s="13">
        <v>1</v>
      </c>
      <c r="D114" s="13">
        <v>3.25</v>
      </c>
      <c r="E114" s="13">
        <v>3.25</v>
      </c>
      <c r="F114" s="13">
        <v>450</v>
      </c>
      <c r="G114" s="13">
        <v>550</v>
      </c>
      <c r="H114" s="13">
        <v>450</v>
      </c>
      <c r="I114" s="13">
        <v>550</v>
      </c>
      <c r="J114" s="14">
        <v>136.23750000000001</v>
      </c>
      <c r="K114" s="13">
        <v>845</v>
      </c>
      <c r="L114" s="14">
        <v>110.6199</v>
      </c>
      <c r="M114" s="13">
        <v>845</v>
      </c>
      <c r="N114" s="14">
        <v>86.64</v>
      </c>
      <c r="O114" s="14">
        <v>333.863</v>
      </c>
      <c r="P114" s="13">
        <v>845</v>
      </c>
      <c r="Q114" s="14">
        <v>48.210599999999999</v>
      </c>
      <c r="R114" s="13">
        <f>MAX(MAX(1.4/[1]Parametros!$B$3,0.25*SQRT([1]Parametros!$B$2)/[1]Parametros!$B$3)*H114*U114,(0.85*[1]Parametros!$B$2/[1]Parametros!$B$3)*(1-SQRT(1-2*(J114*1000000/([1]Parametros!$B$5*H114*U114^2))/(0.85*[1]Parametros!$B$2)))*H114*U114)</f>
        <v>759.64347286907503</v>
      </c>
      <c r="S114" s="14">
        <v>4</v>
      </c>
      <c r="T114" s="14">
        <v>1</v>
      </c>
      <c r="U114" s="13">
        <f>IF(T114=1,I114-([1]Parametros!$B$7+[1]Parametros!$B$9+[1]Parametros!$B$12/2),I114-(ROUNDUP(S114/2,0)*([1]Parametros!$B$7+[1]Parametros!$B$9+[1]Parametros!$B$12/2)+ROUNDDOWN(S114/2,0)*([1]Parametros!$B$7+[1]Parametros!$B$9+[1]Parametros!$B$12/2+[1]Parametros!$B$12+[1]Parametros!$B$10))/S114)</f>
        <v>489.35</v>
      </c>
      <c r="V114" s="13">
        <f>S114*[1]Parametros!$B$8</f>
        <v>796</v>
      </c>
      <c r="W114" s="13">
        <f>[1]Parametros!$B$5*V114*[1]Parametros!$B$3*(U114-(V114*[1]Parametros!$B$3/(0.85*[1]Parametros!$B$2*H114))/2)/1000000</f>
        <v>142.54333009411764</v>
      </c>
      <c r="X114" s="13" t="str">
        <f t="shared" si="13"/>
        <v>CUMPLE</v>
      </c>
      <c r="Y114" s="13">
        <f>MAX(MAX(1.4/[1]Parametros!$B$3,0.25*SQRT([1]Parametros!$B$2)/[1]Parametros!$B$3)*H114*AB114,(0.85*[1]Parametros!$B$2/[1]Parametros!$B$3)*(1-SQRT(1-2*(L114*1000000/([1]Parametros!$B$5*H114*AB114^2))/(0.85*[1]Parametros!$B$2)))*H114*AB114)</f>
        <v>734.02500000000009</v>
      </c>
      <c r="Z114" s="14">
        <v>4</v>
      </c>
      <c r="AA114" s="14">
        <v>1</v>
      </c>
      <c r="AB114" s="13">
        <f>IF(AA114=1,I114-([1]Parametros!$B$7+[1]Parametros!$B$9+[1]Parametros!$B$12/2),I114-(ROUNDUP(Z114/2,0)*([1]Parametros!$B$7+[1]Parametros!$B$9+[1]Parametros!$B$12/2)+ROUNDDOWN(Z114/2,0)*([1]Parametros!$B$7+[1]Parametros!$B$9+[1]Parametros!$B$12/2+[1]Parametros!$B$12+[1]Parametros!$B$10))/Z114)</f>
        <v>489.35</v>
      </c>
      <c r="AC114" s="13">
        <f>Z114*[1]Parametros!$B$8</f>
        <v>796</v>
      </c>
      <c r="AD114" s="13">
        <f>[1]Parametros!$B$5*AC114*[1]Parametros!$B$3*(AB114-(AC114*[1]Parametros!$B$3/(0.85*[1]Parametros!$B$2*H114))/2)/1000000</f>
        <v>142.54333009411764</v>
      </c>
      <c r="AE114" s="13" t="str">
        <f t="shared" si="14"/>
        <v>CUMPLE</v>
      </c>
      <c r="AF114" s="13">
        <f>V114*1.25*[1]Parametros!$B$3*(U114-(V114*1.25*[1]Parametros!$B$3/(0.85*[1]Parametros!$B$2*H114))/2)/1000000</f>
        <v>196.34621794117646</v>
      </c>
      <c r="AG114" s="13">
        <f>AC114*1.25*[1]Parametros!$B$3*(AB114-(AC114*1.25*[1]Parametros!$B$3/(0.85*[1]Parametros!$B$2*H114))/2)/1000000</f>
        <v>196.34621794117646</v>
      </c>
      <c r="AH114" s="13">
        <f t="shared" si="15"/>
        <v>207.46844180995475</v>
      </c>
      <c r="AI114" s="13">
        <f t="shared" si="16"/>
        <v>333.863</v>
      </c>
      <c r="AJ114" s="13">
        <f>0.17*SQRT([1]Parametros!$B$2)*H114*MIN(U114,AB114)/1000</f>
        <v>198.08885582262698</v>
      </c>
      <c r="AK114" s="13">
        <f>MAX(AI114/[1]Parametros!$B$6-AJ114,0)</f>
        <v>247.06181084403968</v>
      </c>
      <c r="AL114" s="13">
        <f>0.66*SQRT([1]Parametros!$B$2)*H114*MIN(U114,AB114)/1000</f>
        <v>769.05085201725785</v>
      </c>
      <c r="AM114" s="13" t="str">
        <f t="shared" si="17"/>
        <v>CUMPLE</v>
      </c>
      <c r="AN114" s="13" t="s">
        <v>68</v>
      </c>
      <c r="AO114" s="14">
        <v>2</v>
      </c>
      <c r="AP114" s="13">
        <f>ROUNDDOWN(MIN(IF(BC114+BD114=0,1000000000,AO114*BB114/(BC114+BD114)),MIN(U114,AB114)/4,8*[1]Parametros!$B$12,24*BA114,300,IF(AV114=0,1000000000,2*((H114-2*([1]Parametros!$B$7+[1]Parametros!$B$9/2))+(I114-2*([1]Parametros!$B$7+[1]Parametros!$B$9/2)))/8))/10,0)*10</f>
        <v>110</v>
      </c>
      <c r="AQ114" s="13">
        <f>ROUNDDOWN(MIN(IF(BC114+BD114=0,1000000000,AO114*BB114/(BC114+BD114)),IF(AK114&gt;0.33*SQRT([1]Parametros!$B$2)*H114*MIN(U114,AB114)/1000,MIN(U114,AB114)/4,MIN(U114,AB114)/2),600,IF(AV114=0,1000000000,2*((H114-2*([1]Parametros!$B$7+[1]Parametros!$B$9/2))+(I114-2*([1]Parametros!$B$7+[1]Parametros!$B$9/2)))/8))/10,0)*10</f>
        <v>110</v>
      </c>
      <c r="AR114" s="13">
        <f>[1]Parametros!$B$6*(AJ114+MAX(BE114-BD114,0)*[1]Parametros!$B$4*MIN(U114,AB114)/1000)</f>
        <v>340.24033126176994</v>
      </c>
      <c r="AS114" s="13" t="str">
        <f t="shared" si="18"/>
        <v>CUMPLE</v>
      </c>
      <c r="AT114" s="13">
        <f>[1]Parametros!$B$6*0.083*SQRT([1]Parametros!$B$2)*(H114*I114)^2/(2*(H114+I114))/1000000</f>
        <v>10.08878303333792</v>
      </c>
      <c r="AU114" s="13" t="str">
        <f t="shared" si="19"/>
        <v>DISEÑAR</v>
      </c>
      <c r="AV114" s="13">
        <f>IF(Q114&lt;=AT114,0,Q114*1000000/([1]Parametros!$B$6*2*0.85*(H114-2*([1]Parametros!$B$7+[1]Parametros!$B$9/2))*(I114-2*([1]Parametros!$B$7+[1]Parametros!$B$9/2))*[1]Parametros!$B$4))</f>
        <v>0.55099650452390714</v>
      </c>
      <c r="AW114" s="13">
        <f>AV114*2*((H114-2*([1]Parametros!$B$7+[1]Parametros!$B$9/2))+(I114-2*([1]Parametros!$B$7+[1]Parametros!$B$9/2)))*[1]Parametros!$B$4/[1]Parametros!$B$3</f>
        <v>897.68350517034958</v>
      </c>
      <c r="AX114" s="14">
        <v>8</v>
      </c>
      <c r="AY114" s="13" t="str">
        <f t="shared" si="20"/>
        <v>CUMPLE</v>
      </c>
      <c r="AZ114" s="13" t="str">
        <f t="shared" si="21"/>
        <v>CUMPLE</v>
      </c>
      <c r="BA114" s="14">
        <v>12.7</v>
      </c>
      <c r="BB114" s="14">
        <v>129</v>
      </c>
      <c r="BC114" s="13">
        <f>MAX(IF(AK114=0,0,AK114*1000/([1]Parametros!$B$4*MIN(U114,AB114))),MAX(0.062*SQRT([1]Parametros!$B$2)*H114/[1]Parametros!$B$4,0.35*H114/[1]Parametros!$B$4))</f>
        <v>1.2020893159732768</v>
      </c>
      <c r="BD114" s="13">
        <f t="shared" si="22"/>
        <v>1.1019930090478143</v>
      </c>
      <c r="BE114" s="13">
        <f t="shared" si="23"/>
        <v>2.3454545454545452</v>
      </c>
      <c r="BF114" s="13">
        <f>SQRT((AI114*1000/(H114*MIN(U114,AB114)))^2+(Q114*1000000*2*((H114-2*([1]Parametros!$B$7+[1]Parametros!$B$9/2))+(I114-2*([1]Parametros!$B$7+[1]Parametros!$B$9/2)))/(1.7*((H114-2*([1]Parametros!$B$7+[1]Parametros!$B$9/2))*(I114-2*([1]Parametros!$B$7+[1]Parametros!$B$9/2)))^2))^2)</f>
        <v>2.3007962913048656</v>
      </c>
      <c r="BG114" s="13">
        <f>[1]Parametros!$B$6*(AJ114*1000/(H114*MIN(U114,AB114))+0.66*SQRT([1]Parametros!$B$2))</f>
        <v>3.2939603822754151</v>
      </c>
      <c r="BH114" s="13" t="str">
        <f t="shared" si="24"/>
        <v>CUMPLE</v>
      </c>
      <c r="BI114" s="13">
        <f>AX114*[1]Parametros!$B$8</f>
        <v>1592</v>
      </c>
      <c r="BJ114" s="15" t="str">
        <f t="shared" si="25"/>
        <v>CUMPLE</v>
      </c>
    </row>
    <row r="115" spans="1:62" x14ac:dyDescent="0.3">
      <c r="A115" s="18" t="s">
        <v>67</v>
      </c>
      <c r="B115" s="19">
        <v>846</v>
      </c>
      <c r="C115" s="13">
        <v>1</v>
      </c>
      <c r="D115" s="13">
        <v>3.25</v>
      </c>
      <c r="E115" s="13">
        <v>3.25</v>
      </c>
      <c r="F115" s="13">
        <v>450</v>
      </c>
      <c r="G115" s="13">
        <v>550</v>
      </c>
      <c r="H115" s="13">
        <v>450</v>
      </c>
      <c r="I115" s="13">
        <v>550</v>
      </c>
      <c r="J115" s="14">
        <v>136.23400000000001</v>
      </c>
      <c r="K115" s="13">
        <v>846</v>
      </c>
      <c r="L115" s="14">
        <v>110.60169999999999</v>
      </c>
      <c r="M115" s="13">
        <v>846</v>
      </c>
      <c r="N115" s="14">
        <v>86.632000000000005</v>
      </c>
      <c r="O115" s="14">
        <v>333.85500000000002</v>
      </c>
      <c r="P115" s="13">
        <v>846</v>
      </c>
      <c r="Q115" s="14">
        <v>48.209800000000001</v>
      </c>
      <c r="R115" s="13">
        <f>MAX(MAX(1.4/[1]Parametros!$B$3,0.25*SQRT([1]Parametros!$B$2)/[1]Parametros!$B$3)*H115*U115,(0.85*[1]Parametros!$B$2/[1]Parametros!$B$3)*(1-SQRT(1-2*(J115*1000000/([1]Parametros!$B$5*H115*U115^2))/(0.85*[1]Parametros!$B$2)))*H115*U115)</f>
        <v>759.62332479245276</v>
      </c>
      <c r="S115" s="14">
        <v>4</v>
      </c>
      <c r="T115" s="14">
        <v>1</v>
      </c>
      <c r="U115" s="13">
        <f>IF(T115=1,I115-([1]Parametros!$B$7+[1]Parametros!$B$9+[1]Parametros!$B$12/2),I115-(ROUNDUP(S115/2,0)*([1]Parametros!$B$7+[1]Parametros!$B$9+[1]Parametros!$B$12/2)+ROUNDDOWN(S115/2,0)*([1]Parametros!$B$7+[1]Parametros!$B$9+[1]Parametros!$B$12/2+[1]Parametros!$B$12+[1]Parametros!$B$10))/S115)</f>
        <v>489.35</v>
      </c>
      <c r="V115" s="13">
        <f>S115*[1]Parametros!$B$8</f>
        <v>796</v>
      </c>
      <c r="W115" s="13">
        <f>[1]Parametros!$B$5*V115*[1]Parametros!$B$3*(U115-(V115*[1]Parametros!$B$3/(0.85*[1]Parametros!$B$2*H115))/2)/1000000</f>
        <v>142.54333009411764</v>
      </c>
      <c r="X115" s="13" t="str">
        <f t="shared" si="13"/>
        <v>CUMPLE</v>
      </c>
      <c r="Y115" s="13">
        <f>MAX(MAX(1.4/[1]Parametros!$B$3,0.25*SQRT([1]Parametros!$B$2)/[1]Parametros!$B$3)*H115*AB115,(0.85*[1]Parametros!$B$2/[1]Parametros!$B$3)*(1-SQRT(1-2*(L115*1000000/([1]Parametros!$B$5*H115*AB115^2))/(0.85*[1]Parametros!$B$2)))*H115*AB115)</f>
        <v>734.02500000000009</v>
      </c>
      <c r="Z115" s="14">
        <v>4</v>
      </c>
      <c r="AA115" s="14">
        <v>1</v>
      </c>
      <c r="AB115" s="13">
        <f>IF(AA115=1,I115-([1]Parametros!$B$7+[1]Parametros!$B$9+[1]Parametros!$B$12/2),I115-(ROUNDUP(Z115/2,0)*([1]Parametros!$B$7+[1]Parametros!$B$9+[1]Parametros!$B$12/2)+ROUNDDOWN(Z115/2,0)*([1]Parametros!$B$7+[1]Parametros!$B$9+[1]Parametros!$B$12/2+[1]Parametros!$B$12+[1]Parametros!$B$10))/Z115)</f>
        <v>489.35</v>
      </c>
      <c r="AC115" s="13">
        <f>Z115*[1]Parametros!$B$8</f>
        <v>796</v>
      </c>
      <c r="AD115" s="13">
        <f>[1]Parametros!$B$5*AC115*[1]Parametros!$B$3*(AB115-(AC115*[1]Parametros!$B$3/(0.85*[1]Parametros!$B$2*H115))/2)/1000000</f>
        <v>142.54333009411764</v>
      </c>
      <c r="AE115" s="13" t="str">
        <f t="shared" si="14"/>
        <v>CUMPLE</v>
      </c>
      <c r="AF115" s="13">
        <f>V115*1.25*[1]Parametros!$B$3*(U115-(V115*1.25*[1]Parametros!$B$3/(0.85*[1]Parametros!$B$2*H115))/2)/1000000</f>
        <v>196.34621794117646</v>
      </c>
      <c r="AG115" s="13">
        <f>AC115*1.25*[1]Parametros!$B$3*(AB115-(AC115*1.25*[1]Parametros!$B$3/(0.85*[1]Parametros!$B$2*H115))/2)/1000000</f>
        <v>196.34621794117646</v>
      </c>
      <c r="AH115" s="13">
        <f t="shared" si="15"/>
        <v>207.46044180995474</v>
      </c>
      <c r="AI115" s="13">
        <f t="shared" si="16"/>
        <v>333.85500000000002</v>
      </c>
      <c r="AJ115" s="13">
        <f>0.17*SQRT([1]Parametros!$B$2)*H115*MIN(U115,AB115)/1000</f>
        <v>198.08885582262698</v>
      </c>
      <c r="AK115" s="13">
        <f>MAX(AI115/[1]Parametros!$B$6-AJ115,0)</f>
        <v>247.05114417737306</v>
      </c>
      <c r="AL115" s="13">
        <f>0.66*SQRT([1]Parametros!$B$2)*H115*MIN(U115,AB115)/1000</f>
        <v>769.05085201725785</v>
      </c>
      <c r="AM115" s="13" t="str">
        <f t="shared" si="17"/>
        <v>CUMPLE</v>
      </c>
      <c r="AN115" s="13" t="s">
        <v>68</v>
      </c>
      <c r="AO115" s="14">
        <v>2</v>
      </c>
      <c r="AP115" s="13">
        <f>ROUNDDOWN(MIN(IF(BC115+BD115=0,1000000000,AO115*BB115/(BC115+BD115)),MIN(U115,AB115)/4,8*[1]Parametros!$B$12,24*BA115,300,IF(AV115=0,1000000000,2*((H115-2*([1]Parametros!$B$7+[1]Parametros!$B$9/2))+(I115-2*([1]Parametros!$B$7+[1]Parametros!$B$9/2)))/8))/10,0)*10</f>
        <v>110</v>
      </c>
      <c r="AQ115" s="13">
        <f>ROUNDDOWN(MIN(IF(BC115+BD115=0,1000000000,AO115*BB115/(BC115+BD115)),IF(AK115&gt;0.33*SQRT([1]Parametros!$B$2)*H115*MIN(U115,AB115)/1000,MIN(U115,AB115)/4,MIN(U115,AB115)/2),600,IF(AV115=0,1000000000,2*((H115-2*([1]Parametros!$B$7+[1]Parametros!$B$9/2))+(I115-2*([1]Parametros!$B$7+[1]Parametros!$B$9/2)))/8))/10,0)*10</f>
        <v>110</v>
      </c>
      <c r="AR115" s="13">
        <f>[1]Parametros!$B$6*(AJ115+MAX(BE115-BD115,0)*[1]Parametros!$B$4*MIN(U115,AB115)/1000)</f>
        <v>340.24315001097244</v>
      </c>
      <c r="AS115" s="13" t="str">
        <f t="shared" si="18"/>
        <v>CUMPLE</v>
      </c>
      <c r="AT115" s="13">
        <f>[1]Parametros!$B$6*0.083*SQRT([1]Parametros!$B$2)*(H115*I115)^2/(2*(H115+I115))/1000000</f>
        <v>10.08878303333792</v>
      </c>
      <c r="AU115" s="13" t="str">
        <f t="shared" si="19"/>
        <v>DISEÑAR</v>
      </c>
      <c r="AV115" s="13">
        <f>IF(Q115&lt;=AT115,0,Q115*1000000/([1]Parametros!$B$6*2*0.85*(H115-2*([1]Parametros!$B$7+[1]Parametros!$B$9/2))*(I115-2*([1]Parametros!$B$7+[1]Parametros!$B$9/2))*[1]Parametros!$B$4))</f>
        <v>0.55098736136444382</v>
      </c>
      <c r="AW115" s="13">
        <f>AV115*2*((H115-2*([1]Parametros!$B$7+[1]Parametros!$B$9/2))+(I115-2*([1]Parametros!$B$7+[1]Parametros!$B$9/2)))*[1]Parametros!$B$4/[1]Parametros!$B$3</f>
        <v>897.66860913495179</v>
      </c>
      <c r="AX115" s="14">
        <v>8</v>
      </c>
      <c r="AY115" s="13" t="str">
        <f t="shared" si="20"/>
        <v>CUMPLE</v>
      </c>
      <c r="AZ115" s="13" t="str">
        <f t="shared" si="21"/>
        <v>CUMPLE</v>
      </c>
      <c r="BA115" s="14">
        <v>12.7</v>
      </c>
      <c r="BB115" s="14">
        <v>129</v>
      </c>
      <c r="BC115" s="13">
        <f>MAX(IF(AK115=0,0,AK115*1000/([1]Parametros!$B$4*MIN(U115,AB115))),MAX(0.062*SQRT([1]Parametros!$B$2)*H115/[1]Parametros!$B$4,0.35*H115/[1]Parametros!$B$4))</f>
        <v>1.2020374168716181</v>
      </c>
      <c r="BD115" s="13">
        <f t="shared" si="22"/>
        <v>1.1019747227288876</v>
      </c>
      <c r="BE115" s="13">
        <f t="shared" si="23"/>
        <v>2.3454545454545452</v>
      </c>
      <c r="BF115" s="13">
        <f>SQRT((AI115*1000/(H115*MIN(U115,AB115)))^2+(Q115*1000000*2*((H115-2*([1]Parametros!$B$7+[1]Parametros!$B$9/2))+(I115-2*([1]Parametros!$B$7+[1]Parametros!$B$9/2)))/(1.7*((H115-2*([1]Parametros!$B$7+[1]Parametros!$B$9/2))*(I115-2*([1]Parametros!$B$7+[1]Parametros!$B$9/2)))^2))^2)</f>
        <v>2.300750751044125</v>
      </c>
      <c r="BG115" s="13">
        <f>[1]Parametros!$B$6*(AJ115*1000/(H115*MIN(U115,AB115))+0.66*SQRT([1]Parametros!$B$2))</f>
        <v>3.2939603822754151</v>
      </c>
      <c r="BH115" s="13" t="str">
        <f t="shared" si="24"/>
        <v>CUMPLE</v>
      </c>
      <c r="BI115" s="13">
        <f>AX115*[1]Parametros!$B$8</f>
        <v>1592</v>
      </c>
      <c r="BJ115" s="15" t="str">
        <f t="shared" si="25"/>
        <v>CUMPLE</v>
      </c>
    </row>
    <row r="116" spans="1:62" x14ac:dyDescent="0.3">
      <c r="A116" s="18" t="s">
        <v>67</v>
      </c>
      <c r="B116" s="19">
        <v>913</v>
      </c>
      <c r="C116" s="13">
        <v>1</v>
      </c>
      <c r="D116" s="13">
        <v>3.25</v>
      </c>
      <c r="E116" s="13">
        <v>3.25</v>
      </c>
      <c r="F116" s="13">
        <v>450</v>
      </c>
      <c r="G116" s="13">
        <v>550</v>
      </c>
      <c r="H116" s="13">
        <v>450</v>
      </c>
      <c r="I116" s="13">
        <v>550</v>
      </c>
      <c r="J116" s="14">
        <v>87.805099999999996</v>
      </c>
      <c r="K116" s="13">
        <v>913</v>
      </c>
      <c r="L116" s="14">
        <v>59.330100000000002</v>
      </c>
      <c r="M116" s="13">
        <v>913</v>
      </c>
      <c r="N116" s="14">
        <v>60.906999999999996</v>
      </c>
      <c r="O116" s="14">
        <v>200.959</v>
      </c>
      <c r="P116" s="13">
        <v>913</v>
      </c>
      <c r="Q116" s="14">
        <v>28.018599999999999</v>
      </c>
      <c r="R116" s="13">
        <f>MAX(MAX(1.4/[1]Parametros!$B$3,0.25*SQRT([1]Parametros!$B$2)/[1]Parametros!$B$3)*H116*U116,(0.85*[1]Parametros!$B$2/[1]Parametros!$B$3)*(1-SQRT(1-2*(J116*1000000/([1]Parametros!$B$5*H116*U116^2))/(0.85*[1]Parametros!$B$2)))*H116*U116)</f>
        <v>734.02500000000009</v>
      </c>
      <c r="S116" s="14">
        <v>4</v>
      </c>
      <c r="T116" s="14">
        <v>1</v>
      </c>
      <c r="U116" s="13">
        <f>IF(T116=1,I116-([1]Parametros!$B$7+[1]Parametros!$B$9+[1]Parametros!$B$12/2),I116-(ROUNDUP(S116/2,0)*([1]Parametros!$B$7+[1]Parametros!$B$9+[1]Parametros!$B$12/2)+ROUNDDOWN(S116/2,0)*([1]Parametros!$B$7+[1]Parametros!$B$9+[1]Parametros!$B$12/2+[1]Parametros!$B$12+[1]Parametros!$B$10))/S116)</f>
        <v>489.35</v>
      </c>
      <c r="V116" s="13">
        <f>S116*[1]Parametros!$B$8</f>
        <v>796</v>
      </c>
      <c r="W116" s="13">
        <f>[1]Parametros!$B$5*V116*[1]Parametros!$B$3*(U116-(V116*[1]Parametros!$B$3/(0.85*[1]Parametros!$B$2*H116))/2)/1000000</f>
        <v>142.54333009411764</v>
      </c>
      <c r="X116" s="13" t="str">
        <f t="shared" si="13"/>
        <v>CUMPLE</v>
      </c>
      <c r="Y116" s="13">
        <f>MAX(MAX(1.4/[1]Parametros!$B$3,0.25*SQRT([1]Parametros!$B$2)/[1]Parametros!$B$3)*H116*AB116,(0.85*[1]Parametros!$B$2/[1]Parametros!$B$3)*(1-SQRT(1-2*(L116*1000000/([1]Parametros!$B$5*H116*AB116^2))/(0.85*[1]Parametros!$B$2)))*H116*AB116)</f>
        <v>734.02500000000009</v>
      </c>
      <c r="Z116" s="14">
        <v>4</v>
      </c>
      <c r="AA116" s="14">
        <v>1</v>
      </c>
      <c r="AB116" s="13">
        <f>IF(AA116=1,I116-([1]Parametros!$B$7+[1]Parametros!$B$9+[1]Parametros!$B$12/2),I116-(ROUNDUP(Z116/2,0)*([1]Parametros!$B$7+[1]Parametros!$B$9+[1]Parametros!$B$12/2)+ROUNDDOWN(Z116/2,0)*([1]Parametros!$B$7+[1]Parametros!$B$9+[1]Parametros!$B$12/2+[1]Parametros!$B$12+[1]Parametros!$B$10))/Z116)</f>
        <v>489.35</v>
      </c>
      <c r="AC116" s="13">
        <f>Z116*[1]Parametros!$B$8</f>
        <v>796</v>
      </c>
      <c r="AD116" s="13">
        <f>[1]Parametros!$B$5*AC116*[1]Parametros!$B$3*(AB116-(AC116*[1]Parametros!$B$3/(0.85*[1]Parametros!$B$2*H116))/2)/1000000</f>
        <v>142.54333009411764</v>
      </c>
      <c r="AE116" s="13" t="str">
        <f t="shared" si="14"/>
        <v>CUMPLE</v>
      </c>
      <c r="AF116" s="13">
        <f>V116*1.25*[1]Parametros!$B$3*(U116-(V116*1.25*[1]Parametros!$B$3/(0.85*[1]Parametros!$B$2*H116))/2)/1000000</f>
        <v>196.34621794117646</v>
      </c>
      <c r="AG116" s="13">
        <f>AC116*1.25*[1]Parametros!$B$3*(AB116-(AC116*1.25*[1]Parametros!$B$3/(0.85*[1]Parametros!$B$2*H116))/2)/1000000</f>
        <v>196.34621794117646</v>
      </c>
      <c r="AH116" s="13">
        <f t="shared" si="15"/>
        <v>181.73544180995475</v>
      </c>
      <c r="AI116" s="13">
        <f t="shared" si="16"/>
        <v>200.959</v>
      </c>
      <c r="AJ116" s="13">
        <f>0.17*SQRT([1]Parametros!$B$2)*H116*MIN(U116,AB116)/1000</f>
        <v>198.08885582262698</v>
      </c>
      <c r="AK116" s="13">
        <f>MAX(AI116/[1]Parametros!$B$6-AJ116,0)</f>
        <v>69.856477510706355</v>
      </c>
      <c r="AL116" s="13">
        <f>0.66*SQRT([1]Parametros!$B$2)*H116*MIN(U116,AB116)/1000</f>
        <v>769.05085201725785</v>
      </c>
      <c r="AM116" s="13" t="str">
        <f t="shared" si="17"/>
        <v>CUMPLE</v>
      </c>
      <c r="AN116" s="13" t="s">
        <v>64</v>
      </c>
      <c r="AO116" s="14">
        <v>2</v>
      </c>
      <c r="AP116" s="13">
        <f>ROUNDDOWN(MIN(IF(BC116+BD116=0,1000000000,AO116*BB116/(BC116+BD116)),MIN(U116,AB116)/4,8*[1]Parametros!$B$12,24*BA116,300,IF(AV116=0,1000000000,2*((H116-2*([1]Parametros!$B$7+[1]Parametros!$B$9/2))+(I116-2*([1]Parametros!$B$7+[1]Parametros!$B$9/2)))/8))/10,0)*10</f>
        <v>120</v>
      </c>
      <c r="AQ116" s="13">
        <f>ROUNDDOWN(MIN(IF(BC116+BD116=0,1000000000,AO116*BB116/(BC116+BD116)),IF(AK116&gt;0.33*SQRT([1]Parametros!$B$2)*H116*MIN(U116,AB116)/1000,MIN(U116,AB116)/4,MIN(U116,AB116)/2),600,IF(AV116=0,1000000000,2*((H116-2*([1]Parametros!$B$7+[1]Parametros!$B$9/2))+(I116-2*([1]Parametros!$B$7+[1]Parametros!$B$9/2)))/8))/10,0)*10</f>
        <v>130</v>
      </c>
      <c r="AR116" s="13">
        <f>[1]Parametros!$B$6*(AJ116+MAX(BE116-BD116,0)*[1]Parametros!$B$4*MIN(U116,AB116)/1000)</f>
        <v>232.25009636029742</v>
      </c>
      <c r="AS116" s="13" t="str">
        <f t="shared" si="18"/>
        <v>CUMPLE</v>
      </c>
      <c r="AT116" s="13">
        <f>[1]Parametros!$B$6*0.083*SQRT([1]Parametros!$B$2)*(H116*I116)^2/(2*(H116+I116))/1000000</f>
        <v>10.08878303333792</v>
      </c>
      <c r="AU116" s="13" t="str">
        <f t="shared" si="19"/>
        <v>DISEÑAR</v>
      </c>
      <c r="AV116" s="13">
        <f>IF(Q116&lt;=AT116,0,Q116*1000000/([1]Parametros!$B$6*2*0.85*(H116-2*([1]Parametros!$B$7+[1]Parametros!$B$9/2))*(I116-2*([1]Parametros!$B$7+[1]Parametros!$B$9/2))*[1]Parametros!$B$4))</f>
        <v>0.32022315967139059</v>
      </c>
      <c r="AW116" s="13">
        <f>AV116*2*((H116-2*([1]Parametros!$B$7+[1]Parametros!$B$9/2))+(I116-2*([1]Parametros!$B$7+[1]Parametros!$B$9/2)))*[1]Parametros!$B$4/[1]Parametros!$B$3</f>
        <v>521.70757173662957</v>
      </c>
      <c r="AX116" s="14">
        <v>8</v>
      </c>
      <c r="AY116" s="13" t="str">
        <f t="shared" si="20"/>
        <v>CUMPLE</v>
      </c>
      <c r="AZ116" s="13" t="str">
        <f t="shared" si="21"/>
        <v>CUMPLE</v>
      </c>
      <c r="BA116" s="14">
        <v>9.5</v>
      </c>
      <c r="BB116" s="14">
        <v>71</v>
      </c>
      <c r="BC116" s="13">
        <f>MAX(IF(AK116=0,0,AK116*1000/([1]Parametros!$B$4*MIN(U116,AB116))),MAX(0.062*SQRT([1]Parametros!$B$2)*H116/[1]Parametros!$B$4,0.35*H116/[1]Parametros!$B$4))</f>
        <v>0.375</v>
      </c>
      <c r="BD116" s="13">
        <f t="shared" si="22"/>
        <v>0.64044631934278118</v>
      </c>
      <c r="BE116" s="13">
        <f t="shared" si="23"/>
        <v>1.1833333333333333</v>
      </c>
      <c r="BF116" s="13">
        <f>SQRT((AI116*1000/(H116*MIN(U116,AB116)))^2+(Q116*1000000*2*((H116-2*([1]Parametros!$B$7+[1]Parametros!$B$9/2))+(I116-2*([1]Parametros!$B$7+[1]Parametros!$B$9/2)))/(1.7*((H116-2*([1]Parametros!$B$7+[1]Parametros!$B$9/2))*(I116-2*([1]Parametros!$B$7+[1]Parametros!$B$9/2)))^2))^2)</f>
        <v>1.3580923420049558</v>
      </c>
      <c r="BG116" s="13">
        <f>[1]Parametros!$B$6*(AJ116*1000/(H116*MIN(U116,AB116))+0.66*SQRT([1]Parametros!$B$2))</f>
        <v>3.2939603822754151</v>
      </c>
      <c r="BH116" s="13" t="str">
        <f t="shared" si="24"/>
        <v>CUMPLE</v>
      </c>
      <c r="BI116" s="13">
        <f>AX116*[1]Parametros!$B$8</f>
        <v>1592</v>
      </c>
      <c r="BJ116" s="15" t="str">
        <f t="shared" si="25"/>
        <v>CUMPLE</v>
      </c>
    </row>
    <row r="117" spans="1:62" x14ac:dyDescent="0.3">
      <c r="A117" s="18" t="s">
        <v>67</v>
      </c>
      <c r="B117" s="19">
        <v>914</v>
      </c>
      <c r="C117" s="13">
        <v>1</v>
      </c>
      <c r="D117" s="13">
        <v>3.25</v>
      </c>
      <c r="E117" s="13">
        <v>3.25</v>
      </c>
      <c r="F117" s="13">
        <v>450</v>
      </c>
      <c r="G117" s="13">
        <v>550</v>
      </c>
      <c r="H117" s="13">
        <v>450</v>
      </c>
      <c r="I117" s="13">
        <v>550</v>
      </c>
      <c r="J117" s="14">
        <v>87.811800000000005</v>
      </c>
      <c r="K117" s="13">
        <v>914</v>
      </c>
      <c r="L117" s="14">
        <v>59.3551</v>
      </c>
      <c r="M117" s="13">
        <v>914</v>
      </c>
      <c r="N117" s="14">
        <v>60.917000000000002</v>
      </c>
      <c r="O117" s="14">
        <v>200.96899999999999</v>
      </c>
      <c r="P117" s="13">
        <v>914</v>
      </c>
      <c r="Q117" s="14">
        <v>28.0199</v>
      </c>
      <c r="R117" s="13">
        <f>MAX(MAX(1.4/[1]Parametros!$B$3,0.25*SQRT([1]Parametros!$B$2)/[1]Parametros!$B$3)*H117*U117,(0.85*[1]Parametros!$B$2/[1]Parametros!$B$3)*(1-SQRT(1-2*(J117*1000000/([1]Parametros!$B$5*H117*U117^2))/(0.85*[1]Parametros!$B$2)))*H117*U117)</f>
        <v>734.02500000000009</v>
      </c>
      <c r="S117" s="14">
        <v>4</v>
      </c>
      <c r="T117" s="14">
        <v>1</v>
      </c>
      <c r="U117" s="13">
        <f>IF(T117=1,I117-([1]Parametros!$B$7+[1]Parametros!$B$9+[1]Parametros!$B$12/2),I117-(ROUNDUP(S117/2,0)*([1]Parametros!$B$7+[1]Parametros!$B$9+[1]Parametros!$B$12/2)+ROUNDDOWN(S117/2,0)*([1]Parametros!$B$7+[1]Parametros!$B$9+[1]Parametros!$B$12/2+[1]Parametros!$B$12+[1]Parametros!$B$10))/S117)</f>
        <v>489.35</v>
      </c>
      <c r="V117" s="13">
        <f>S117*[1]Parametros!$B$8</f>
        <v>796</v>
      </c>
      <c r="W117" s="13">
        <f>[1]Parametros!$B$5*V117*[1]Parametros!$B$3*(U117-(V117*[1]Parametros!$B$3/(0.85*[1]Parametros!$B$2*H117))/2)/1000000</f>
        <v>142.54333009411764</v>
      </c>
      <c r="X117" s="13" t="str">
        <f t="shared" si="13"/>
        <v>CUMPLE</v>
      </c>
      <c r="Y117" s="13">
        <f>MAX(MAX(1.4/[1]Parametros!$B$3,0.25*SQRT([1]Parametros!$B$2)/[1]Parametros!$B$3)*H117*AB117,(0.85*[1]Parametros!$B$2/[1]Parametros!$B$3)*(1-SQRT(1-2*(L117*1000000/([1]Parametros!$B$5*H117*AB117^2))/(0.85*[1]Parametros!$B$2)))*H117*AB117)</f>
        <v>734.02500000000009</v>
      </c>
      <c r="Z117" s="14">
        <v>4</v>
      </c>
      <c r="AA117" s="14">
        <v>1</v>
      </c>
      <c r="AB117" s="13">
        <f>IF(AA117=1,I117-([1]Parametros!$B$7+[1]Parametros!$B$9+[1]Parametros!$B$12/2),I117-(ROUNDUP(Z117/2,0)*([1]Parametros!$B$7+[1]Parametros!$B$9+[1]Parametros!$B$12/2)+ROUNDDOWN(Z117/2,0)*([1]Parametros!$B$7+[1]Parametros!$B$9+[1]Parametros!$B$12/2+[1]Parametros!$B$12+[1]Parametros!$B$10))/Z117)</f>
        <v>489.35</v>
      </c>
      <c r="AC117" s="13">
        <f>Z117*[1]Parametros!$B$8</f>
        <v>796</v>
      </c>
      <c r="AD117" s="13">
        <f>[1]Parametros!$B$5*AC117*[1]Parametros!$B$3*(AB117-(AC117*[1]Parametros!$B$3/(0.85*[1]Parametros!$B$2*H117))/2)/1000000</f>
        <v>142.54333009411764</v>
      </c>
      <c r="AE117" s="13" t="str">
        <f t="shared" si="14"/>
        <v>CUMPLE</v>
      </c>
      <c r="AF117" s="13">
        <f>V117*1.25*[1]Parametros!$B$3*(U117-(V117*1.25*[1]Parametros!$B$3/(0.85*[1]Parametros!$B$2*H117))/2)/1000000</f>
        <v>196.34621794117646</v>
      </c>
      <c r="AG117" s="13">
        <f>AC117*1.25*[1]Parametros!$B$3*(AB117-(AC117*1.25*[1]Parametros!$B$3/(0.85*[1]Parametros!$B$2*H117))/2)/1000000</f>
        <v>196.34621794117646</v>
      </c>
      <c r="AH117" s="13">
        <f t="shared" si="15"/>
        <v>181.74544180995474</v>
      </c>
      <c r="AI117" s="13">
        <f t="shared" si="16"/>
        <v>200.96899999999999</v>
      </c>
      <c r="AJ117" s="13">
        <f>0.17*SQRT([1]Parametros!$B$2)*H117*MIN(U117,AB117)/1000</f>
        <v>198.08885582262698</v>
      </c>
      <c r="AK117" s="13">
        <f>MAX(AI117/[1]Parametros!$B$6-AJ117,0)</f>
        <v>69.869810844039677</v>
      </c>
      <c r="AL117" s="13">
        <f>0.66*SQRT([1]Parametros!$B$2)*H117*MIN(U117,AB117)/1000</f>
        <v>769.05085201725785</v>
      </c>
      <c r="AM117" s="13" t="str">
        <f t="shared" si="17"/>
        <v>CUMPLE</v>
      </c>
      <c r="AN117" s="13" t="s">
        <v>64</v>
      </c>
      <c r="AO117" s="14">
        <v>2</v>
      </c>
      <c r="AP117" s="13">
        <f>ROUNDDOWN(MIN(IF(BC117+BD117=0,1000000000,AO117*BB117/(BC117+BD117)),MIN(U117,AB117)/4,8*[1]Parametros!$B$12,24*BA117,300,IF(AV117=0,1000000000,2*((H117-2*([1]Parametros!$B$7+[1]Parametros!$B$9/2))+(I117-2*([1]Parametros!$B$7+[1]Parametros!$B$9/2)))/8))/10,0)*10</f>
        <v>120</v>
      </c>
      <c r="AQ117" s="13">
        <f>ROUNDDOWN(MIN(IF(BC117+BD117=0,1000000000,AO117*BB117/(BC117+BD117)),IF(AK117&gt;0.33*SQRT([1]Parametros!$B$2)*H117*MIN(U117,AB117)/1000,MIN(U117,AB117)/4,MIN(U117,AB117)/2),600,IF(AV117=0,1000000000,2*((H117-2*([1]Parametros!$B$7+[1]Parametros!$B$9/2))+(I117-2*([1]Parametros!$B$7+[1]Parametros!$B$9/2)))/8))/10,0)*10</f>
        <v>130</v>
      </c>
      <c r="AR117" s="13">
        <f>[1]Parametros!$B$6*(AJ117+MAX(BE117-BD117,0)*[1]Parametros!$B$4*MIN(U117,AB117)/1000)</f>
        <v>232.24551589284334</v>
      </c>
      <c r="AS117" s="13" t="str">
        <f t="shared" si="18"/>
        <v>CUMPLE</v>
      </c>
      <c r="AT117" s="13">
        <f>[1]Parametros!$B$6*0.083*SQRT([1]Parametros!$B$2)*(H117*I117)^2/(2*(H117+I117))/1000000</f>
        <v>10.08878303333792</v>
      </c>
      <c r="AU117" s="13" t="str">
        <f t="shared" si="19"/>
        <v>DISEÑAR</v>
      </c>
      <c r="AV117" s="13">
        <f>IF(Q117&lt;=AT117,0,Q117*1000000/([1]Parametros!$B$6*2*0.85*(H117-2*([1]Parametros!$B$7+[1]Parametros!$B$9/2))*(I117-2*([1]Parametros!$B$7+[1]Parametros!$B$9/2))*[1]Parametros!$B$4))</f>
        <v>0.32023801730551837</v>
      </c>
      <c r="AW117" s="13">
        <f>AV117*2*((H117-2*([1]Parametros!$B$7+[1]Parametros!$B$9/2))+(I117-2*([1]Parametros!$B$7+[1]Parametros!$B$9/2)))*[1]Parametros!$B$4/[1]Parametros!$B$3</f>
        <v>521.7317777941505</v>
      </c>
      <c r="AX117" s="14">
        <v>8</v>
      </c>
      <c r="AY117" s="13" t="str">
        <f t="shared" si="20"/>
        <v>CUMPLE</v>
      </c>
      <c r="AZ117" s="13" t="str">
        <f t="shared" si="21"/>
        <v>CUMPLE</v>
      </c>
      <c r="BA117" s="14">
        <v>9.5</v>
      </c>
      <c r="BB117" s="14">
        <v>71</v>
      </c>
      <c r="BC117" s="13">
        <f>MAX(IF(AK117=0,0,AK117*1000/([1]Parametros!$B$4*MIN(U117,AB117))),MAX(0.062*SQRT([1]Parametros!$B$2)*H117/[1]Parametros!$B$4,0.35*H117/[1]Parametros!$B$4))</f>
        <v>0.375</v>
      </c>
      <c r="BD117" s="13">
        <f t="shared" si="22"/>
        <v>0.64047603461103675</v>
      </c>
      <c r="BE117" s="13">
        <f t="shared" si="23"/>
        <v>1.1833333333333333</v>
      </c>
      <c r="BF117" s="13">
        <f>SQRT((AI117*1000/(H117*MIN(U117,AB117)))^2+(Q117*1000000*2*((H117-2*([1]Parametros!$B$7+[1]Parametros!$B$9/2))+(I117-2*([1]Parametros!$B$7+[1]Parametros!$B$9/2)))/(1.7*((H117-2*([1]Parametros!$B$7+[1]Parametros!$B$9/2))*(I117-2*([1]Parametros!$B$7+[1]Parametros!$B$9/2)))^2))^2)</f>
        <v>1.3581574171139252</v>
      </c>
      <c r="BG117" s="13">
        <f>[1]Parametros!$B$6*(AJ117*1000/(H117*MIN(U117,AB117))+0.66*SQRT([1]Parametros!$B$2))</f>
        <v>3.2939603822754151</v>
      </c>
      <c r="BH117" s="13" t="str">
        <f t="shared" si="24"/>
        <v>CUMPLE</v>
      </c>
      <c r="BI117" s="13">
        <f>AX117*[1]Parametros!$B$8</f>
        <v>1592</v>
      </c>
      <c r="BJ117" s="15" t="str">
        <f t="shared" si="25"/>
        <v>CUMPLE</v>
      </c>
    </row>
    <row r="118" spans="1:62" x14ac:dyDescent="0.3">
      <c r="A118" s="18" t="s">
        <v>67</v>
      </c>
      <c r="B118" s="19">
        <v>939</v>
      </c>
      <c r="C118" s="13">
        <v>1</v>
      </c>
      <c r="D118" s="13">
        <v>3.25</v>
      </c>
      <c r="E118" s="13">
        <v>3.25</v>
      </c>
      <c r="F118" s="13">
        <v>450</v>
      </c>
      <c r="G118" s="13">
        <v>550</v>
      </c>
      <c r="H118" s="13">
        <v>450</v>
      </c>
      <c r="I118" s="13">
        <v>550</v>
      </c>
      <c r="J118" s="14">
        <v>87.828999999999994</v>
      </c>
      <c r="K118" s="13">
        <v>939</v>
      </c>
      <c r="L118" s="14">
        <v>59.3506</v>
      </c>
      <c r="M118" s="13">
        <v>939</v>
      </c>
      <c r="N118" s="14">
        <v>60.932000000000002</v>
      </c>
      <c r="O118" s="14">
        <v>200.99700000000001</v>
      </c>
      <c r="P118" s="13">
        <v>939</v>
      </c>
      <c r="Q118" s="14">
        <v>28.0289</v>
      </c>
      <c r="R118" s="13">
        <f>MAX(MAX(1.4/[1]Parametros!$B$3,0.25*SQRT([1]Parametros!$B$2)/[1]Parametros!$B$3)*H118*U118,(0.85*[1]Parametros!$B$2/[1]Parametros!$B$3)*(1-SQRT(1-2*(J118*1000000/([1]Parametros!$B$5*H118*U118^2))/(0.85*[1]Parametros!$B$2)))*H118*U118)</f>
        <v>734.02500000000009</v>
      </c>
      <c r="S118" s="14">
        <v>4</v>
      </c>
      <c r="T118" s="14">
        <v>1</v>
      </c>
      <c r="U118" s="13">
        <f>IF(T118=1,I118-([1]Parametros!$B$7+[1]Parametros!$B$9+[1]Parametros!$B$12/2),I118-(ROUNDUP(S118/2,0)*([1]Parametros!$B$7+[1]Parametros!$B$9+[1]Parametros!$B$12/2)+ROUNDDOWN(S118/2,0)*([1]Parametros!$B$7+[1]Parametros!$B$9+[1]Parametros!$B$12/2+[1]Parametros!$B$12+[1]Parametros!$B$10))/S118)</f>
        <v>489.35</v>
      </c>
      <c r="V118" s="13">
        <f>S118*[1]Parametros!$B$8</f>
        <v>796</v>
      </c>
      <c r="W118" s="13">
        <f>[1]Parametros!$B$5*V118*[1]Parametros!$B$3*(U118-(V118*[1]Parametros!$B$3/(0.85*[1]Parametros!$B$2*H118))/2)/1000000</f>
        <v>142.54333009411764</v>
      </c>
      <c r="X118" s="13" t="str">
        <f t="shared" si="13"/>
        <v>CUMPLE</v>
      </c>
      <c r="Y118" s="13">
        <f>MAX(MAX(1.4/[1]Parametros!$B$3,0.25*SQRT([1]Parametros!$B$2)/[1]Parametros!$B$3)*H118*AB118,(0.85*[1]Parametros!$B$2/[1]Parametros!$B$3)*(1-SQRT(1-2*(L118*1000000/([1]Parametros!$B$5*H118*AB118^2))/(0.85*[1]Parametros!$B$2)))*H118*AB118)</f>
        <v>734.02500000000009</v>
      </c>
      <c r="Z118" s="14">
        <v>4</v>
      </c>
      <c r="AA118" s="14">
        <v>1</v>
      </c>
      <c r="AB118" s="13">
        <f>IF(AA118=1,I118-([1]Parametros!$B$7+[1]Parametros!$B$9+[1]Parametros!$B$12/2),I118-(ROUNDUP(Z118/2,0)*([1]Parametros!$B$7+[1]Parametros!$B$9+[1]Parametros!$B$12/2)+ROUNDDOWN(Z118/2,0)*([1]Parametros!$B$7+[1]Parametros!$B$9+[1]Parametros!$B$12/2+[1]Parametros!$B$12+[1]Parametros!$B$10))/Z118)</f>
        <v>489.35</v>
      </c>
      <c r="AC118" s="13">
        <f>Z118*[1]Parametros!$B$8</f>
        <v>796</v>
      </c>
      <c r="AD118" s="13">
        <f>[1]Parametros!$B$5*AC118*[1]Parametros!$B$3*(AB118-(AC118*[1]Parametros!$B$3/(0.85*[1]Parametros!$B$2*H118))/2)/1000000</f>
        <v>142.54333009411764</v>
      </c>
      <c r="AE118" s="13" t="str">
        <f t="shared" si="14"/>
        <v>CUMPLE</v>
      </c>
      <c r="AF118" s="13">
        <f>V118*1.25*[1]Parametros!$B$3*(U118-(V118*1.25*[1]Parametros!$B$3/(0.85*[1]Parametros!$B$2*H118))/2)/1000000</f>
        <v>196.34621794117646</v>
      </c>
      <c r="AG118" s="13">
        <f>AC118*1.25*[1]Parametros!$B$3*(AB118-(AC118*1.25*[1]Parametros!$B$3/(0.85*[1]Parametros!$B$2*H118))/2)/1000000</f>
        <v>196.34621794117646</v>
      </c>
      <c r="AH118" s="13">
        <f t="shared" si="15"/>
        <v>181.76044180995473</v>
      </c>
      <c r="AI118" s="13">
        <f t="shared" si="16"/>
        <v>200.99700000000001</v>
      </c>
      <c r="AJ118" s="13">
        <f>0.17*SQRT([1]Parametros!$B$2)*H118*MIN(U118,AB118)/1000</f>
        <v>198.08885582262698</v>
      </c>
      <c r="AK118" s="13">
        <f>MAX(AI118/[1]Parametros!$B$6-AJ118,0)</f>
        <v>69.907144177373056</v>
      </c>
      <c r="AL118" s="13">
        <f>0.66*SQRT([1]Parametros!$B$2)*H118*MIN(U118,AB118)/1000</f>
        <v>769.05085201725785</v>
      </c>
      <c r="AM118" s="13" t="str">
        <f t="shared" si="17"/>
        <v>CUMPLE</v>
      </c>
      <c r="AN118" s="13" t="s">
        <v>64</v>
      </c>
      <c r="AO118" s="14">
        <v>2</v>
      </c>
      <c r="AP118" s="13">
        <f>ROUNDDOWN(MIN(IF(BC118+BD118=0,1000000000,AO118*BB118/(BC118+BD118)),MIN(U118,AB118)/4,8*[1]Parametros!$B$12,24*BA118,300,IF(AV118=0,1000000000,2*((H118-2*([1]Parametros!$B$7+[1]Parametros!$B$9/2))+(I118-2*([1]Parametros!$B$7+[1]Parametros!$B$9/2)))/8))/10,0)*10</f>
        <v>120</v>
      </c>
      <c r="AQ118" s="13">
        <f>ROUNDDOWN(MIN(IF(BC118+BD118=0,1000000000,AO118*BB118/(BC118+BD118)),IF(AK118&gt;0.33*SQRT([1]Parametros!$B$2)*H118*MIN(U118,AB118)/1000,MIN(U118,AB118)/4,MIN(U118,AB118)/2),600,IF(AV118=0,1000000000,2*((H118-2*([1]Parametros!$B$7+[1]Parametros!$B$9/2))+(I118-2*([1]Parametros!$B$7+[1]Parametros!$B$9/2)))/8))/10,0)*10</f>
        <v>130</v>
      </c>
      <c r="AR118" s="13">
        <f>[1]Parametros!$B$6*(AJ118+MAX(BE118-BD118,0)*[1]Parametros!$B$4*MIN(U118,AB118)/1000)</f>
        <v>232.21380496431513</v>
      </c>
      <c r="AS118" s="13" t="str">
        <f t="shared" si="18"/>
        <v>CUMPLE</v>
      </c>
      <c r="AT118" s="13">
        <f>[1]Parametros!$B$6*0.083*SQRT([1]Parametros!$B$2)*(H118*I118)^2/(2*(H118+I118))/1000000</f>
        <v>10.08878303333792</v>
      </c>
      <c r="AU118" s="13" t="str">
        <f t="shared" si="19"/>
        <v>DISEÑAR</v>
      </c>
      <c r="AV118" s="13">
        <f>IF(Q118&lt;=AT118,0,Q118*1000000/([1]Parametros!$B$6*2*0.85*(H118-2*([1]Parametros!$B$7+[1]Parametros!$B$9/2))*(I118-2*([1]Parametros!$B$7+[1]Parametros!$B$9/2))*[1]Parametros!$B$4))</f>
        <v>0.32034087784947995</v>
      </c>
      <c r="AW118" s="13">
        <f>AV118*2*((H118-2*([1]Parametros!$B$7+[1]Parametros!$B$9/2))+(I118-2*([1]Parametros!$B$7+[1]Parametros!$B$9/2)))*[1]Parametros!$B$4/[1]Parametros!$B$3</f>
        <v>521.8993581923728</v>
      </c>
      <c r="AX118" s="14">
        <v>8</v>
      </c>
      <c r="AY118" s="13" t="str">
        <f t="shared" si="20"/>
        <v>CUMPLE</v>
      </c>
      <c r="AZ118" s="13" t="str">
        <f t="shared" si="21"/>
        <v>CUMPLE</v>
      </c>
      <c r="BA118" s="14">
        <v>9.5</v>
      </c>
      <c r="BB118" s="14">
        <v>71</v>
      </c>
      <c r="BC118" s="13">
        <f>MAX(IF(AK118=0,0,AK118*1000/([1]Parametros!$B$4*MIN(U118,AB118))),MAX(0.062*SQRT([1]Parametros!$B$2)*H118/[1]Parametros!$B$4,0.35*H118/[1]Parametros!$B$4))</f>
        <v>0.375</v>
      </c>
      <c r="BD118" s="13">
        <f t="shared" si="22"/>
        <v>0.64068175569895991</v>
      </c>
      <c r="BE118" s="13">
        <f t="shared" si="23"/>
        <v>1.1833333333333333</v>
      </c>
      <c r="BF118" s="13">
        <f>SQRT((AI118*1000/(H118*MIN(U118,AB118)))^2+(Q118*1000000*2*((H118-2*([1]Parametros!$B$7+[1]Parametros!$B$9/2))+(I118-2*([1]Parametros!$B$7+[1]Parametros!$B$9/2)))/(1.7*((H118-2*([1]Parametros!$B$7+[1]Parametros!$B$9/2))*(I118-2*([1]Parametros!$B$7+[1]Parametros!$B$9/2)))^2))^2)</f>
        <v>1.3584821265833906</v>
      </c>
      <c r="BG118" s="13">
        <f>[1]Parametros!$B$6*(AJ118*1000/(H118*MIN(U118,AB118))+0.66*SQRT([1]Parametros!$B$2))</f>
        <v>3.2939603822754151</v>
      </c>
      <c r="BH118" s="13" t="str">
        <f t="shared" si="24"/>
        <v>CUMPLE</v>
      </c>
      <c r="BI118" s="13">
        <f>AX118*[1]Parametros!$B$8</f>
        <v>1592</v>
      </c>
      <c r="BJ118" s="15" t="str">
        <f t="shared" si="25"/>
        <v>CUMPLE</v>
      </c>
    </row>
    <row r="119" spans="1:62" x14ac:dyDescent="0.3">
      <c r="A119" s="18" t="s">
        <v>67</v>
      </c>
      <c r="B119" s="19">
        <v>940</v>
      </c>
      <c r="C119" s="13">
        <v>1</v>
      </c>
      <c r="D119" s="13">
        <v>3.25</v>
      </c>
      <c r="E119" s="13">
        <v>3.25</v>
      </c>
      <c r="F119" s="13">
        <v>450</v>
      </c>
      <c r="G119" s="13">
        <v>550</v>
      </c>
      <c r="H119" s="13">
        <v>450</v>
      </c>
      <c r="I119" s="13">
        <v>550</v>
      </c>
      <c r="J119" s="14">
        <v>87.831500000000005</v>
      </c>
      <c r="K119" s="13">
        <v>940</v>
      </c>
      <c r="L119" s="14">
        <v>59.337400000000002</v>
      </c>
      <c r="M119" s="13">
        <v>940</v>
      </c>
      <c r="N119" s="14">
        <v>60.929000000000002</v>
      </c>
      <c r="O119" s="14">
        <v>200.99299999999999</v>
      </c>
      <c r="P119" s="13">
        <v>940</v>
      </c>
      <c r="Q119" s="14">
        <v>28.027999999999999</v>
      </c>
      <c r="R119" s="13">
        <f>MAX(MAX(1.4/[1]Parametros!$B$3,0.25*SQRT([1]Parametros!$B$2)/[1]Parametros!$B$3)*H119*U119,(0.85*[1]Parametros!$B$2/[1]Parametros!$B$3)*(1-SQRT(1-2*(J119*1000000/([1]Parametros!$B$5*H119*U119^2))/(0.85*[1]Parametros!$B$2)))*H119*U119)</f>
        <v>734.02500000000009</v>
      </c>
      <c r="S119" s="14">
        <v>4</v>
      </c>
      <c r="T119" s="14">
        <v>1</v>
      </c>
      <c r="U119" s="13">
        <f>IF(T119=1,I119-([1]Parametros!$B$7+[1]Parametros!$B$9+[1]Parametros!$B$12/2),I119-(ROUNDUP(S119/2,0)*([1]Parametros!$B$7+[1]Parametros!$B$9+[1]Parametros!$B$12/2)+ROUNDDOWN(S119/2,0)*([1]Parametros!$B$7+[1]Parametros!$B$9+[1]Parametros!$B$12/2+[1]Parametros!$B$12+[1]Parametros!$B$10))/S119)</f>
        <v>489.35</v>
      </c>
      <c r="V119" s="13">
        <f>S119*[1]Parametros!$B$8</f>
        <v>796</v>
      </c>
      <c r="W119" s="13">
        <f>[1]Parametros!$B$5*V119*[1]Parametros!$B$3*(U119-(V119*[1]Parametros!$B$3/(0.85*[1]Parametros!$B$2*H119))/2)/1000000</f>
        <v>142.54333009411764</v>
      </c>
      <c r="X119" s="13" t="str">
        <f t="shared" si="13"/>
        <v>CUMPLE</v>
      </c>
      <c r="Y119" s="13">
        <f>MAX(MAX(1.4/[1]Parametros!$B$3,0.25*SQRT([1]Parametros!$B$2)/[1]Parametros!$B$3)*H119*AB119,(0.85*[1]Parametros!$B$2/[1]Parametros!$B$3)*(1-SQRT(1-2*(L119*1000000/([1]Parametros!$B$5*H119*AB119^2))/(0.85*[1]Parametros!$B$2)))*H119*AB119)</f>
        <v>734.02500000000009</v>
      </c>
      <c r="Z119" s="14">
        <v>4</v>
      </c>
      <c r="AA119" s="14">
        <v>1</v>
      </c>
      <c r="AB119" s="13">
        <f>IF(AA119=1,I119-([1]Parametros!$B$7+[1]Parametros!$B$9+[1]Parametros!$B$12/2),I119-(ROUNDUP(Z119/2,0)*([1]Parametros!$B$7+[1]Parametros!$B$9+[1]Parametros!$B$12/2)+ROUNDDOWN(Z119/2,0)*([1]Parametros!$B$7+[1]Parametros!$B$9+[1]Parametros!$B$12/2+[1]Parametros!$B$12+[1]Parametros!$B$10))/Z119)</f>
        <v>489.35</v>
      </c>
      <c r="AC119" s="13">
        <f>Z119*[1]Parametros!$B$8</f>
        <v>796</v>
      </c>
      <c r="AD119" s="13">
        <f>[1]Parametros!$B$5*AC119*[1]Parametros!$B$3*(AB119-(AC119*[1]Parametros!$B$3/(0.85*[1]Parametros!$B$2*H119))/2)/1000000</f>
        <v>142.54333009411764</v>
      </c>
      <c r="AE119" s="13" t="str">
        <f t="shared" si="14"/>
        <v>CUMPLE</v>
      </c>
      <c r="AF119" s="13">
        <f>V119*1.25*[1]Parametros!$B$3*(U119-(V119*1.25*[1]Parametros!$B$3/(0.85*[1]Parametros!$B$2*H119))/2)/1000000</f>
        <v>196.34621794117646</v>
      </c>
      <c r="AG119" s="13">
        <f>AC119*1.25*[1]Parametros!$B$3*(AB119-(AC119*1.25*[1]Parametros!$B$3/(0.85*[1]Parametros!$B$2*H119))/2)/1000000</f>
        <v>196.34621794117646</v>
      </c>
      <c r="AH119" s="13">
        <f t="shared" si="15"/>
        <v>181.75744180995474</v>
      </c>
      <c r="AI119" s="13">
        <f t="shared" si="16"/>
        <v>200.99299999999999</v>
      </c>
      <c r="AJ119" s="13">
        <f>0.17*SQRT([1]Parametros!$B$2)*H119*MIN(U119,AB119)/1000</f>
        <v>198.08885582262698</v>
      </c>
      <c r="AK119" s="13">
        <f>MAX(AI119/[1]Parametros!$B$6-AJ119,0)</f>
        <v>69.901810844039659</v>
      </c>
      <c r="AL119" s="13">
        <f>0.66*SQRT([1]Parametros!$B$2)*H119*MIN(U119,AB119)/1000</f>
        <v>769.05085201725785</v>
      </c>
      <c r="AM119" s="13" t="str">
        <f t="shared" si="17"/>
        <v>CUMPLE</v>
      </c>
      <c r="AN119" s="13" t="s">
        <v>64</v>
      </c>
      <c r="AO119" s="14">
        <v>2</v>
      </c>
      <c r="AP119" s="13">
        <f>ROUNDDOWN(MIN(IF(BC119+BD119=0,1000000000,AO119*BB119/(BC119+BD119)),MIN(U119,AB119)/4,8*[1]Parametros!$B$12,24*BA119,300,IF(AV119=0,1000000000,2*((H119-2*([1]Parametros!$B$7+[1]Parametros!$B$9/2))+(I119-2*([1]Parametros!$B$7+[1]Parametros!$B$9/2)))/8))/10,0)*10</f>
        <v>120</v>
      </c>
      <c r="AQ119" s="13">
        <f>ROUNDDOWN(MIN(IF(BC119+BD119=0,1000000000,AO119*BB119/(BC119+BD119)),IF(AK119&gt;0.33*SQRT([1]Parametros!$B$2)*H119*MIN(U119,AB119)/1000,MIN(U119,AB119)/4,MIN(U119,AB119)/2),600,IF(AV119=0,1000000000,2*((H119-2*([1]Parametros!$B$7+[1]Parametros!$B$9/2))+(I119-2*([1]Parametros!$B$7+[1]Parametros!$B$9/2)))/8))/10,0)*10</f>
        <v>130</v>
      </c>
      <c r="AR119" s="13">
        <f>[1]Parametros!$B$6*(AJ119+MAX(BE119-BD119,0)*[1]Parametros!$B$4*MIN(U119,AB119)/1000)</f>
        <v>232.21697605716793</v>
      </c>
      <c r="AS119" s="13" t="str">
        <f t="shared" si="18"/>
        <v>CUMPLE</v>
      </c>
      <c r="AT119" s="13">
        <f>[1]Parametros!$B$6*0.083*SQRT([1]Parametros!$B$2)*(H119*I119)^2/(2*(H119+I119))/1000000</f>
        <v>10.08878303333792</v>
      </c>
      <c r="AU119" s="13" t="str">
        <f t="shared" si="19"/>
        <v>DISEÑAR</v>
      </c>
      <c r="AV119" s="13">
        <f>IF(Q119&lt;=AT119,0,Q119*1000000/([1]Parametros!$B$6*2*0.85*(H119-2*([1]Parametros!$B$7+[1]Parametros!$B$9/2))*(I119-2*([1]Parametros!$B$7+[1]Parametros!$B$9/2))*[1]Parametros!$B$4))</f>
        <v>0.32033059179508383</v>
      </c>
      <c r="AW119" s="13">
        <f>AV119*2*((H119-2*([1]Parametros!$B$7+[1]Parametros!$B$9/2))+(I119-2*([1]Parametros!$B$7+[1]Parametros!$B$9/2)))*[1]Parametros!$B$4/[1]Parametros!$B$3</f>
        <v>521.88260015255059</v>
      </c>
      <c r="AX119" s="14">
        <v>8</v>
      </c>
      <c r="AY119" s="13" t="str">
        <f t="shared" si="20"/>
        <v>CUMPLE</v>
      </c>
      <c r="AZ119" s="13" t="str">
        <f t="shared" si="21"/>
        <v>CUMPLE</v>
      </c>
      <c r="BA119" s="14">
        <v>9.5</v>
      </c>
      <c r="BB119" s="14">
        <v>71</v>
      </c>
      <c r="BC119" s="13">
        <f>MAX(IF(AK119=0,0,AK119*1000/([1]Parametros!$B$4*MIN(U119,AB119))),MAX(0.062*SQRT([1]Parametros!$B$2)*H119/[1]Parametros!$B$4,0.35*H119/[1]Parametros!$B$4))</f>
        <v>0.375</v>
      </c>
      <c r="BD119" s="13">
        <f t="shared" si="22"/>
        <v>0.64066118359016766</v>
      </c>
      <c r="BE119" s="13">
        <f t="shared" si="23"/>
        <v>1.1833333333333333</v>
      </c>
      <c r="BF119" s="13">
        <f>SQRT((AI119*1000/(H119*MIN(U119,AB119)))^2+(Q119*1000000*2*((H119-2*([1]Parametros!$B$7+[1]Parametros!$B$9/2))+(I119-2*([1]Parametros!$B$7+[1]Parametros!$B$9/2)))/(1.7*((H119-2*([1]Parametros!$B$7+[1]Parametros!$B$9/2))*(I119-2*([1]Parametros!$B$7+[1]Parametros!$B$9/2)))^2))^2)</f>
        <v>1.358445993659094</v>
      </c>
      <c r="BG119" s="13">
        <f>[1]Parametros!$B$6*(AJ119*1000/(H119*MIN(U119,AB119))+0.66*SQRT([1]Parametros!$B$2))</f>
        <v>3.2939603822754151</v>
      </c>
      <c r="BH119" s="13" t="str">
        <f t="shared" si="24"/>
        <v>CUMPLE</v>
      </c>
      <c r="BI119" s="13">
        <f>AX119*[1]Parametros!$B$8</f>
        <v>1592</v>
      </c>
      <c r="BJ119" s="15" t="str">
        <f t="shared" si="25"/>
        <v>CUMPLE</v>
      </c>
    </row>
    <row r="120" spans="1:62" x14ac:dyDescent="0.3">
      <c r="A120" s="18" t="s">
        <v>67</v>
      </c>
      <c r="B120" s="19">
        <v>1007</v>
      </c>
      <c r="C120" s="13">
        <v>1</v>
      </c>
      <c r="D120" s="13">
        <v>3.25</v>
      </c>
      <c r="E120" s="13">
        <v>3.25</v>
      </c>
      <c r="F120" s="13">
        <v>450</v>
      </c>
      <c r="G120" s="13">
        <v>550</v>
      </c>
      <c r="H120" s="13">
        <v>450</v>
      </c>
      <c r="I120" s="13">
        <v>550</v>
      </c>
      <c r="J120" s="14">
        <v>42.046599999999998</v>
      </c>
      <c r="K120" s="13">
        <v>1007</v>
      </c>
      <c r="L120" s="14">
        <v>17.203499999999998</v>
      </c>
      <c r="M120" s="13">
        <v>1007</v>
      </c>
      <c r="N120" s="14">
        <v>35.000999999999998</v>
      </c>
      <c r="O120" s="14">
        <v>86.078999999999994</v>
      </c>
      <c r="P120" s="13">
        <v>1007</v>
      </c>
      <c r="Q120" s="14">
        <v>7.1386000000000003</v>
      </c>
      <c r="R120" s="13">
        <f>MAX(MAX(1.4/[1]Parametros!$B$3,0.25*SQRT([1]Parametros!$B$2)/[1]Parametros!$B$3)*H120*U120,(0.85*[1]Parametros!$B$2/[1]Parametros!$B$3)*(1-SQRT(1-2*(J120*1000000/([1]Parametros!$B$5*H120*U120^2))/(0.85*[1]Parametros!$B$2)))*H120*U120)</f>
        <v>734.02500000000009</v>
      </c>
      <c r="S120" s="14">
        <v>4</v>
      </c>
      <c r="T120" s="14">
        <v>1</v>
      </c>
      <c r="U120" s="13">
        <f>IF(T120=1,I120-([1]Parametros!$B$7+[1]Parametros!$B$9+[1]Parametros!$B$12/2),I120-(ROUNDUP(S120/2,0)*([1]Parametros!$B$7+[1]Parametros!$B$9+[1]Parametros!$B$12/2)+ROUNDDOWN(S120/2,0)*([1]Parametros!$B$7+[1]Parametros!$B$9+[1]Parametros!$B$12/2+[1]Parametros!$B$12+[1]Parametros!$B$10))/S120)</f>
        <v>489.35</v>
      </c>
      <c r="V120" s="13">
        <f>S120*[1]Parametros!$B$8</f>
        <v>796</v>
      </c>
      <c r="W120" s="13">
        <f>[1]Parametros!$B$5*V120*[1]Parametros!$B$3*(U120-(V120*[1]Parametros!$B$3/(0.85*[1]Parametros!$B$2*H120))/2)/1000000</f>
        <v>142.54333009411764</v>
      </c>
      <c r="X120" s="13" t="str">
        <f t="shared" si="13"/>
        <v>CUMPLE</v>
      </c>
      <c r="Y120" s="13">
        <f>MAX(MAX(1.4/[1]Parametros!$B$3,0.25*SQRT([1]Parametros!$B$2)/[1]Parametros!$B$3)*H120*AB120,(0.85*[1]Parametros!$B$2/[1]Parametros!$B$3)*(1-SQRT(1-2*(L120*1000000/([1]Parametros!$B$5*H120*AB120^2))/(0.85*[1]Parametros!$B$2)))*H120*AB120)</f>
        <v>734.02500000000009</v>
      </c>
      <c r="Z120" s="14">
        <v>4</v>
      </c>
      <c r="AA120" s="14">
        <v>1</v>
      </c>
      <c r="AB120" s="13">
        <f>IF(AA120=1,I120-([1]Parametros!$B$7+[1]Parametros!$B$9+[1]Parametros!$B$12/2),I120-(ROUNDUP(Z120/2,0)*([1]Parametros!$B$7+[1]Parametros!$B$9+[1]Parametros!$B$12/2)+ROUNDDOWN(Z120/2,0)*([1]Parametros!$B$7+[1]Parametros!$B$9+[1]Parametros!$B$12/2+[1]Parametros!$B$12+[1]Parametros!$B$10))/Z120)</f>
        <v>489.35</v>
      </c>
      <c r="AC120" s="13">
        <f>Z120*[1]Parametros!$B$8</f>
        <v>796</v>
      </c>
      <c r="AD120" s="13">
        <f>[1]Parametros!$B$5*AC120*[1]Parametros!$B$3*(AB120-(AC120*[1]Parametros!$B$3/(0.85*[1]Parametros!$B$2*H120))/2)/1000000</f>
        <v>142.54333009411764</v>
      </c>
      <c r="AE120" s="13" t="str">
        <f t="shared" si="14"/>
        <v>CUMPLE</v>
      </c>
      <c r="AF120" s="13">
        <f>V120*1.25*[1]Parametros!$B$3*(U120-(V120*1.25*[1]Parametros!$B$3/(0.85*[1]Parametros!$B$2*H120))/2)/1000000</f>
        <v>196.34621794117646</v>
      </c>
      <c r="AG120" s="13">
        <f>AC120*1.25*[1]Parametros!$B$3*(AB120-(AC120*1.25*[1]Parametros!$B$3/(0.85*[1]Parametros!$B$2*H120))/2)/1000000</f>
        <v>196.34621794117646</v>
      </c>
      <c r="AH120" s="13">
        <f t="shared" si="15"/>
        <v>155.82944180995474</v>
      </c>
      <c r="AI120" s="13">
        <f t="shared" si="16"/>
        <v>155.82944180995474</v>
      </c>
      <c r="AJ120" s="13">
        <f>0.17*SQRT([1]Parametros!$B$2)*H120*MIN(U120,AB120)/1000</f>
        <v>198.08885582262698</v>
      </c>
      <c r="AK120" s="13">
        <f>MAX(AI120/[1]Parametros!$B$6-AJ120,0)</f>
        <v>9.6837332573126673</v>
      </c>
      <c r="AL120" s="13">
        <f>0.66*SQRT([1]Parametros!$B$2)*H120*MIN(U120,AB120)/1000</f>
        <v>769.05085201725785</v>
      </c>
      <c r="AM120" s="13" t="str">
        <f t="shared" si="17"/>
        <v>CUMPLE</v>
      </c>
      <c r="AN120" s="13" t="s">
        <v>64</v>
      </c>
      <c r="AO120" s="14">
        <v>2</v>
      </c>
      <c r="AP120" s="13">
        <f>ROUNDDOWN(MIN(IF(BC120+BD120=0,1000000000,AO120*BB120/(BC120+BD120)),MIN(U120,AB120)/4,8*[1]Parametros!$B$12,24*BA120,300,IF(AV120=0,1000000000,2*((H120-2*([1]Parametros!$B$7+[1]Parametros!$B$9/2))+(I120-2*([1]Parametros!$B$7+[1]Parametros!$B$9/2)))/8))/10,0)*10</f>
        <v>120</v>
      </c>
      <c r="AQ120" s="13">
        <f>ROUNDDOWN(MIN(IF(BC120+BD120=0,1000000000,AO120*BB120/(BC120+BD120)),IF(AK120&gt;0.33*SQRT([1]Parametros!$B$2)*H120*MIN(U120,AB120)/1000,MIN(U120,AB120)/4,MIN(U120,AB120)/2),600,IF(AV120=0,1000000000,2*((H120-2*([1]Parametros!$B$7+[1]Parametros!$B$9/2))+(I120-2*([1]Parametros!$B$7+[1]Parametros!$B$9/2)))/8))/10,0)*10</f>
        <v>240</v>
      </c>
      <c r="AR120" s="13">
        <f>[1]Parametros!$B$6*(AJ120+MAX(BE120-BD120,0)*[1]Parametros!$B$4*MIN(U120,AB120)/1000)</f>
        <v>330.97185436697026</v>
      </c>
      <c r="AS120" s="13" t="str">
        <f t="shared" si="18"/>
        <v>CUMPLE</v>
      </c>
      <c r="AT120" s="13">
        <f>[1]Parametros!$B$6*0.083*SQRT([1]Parametros!$B$2)*(H120*I120)^2/(2*(H120+I120))/1000000</f>
        <v>10.08878303333792</v>
      </c>
      <c r="AU120" s="13" t="str">
        <f t="shared" si="19"/>
        <v>DESPRECIABLE</v>
      </c>
      <c r="AV120" s="13">
        <f>IF(Q120&lt;=AT120,0,Q120*1000000/([1]Parametros!$B$6*2*0.85*(H120-2*([1]Parametros!$B$7+[1]Parametros!$B$9/2))*(I120-2*([1]Parametros!$B$7+[1]Parametros!$B$9/2))*[1]Parametros!$B$4))</f>
        <v>0</v>
      </c>
      <c r="AW120" s="13">
        <f>AV120*2*((H120-2*([1]Parametros!$B$7+[1]Parametros!$B$9/2))+(I120-2*([1]Parametros!$B$7+[1]Parametros!$B$9/2)))*[1]Parametros!$B$4/[1]Parametros!$B$3</f>
        <v>0</v>
      </c>
      <c r="AX120" s="14">
        <v>0</v>
      </c>
      <c r="AY120" s="13" t="str">
        <f t="shared" si="20"/>
        <v>DESPRECIABLE</v>
      </c>
      <c r="AZ120" s="13" t="str">
        <f t="shared" si="21"/>
        <v>CUMPLE</v>
      </c>
      <c r="BA120" s="14">
        <v>9.5</v>
      </c>
      <c r="BB120" s="14">
        <v>71</v>
      </c>
      <c r="BC120" s="13">
        <f>MAX(IF(AK120=0,0,AK120*1000/([1]Parametros!$B$4*MIN(U120,AB120))),MAX(0.062*SQRT([1]Parametros!$B$2)*H120/[1]Parametros!$B$4,0.35*H120/[1]Parametros!$B$4))</f>
        <v>0.375</v>
      </c>
      <c r="BD120" s="13">
        <f t="shared" si="22"/>
        <v>0</v>
      </c>
      <c r="BE120" s="13">
        <f t="shared" si="23"/>
        <v>1.1833333333333333</v>
      </c>
      <c r="BF120" s="13">
        <f>SQRT((AI120*1000/(H120*MIN(U120,AB120)))^2+(Q120*1000000*2*((H120-2*([1]Parametros!$B$7+[1]Parametros!$B$9/2))+(I120-2*([1]Parametros!$B$7+[1]Parametros!$B$9/2)))/(1.7*((H120-2*([1]Parametros!$B$7+[1]Parametros!$B$9/2))*(I120-2*([1]Parametros!$B$7+[1]Parametros!$B$9/2)))^2))^2)</f>
        <v>0.75261671726696344</v>
      </c>
      <c r="BG120" s="13">
        <f>[1]Parametros!$B$6*(AJ120*1000/(H120*MIN(U120,AB120))+0.66*SQRT([1]Parametros!$B$2))</f>
        <v>3.2939603822754151</v>
      </c>
      <c r="BH120" s="13" t="str">
        <f t="shared" si="24"/>
        <v>CUMPLE</v>
      </c>
      <c r="BI120" s="13">
        <f>AX120*[1]Parametros!$B$8</f>
        <v>0</v>
      </c>
      <c r="BJ120" s="15" t="str">
        <f t="shared" si="25"/>
        <v>CUMPLE</v>
      </c>
    </row>
    <row r="121" spans="1:62" x14ac:dyDescent="0.3">
      <c r="A121" s="18" t="s">
        <v>67</v>
      </c>
      <c r="B121" s="19">
        <v>1008</v>
      </c>
      <c r="C121" s="13">
        <v>1</v>
      </c>
      <c r="D121" s="13">
        <v>3.25</v>
      </c>
      <c r="E121" s="13">
        <v>3.25</v>
      </c>
      <c r="F121" s="13">
        <v>450</v>
      </c>
      <c r="G121" s="13">
        <v>550</v>
      </c>
      <c r="H121" s="13">
        <v>450</v>
      </c>
      <c r="I121" s="13">
        <v>550</v>
      </c>
      <c r="J121" s="14">
        <v>41.965899999999998</v>
      </c>
      <c r="K121" s="13">
        <v>1008</v>
      </c>
      <c r="L121" s="14">
        <v>17.2258</v>
      </c>
      <c r="M121" s="13">
        <v>1008</v>
      </c>
      <c r="N121" s="14">
        <v>35.021999999999998</v>
      </c>
      <c r="O121" s="14">
        <v>86.1</v>
      </c>
      <c r="P121" s="13">
        <v>1008</v>
      </c>
      <c r="Q121" s="14">
        <v>7.1403999999999996</v>
      </c>
      <c r="R121" s="13">
        <f>MAX(MAX(1.4/[1]Parametros!$B$3,0.25*SQRT([1]Parametros!$B$2)/[1]Parametros!$B$3)*H121*U121,(0.85*[1]Parametros!$B$2/[1]Parametros!$B$3)*(1-SQRT(1-2*(J121*1000000/([1]Parametros!$B$5*H121*U121^2))/(0.85*[1]Parametros!$B$2)))*H121*U121)</f>
        <v>734.02500000000009</v>
      </c>
      <c r="S121" s="14">
        <v>4</v>
      </c>
      <c r="T121" s="14">
        <v>1</v>
      </c>
      <c r="U121" s="13">
        <f>IF(T121=1,I121-([1]Parametros!$B$7+[1]Parametros!$B$9+[1]Parametros!$B$12/2),I121-(ROUNDUP(S121/2,0)*([1]Parametros!$B$7+[1]Parametros!$B$9+[1]Parametros!$B$12/2)+ROUNDDOWN(S121/2,0)*([1]Parametros!$B$7+[1]Parametros!$B$9+[1]Parametros!$B$12/2+[1]Parametros!$B$12+[1]Parametros!$B$10))/S121)</f>
        <v>489.35</v>
      </c>
      <c r="V121" s="13">
        <f>S121*[1]Parametros!$B$8</f>
        <v>796</v>
      </c>
      <c r="W121" s="13">
        <f>[1]Parametros!$B$5*V121*[1]Parametros!$B$3*(U121-(V121*[1]Parametros!$B$3/(0.85*[1]Parametros!$B$2*H121))/2)/1000000</f>
        <v>142.54333009411764</v>
      </c>
      <c r="X121" s="13" t="str">
        <f t="shared" si="13"/>
        <v>CUMPLE</v>
      </c>
      <c r="Y121" s="13">
        <f>MAX(MAX(1.4/[1]Parametros!$B$3,0.25*SQRT([1]Parametros!$B$2)/[1]Parametros!$B$3)*H121*AB121,(0.85*[1]Parametros!$B$2/[1]Parametros!$B$3)*(1-SQRT(1-2*(L121*1000000/([1]Parametros!$B$5*H121*AB121^2))/(0.85*[1]Parametros!$B$2)))*H121*AB121)</f>
        <v>734.02500000000009</v>
      </c>
      <c r="Z121" s="14">
        <v>4</v>
      </c>
      <c r="AA121" s="14">
        <v>1</v>
      </c>
      <c r="AB121" s="13">
        <f>IF(AA121=1,I121-([1]Parametros!$B$7+[1]Parametros!$B$9+[1]Parametros!$B$12/2),I121-(ROUNDUP(Z121/2,0)*([1]Parametros!$B$7+[1]Parametros!$B$9+[1]Parametros!$B$12/2)+ROUNDDOWN(Z121/2,0)*([1]Parametros!$B$7+[1]Parametros!$B$9+[1]Parametros!$B$12/2+[1]Parametros!$B$12+[1]Parametros!$B$10))/Z121)</f>
        <v>489.35</v>
      </c>
      <c r="AC121" s="13">
        <f>Z121*[1]Parametros!$B$8</f>
        <v>796</v>
      </c>
      <c r="AD121" s="13">
        <f>[1]Parametros!$B$5*AC121*[1]Parametros!$B$3*(AB121-(AC121*[1]Parametros!$B$3/(0.85*[1]Parametros!$B$2*H121))/2)/1000000</f>
        <v>142.54333009411764</v>
      </c>
      <c r="AE121" s="13" t="str">
        <f t="shared" si="14"/>
        <v>CUMPLE</v>
      </c>
      <c r="AF121" s="13">
        <f>V121*1.25*[1]Parametros!$B$3*(U121-(V121*1.25*[1]Parametros!$B$3/(0.85*[1]Parametros!$B$2*H121))/2)/1000000</f>
        <v>196.34621794117646</v>
      </c>
      <c r="AG121" s="13">
        <f>AC121*1.25*[1]Parametros!$B$3*(AB121-(AC121*1.25*[1]Parametros!$B$3/(0.85*[1]Parametros!$B$2*H121))/2)/1000000</f>
        <v>196.34621794117646</v>
      </c>
      <c r="AH121" s="13">
        <f t="shared" si="15"/>
        <v>155.85044180995473</v>
      </c>
      <c r="AI121" s="13">
        <f t="shared" si="16"/>
        <v>155.85044180995473</v>
      </c>
      <c r="AJ121" s="13">
        <f>0.17*SQRT([1]Parametros!$B$2)*H121*MIN(U121,AB121)/1000</f>
        <v>198.08885582262698</v>
      </c>
      <c r="AK121" s="13">
        <f>MAX(AI121/[1]Parametros!$B$6-AJ121,0)</f>
        <v>9.7117332573126589</v>
      </c>
      <c r="AL121" s="13">
        <f>0.66*SQRT([1]Parametros!$B$2)*H121*MIN(U121,AB121)/1000</f>
        <v>769.05085201725785</v>
      </c>
      <c r="AM121" s="13" t="str">
        <f t="shared" si="17"/>
        <v>CUMPLE</v>
      </c>
      <c r="AN121" s="13" t="s">
        <v>64</v>
      </c>
      <c r="AO121" s="14">
        <v>2</v>
      </c>
      <c r="AP121" s="13">
        <f>ROUNDDOWN(MIN(IF(BC121+BD121=0,1000000000,AO121*BB121/(BC121+BD121)),MIN(U121,AB121)/4,8*[1]Parametros!$B$12,24*BA121,300,IF(AV121=0,1000000000,2*((H121-2*([1]Parametros!$B$7+[1]Parametros!$B$9/2))+(I121-2*([1]Parametros!$B$7+[1]Parametros!$B$9/2)))/8))/10,0)*10</f>
        <v>120</v>
      </c>
      <c r="AQ121" s="13">
        <f>ROUNDDOWN(MIN(IF(BC121+BD121=0,1000000000,AO121*BB121/(BC121+BD121)),IF(AK121&gt;0.33*SQRT([1]Parametros!$B$2)*H121*MIN(U121,AB121)/1000,MIN(U121,AB121)/4,MIN(U121,AB121)/2),600,IF(AV121=0,1000000000,2*((H121-2*([1]Parametros!$B$7+[1]Parametros!$B$9/2))+(I121-2*([1]Parametros!$B$7+[1]Parametros!$B$9/2)))/8))/10,0)*10</f>
        <v>240</v>
      </c>
      <c r="AR121" s="13">
        <f>[1]Parametros!$B$6*(AJ121+MAX(BE121-BD121,0)*[1]Parametros!$B$4*MIN(U121,AB121)/1000)</f>
        <v>330.97185436697026</v>
      </c>
      <c r="AS121" s="13" t="str">
        <f t="shared" si="18"/>
        <v>CUMPLE</v>
      </c>
      <c r="AT121" s="13">
        <f>[1]Parametros!$B$6*0.083*SQRT([1]Parametros!$B$2)*(H121*I121)^2/(2*(H121+I121))/1000000</f>
        <v>10.08878303333792</v>
      </c>
      <c r="AU121" s="13" t="str">
        <f t="shared" si="19"/>
        <v>DESPRECIABLE</v>
      </c>
      <c r="AV121" s="13">
        <f>IF(Q121&lt;=AT121,0,Q121*1000000/([1]Parametros!$B$6*2*0.85*(H121-2*([1]Parametros!$B$7+[1]Parametros!$B$9/2))*(I121-2*([1]Parametros!$B$7+[1]Parametros!$B$9/2))*[1]Parametros!$B$4))</f>
        <v>0</v>
      </c>
      <c r="AW121" s="13">
        <f>AV121*2*((H121-2*([1]Parametros!$B$7+[1]Parametros!$B$9/2))+(I121-2*([1]Parametros!$B$7+[1]Parametros!$B$9/2)))*[1]Parametros!$B$4/[1]Parametros!$B$3</f>
        <v>0</v>
      </c>
      <c r="AX121" s="14">
        <v>0</v>
      </c>
      <c r="AY121" s="13" t="str">
        <f t="shared" si="20"/>
        <v>DESPRECIABLE</v>
      </c>
      <c r="AZ121" s="13" t="str">
        <f t="shared" si="21"/>
        <v>CUMPLE</v>
      </c>
      <c r="BA121" s="14">
        <v>9.5</v>
      </c>
      <c r="BB121" s="14">
        <v>71</v>
      </c>
      <c r="BC121" s="13">
        <f>MAX(IF(AK121=0,0,AK121*1000/([1]Parametros!$B$4*MIN(U121,AB121))),MAX(0.062*SQRT([1]Parametros!$B$2)*H121/[1]Parametros!$B$4,0.35*H121/[1]Parametros!$B$4))</f>
        <v>0.375</v>
      </c>
      <c r="BD121" s="13">
        <f t="shared" si="22"/>
        <v>0</v>
      </c>
      <c r="BE121" s="13">
        <f t="shared" si="23"/>
        <v>1.1833333333333333</v>
      </c>
      <c r="BF121" s="13">
        <f>SQRT((AI121*1000/(H121*MIN(U121,AB121)))^2+(Q121*1000000*2*((H121-2*([1]Parametros!$B$7+[1]Parametros!$B$9/2))+(I121-2*([1]Parametros!$B$7+[1]Parametros!$B$9/2)))/(1.7*((H121-2*([1]Parametros!$B$7+[1]Parametros!$B$9/2))*(I121-2*([1]Parametros!$B$7+[1]Parametros!$B$9/2)))^2))^2)</f>
        <v>0.75272838456239699</v>
      </c>
      <c r="BG121" s="13">
        <f>[1]Parametros!$B$6*(AJ121*1000/(H121*MIN(U121,AB121))+0.66*SQRT([1]Parametros!$B$2))</f>
        <v>3.2939603822754151</v>
      </c>
      <c r="BH121" s="13" t="str">
        <f t="shared" si="24"/>
        <v>CUMPLE</v>
      </c>
      <c r="BI121" s="13">
        <f>AX121*[1]Parametros!$B$8</f>
        <v>0</v>
      </c>
      <c r="BJ121" s="15" t="str">
        <f t="shared" si="25"/>
        <v>CUMPLE</v>
      </c>
    </row>
    <row r="122" spans="1:62" x14ac:dyDescent="0.3">
      <c r="A122" s="18" t="s">
        <v>67</v>
      </c>
      <c r="B122" s="19">
        <v>1033</v>
      </c>
      <c r="C122" s="13">
        <v>1</v>
      </c>
      <c r="D122" s="13">
        <v>3.25</v>
      </c>
      <c r="E122" s="13">
        <v>3.25</v>
      </c>
      <c r="F122" s="13">
        <v>450</v>
      </c>
      <c r="G122" s="13">
        <v>550</v>
      </c>
      <c r="H122" s="13">
        <v>450</v>
      </c>
      <c r="I122" s="13">
        <v>550</v>
      </c>
      <c r="J122" s="14">
        <v>42.001800000000003</v>
      </c>
      <c r="K122" s="13">
        <v>1033</v>
      </c>
      <c r="L122" s="14">
        <v>17.226400000000002</v>
      </c>
      <c r="M122" s="13">
        <v>1033</v>
      </c>
      <c r="N122" s="14">
        <v>35.026000000000003</v>
      </c>
      <c r="O122" s="14">
        <v>86.114000000000004</v>
      </c>
      <c r="P122" s="13">
        <v>1033</v>
      </c>
      <c r="Q122" s="14">
        <v>7.1471</v>
      </c>
      <c r="R122" s="13">
        <f>MAX(MAX(1.4/[1]Parametros!$B$3,0.25*SQRT([1]Parametros!$B$2)/[1]Parametros!$B$3)*H122*U122,(0.85*[1]Parametros!$B$2/[1]Parametros!$B$3)*(1-SQRT(1-2*(J122*1000000/([1]Parametros!$B$5*H122*U122^2))/(0.85*[1]Parametros!$B$2)))*H122*U122)</f>
        <v>734.02500000000009</v>
      </c>
      <c r="S122" s="14">
        <v>4</v>
      </c>
      <c r="T122" s="14">
        <v>1</v>
      </c>
      <c r="U122" s="13">
        <f>IF(T122=1,I122-([1]Parametros!$B$7+[1]Parametros!$B$9+[1]Parametros!$B$12/2),I122-(ROUNDUP(S122/2,0)*([1]Parametros!$B$7+[1]Parametros!$B$9+[1]Parametros!$B$12/2)+ROUNDDOWN(S122/2,0)*([1]Parametros!$B$7+[1]Parametros!$B$9+[1]Parametros!$B$12/2+[1]Parametros!$B$12+[1]Parametros!$B$10))/S122)</f>
        <v>489.35</v>
      </c>
      <c r="V122" s="13">
        <f>S122*[1]Parametros!$B$8</f>
        <v>796</v>
      </c>
      <c r="W122" s="13">
        <f>[1]Parametros!$B$5*V122*[1]Parametros!$B$3*(U122-(V122*[1]Parametros!$B$3/(0.85*[1]Parametros!$B$2*H122))/2)/1000000</f>
        <v>142.54333009411764</v>
      </c>
      <c r="X122" s="13" t="str">
        <f t="shared" si="13"/>
        <v>CUMPLE</v>
      </c>
      <c r="Y122" s="13">
        <f>MAX(MAX(1.4/[1]Parametros!$B$3,0.25*SQRT([1]Parametros!$B$2)/[1]Parametros!$B$3)*H122*AB122,(0.85*[1]Parametros!$B$2/[1]Parametros!$B$3)*(1-SQRT(1-2*(L122*1000000/([1]Parametros!$B$5*H122*AB122^2))/(0.85*[1]Parametros!$B$2)))*H122*AB122)</f>
        <v>734.02500000000009</v>
      </c>
      <c r="Z122" s="14">
        <v>4</v>
      </c>
      <c r="AA122" s="14">
        <v>1</v>
      </c>
      <c r="AB122" s="13">
        <f>IF(AA122=1,I122-([1]Parametros!$B$7+[1]Parametros!$B$9+[1]Parametros!$B$12/2),I122-(ROUNDUP(Z122/2,0)*([1]Parametros!$B$7+[1]Parametros!$B$9+[1]Parametros!$B$12/2)+ROUNDDOWN(Z122/2,0)*([1]Parametros!$B$7+[1]Parametros!$B$9+[1]Parametros!$B$12/2+[1]Parametros!$B$12+[1]Parametros!$B$10))/Z122)</f>
        <v>489.35</v>
      </c>
      <c r="AC122" s="13">
        <f>Z122*[1]Parametros!$B$8</f>
        <v>796</v>
      </c>
      <c r="AD122" s="13">
        <f>[1]Parametros!$B$5*AC122*[1]Parametros!$B$3*(AB122-(AC122*[1]Parametros!$B$3/(0.85*[1]Parametros!$B$2*H122))/2)/1000000</f>
        <v>142.54333009411764</v>
      </c>
      <c r="AE122" s="13" t="str">
        <f t="shared" si="14"/>
        <v>CUMPLE</v>
      </c>
      <c r="AF122" s="13">
        <f>V122*1.25*[1]Parametros!$B$3*(U122-(V122*1.25*[1]Parametros!$B$3/(0.85*[1]Parametros!$B$2*H122))/2)/1000000</f>
        <v>196.34621794117646</v>
      </c>
      <c r="AG122" s="13">
        <f>AC122*1.25*[1]Parametros!$B$3*(AB122-(AC122*1.25*[1]Parametros!$B$3/(0.85*[1]Parametros!$B$2*H122))/2)/1000000</f>
        <v>196.34621794117646</v>
      </c>
      <c r="AH122" s="13">
        <f t="shared" si="15"/>
        <v>155.85444180995475</v>
      </c>
      <c r="AI122" s="13">
        <f t="shared" si="16"/>
        <v>155.85444180995475</v>
      </c>
      <c r="AJ122" s="13">
        <f>0.17*SQRT([1]Parametros!$B$2)*H122*MIN(U122,AB122)/1000</f>
        <v>198.08885582262698</v>
      </c>
      <c r="AK122" s="13">
        <f>MAX(AI122/[1]Parametros!$B$6-AJ122,0)</f>
        <v>9.7170665906460272</v>
      </c>
      <c r="AL122" s="13">
        <f>0.66*SQRT([1]Parametros!$B$2)*H122*MIN(U122,AB122)/1000</f>
        <v>769.05085201725785</v>
      </c>
      <c r="AM122" s="13" t="str">
        <f t="shared" si="17"/>
        <v>CUMPLE</v>
      </c>
      <c r="AN122" s="13" t="s">
        <v>64</v>
      </c>
      <c r="AO122" s="14">
        <v>2</v>
      </c>
      <c r="AP122" s="13">
        <f>ROUNDDOWN(MIN(IF(BC122+BD122=0,1000000000,AO122*BB122/(BC122+BD122)),MIN(U122,AB122)/4,8*[1]Parametros!$B$12,24*BA122,300,IF(AV122=0,1000000000,2*((H122-2*([1]Parametros!$B$7+[1]Parametros!$B$9/2))+(I122-2*([1]Parametros!$B$7+[1]Parametros!$B$9/2)))/8))/10,0)*10</f>
        <v>120</v>
      </c>
      <c r="AQ122" s="13">
        <f>ROUNDDOWN(MIN(IF(BC122+BD122=0,1000000000,AO122*BB122/(BC122+BD122)),IF(AK122&gt;0.33*SQRT([1]Parametros!$B$2)*H122*MIN(U122,AB122)/1000,MIN(U122,AB122)/4,MIN(U122,AB122)/2),600,IF(AV122=0,1000000000,2*((H122-2*([1]Parametros!$B$7+[1]Parametros!$B$9/2))+(I122-2*([1]Parametros!$B$7+[1]Parametros!$B$9/2)))/8))/10,0)*10</f>
        <v>240</v>
      </c>
      <c r="AR122" s="13">
        <f>[1]Parametros!$B$6*(AJ122+MAX(BE122-BD122,0)*[1]Parametros!$B$4*MIN(U122,AB122)/1000)</f>
        <v>330.97185436697026</v>
      </c>
      <c r="AS122" s="13" t="str">
        <f t="shared" si="18"/>
        <v>CUMPLE</v>
      </c>
      <c r="AT122" s="13">
        <f>[1]Parametros!$B$6*0.083*SQRT([1]Parametros!$B$2)*(H122*I122)^2/(2*(H122+I122))/1000000</f>
        <v>10.08878303333792</v>
      </c>
      <c r="AU122" s="13" t="str">
        <f t="shared" si="19"/>
        <v>DESPRECIABLE</v>
      </c>
      <c r="AV122" s="13">
        <f>IF(Q122&lt;=AT122,0,Q122*1000000/([1]Parametros!$B$6*2*0.85*(H122-2*([1]Parametros!$B$7+[1]Parametros!$B$9/2))*(I122-2*([1]Parametros!$B$7+[1]Parametros!$B$9/2))*[1]Parametros!$B$4))</f>
        <v>0</v>
      </c>
      <c r="AW122" s="13">
        <f>AV122*2*((H122-2*([1]Parametros!$B$7+[1]Parametros!$B$9/2))+(I122-2*([1]Parametros!$B$7+[1]Parametros!$B$9/2)))*[1]Parametros!$B$4/[1]Parametros!$B$3</f>
        <v>0</v>
      </c>
      <c r="AX122" s="14">
        <v>0</v>
      </c>
      <c r="AY122" s="13" t="str">
        <f t="shared" si="20"/>
        <v>DESPRECIABLE</v>
      </c>
      <c r="AZ122" s="13" t="str">
        <f t="shared" si="21"/>
        <v>CUMPLE</v>
      </c>
      <c r="BA122" s="14">
        <v>9.5</v>
      </c>
      <c r="BB122" s="14">
        <v>71</v>
      </c>
      <c r="BC122" s="13">
        <f>MAX(IF(AK122=0,0,AK122*1000/([1]Parametros!$B$4*MIN(U122,AB122))),MAX(0.062*SQRT([1]Parametros!$B$2)*H122/[1]Parametros!$B$4,0.35*H122/[1]Parametros!$B$4))</f>
        <v>0.375</v>
      </c>
      <c r="BD122" s="13">
        <f t="shared" si="22"/>
        <v>0</v>
      </c>
      <c r="BE122" s="13">
        <f t="shared" si="23"/>
        <v>1.1833333333333333</v>
      </c>
      <c r="BF122" s="13">
        <f>SQRT((AI122*1000/(H122*MIN(U122,AB122)))^2+(Q122*1000000*2*((H122-2*([1]Parametros!$B$7+[1]Parametros!$B$9/2))+(I122-2*([1]Parametros!$B$7+[1]Parametros!$B$9/2)))/(1.7*((H122-2*([1]Parametros!$B$7+[1]Parametros!$B$9/2))*(I122-2*([1]Parametros!$B$7+[1]Parametros!$B$9/2)))^2))^2)</f>
        <v>0.75282739378538688</v>
      </c>
      <c r="BG122" s="13">
        <f>[1]Parametros!$B$6*(AJ122*1000/(H122*MIN(U122,AB122))+0.66*SQRT([1]Parametros!$B$2))</f>
        <v>3.2939603822754151</v>
      </c>
      <c r="BH122" s="13" t="str">
        <f t="shared" si="24"/>
        <v>CUMPLE</v>
      </c>
      <c r="BI122" s="13">
        <f>AX122*[1]Parametros!$B$8</f>
        <v>0</v>
      </c>
      <c r="BJ122" s="15" t="str">
        <f t="shared" si="25"/>
        <v>CUMPLE</v>
      </c>
    </row>
    <row r="123" spans="1:62" x14ac:dyDescent="0.3">
      <c r="A123" s="18" t="s">
        <v>67</v>
      </c>
      <c r="B123" s="19">
        <v>1034</v>
      </c>
      <c r="C123" s="13">
        <v>1</v>
      </c>
      <c r="D123" s="13">
        <v>3.25</v>
      </c>
      <c r="E123" s="13">
        <v>3.25</v>
      </c>
      <c r="F123" s="13">
        <v>450</v>
      </c>
      <c r="G123" s="13">
        <v>550</v>
      </c>
      <c r="H123" s="13">
        <v>450</v>
      </c>
      <c r="I123" s="13">
        <v>550</v>
      </c>
      <c r="J123" s="14">
        <v>42.050400000000003</v>
      </c>
      <c r="K123" s="13">
        <v>1034</v>
      </c>
      <c r="L123" s="14">
        <v>17.211099999999998</v>
      </c>
      <c r="M123" s="13">
        <v>1034</v>
      </c>
      <c r="N123" s="14">
        <v>35.014000000000003</v>
      </c>
      <c r="O123" s="14">
        <v>86.102000000000004</v>
      </c>
      <c r="P123" s="13">
        <v>1034</v>
      </c>
      <c r="Q123" s="14">
        <v>7.1456999999999997</v>
      </c>
      <c r="R123" s="13">
        <f>MAX(MAX(1.4/[1]Parametros!$B$3,0.25*SQRT([1]Parametros!$B$2)/[1]Parametros!$B$3)*H123*U123,(0.85*[1]Parametros!$B$2/[1]Parametros!$B$3)*(1-SQRT(1-2*(J123*1000000/([1]Parametros!$B$5*H123*U123^2))/(0.85*[1]Parametros!$B$2)))*H123*U123)</f>
        <v>734.02500000000009</v>
      </c>
      <c r="S123" s="14">
        <v>4</v>
      </c>
      <c r="T123" s="14">
        <v>1</v>
      </c>
      <c r="U123" s="13">
        <f>IF(T123=1,I123-([1]Parametros!$B$7+[1]Parametros!$B$9+[1]Parametros!$B$12/2),I123-(ROUNDUP(S123/2,0)*([1]Parametros!$B$7+[1]Parametros!$B$9+[1]Parametros!$B$12/2)+ROUNDDOWN(S123/2,0)*([1]Parametros!$B$7+[1]Parametros!$B$9+[1]Parametros!$B$12/2+[1]Parametros!$B$12+[1]Parametros!$B$10))/S123)</f>
        <v>489.35</v>
      </c>
      <c r="V123" s="13">
        <f>S123*[1]Parametros!$B$8</f>
        <v>796</v>
      </c>
      <c r="W123" s="13">
        <f>[1]Parametros!$B$5*V123*[1]Parametros!$B$3*(U123-(V123*[1]Parametros!$B$3/(0.85*[1]Parametros!$B$2*H123))/2)/1000000</f>
        <v>142.54333009411764</v>
      </c>
      <c r="X123" s="13" t="str">
        <f t="shared" si="13"/>
        <v>CUMPLE</v>
      </c>
      <c r="Y123" s="13">
        <f>MAX(MAX(1.4/[1]Parametros!$B$3,0.25*SQRT([1]Parametros!$B$2)/[1]Parametros!$B$3)*H123*AB123,(0.85*[1]Parametros!$B$2/[1]Parametros!$B$3)*(1-SQRT(1-2*(L123*1000000/([1]Parametros!$B$5*H123*AB123^2))/(0.85*[1]Parametros!$B$2)))*H123*AB123)</f>
        <v>734.02500000000009</v>
      </c>
      <c r="Z123" s="14">
        <v>4</v>
      </c>
      <c r="AA123" s="14">
        <v>1</v>
      </c>
      <c r="AB123" s="13">
        <f>IF(AA123=1,I123-([1]Parametros!$B$7+[1]Parametros!$B$9+[1]Parametros!$B$12/2),I123-(ROUNDUP(Z123/2,0)*([1]Parametros!$B$7+[1]Parametros!$B$9+[1]Parametros!$B$12/2)+ROUNDDOWN(Z123/2,0)*([1]Parametros!$B$7+[1]Parametros!$B$9+[1]Parametros!$B$12/2+[1]Parametros!$B$12+[1]Parametros!$B$10))/Z123)</f>
        <v>489.35</v>
      </c>
      <c r="AC123" s="13">
        <f>Z123*[1]Parametros!$B$8</f>
        <v>796</v>
      </c>
      <c r="AD123" s="13">
        <f>[1]Parametros!$B$5*AC123*[1]Parametros!$B$3*(AB123-(AC123*[1]Parametros!$B$3/(0.85*[1]Parametros!$B$2*H123))/2)/1000000</f>
        <v>142.54333009411764</v>
      </c>
      <c r="AE123" s="13" t="str">
        <f t="shared" si="14"/>
        <v>CUMPLE</v>
      </c>
      <c r="AF123" s="13">
        <f>V123*1.25*[1]Parametros!$B$3*(U123-(V123*1.25*[1]Parametros!$B$3/(0.85*[1]Parametros!$B$2*H123))/2)/1000000</f>
        <v>196.34621794117646</v>
      </c>
      <c r="AG123" s="13">
        <f>AC123*1.25*[1]Parametros!$B$3*(AB123-(AC123*1.25*[1]Parametros!$B$3/(0.85*[1]Parametros!$B$2*H123))/2)/1000000</f>
        <v>196.34621794117646</v>
      </c>
      <c r="AH123" s="13">
        <f t="shared" si="15"/>
        <v>155.84244180995475</v>
      </c>
      <c r="AI123" s="13">
        <f t="shared" si="16"/>
        <v>155.84244180995475</v>
      </c>
      <c r="AJ123" s="13">
        <f>0.17*SQRT([1]Parametros!$B$2)*H123*MIN(U123,AB123)/1000</f>
        <v>198.08885582262698</v>
      </c>
      <c r="AK123" s="13">
        <f>MAX(AI123/[1]Parametros!$B$6-AJ123,0)</f>
        <v>9.7010665906460076</v>
      </c>
      <c r="AL123" s="13">
        <f>0.66*SQRT([1]Parametros!$B$2)*H123*MIN(U123,AB123)/1000</f>
        <v>769.05085201725785</v>
      </c>
      <c r="AM123" s="13" t="str">
        <f t="shared" si="17"/>
        <v>CUMPLE</v>
      </c>
      <c r="AN123" s="13" t="s">
        <v>64</v>
      </c>
      <c r="AO123" s="14">
        <v>2</v>
      </c>
      <c r="AP123" s="13">
        <f>ROUNDDOWN(MIN(IF(BC123+BD123=0,1000000000,AO123*BB123/(BC123+BD123)),MIN(U123,AB123)/4,8*[1]Parametros!$B$12,24*BA123,300,IF(AV123=0,1000000000,2*((H123-2*([1]Parametros!$B$7+[1]Parametros!$B$9/2))+(I123-2*([1]Parametros!$B$7+[1]Parametros!$B$9/2)))/8))/10,0)*10</f>
        <v>120</v>
      </c>
      <c r="AQ123" s="13">
        <f>ROUNDDOWN(MIN(IF(BC123+BD123=0,1000000000,AO123*BB123/(BC123+BD123)),IF(AK123&gt;0.33*SQRT([1]Parametros!$B$2)*H123*MIN(U123,AB123)/1000,MIN(U123,AB123)/4,MIN(U123,AB123)/2),600,IF(AV123=0,1000000000,2*((H123-2*([1]Parametros!$B$7+[1]Parametros!$B$9/2))+(I123-2*([1]Parametros!$B$7+[1]Parametros!$B$9/2)))/8))/10,0)*10</f>
        <v>240</v>
      </c>
      <c r="AR123" s="13">
        <f>[1]Parametros!$B$6*(AJ123+MAX(BE123-BD123,0)*[1]Parametros!$B$4*MIN(U123,AB123)/1000)</f>
        <v>330.97185436697026</v>
      </c>
      <c r="AS123" s="13" t="str">
        <f t="shared" si="18"/>
        <v>CUMPLE</v>
      </c>
      <c r="AT123" s="13">
        <f>[1]Parametros!$B$6*0.083*SQRT([1]Parametros!$B$2)*(H123*I123)^2/(2*(H123+I123))/1000000</f>
        <v>10.08878303333792</v>
      </c>
      <c r="AU123" s="13" t="str">
        <f t="shared" si="19"/>
        <v>DESPRECIABLE</v>
      </c>
      <c r="AV123" s="13">
        <f>IF(Q123&lt;=AT123,0,Q123*1000000/([1]Parametros!$B$6*2*0.85*(H123-2*([1]Parametros!$B$7+[1]Parametros!$B$9/2))*(I123-2*([1]Parametros!$B$7+[1]Parametros!$B$9/2))*[1]Parametros!$B$4))</f>
        <v>0</v>
      </c>
      <c r="AW123" s="13">
        <f>AV123*2*((H123-2*([1]Parametros!$B$7+[1]Parametros!$B$9/2))+(I123-2*([1]Parametros!$B$7+[1]Parametros!$B$9/2)))*[1]Parametros!$B$4/[1]Parametros!$B$3</f>
        <v>0</v>
      </c>
      <c r="AX123" s="14">
        <v>0</v>
      </c>
      <c r="AY123" s="13" t="str">
        <f t="shared" si="20"/>
        <v>DESPRECIABLE</v>
      </c>
      <c r="AZ123" s="13" t="str">
        <f t="shared" si="21"/>
        <v>CUMPLE</v>
      </c>
      <c r="BA123" s="14">
        <v>9.5</v>
      </c>
      <c r="BB123" s="14">
        <v>71</v>
      </c>
      <c r="BC123" s="13">
        <f>MAX(IF(AK123=0,0,AK123*1000/([1]Parametros!$B$4*MIN(U123,AB123))),MAX(0.062*SQRT([1]Parametros!$B$2)*H123/[1]Parametros!$B$4,0.35*H123/[1]Parametros!$B$4))</f>
        <v>0.375</v>
      </c>
      <c r="BD123" s="13">
        <f t="shared" si="22"/>
        <v>0</v>
      </c>
      <c r="BE123" s="13">
        <f t="shared" si="23"/>
        <v>1.1833333333333333</v>
      </c>
      <c r="BF123" s="13">
        <f>SQRT((AI123*1000/(H123*MIN(U123,AB123)))^2+(Q123*1000000*2*((H123-2*([1]Parametros!$B$7+[1]Parametros!$B$9/2))+(I123-2*([1]Parametros!$B$7+[1]Parametros!$B$9/2)))/(1.7*((H123-2*([1]Parametros!$B$7+[1]Parametros!$B$9/2))*(I123-2*([1]Parametros!$B$7+[1]Parametros!$B$9/2)))^2))^2)</f>
        <v>0.75275903557779733</v>
      </c>
      <c r="BG123" s="13">
        <f>[1]Parametros!$B$6*(AJ123*1000/(H123*MIN(U123,AB123))+0.66*SQRT([1]Parametros!$B$2))</f>
        <v>3.2939603822754151</v>
      </c>
      <c r="BH123" s="13" t="str">
        <f t="shared" si="24"/>
        <v>CUMPLE</v>
      </c>
      <c r="BI123" s="13">
        <f>AX123*[1]Parametros!$B$8</f>
        <v>0</v>
      </c>
      <c r="BJ123" s="15" t="str">
        <f t="shared" si="25"/>
        <v>CUMPLE</v>
      </c>
    </row>
    <row r="124" spans="1:62" x14ac:dyDescent="0.3">
      <c r="A124" s="20" t="s">
        <v>69</v>
      </c>
      <c r="B124" s="21">
        <v>63</v>
      </c>
      <c r="C124" s="13">
        <v>1</v>
      </c>
      <c r="D124" s="13">
        <v>3.25</v>
      </c>
      <c r="E124" s="13">
        <v>3.25</v>
      </c>
      <c r="F124" s="13">
        <v>450</v>
      </c>
      <c r="G124" s="13">
        <v>550</v>
      </c>
      <c r="H124" s="13">
        <v>450</v>
      </c>
      <c r="I124" s="13">
        <v>550</v>
      </c>
      <c r="J124" s="14">
        <v>187.8646</v>
      </c>
      <c r="K124" s="13">
        <v>63</v>
      </c>
      <c r="L124" s="14">
        <v>163.3886</v>
      </c>
      <c r="M124" s="13">
        <v>63</v>
      </c>
      <c r="N124" s="14">
        <v>110.364</v>
      </c>
      <c r="O124" s="14">
        <v>463.78300000000002</v>
      </c>
      <c r="P124" s="13">
        <v>63</v>
      </c>
      <c r="Q124" s="14">
        <v>71.624700000000004</v>
      </c>
      <c r="R124" s="13">
        <f>MAX(MAX(1.4/[1]Parametros!$B$3,0.25*SQRT([1]Parametros!$B$2)/[1]Parametros!$B$3)*H124*U124,(0.85*[1]Parametros!$B$2/[1]Parametros!$B$3)*(1-SQRT(1-2*(J124*1000000/([1]Parametros!$B$5*H124*U124^2))/(0.85*[1]Parametros!$B$2)))*H124*U124)</f>
        <v>1060.7072171191364</v>
      </c>
      <c r="S124" s="14">
        <v>6</v>
      </c>
      <c r="T124" s="14">
        <v>1</v>
      </c>
      <c r="U124" s="13">
        <f>IF(T124=1,I124-([1]Parametros!$B$7+[1]Parametros!$B$9+[1]Parametros!$B$12/2),I124-(ROUNDUP(S124/2,0)*([1]Parametros!$B$7+[1]Parametros!$B$9+[1]Parametros!$B$12/2)+ROUNDDOWN(S124/2,0)*([1]Parametros!$B$7+[1]Parametros!$B$9+[1]Parametros!$B$12/2+[1]Parametros!$B$12+[1]Parametros!$B$10))/S124)</f>
        <v>489.35</v>
      </c>
      <c r="V124" s="13">
        <f>S124*[1]Parametros!$B$8</f>
        <v>1194</v>
      </c>
      <c r="W124" s="13">
        <f>[1]Parametros!$B$5*V124*[1]Parametros!$B$3*(U124-(V124*[1]Parametros!$B$3/(0.85*[1]Parametros!$B$2*H124))/2)/1000000</f>
        <v>210.29283561176473</v>
      </c>
      <c r="X124" s="13" t="str">
        <f t="shared" si="13"/>
        <v>CUMPLE</v>
      </c>
      <c r="Y124" s="13">
        <f>MAX(MAX(1.4/[1]Parametros!$B$3,0.25*SQRT([1]Parametros!$B$2)/[1]Parametros!$B$3)*H124*AB124,(0.85*[1]Parametros!$B$2/[1]Parametros!$B$3)*(1-SQRT(1-2*(L124*1000000/([1]Parametros!$B$5*H124*AB124^2))/(0.85*[1]Parametros!$B$2)))*H124*AB124)</f>
        <v>916.99788956802979</v>
      </c>
      <c r="Z124" s="14">
        <v>5</v>
      </c>
      <c r="AA124" s="14">
        <v>1</v>
      </c>
      <c r="AB124" s="13">
        <f>IF(AA124=1,I124-([1]Parametros!$B$7+[1]Parametros!$B$9+[1]Parametros!$B$12/2),I124-(ROUNDUP(Z124/2,0)*([1]Parametros!$B$7+[1]Parametros!$B$9+[1]Parametros!$B$12/2)+ROUNDDOWN(Z124/2,0)*([1]Parametros!$B$7+[1]Parametros!$B$9+[1]Parametros!$B$12/2+[1]Parametros!$B$12+[1]Parametros!$B$10))/Z124)</f>
        <v>489.35</v>
      </c>
      <c r="AC124" s="13">
        <f>Z124*[1]Parametros!$B$8</f>
        <v>995</v>
      </c>
      <c r="AD124" s="13">
        <f>[1]Parametros!$B$5*AC124*[1]Parametros!$B$3*(AB124-(AC124*[1]Parametros!$B$3/(0.85*[1]Parametros!$B$2*H124))/2)/1000000</f>
        <v>176.71159614705886</v>
      </c>
      <c r="AE124" s="13" t="str">
        <f t="shared" si="14"/>
        <v>CUMPLE</v>
      </c>
      <c r="AF124" s="13">
        <f>V124*1.25*[1]Parametros!$B$3*(U124-(V124*1.25*[1]Parametros!$B$3/(0.85*[1]Parametros!$B$2*H124))/2)/1000000</f>
        <v>288.40446661764707</v>
      </c>
      <c r="AG124" s="13">
        <f>AC124*1.25*[1]Parametros!$B$3*(AB124-(AC124*1.25*[1]Parametros!$B$3/(0.85*[1]Parametros!$B$2*H124))/2)/1000000</f>
        <v>242.88491397058826</v>
      </c>
      <c r="AH124" s="13">
        <f t="shared" si="15"/>
        <v>273.83765556561087</v>
      </c>
      <c r="AI124" s="13">
        <f t="shared" si="16"/>
        <v>463.78300000000002</v>
      </c>
      <c r="AJ124" s="13">
        <f>0.17*SQRT([1]Parametros!$B$2)*H124*MIN(U124,AB124)/1000</f>
        <v>198.08885582262698</v>
      </c>
      <c r="AK124" s="13">
        <f>MAX(AI124/[1]Parametros!$B$6-AJ124,0)</f>
        <v>420.28847751070634</v>
      </c>
      <c r="AL124" s="13">
        <f>0.66*SQRT([1]Parametros!$B$2)*H124*MIN(U124,AB124)/1000</f>
        <v>769.05085201725785</v>
      </c>
      <c r="AM124" s="13" t="str">
        <f t="shared" si="17"/>
        <v>CUMPLE</v>
      </c>
      <c r="AN124" s="13" t="s">
        <v>68</v>
      </c>
      <c r="AO124" s="14">
        <v>4</v>
      </c>
      <c r="AP124" s="13">
        <f>ROUNDDOWN(MIN(IF(BC124+BD124=0,1000000000,AO124*BB124/(BC124+BD124)),MIN(U124,AB124)/4,8*[1]Parametros!$B$12,24*BA124,300,IF(AV124=0,1000000000,2*((H124-2*([1]Parametros!$B$7+[1]Parametros!$B$9/2))+(I124-2*([1]Parametros!$B$7+[1]Parametros!$B$9/2)))/8))/10,0)*10</f>
        <v>120</v>
      </c>
      <c r="AQ124" s="13">
        <f>ROUNDDOWN(MIN(IF(BC124+BD124=0,1000000000,AO124*BB124/(BC124+BD124)),IF(AK124&gt;0.33*SQRT([1]Parametros!$B$2)*H124*MIN(U124,AB124)/1000,MIN(U124,AB124)/4,MIN(U124,AB124)/2),600,IF(AV124=0,1000000000,2*((H124-2*([1]Parametros!$B$7+[1]Parametros!$B$9/2))+(I124-2*([1]Parametros!$B$7+[1]Parametros!$B$9/2)))/8))/10,0)*10</f>
        <v>120</v>
      </c>
      <c r="AR124" s="13">
        <f>[1]Parametros!$B$6*(AJ124+MAX(BE124-BD124,0)*[1]Parametros!$B$4*MIN(U124,AB124)/1000)</f>
        <v>559.02613436104423</v>
      </c>
      <c r="AS124" s="13" t="str">
        <f t="shared" si="18"/>
        <v>CUMPLE</v>
      </c>
      <c r="AT124" s="13">
        <f>[1]Parametros!$B$6*0.083*SQRT([1]Parametros!$B$2)*(H124*I124)^2/(2*(H124+I124))/1000000</f>
        <v>10.08878303333792</v>
      </c>
      <c r="AU124" s="13" t="str">
        <f t="shared" si="19"/>
        <v>DISEÑAR</v>
      </c>
      <c r="AV124" s="13">
        <f>IF(Q124&lt;=AT124,0,Q124*1000000/([1]Parametros!$B$6*2*0.85*(H124-2*([1]Parametros!$B$7+[1]Parametros!$B$9/2))*(I124-2*([1]Parametros!$B$7+[1]Parametros!$B$9/2))*[1]Parametros!$B$4))</f>
        <v>0.81859506700960971</v>
      </c>
      <c r="AW124" s="13">
        <f>AV124*2*((H124-2*([1]Parametros!$B$7+[1]Parametros!$B$9/2))+(I124-2*([1]Parametros!$B$7+[1]Parametros!$B$9/2)))*[1]Parametros!$B$4/[1]Parametros!$B$3</f>
        <v>1333.6550831720563</v>
      </c>
      <c r="AX124" s="14">
        <v>8</v>
      </c>
      <c r="AY124" s="13" t="str">
        <f t="shared" si="20"/>
        <v>NO CUMPLE</v>
      </c>
      <c r="AZ124" s="13" t="str">
        <f t="shared" si="21"/>
        <v>NO CUMPLE</v>
      </c>
      <c r="BA124" s="14">
        <v>12.7</v>
      </c>
      <c r="BB124" s="14">
        <v>129</v>
      </c>
      <c r="BC124" s="13">
        <f>MAX(IF(AK124=0,0,AK124*1000/([1]Parametros!$B$4*MIN(U124,AB124))),MAX(0.062*SQRT([1]Parametros!$B$2)*H124/[1]Parametros!$B$4,0.35*H124/[1]Parametros!$B$4))</f>
        <v>2.0449307269152293</v>
      </c>
      <c r="BD124" s="13">
        <f t="shared" si="22"/>
        <v>1.6371901340192194</v>
      </c>
      <c r="BE124" s="13">
        <f t="shared" si="23"/>
        <v>4.3</v>
      </c>
      <c r="BF124" s="13">
        <f>SQRT((AI124*1000/(H124*MIN(U124,AB124)))^2+(Q124*1000000*2*((H124-2*([1]Parametros!$B$7+[1]Parametros!$B$9/2))+(I124-2*([1]Parametros!$B$7+[1]Parametros!$B$9/2)))/(1.7*((H124-2*([1]Parametros!$B$7+[1]Parametros!$B$9/2))*(I124-2*([1]Parametros!$B$7+[1]Parametros!$B$9/2)))^2))^2)</f>
        <v>3.3235998256298647</v>
      </c>
      <c r="BG124" s="13">
        <f>[1]Parametros!$B$6*(AJ124*1000/(H124*MIN(U124,AB124))+0.66*SQRT([1]Parametros!$B$2))</f>
        <v>3.2939603822754151</v>
      </c>
      <c r="BH124" s="13" t="str">
        <f t="shared" si="24"/>
        <v>NO CUMPLE</v>
      </c>
      <c r="BI124" s="13">
        <f>AX124*[1]Parametros!$B$8</f>
        <v>1592</v>
      </c>
      <c r="BJ124" s="15" t="str">
        <f t="shared" si="25"/>
        <v>CUMPLE</v>
      </c>
    </row>
    <row r="125" spans="1:62" ht="28.8" x14ac:dyDescent="0.3">
      <c r="A125" s="20" t="s">
        <v>69</v>
      </c>
      <c r="B125" s="21">
        <v>64</v>
      </c>
      <c r="C125" s="13">
        <v>1</v>
      </c>
      <c r="D125" s="13">
        <v>3.3</v>
      </c>
      <c r="E125" s="13">
        <v>3.3</v>
      </c>
      <c r="F125" s="13">
        <v>450</v>
      </c>
      <c r="G125" s="13">
        <v>550</v>
      </c>
      <c r="H125" s="13">
        <v>450</v>
      </c>
      <c r="I125" s="13">
        <v>550</v>
      </c>
      <c r="J125" s="14">
        <v>199.36009999999999</v>
      </c>
      <c r="K125" s="13">
        <v>64</v>
      </c>
      <c r="L125" s="14">
        <v>139.6378</v>
      </c>
      <c r="M125" s="13">
        <v>64</v>
      </c>
      <c r="N125" s="14">
        <v>140.83199999999999</v>
      </c>
      <c r="O125" s="14">
        <v>490.97399999999999</v>
      </c>
      <c r="P125" s="13">
        <v>64</v>
      </c>
      <c r="Q125" s="14">
        <v>124.1957</v>
      </c>
      <c r="R125" s="13">
        <f>MAX(MAX(1.4/[1]Parametros!$B$3,0.25*SQRT([1]Parametros!$B$2)/[1]Parametros!$B$3)*H125*U125,(0.85*[1]Parametros!$B$2/[1]Parametros!$B$3)*(1-SQRT(1-2*(J125*1000000/([1]Parametros!$B$5*H125*U125^2))/(0.85*[1]Parametros!$B$2)))*H125*U125)</f>
        <v>1128.8303283483415</v>
      </c>
      <c r="S125" s="14">
        <v>6</v>
      </c>
      <c r="T125" s="14">
        <v>1</v>
      </c>
      <c r="U125" s="13">
        <f>IF(T125=1,I125-([1]Parametros!$B$7+[1]Parametros!$B$9+[1]Parametros!$B$12/2),I125-(ROUNDUP(S125/2,0)*([1]Parametros!$B$7+[1]Parametros!$B$9+[1]Parametros!$B$12/2)+ROUNDDOWN(S125/2,0)*([1]Parametros!$B$7+[1]Parametros!$B$9+[1]Parametros!$B$12/2+[1]Parametros!$B$12+[1]Parametros!$B$10))/S125)</f>
        <v>489.35</v>
      </c>
      <c r="V125" s="13">
        <f>S125*[1]Parametros!$B$8</f>
        <v>1194</v>
      </c>
      <c r="W125" s="13">
        <f>[1]Parametros!$B$5*V125*[1]Parametros!$B$3*(U125-(V125*[1]Parametros!$B$3/(0.85*[1]Parametros!$B$2*H125))/2)/1000000</f>
        <v>210.29283561176473</v>
      </c>
      <c r="X125" s="13" t="str">
        <f t="shared" si="13"/>
        <v>CUMPLE</v>
      </c>
      <c r="Y125" s="13">
        <f>MAX(MAX(1.4/[1]Parametros!$B$3,0.25*SQRT([1]Parametros!$B$2)/[1]Parametros!$B$3)*H125*AB125,(0.85*[1]Parametros!$B$2/[1]Parametros!$B$3)*(1-SQRT(1-2*(L125*1000000/([1]Parametros!$B$5*H125*AB125^2))/(0.85*[1]Parametros!$B$2)))*H125*AB125)</f>
        <v>779.23400892269592</v>
      </c>
      <c r="Z125" s="14">
        <v>4</v>
      </c>
      <c r="AA125" s="14">
        <v>1</v>
      </c>
      <c r="AB125" s="13">
        <f>IF(AA125=1,I125-([1]Parametros!$B$7+[1]Parametros!$B$9+[1]Parametros!$B$12/2),I125-(ROUNDUP(Z125/2,0)*([1]Parametros!$B$7+[1]Parametros!$B$9+[1]Parametros!$B$12/2)+ROUNDDOWN(Z125/2,0)*([1]Parametros!$B$7+[1]Parametros!$B$9+[1]Parametros!$B$12/2+[1]Parametros!$B$12+[1]Parametros!$B$10))/Z125)</f>
        <v>489.35</v>
      </c>
      <c r="AC125" s="13">
        <f>Z125*[1]Parametros!$B$8</f>
        <v>796</v>
      </c>
      <c r="AD125" s="13">
        <f>[1]Parametros!$B$5*AC125*[1]Parametros!$B$3*(AB125-(AC125*[1]Parametros!$B$3/(0.85*[1]Parametros!$B$2*H125))/2)/1000000</f>
        <v>142.54333009411764</v>
      </c>
      <c r="AE125" s="13" t="str">
        <f t="shared" si="14"/>
        <v>CUMPLE</v>
      </c>
      <c r="AF125" s="13">
        <f>V125*1.25*[1]Parametros!$B$3*(U125-(V125*1.25*[1]Parametros!$B$3/(0.85*[1]Parametros!$B$2*H125))/2)/1000000</f>
        <v>288.40446661764707</v>
      </c>
      <c r="AG125" s="13">
        <f>AC125*1.25*[1]Parametros!$B$3*(AB125-(AC125*1.25*[1]Parametros!$B$3/(0.85*[1]Parametros!$B$2*H125))/2)/1000000</f>
        <v>196.34621794117646</v>
      </c>
      <c r="AH125" s="13">
        <f t="shared" si="15"/>
        <v>287.72614683600716</v>
      </c>
      <c r="AI125" s="13">
        <f t="shared" si="16"/>
        <v>490.97399999999999</v>
      </c>
      <c r="AJ125" s="13">
        <f>0.17*SQRT([1]Parametros!$B$2)*H125*MIN(U125,AB125)/1000</f>
        <v>198.08885582262698</v>
      </c>
      <c r="AK125" s="13">
        <f>MAX(AI125/[1]Parametros!$B$6-AJ125,0)</f>
        <v>456.54314417737294</v>
      </c>
      <c r="AL125" s="13">
        <f>0.66*SQRT([1]Parametros!$B$2)*H125*MIN(U125,AB125)/1000</f>
        <v>769.05085201725785</v>
      </c>
      <c r="AM125" s="13" t="str">
        <f t="shared" si="17"/>
        <v>CUMPLE</v>
      </c>
      <c r="AN125" s="13" t="s">
        <v>70</v>
      </c>
      <c r="AO125" s="14">
        <v>4</v>
      </c>
      <c r="AP125" s="13">
        <f>ROUNDDOWN(MIN(IF(BC125+BD125=0,1000000000,AO125*BB125/(BC125+BD125)),MIN(U125,AB125)/4,8*[1]Parametros!$B$12,24*BA125,300,IF(AV125=0,1000000000,2*((H125-2*([1]Parametros!$B$7+[1]Parametros!$B$9/2))+(I125-2*([1]Parametros!$B$7+[1]Parametros!$B$9/2)))/8))/10,0)*10</f>
        <v>100</v>
      </c>
      <c r="AQ125" s="13">
        <f>ROUNDDOWN(MIN(IF(BC125+BD125=0,1000000000,AO125*BB125/(BC125+BD125)),IF(AK125&gt;0.33*SQRT([1]Parametros!$B$2)*H125*MIN(U125,AB125)/1000,MIN(U125,AB125)/4,MIN(U125,AB125)/2),600,IF(AV125=0,1000000000,2*((H125-2*([1]Parametros!$B$7+[1]Parametros!$B$9/2))+(I125-2*([1]Parametros!$B$7+[1]Parametros!$B$9/2)))/8))/10,0)*10</f>
        <v>100</v>
      </c>
      <c r="AR125" s="13">
        <f>[1]Parametros!$B$6*(AJ125+MAX(BE125-BD125,0)*[1]Parametros!$B$4*MIN(U125,AB125)/1000)</f>
        <v>506.36046895485697</v>
      </c>
      <c r="AS125" s="13" t="str">
        <f t="shared" si="18"/>
        <v>NO CUMPLE</v>
      </c>
      <c r="AT125" s="13">
        <f>[1]Parametros!$B$6*0.083*SQRT([1]Parametros!$B$2)*(H125*I125)^2/(2*(H125+I125))/1000000</f>
        <v>10.08878303333792</v>
      </c>
      <c r="AU125" s="13" t="str">
        <f t="shared" si="19"/>
        <v>DISEÑAR</v>
      </c>
      <c r="AV125" s="13">
        <f>IF(Q125&lt;=AT125,0,Q125*1000000/([1]Parametros!$B$6*2*0.85*(H125-2*([1]Parametros!$B$7+[1]Parametros!$B$9/2))*(I125-2*([1]Parametros!$B$7+[1]Parametros!$B$9/2))*[1]Parametros!$B$4))</f>
        <v>1.4194263621879795</v>
      </c>
      <c r="AW125" s="13">
        <f>AV125*2*((H125-2*([1]Parametros!$B$7+[1]Parametros!$B$9/2))+(I125-2*([1]Parametros!$B$7+[1]Parametros!$B$9/2)))*[1]Parametros!$B$4/[1]Parametros!$B$3</f>
        <v>2312.5294292766562</v>
      </c>
      <c r="AX125" s="14">
        <v>12</v>
      </c>
      <c r="AY125" s="13" t="str">
        <f t="shared" si="20"/>
        <v>NO CUMPLE</v>
      </c>
      <c r="AZ125" s="13" t="str">
        <f t="shared" si="21"/>
        <v>NO CUMPLE</v>
      </c>
      <c r="BA125" s="14">
        <v>12.7</v>
      </c>
      <c r="BB125" s="14">
        <v>129</v>
      </c>
      <c r="BC125" s="13">
        <f>MAX(IF(AK125=0,0,AK125*1000/([1]Parametros!$B$4*MIN(U125,AB125))),MAX(0.062*SQRT([1]Parametros!$B$2)*H125/[1]Parametros!$B$4,0.35*H125/[1]Parametros!$B$4))</f>
        <v>2.2213292860664189</v>
      </c>
      <c r="BD125" s="13">
        <f t="shared" si="22"/>
        <v>2.8388527243759589</v>
      </c>
      <c r="BE125" s="13">
        <f t="shared" si="23"/>
        <v>5.16</v>
      </c>
      <c r="BF125" s="13">
        <f>SQRT((AI125*1000/(H125*MIN(U125,AB125)))^2+(Q125*1000000*2*((H125-2*([1]Parametros!$B$7+[1]Parametros!$B$9/2))+(I125-2*([1]Parametros!$B$7+[1]Parametros!$B$9/2)))/(1.7*((H125-2*([1]Parametros!$B$7+[1]Parametros!$B$9/2))*(I125-2*([1]Parametros!$B$7+[1]Parametros!$B$9/2)))^2))^2)</f>
        <v>4.9846786995060608</v>
      </c>
      <c r="BG125" s="13">
        <f>[1]Parametros!$B$6*(AJ125*1000/(H125*MIN(U125,AB125))+0.66*SQRT([1]Parametros!$B$2))</f>
        <v>3.2939603822754151</v>
      </c>
      <c r="BH125" s="13" t="str">
        <f t="shared" si="24"/>
        <v>NO CUMPLE</v>
      </c>
      <c r="BI125" s="13">
        <f>AX125*[1]Parametros!$B$8</f>
        <v>2388</v>
      </c>
      <c r="BJ125" s="15" t="str">
        <f t="shared" si="25"/>
        <v>CUMPLE</v>
      </c>
    </row>
    <row r="126" spans="1:62" ht="28.8" x14ac:dyDescent="0.3">
      <c r="A126" s="20" t="s">
        <v>69</v>
      </c>
      <c r="B126" s="21">
        <v>65</v>
      </c>
      <c r="C126" s="13">
        <v>1</v>
      </c>
      <c r="D126" s="13">
        <v>3.3</v>
      </c>
      <c r="E126" s="13">
        <v>3.3</v>
      </c>
      <c r="F126" s="13">
        <v>450</v>
      </c>
      <c r="G126" s="13">
        <v>550</v>
      </c>
      <c r="H126" s="13">
        <v>450</v>
      </c>
      <c r="I126" s="13">
        <v>550</v>
      </c>
      <c r="J126" s="14">
        <v>199.4769</v>
      </c>
      <c r="K126" s="13">
        <v>65</v>
      </c>
      <c r="L126" s="14">
        <v>139.68700000000001</v>
      </c>
      <c r="M126" s="13">
        <v>65</v>
      </c>
      <c r="N126" s="14">
        <v>140.92400000000001</v>
      </c>
      <c r="O126" s="14">
        <v>491.09899999999999</v>
      </c>
      <c r="P126" s="13">
        <v>65</v>
      </c>
      <c r="Q126" s="14">
        <v>124.24630000000001</v>
      </c>
      <c r="R126" s="13">
        <f>MAX(MAX(1.4/[1]Parametros!$B$3,0.25*SQRT([1]Parametros!$B$2)/[1]Parametros!$B$3)*H126*U126,(0.85*[1]Parametros!$B$2/[1]Parametros!$B$3)*(1-SQRT(1-2*(J126*1000000/([1]Parametros!$B$5*H126*U126^2))/(0.85*[1]Parametros!$B$2)))*H126*U126)</f>
        <v>1129.5245915628459</v>
      </c>
      <c r="S126" s="14">
        <v>6</v>
      </c>
      <c r="T126" s="14">
        <v>1</v>
      </c>
      <c r="U126" s="13">
        <f>IF(T126=1,I126-([1]Parametros!$B$7+[1]Parametros!$B$9+[1]Parametros!$B$12/2),I126-(ROUNDUP(S126/2,0)*([1]Parametros!$B$7+[1]Parametros!$B$9+[1]Parametros!$B$12/2)+ROUNDDOWN(S126/2,0)*([1]Parametros!$B$7+[1]Parametros!$B$9+[1]Parametros!$B$12/2+[1]Parametros!$B$12+[1]Parametros!$B$10))/S126)</f>
        <v>489.35</v>
      </c>
      <c r="V126" s="13">
        <f>S126*[1]Parametros!$B$8</f>
        <v>1194</v>
      </c>
      <c r="W126" s="13">
        <f>[1]Parametros!$B$5*V126*[1]Parametros!$B$3*(U126-(V126*[1]Parametros!$B$3/(0.85*[1]Parametros!$B$2*H126))/2)/1000000</f>
        <v>210.29283561176473</v>
      </c>
      <c r="X126" s="13" t="str">
        <f t="shared" si="13"/>
        <v>CUMPLE</v>
      </c>
      <c r="Y126" s="13">
        <f>MAX(MAX(1.4/[1]Parametros!$B$3,0.25*SQRT([1]Parametros!$B$2)/[1]Parametros!$B$3)*H126*AB126,(0.85*[1]Parametros!$B$2/[1]Parametros!$B$3)*(1-SQRT(1-2*(L126*1000000/([1]Parametros!$B$5*H126*AB126^2))/(0.85*[1]Parametros!$B$2)))*H126*AB126)</f>
        <v>779.51771126288997</v>
      </c>
      <c r="Z126" s="14">
        <v>4</v>
      </c>
      <c r="AA126" s="14">
        <v>1</v>
      </c>
      <c r="AB126" s="13">
        <f>IF(AA126=1,I126-([1]Parametros!$B$7+[1]Parametros!$B$9+[1]Parametros!$B$12/2),I126-(ROUNDUP(Z126/2,0)*([1]Parametros!$B$7+[1]Parametros!$B$9+[1]Parametros!$B$12/2)+ROUNDDOWN(Z126/2,0)*([1]Parametros!$B$7+[1]Parametros!$B$9+[1]Parametros!$B$12/2+[1]Parametros!$B$12+[1]Parametros!$B$10))/Z126)</f>
        <v>489.35</v>
      </c>
      <c r="AC126" s="13">
        <f>Z126*[1]Parametros!$B$8</f>
        <v>796</v>
      </c>
      <c r="AD126" s="13">
        <f>[1]Parametros!$B$5*AC126*[1]Parametros!$B$3*(AB126-(AC126*[1]Parametros!$B$3/(0.85*[1]Parametros!$B$2*H126))/2)/1000000</f>
        <v>142.54333009411764</v>
      </c>
      <c r="AE126" s="13" t="str">
        <f t="shared" si="14"/>
        <v>CUMPLE</v>
      </c>
      <c r="AF126" s="13">
        <f>V126*1.25*[1]Parametros!$B$3*(U126-(V126*1.25*[1]Parametros!$B$3/(0.85*[1]Parametros!$B$2*H126))/2)/1000000</f>
        <v>288.40446661764707</v>
      </c>
      <c r="AG126" s="13">
        <f>AC126*1.25*[1]Parametros!$B$3*(AB126-(AC126*1.25*[1]Parametros!$B$3/(0.85*[1]Parametros!$B$2*H126))/2)/1000000</f>
        <v>196.34621794117646</v>
      </c>
      <c r="AH126" s="13">
        <f t="shared" si="15"/>
        <v>287.81814683600714</v>
      </c>
      <c r="AI126" s="13">
        <f t="shared" si="16"/>
        <v>491.09899999999999</v>
      </c>
      <c r="AJ126" s="13">
        <f>0.17*SQRT([1]Parametros!$B$2)*H126*MIN(U126,AB126)/1000</f>
        <v>198.08885582262698</v>
      </c>
      <c r="AK126" s="13">
        <f>MAX(AI126/[1]Parametros!$B$6-AJ126,0)</f>
        <v>456.70981084403968</v>
      </c>
      <c r="AL126" s="13">
        <f>0.66*SQRT([1]Parametros!$B$2)*H126*MIN(U126,AB126)/1000</f>
        <v>769.05085201725785</v>
      </c>
      <c r="AM126" s="13" t="str">
        <f t="shared" si="17"/>
        <v>CUMPLE</v>
      </c>
      <c r="AN126" s="13" t="s">
        <v>70</v>
      </c>
      <c r="AO126" s="14">
        <v>4</v>
      </c>
      <c r="AP126" s="13">
        <f>ROUNDDOWN(MIN(IF(BC126+BD126=0,1000000000,AO126*BB126/(BC126+BD126)),MIN(U126,AB126)/4,8*[1]Parametros!$B$12,24*BA126,300,IF(AV126=0,1000000000,2*((H126-2*([1]Parametros!$B$7+[1]Parametros!$B$9/2))+(I126-2*([1]Parametros!$B$7+[1]Parametros!$B$9/2)))/8))/10,0)*10</f>
        <v>100</v>
      </c>
      <c r="AQ126" s="13">
        <f>ROUNDDOWN(MIN(IF(BC126+BD126=0,1000000000,AO126*BB126/(BC126+BD126)),IF(AK126&gt;0.33*SQRT([1]Parametros!$B$2)*H126*MIN(U126,AB126)/1000,MIN(U126,AB126)/4,MIN(U126,AB126)/2),600,IF(AV126=0,1000000000,2*((H126-2*([1]Parametros!$B$7+[1]Parametros!$B$9/2))+(I126-2*([1]Parametros!$B$7+[1]Parametros!$B$9/2)))/8))/10,0)*10</f>
        <v>100</v>
      </c>
      <c r="AR126" s="13">
        <f>[1]Parametros!$B$6*(AJ126+MAX(BE126-BD126,0)*[1]Parametros!$B$4*MIN(U126,AB126)/1000)</f>
        <v>506.18218306779852</v>
      </c>
      <c r="AS126" s="13" t="str">
        <f t="shared" si="18"/>
        <v>NO CUMPLE</v>
      </c>
      <c r="AT126" s="13">
        <f>[1]Parametros!$B$6*0.083*SQRT([1]Parametros!$B$2)*(H126*I126)^2/(2*(H126+I126))/1000000</f>
        <v>10.08878303333792</v>
      </c>
      <c r="AU126" s="13" t="str">
        <f t="shared" si="19"/>
        <v>DISEÑAR</v>
      </c>
      <c r="AV126" s="13">
        <f>IF(Q126&lt;=AT126,0,Q126*1000000/([1]Parametros!$B$6*2*0.85*(H126-2*([1]Parametros!$B$7+[1]Parametros!$B$9/2))*(I126-2*([1]Parametros!$B$7+[1]Parametros!$B$9/2))*[1]Parametros!$B$4))</f>
        <v>1.4200046670240303</v>
      </c>
      <c r="AW126" s="13">
        <f>AV126*2*((H126-2*([1]Parametros!$B$7+[1]Parametros!$B$9/2))+(I126-2*([1]Parametros!$B$7+[1]Parametros!$B$9/2)))*[1]Parametros!$B$4/[1]Parametros!$B$3</f>
        <v>2313.4716035155502</v>
      </c>
      <c r="AX126" s="14">
        <v>12</v>
      </c>
      <c r="AY126" s="13" t="str">
        <f t="shared" si="20"/>
        <v>NO CUMPLE</v>
      </c>
      <c r="AZ126" s="13" t="str">
        <f t="shared" si="21"/>
        <v>NO CUMPLE</v>
      </c>
      <c r="BA126" s="14">
        <v>12.7</v>
      </c>
      <c r="BB126" s="14">
        <v>129</v>
      </c>
      <c r="BC126" s="13">
        <f>MAX(IF(AK126=0,0,AK126*1000/([1]Parametros!$B$4*MIN(U126,AB126))),MAX(0.062*SQRT([1]Parametros!$B$2)*H126/[1]Parametros!$B$4,0.35*H126/[1]Parametros!$B$4))</f>
        <v>2.222140209529841</v>
      </c>
      <c r="BD126" s="13">
        <f t="shared" si="22"/>
        <v>2.8400093340480606</v>
      </c>
      <c r="BE126" s="13">
        <f t="shared" si="23"/>
        <v>5.16</v>
      </c>
      <c r="BF126" s="13">
        <f>SQRT((AI126*1000/(H126*MIN(U126,AB126)))^2+(Q126*1000000*2*((H126-2*([1]Parametros!$B$7+[1]Parametros!$B$9/2))+(I126-2*([1]Parametros!$B$7+[1]Parametros!$B$9/2)))/(1.7*((H126-2*([1]Parametros!$B$7+[1]Parametros!$B$9/2))*(I126-2*([1]Parametros!$B$7+[1]Parametros!$B$9/2)))^2))^2)</f>
        <v>4.9865571648227105</v>
      </c>
      <c r="BG126" s="13">
        <f>[1]Parametros!$B$6*(AJ126*1000/(H126*MIN(U126,AB126))+0.66*SQRT([1]Parametros!$B$2))</f>
        <v>3.2939603822754151</v>
      </c>
      <c r="BH126" s="13" t="str">
        <f t="shared" si="24"/>
        <v>NO CUMPLE</v>
      </c>
      <c r="BI126" s="13">
        <f>AX126*[1]Parametros!$B$8</f>
        <v>2388</v>
      </c>
      <c r="BJ126" s="15" t="str">
        <f t="shared" si="25"/>
        <v>CUMPLE</v>
      </c>
    </row>
    <row r="127" spans="1:62" x14ac:dyDescent="0.3">
      <c r="A127" s="20" t="s">
        <v>69</v>
      </c>
      <c r="B127" s="21">
        <v>66</v>
      </c>
      <c r="C127" s="13">
        <v>1</v>
      </c>
      <c r="D127" s="13">
        <v>3.25</v>
      </c>
      <c r="E127" s="13">
        <v>3.25</v>
      </c>
      <c r="F127" s="13">
        <v>450</v>
      </c>
      <c r="G127" s="13">
        <v>550</v>
      </c>
      <c r="H127" s="13">
        <v>450</v>
      </c>
      <c r="I127" s="13">
        <v>550</v>
      </c>
      <c r="J127" s="14">
        <v>187.8766</v>
      </c>
      <c r="K127" s="13">
        <v>66</v>
      </c>
      <c r="L127" s="14">
        <v>163.3809</v>
      </c>
      <c r="M127" s="13">
        <v>66</v>
      </c>
      <c r="N127" s="14">
        <v>110.371</v>
      </c>
      <c r="O127" s="14">
        <v>463.79</v>
      </c>
      <c r="P127" s="13">
        <v>66</v>
      </c>
      <c r="Q127" s="14">
        <v>71.626499999999993</v>
      </c>
      <c r="R127" s="13">
        <f>MAX(MAX(1.4/[1]Parametros!$B$3,0.25*SQRT([1]Parametros!$B$2)/[1]Parametros!$B$3)*H127*U127,(0.85*[1]Parametros!$B$2/[1]Parametros!$B$3)*(1-SQRT(1-2*(J127*1000000/([1]Parametros!$B$5*H127*U127^2))/(0.85*[1]Parametros!$B$2)))*H127*U127)</f>
        <v>1060.778118006546</v>
      </c>
      <c r="S127" s="14">
        <v>6</v>
      </c>
      <c r="T127" s="14">
        <v>1</v>
      </c>
      <c r="U127" s="13">
        <f>IF(T127=1,I127-([1]Parametros!$B$7+[1]Parametros!$B$9+[1]Parametros!$B$12/2),I127-(ROUNDUP(S127/2,0)*([1]Parametros!$B$7+[1]Parametros!$B$9+[1]Parametros!$B$12/2)+ROUNDDOWN(S127/2,0)*([1]Parametros!$B$7+[1]Parametros!$B$9+[1]Parametros!$B$12/2+[1]Parametros!$B$12+[1]Parametros!$B$10))/S127)</f>
        <v>489.35</v>
      </c>
      <c r="V127" s="13">
        <f>S127*[1]Parametros!$B$8</f>
        <v>1194</v>
      </c>
      <c r="W127" s="13">
        <f>[1]Parametros!$B$5*V127*[1]Parametros!$B$3*(U127-(V127*[1]Parametros!$B$3/(0.85*[1]Parametros!$B$2*H127))/2)/1000000</f>
        <v>210.29283561176473</v>
      </c>
      <c r="X127" s="13" t="str">
        <f t="shared" si="13"/>
        <v>CUMPLE</v>
      </c>
      <c r="Y127" s="13">
        <f>MAX(MAX(1.4/[1]Parametros!$B$3,0.25*SQRT([1]Parametros!$B$2)/[1]Parametros!$B$3)*H127*AB127,(0.85*[1]Parametros!$B$2/[1]Parametros!$B$3)*(1-SQRT(1-2*(L127*1000000/([1]Parametros!$B$5*H127*AB127^2))/(0.85*[1]Parametros!$B$2)))*H127*AB127)</f>
        <v>916.95296056141399</v>
      </c>
      <c r="Z127" s="14">
        <v>5</v>
      </c>
      <c r="AA127" s="14">
        <v>1</v>
      </c>
      <c r="AB127" s="13">
        <f>IF(AA127=1,I127-([1]Parametros!$B$7+[1]Parametros!$B$9+[1]Parametros!$B$12/2),I127-(ROUNDUP(Z127/2,0)*([1]Parametros!$B$7+[1]Parametros!$B$9+[1]Parametros!$B$12/2)+ROUNDDOWN(Z127/2,0)*([1]Parametros!$B$7+[1]Parametros!$B$9+[1]Parametros!$B$12/2+[1]Parametros!$B$12+[1]Parametros!$B$10))/Z127)</f>
        <v>489.35</v>
      </c>
      <c r="AC127" s="13">
        <f>Z127*[1]Parametros!$B$8</f>
        <v>995</v>
      </c>
      <c r="AD127" s="13">
        <f>[1]Parametros!$B$5*AC127*[1]Parametros!$B$3*(AB127-(AC127*[1]Parametros!$B$3/(0.85*[1]Parametros!$B$2*H127))/2)/1000000</f>
        <v>176.71159614705886</v>
      </c>
      <c r="AE127" s="13" t="str">
        <f t="shared" si="14"/>
        <v>CUMPLE</v>
      </c>
      <c r="AF127" s="13">
        <f>V127*1.25*[1]Parametros!$B$3*(U127-(V127*1.25*[1]Parametros!$B$3/(0.85*[1]Parametros!$B$2*H127))/2)/1000000</f>
        <v>288.40446661764707</v>
      </c>
      <c r="AG127" s="13">
        <f>AC127*1.25*[1]Parametros!$B$3*(AB127-(AC127*1.25*[1]Parametros!$B$3/(0.85*[1]Parametros!$B$2*H127))/2)/1000000</f>
        <v>242.88491397058826</v>
      </c>
      <c r="AH127" s="13">
        <f t="shared" si="15"/>
        <v>273.84465556561088</v>
      </c>
      <c r="AI127" s="13">
        <f t="shared" si="16"/>
        <v>463.79</v>
      </c>
      <c r="AJ127" s="13">
        <f>0.17*SQRT([1]Parametros!$B$2)*H127*MIN(U127,AB127)/1000</f>
        <v>198.08885582262698</v>
      </c>
      <c r="AK127" s="13">
        <f>MAX(AI127/[1]Parametros!$B$6-AJ127,0)</f>
        <v>420.29781084403965</v>
      </c>
      <c r="AL127" s="13">
        <f>0.66*SQRT([1]Parametros!$B$2)*H127*MIN(U127,AB127)/1000</f>
        <v>769.05085201725785</v>
      </c>
      <c r="AM127" s="13" t="str">
        <f t="shared" si="17"/>
        <v>CUMPLE</v>
      </c>
      <c r="AN127" s="13" t="s">
        <v>68</v>
      </c>
      <c r="AO127" s="14">
        <v>4</v>
      </c>
      <c r="AP127" s="13">
        <f>ROUNDDOWN(MIN(IF(BC127+BD127=0,1000000000,AO127*BB127/(BC127+BD127)),MIN(U127,AB127)/4,8*[1]Parametros!$B$12,24*BA127,300,IF(AV127=0,1000000000,2*((H127-2*([1]Parametros!$B$7+[1]Parametros!$B$9/2))+(I127-2*([1]Parametros!$B$7+[1]Parametros!$B$9/2)))/8))/10,0)*10</f>
        <v>120</v>
      </c>
      <c r="AQ127" s="13">
        <f>ROUNDDOWN(MIN(IF(BC127+BD127=0,1000000000,AO127*BB127/(BC127+BD127)),IF(AK127&gt;0.33*SQRT([1]Parametros!$B$2)*H127*MIN(U127,AB127)/1000,MIN(U127,AB127)/4,MIN(U127,AB127)/2),600,IF(AV127=0,1000000000,2*((H127-2*([1]Parametros!$B$7+[1]Parametros!$B$9/2))+(I127-2*([1]Parametros!$B$7+[1]Parametros!$B$9/2)))/8))/10,0)*10</f>
        <v>120</v>
      </c>
      <c r="AR127" s="13">
        <f>[1]Parametros!$B$6*(AJ127+MAX(BE127-BD127,0)*[1]Parametros!$B$4*MIN(U127,AB127)/1000)</f>
        <v>559.01979217533847</v>
      </c>
      <c r="AS127" s="13" t="str">
        <f t="shared" si="18"/>
        <v>CUMPLE</v>
      </c>
      <c r="AT127" s="13">
        <f>[1]Parametros!$B$6*0.083*SQRT([1]Parametros!$B$2)*(H127*I127)^2/(2*(H127+I127))/1000000</f>
        <v>10.08878303333792</v>
      </c>
      <c r="AU127" s="13" t="str">
        <f t="shared" si="19"/>
        <v>DISEÑAR</v>
      </c>
      <c r="AV127" s="13">
        <f>IF(Q127&lt;=AT127,0,Q127*1000000/([1]Parametros!$B$6*2*0.85*(H127-2*([1]Parametros!$B$7+[1]Parametros!$B$9/2))*(I127-2*([1]Parametros!$B$7+[1]Parametros!$B$9/2))*[1]Parametros!$B$4))</f>
        <v>0.81861563911840196</v>
      </c>
      <c r="AW127" s="13">
        <f>AV127*2*((H127-2*([1]Parametros!$B$7+[1]Parametros!$B$9/2))+(I127-2*([1]Parametros!$B$7+[1]Parametros!$B$9/2)))*[1]Parametros!$B$4/[1]Parametros!$B$3</f>
        <v>1333.6885992517005</v>
      </c>
      <c r="AX127" s="14">
        <v>8</v>
      </c>
      <c r="AY127" s="13" t="str">
        <f t="shared" si="20"/>
        <v>NO CUMPLE</v>
      </c>
      <c r="AZ127" s="13" t="str">
        <f t="shared" si="21"/>
        <v>NO CUMPLE</v>
      </c>
      <c r="BA127" s="14">
        <v>12.7</v>
      </c>
      <c r="BB127" s="14">
        <v>129</v>
      </c>
      <c r="BC127" s="13">
        <f>MAX(IF(AK127=0,0,AK127*1000/([1]Parametros!$B$4*MIN(U127,AB127))),MAX(0.062*SQRT([1]Parametros!$B$2)*H127/[1]Parametros!$B$4,0.35*H127/[1]Parametros!$B$4))</f>
        <v>2.0449761386291807</v>
      </c>
      <c r="BD127" s="13">
        <f t="shared" si="22"/>
        <v>1.6372312782368039</v>
      </c>
      <c r="BE127" s="13">
        <f t="shared" si="23"/>
        <v>4.3</v>
      </c>
      <c r="BF127" s="13">
        <f>SQRT((AI127*1000/(H127*MIN(U127,AB127)))^2+(Q127*1000000*2*((H127-2*([1]Parametros!$B$7+[1]Parametros!$B$9/2))+(I127-2*([1]Parametros!$B$7+[1]Parametros!$B$9/2)))/(1.7*((H127-2*([1]Parametros!$B$7+[1]Parametros!$B$9/2))*(I127-2*([1]Parametros!$B$7+[1]Parametros!$B$9/2)))^2))^2)</f>
        <v>3.3236699545152311</v>
      </c>
      <c r="BG127" s="13">
        <f>[1]Parametros!$B$6*(AJ127*1000/(H127*MIN(U127,AB127))+0.66*SQRT([1]Parametros!$B$2))</f>
        <v>3.2939603822754151</v>
      </c>
      <c r="BH127" s="13" t="str">
        <f t="shared" si="24"/>
        <v>NO CUMPLE</v>
      </c>
      <c r="BI127" s="13">
        <f>AX127*[1]Parametros!$B$8</f>
        <v>1592</v>
      </c>
      <c r="BJ127" s="15" t="str">
        <f t="shared" si="25"/>
        <v>CUMPLE</v>
      </c>
    </row>
    <row r="128" spans="1:62" x14ac:dyDescent="0.3">
      <c r="A128" s="20" t="s">
        <v>69</v>
      </c>
      <c r="B128" s="21">
        <v>83</v>
      </c>
      <c r="C128" s="13">
        <v>1</v>
      </c>
      <c r="D128" s="13">
        <v>3.25</v>
      </c>
      <c r="E128" s="13">
        <v>3.25</v>
      </c>
      <c r="F128" s="13">
        <v>450</v>
      </c>
      <c r="G128" s="13">
        <v>550</v>
      </c>
      <c r="H128" s="13">
        <v>450</v>
      </c>
      <c r="I128" s="13">
        <v>550</v>
      </c>
      <c r="J128" s="14">
        <v>187.86969999999999</v>
      </c>
      <c r="K128" s="13">
        <v>83</v>
      </c>
      <c r="L128" s="14">
        <v>163.3809</v>
      </c>
      <c r="M128" s="13">
        <v>83</v>
      </c>
      <c r="N128" s="14">
        <v>110.36199999999999</v>
      </c>
      <c r="O128" s="14">
        <v>463.77499999999998</v>
      </c>
      <c r="P128" s="13">
        <v>83</v>
      </c>
      <c r="Q128" s="14">
        <v>71.619900000000001</v>
      </c>
      <c r="R128" s="13">
        <f>MAX(MAX(1.4/[1]Parametros!$B$3,0.25*SQRT([1]Parametros!$B$2)/[1]Parametros!$B$3)*H128*U128,(0.85*[1]Parametros!$B$2/[1]Parametros!$B$3)*(1-SQRT(1-2*(J128*1000000/([1]Parametros!$B$5*H128*U128^2))/(0.85*[1]Parametros!$B$2)))*H128*U128)</f>
        <v>1060.7373499424898</v>
      </c>
      <c r="S128" s="14">
        <v>6</v>
      </c>
      <c r="T128" s="14">
        <v>1</v>
      </c>
      <c r="U128" s="13">
        <f>IF(T128=1,I128-([1]Parametros!$B$7+[1]Parametros!$B$9+[1]Parametros!$B$12/2),I128-(ROUNDUP(S128/2,0)*([1]Parametros!$B$7+[1]Parametros!$B$9+[1]Parametros!$B$12/2)+ROUNDDOWN(S128/2,0)*([1]Parametros!$B$7+[1]Parametros!$B$9+[1]Parametros!$B$12/2+[1]Parametros!$B$12+[1]Parametros!$B$10))/S128)</f>
        <v>489.35</v>
      </c>
      <c r="V128" s="13">
        <f>S128*[1]Parametros!$B$8</f>
        <v>1194</v>
      </c>
      <c r="W128" s="13">
        <f>[1]Parametros!$B$5*V128*[1]Parametros!$B$3*(U128-(V128*[1]Parametros!$B$3/(0.85*[1]Parametros!$B$2*H128))/2)/1000000</f>
        <v>210.29283561176473</v>
      </c>
      <c r="X128" s="13" t="str">
        <f t="shared" si="13"/>
        <v>CUMPLE</v>
      </c>
      <c r="Y128" s="13">
        <f>MAX(MAX(1.4/[1]Parametros!$B$3,0.25*SQRT([1]Parametros!$B$2)/[1]Parametros!$B$3)*H128*AB128,(0.85*[1]Parametros!$B$2/[1]Parametros!$B$3)*(1-SQRT(1-2*(L128*1000000/([1]Parametros!$B$5*H128*AB128^2))/(0.85*[1]Parametros!$B$2)))*H128*AB128)</f>
        <v>916.95296056141399</v>
      </c>
      <c r="Z128" s="14">
        <v>5</v>
      </c>
      <c r="AA128" s="14">
        <v>1</v>
      </c>
      <c r="AB128" s="13">
        <f>IF(AA128=1,I128-([1]Parametros!$B$7+[1]Parametros!$B$9+[1]Parametros!$B$12/2),I128-(ROUNDUP(Z128/2,0)*([1]Parametros!$B$7+[1]Parametros!$B$9+[1]Parametros!$B$12/2)+ROUNDDOWN(Z128/2,0)*([1]Parametros!$B$7+[1]Parametros!$B$9+[1]Parametros!$B$12/2+[1]Parametros!$B$12+[1]Parametros!$B$10))/Z128)</f>
        <v>489.35</v>
      </c>
      <c r="AC128" s="13">
        <f>Z128*[1]Parametros!$B$8</f>
        <v>995</v>
      </c>
      <c r="AD128" s="13">
        <f>[1]Parametros!$B$5*AC128*[1]Parametros!$B$3*(AB128-(AC128*[1]Parametros!$B$3/(0.85*[1]Parametros!$B$2*H128))/2)/1000000</f>
        <v>176.71159614705886</v>
      </c>
      <c r="AE128" s="13" t="str">
        <f t="shared" si="14"/>
        <v>CUMPLE</v>
      </c>
      <c r="AF128" s="13">
        <f>V128*1.25*[1]Parametros!$B$3*(U128-(V128*1.25*[1]Parametros!$B$3/(0.85*[1]Parametros!$B$2*H128))/2)/1000000</f>
        <v>288.40446661764707</v>
      </c>
      <c r="AG128" s="13">
        <f>AC128*1.25*[1]Parametros!$B$3*(AB128-(AC128*1.25*[1]Parametros!$B$3/(0.85*[1]Parametros!$B$2*H128))/2)/1000000</f>
        <v>242.88491397058826</v>
      </c>
      <c r="AH128" s="13">
        <f t="shared" si="15"/>
        <v>273.83565556561086</v>
      </c>
      <c r="AI128" s="13">
        <f t="shared" si="16"/>
        <v>463.77499999999998</v>
      </c>
      <c r="AJ128" s="13">
        <f>0.17*SQRT([1]Parametros!$B$2)*H128*MIN(U128,AB128)/1000</f>
        <v>198.08885582262698</v>
      </c>
      <c r="AK128" s="13">
        <f>MAX(AI128/[1]Parametros!$B$6-AJ128,0)</f>
        <v>420.27781084403966</v>
      </c>
      <c r="AL128" s="13">
        <f>0.66*SQRT([1]Parametros!$B$2)*H128*MIN(U128,AB128)/1000</f>
        <v>769.05085201725785</v>
      </c>
      <c r="AM128" s="13" t="str">
        <f t="shared" si="17"/>
        <v>CUMPLE</v>
      </c>
      <c r="AN128" s="13" t="s">
        <v>68</v>
      </c>
      <c r="AO128" s="14">
        <v>4</v>
      </c>
      <c r="AP128" s="13">
        <f>ROUNDDOWN(MIN(IF(BC128+BD128=0,1000000000,AO128*BB128/(BC128+BD128)),MIN(U128,AB128)/4,8*[1]Parametros!$B$12,24*BA128,300,IF(AV128=0,1000000000,2*((H128-2*([1]Parametros!$B$7+[1]Parametros!$B$9/2))+(I128-2*([1]Parametros!$B$7+[1]Parametros!$B$9/2)))/8))/10,0)*10</f>
        <v>120</v>
      </c>
      <c r="AQ128" s="13">
        <f>ROUNDDOWN(MIN(IF(BC128+BD128=0,1000000000,AO128*BB128/(BC128+BD128)),IF(AK128&gt;0.33*SQRT([1]Parametros!$B$2)*H128*MIN(U128,AB128)/1000,MIN(U128,AB128)/4,MIN(U128,AB128)/2),600,IF(AV128=0,1000000000,2*((H128-2*([1]Parametros!$B$7+[1]Parametros!$B$9/2))+(I128-2*([1]Parametros!$B$7+[1]Parametros!$B$9/2)))/8))/10,0)*10</f>
        <v>120</v>
      </c>
      <c r="AR128" s="13">
        <f>[1]Parametros!$B$6*(AJ128+MAX(BE128-BD128,0)*[1]Parametros!$B$4*MIN(U128,AB128)/1000)</f>
        <v>559.04304685625925</v>
      </c>
      <c r="AS128" s="13" t="str">
        <f t="shared" si="18"/>
        <v>CUMPLE</v>
      </c>
      <c r="AT128" s="13">
        <f>[1]Parametros!$B$6*0.083*SQRT([1]Parametros!$B$2)*(H128*I128)^2/(2*(H128+I128))/1000000</f>
        <v>10.08878303333792</v>
      </c>
      <c r="AU128" s="13" t="str">
        <f t="shared" si="19"/>
        <v>DISEÑAR</v>
      </c>
      <c r="AV128" s="13">
        <f>IF(Q128&lt;=AT128,0,Q128*1000000/([1]Parametros!$B$6*2*0.85*(H128-2*([1]Parametros!$B$7+[1]Parametros!$B$9/2))*(I128-2*([1]Parametros!$B$7+[1]Parametros!$B$9/2))*[1]Parametros!$B$4))</f>
        <v>0.81854020805283012</v>
      </c>
      <c r="AW128" s="13">
        <f>AV128*2*((H128-2*([1]Parametros!$B$7+[1]Parametros!$B$9/2))+(I128-2*([1]Parametros!$B$7+[1]Parametros!$B$9/2)))*[1]Parametros!$B$4/[1]Parametros!$B$3</f>
        <v>1333.5657069596709</v>
      </c>
      <c r="AX128" s="14">
        <v>8</v>
      </c>
      <c r="AY128" s="13" t="str">
        <f t="shared" si="20"/>
        <v>NO CUMPLE</v>
      </c>
      <c r="AZ128" s="13" t="str">
        <f t="shared" si="21"/>
        <v>NO CUMPLE</v>
      </c>
      <c r="BA128" s="14">
        <v>12.7</v>
      </c>
      <c r="BB128" s="14">
        <v>129</v>
      </c>
      <c r="BC128" s="13">
        <f>MAX(IF(AK128=0,0,AK128*1000/([1]Parametros!$B$4*MIN(U128,AB128))),MAX(0.062*SQRT([1]Parametros!$B$2)*H128/[1]Parametros!$B$4,0.35*H128/[1]Parametros!$B$4))</f>
        <v>2.0448788278135703</v>
      </c>
      <c r="BD128" s="13">
        <f t="shared" si="22"/>
        <v>1.6370804161056602</v>
      </c>
      <c r="BE128" s="13">
        <f t="shared" si="23"/>
        <v>4.3</v>
      </c>
      <c r="BF128" s="13">
        <f>SQRT((AI128*1000/(H128*MIN(U128,AB128)))^2+(Q128*1000000*2*((H128-2*([1]Parametros!$B$7+[1]Parametros!$B$9/2))+(I128-2*([1]Parametros!$B$7+[1]Parametros!$B$9/2)))/(1.7*((H128-2*([1]Parametros!$B$7+[1]Parametros!$B$9/2))*(I128-2*([1]Parametros!$B$7+[1]Parametros!$B$9/2)))^2))^2)</f>
        <v>3.3234435115752761</v>
      </c>
      <c r="BG128" s="13">
        <f>[1]Parametros!$B$6*(AJ128*1000/(H128*MIN(U128,AB128))+0.66*SQRT([1]Parametros!$B$2))</f>
        <v>3.2939603822754151</v>
      </c>
      <c r="BH128" s="13" t="str">
        <f t="shared" si="24"/>
        <v>NO CUMPLE</v>
      </c>
      <c r="BI128" s="13">
        <f>AX128*[1]Parametros!$B$8</f>
        <v>1592</v>
      </c>
      <c r="BJ128" s="15" t="str">
        <f t="shared" si="25"/>
        <v>CUMPLE</v>
      </c>
    </row>
    <row r="129" spans="1:62" ht="28.8" x14ac:dyDescent="0.3">
      <c r="A129" s="20" t="s">
        <v>69</v>
      </c>
      <c r="B129" s="21">
        <v>84</v>
      </c>
      <c r="C129" s="13">
        <v>1</v>
      </c>
      <c r="D129" s="13">
        <v>3.3</v>
      </c>
      <c r="E129" s="13">
        <v>3.3</v>
      </c>
      <c r="F129" s="13">
        <v>450</v>
      </c>
      <c r="G129" s="13">
        <v>550</v>
      </c>
      <c r="H129" s="13">
        <v>450</v>
      </c>
      <c r="I129" s="13">
        <v>550</v>
      </c>
      <c r="J129" s="14">
        <v>199.483</v>
      </c>
      <c r="K129" s="13">
        <v>84</v>
      </c>
      <c r="L129" s="14">
        <v>139.66929999999999</v>
      </c>
      <c r="M129" s="13">
        <v>84</v>
      </c>
      <c r="N129" s="14">
        <v>140.953</v>
      </c>
      <c r="O129" s="14">
        <v>491.12900000000002</v>
      </c>
      <c r="P129" s="13">
        <v>84</v>
      </c>
      <c r="Q129" s="14">
        <v>124.26609999999999</v>
      </c>
      <c r="R129" s="13">
        <f>MAX(MAX(1.4/[1]Parametros!$B$3,0.25*SQRT([1]Parametros!$B$2)/[1]Parametros!$B$3)*H129*U129,(0.85*[1]Parametros!$B$2/[1]Parametros!$B$3)*(1-SQRT(1-2*(J129*1000000/([1]Parametros!$B$5*H129*U129^2))/(0.85*[1]Parametros!$B$2)))*H129*U129)</f>
        <v>1129.5608513394839</v>
      </c>
      <c r="S129" s="14">
        <v>6</v>
      </c>
      <c r="T129" s="14">
        <v>1</v>
      </c>
      <c r="U129" s="13">
        <f>IF(T129=1,I129-([1]Parametros!$B$7+[1]Parametros!$B$9+[1]Parametros!$B$12/2),I129-(ROUNDUP(S129/2,0)*([1]Parametros!$B$7+[1]Parametros!$B$9+[1]Parametros!$B$12/2)+ROUNDDOWN(S129/2,0)*([1]Parametros!$B$7+[1]Parametros!$B$9+[1]Parametros!$B$12/2+[1]Parametros!$B$12+[1]Parametros!$B$10))/S129)</f>
        <v>489.35</v>
      </c>
      <c r="V129" s="13">
        <f>S129*[1]Parametros!$B$8</f>
        <v>1194</v>
      </c>
      <c r="W129" s="13">
        <f>[1]Parametros!$B$5*V129*[1]Parametros!$B$3*(U129-(V129*[1]Parametros!$B$3/(0.85*[1]Parametros!$B$2*H129))/2)/1000000</f>
        <v>210.29283561176473</v>
      </c>
      <c r="X129" s="13" t="str">
        <f t="shared" si="13"/>
        <v>CUMPLE</v>
      </c>
      <c r="Y129" s="13">
        <f>MAX(MAX(1.4/[1]Parametros!$B$3,0.25*SQRT([1]Parametros!$B$2)/[1]Parametros!$B$3)*H129*AB129,(0.85*[1]Parametros!$B$2/[1]Parametros!$B$3)*(1-SQRT(1-2*(L129*1000000/([1]Parametros!$B$5*H129*AB129^2))/(0.85*[1]Parametros!$B$2)))*H129*AB129)</f>
        <v>779.41564682379351</v>
      </c>
      <c r="Z129" s="14">
        <v>4</v>
      </c>
      <c r="AA129" s="14">
        <v>1</v>
      </c>
      <c r="AB129" s="13">
        <f>IF(AA129=1,I129-([1]Parametros!$B$7+[1]Parametros!$B$9+[1]Parametros!$B$12/2),I129-(ROUNDUP(Z129/2,0)*([1]Parametros!$B$7+[1]Parametros!$B$9+[1]Parametros!$B$12/2)+ROUNDDOWN(Z129/2,0)*([1]Parametros!$B$7+[1]Parametros!$B$9+[1]Parametros!$B$12/2+[1]Parametros!$B$12+[1]Parametros!$B$10))/Z129)</f>
        <v>489.35</v>
      </c>
      <c r="AC129" s="13">
        <f>Z129*[1]Parametros!$B$8</f>
        <v>796</v>
      </c>
      <c r="AD129" s="13">
        <f>[1]Parametros!$B$5*AC129*[1]Parametros!$B$3*(AB129-(AC129*[1]Parametros!$B$3/(0.85*[1]Parametros!$B$2*H129))/2)/1000000</f>
        <v>142.54333009411764</v>
      </c>
      <c r="AE129" s="13" t="str">
        <f t="shared" si="14"/>
        <v>CUMPLE</v>
      </c>
      <c r="AF129" s="13">
        <f>V129*1.25*[1]Parametros!$B$3*(U129-(V129*1.25*[1]Parametros!$B$3/(0.85*[1]Parametros!$B$2*H129))/2)/1000000</f>
        <v>288.40446661764707</v>
      </c>
      <c r="AG129" s="13">
        <f>AC129*1.25*[1]Parametros!$B$3*(AB129-(AC129*1.25*[1]Parametros!$B$3/(0.85*[1]Parametros!$B$2*H129))/2)/1000000</f>
        <v>196.34621794117646</v>
      </c>
      <c r="AH129" s="13">
        <f t="shared" si="15"/>
        <v>287.84714683600714</v>
      </c>
      <c r="AI129" s="13">
        <f t="shared" si="16"/>
        <v>491.12900000000002</v>
      </c>
      <c r="AJ129" s="13">
        <f>0.17*SQRT([1]Parametros!$B$2)*H129*MIN(U129,AB129)/1000</f>
        <v>198.08885582262698</v>
      </c>
      <c r="AK129" s="13">
        <f>MAX(AI129/[1]Parametros!$B$6-AJ129,0)</f>
        <v>456.74981084403964</v>
      </c>
      <c r="AL129" s="13">
        <f>0.66*SQRT([1]Parametros!$B$2)*H129*MIN(U129,AB129)/1000</f>
        <v>769.05085201725785</v>
      </c>
      <c r="AM129" s="13" t="str">
        <f t="shared" si="17"/>
        <v>CUMPLE</v>
      </c>
      <c r="AN129" s="13" t="s">
        <v>70</v>
      </c>
      <c r="AO129" s="14">
        <v>4</v>
      </c>
      <c r="AP129" s="13">
        <f>ROUNDDOWN(MIN(IF(BC129+BD129=0,1000000000,AO129*BB129/(BC129+BD129)),MIN(U129,AB129)/4,8*[1]Parametros!$B$12,24*BA129,300,IF(AV129=0,1000000000,2*((H129-2*([1]Parametros!$B$7+[1]Parametros!$B$9/2))+(I129-2*([1]Parametros!$B$7+[1]Parametros!$B$9/2)))/8))/10,0)*10</f>
        <v>100</v>
      </c>
      <c r="AQ129" s="13">
        <f>ROUNDDOWN(MIN(IF(BC129+BD129=0,1000000000,AO129*BB129/(BC129+BD129)),IF(AK129&gt;0.33*SQRT([1]Parametros!$B$2)*H129*MIN(U129,AB129)/1000,MIN(U129,AB129)/4,MIN(U129,AB129)/2),600,IF(AV129=0,1000000000,2*((H129-2*([1]Parametros!$B$7+[1]Parametros!$B$9/2))+(I129-2*([1]Parametros!$B$7+[1]Parametros!$B$9/2)))/8))/10,0)*10</f>
        <v>100</v>
      </c>
      <c r="AR129" s="13">
        <f>[1]Parametros!$B$6*(AJ129+MAX(BE129-BD129,0)*[1]Parametros!$B$4*MIN(U129,AB129)/1000)</f>
        <v>506.11241902503639</v>
      </c>
      <c r="AS129" s="13" t="str">
        <f t="shared" si="18"/>
        <v>NO CUMPLE</v>
      </c>
      <c r="AT129" s="13">
        <f>[1]Parametros!$B$6*0.083*SQRT([1]Parametros!$B$2)*(H129*I129)^2/(2*(H129+I129))/1000000</f>
        <v>10.08878303333792</v>
      </c>
      <c r="AU129" s="13" t="str">
        <f t="shared" si="19"/>
        <v>DISEÑAR</v>
      </c>
      <c r="AV129" s="13">
        <f>IF(Q129&lt;=AT129,0,Q129*1000000/([1]Parametros!$B$6*2*0.85*(H129-2*([1]Parametros!$B$7+[1]Parametros!$B$9/2))*(I129-2*([1]Parametros!$B$7+[1]Parametros!$B$9/2))*[1]Parametros!$B$4))</f>
        <v>1.4202309602207459</v>
      </c>
      <c r="AW129" s="13">
        <f>AV129*2*((H129-2*([1]Parametros!$B$7+[1]Parametros!$B$9/2))+(I129-2*([1]Parametros!$B$7+[1]Parametros!$B$9/2)))*[1]Parametros!$B$4/[1]Parametros!$B$3</f>
        <v>2313.8402803916392</v>
      </c>
      <c r="AX129" s="14">
        <v>12</v>
      </c>
      <c r="AY129" s="13" t="str">
        <f t="shared" si="20"/>
        <v>NO CUMPLE</v>
      </c>
      <c r="AZ129" s="13" t="str">
        <f t="shared" si="21"/>
        <v>NO CUMPLE</v>
      </c>
      <c r="BA129" s="14">
        <v>12.7</v>
      </c>
      <c r="BB129" s="14">
        <v>129</v>
      </c>
      <c r="BC129" s="13">
        <f>MAX(IF(AK129=0,0,AK129*1000/([1]Parametros!$B$4*MIN(U129,AB129))),MAX(0.062*SQRT([1]Parametros!$B$2)*H129/[1]Parametros!$B$4,0.35*H129/[1]Parametros!$B$4))</f>
        <v>2.2223348311610622</v>
      </c>
      <c r="BD129" s="13">
        <f t="shared" si="22"/>
        <v>2.8404619204414918</v>
      </c>
      <c r="BE129" s="13">
        <f t="shared" si="23"/>
        <v>5.16</v>
      </c>
      <c r="BF129" s="13">
        <f>SQRT((AI129*1000/(H129*MIN(U129,AB129)))^2+(Q129*1000000*2*((H129-2*([1]Parametros!$B$7+[1]Parametros!$B$9/2))+(I129-2*([1]Parametros!$B$7+[1]Parametros!$B$9/2)))/(1.7*((H129-2*([1]Parametros!$B$7+[1]Parametros!$B$9/2))*(I129-2*([1]Parametros!$B$7+[1]Parametros!$B$9/2)))^2))^2)</f>
        <v>4.9872538120929502</v>
      </c>
      <c r="BG129" s="13">
        <f>[1]Parametros!$B$6*(AJ129*1000/(H129*MIN(U129,AB129))+0.66*SQRT([1]Parametros!$B$2))</f>
        <v>3.2939603822754151</v>
      </c>
      <c r="BH129" s="13" t="str">
        <f t="shared" si="24"/>
        <v>NO CUMPLE</v>
      </c>
      <c r="BI129" s="13">
        <f>AX129*[1]Parametros!$B$8</f>
        <v>2388</v>
      </c>
      <c r="BJ129" s="15" t="str">
        <f t="shared" si="25"/>
        <v>CUMPLE</v>
      </c>
    </row>
    <row r="130" spans="1:62" ht="28.8" x14ac:dyDescent="0.3">
      <c r="A130" s="20" t="s">
        <v>69</v>
      </c>
      <c r="B130" s="21">
        <v>85</v>
      </c>
      <c r="C130" s="13">
        <v>1</v>
      </c>
      <c r="D130" s="13">
        <v>3.3</v>
      </c>
      <c r="E130" s="13">
        <v>3.3</v>
      </c>
      <c r="F130" s="13">
        <v>450</v>
      </c>
      <c r="G130" s="13">
        <v>550</v>
      </c>
      <c r="H130" s="13">
        <v>450</v>
      </c>
      <c r="I130" s="13">
        <v>550</v>
      </c>
      <c r="J130" s="14">
        <v>199.37450000000001</v>
      </c>
      <c r="K130" s="13">
        <v>85</v>
      </c>
      <c r="L130" s="14">
        <v>139.65219999999999</v>
      </c>
      <c r="M130" s="13">
        <v>85</v>
      </c>
      <c r="N130" s="14">
        <v>140.85</v>
      </c>
      <c r="O130" s="14">
        <v>490.99599999999998</v>
      </c>
      <c r="P130" s="13">
        <v>85</v>
      </c>
      <c r="Q130" s="14">
        <v>124.20650000000001</v>
      </c>
      <c r="R130" s="13">
        <f>MAX(MAX(1.4/[1]Parametros!$B$3,0.25*SQRT([1]Parametros!$B$2)/[1]Parametros!$B$3)*H130*U130,(0.85*[1]Parametros!$B$2/[1]Parametros!$B$3)*(1-SQRT(1-2*(J130*1000000/([1]Parametros!$B$5*H130*U130^2))/(0.85*[1]Parametros!$B$2)))*H130*U130)</f>
        <v>1128.9159201480929</v>
      </c>
      <c r="S130" s="14">
        <v>6</v>
      </c>
      <c r="T130" s="14">
        <v>1</v>
      </c>
      <c r="U130" s="13">
        <f>IF(T130=1,I130-([1]Parametros!$B$7+[1]Parametros!$B$9+[1]Parametros!$B$12/2),I130-(ROUNDUP(S130/2,0)*([1]Parametros!$B$7+[1]Parametros!$B$9+[1]Parametros!$B$12/2)+ROUNDDOWN(S130/2,0)*([1]Parametros!$B$7+[1]Parametros!$B$9+[1]Parametros!$B$12/2+[1]Parametros!$B$12+[1]Parametros!$B$10))/S130)</f>
        <v>489.35</v>
      </c>
      <c r="V130" s="13">
        <f>S130*[1]Parametros!$B$8</f>
        <v>1194</v>
      </c>
      <c r="W130" s="13">
        <f>[1]Parametros!$B$5*V130*[1]Parametros!$B$3*(U130-(V130*[1]Parametros!$B$3/(0.85*[1]Parametros!$B$2*H130))/2)/1000000</f>
        <v>210.29283561176473</v>
      </c>
      <c r="X130" s="13" t="str">
        <f t="shared" si="13"/>
        <v>CUMPLE</v>
      </c>
      <c r="Y130" s="13">
        <f>MAX(MAX(1.4/[1]Parametros!$B$3,0.25*SQRT([1]Parametros!$B$2)/[1]Parametros!$B$3)*H130*AB130,(0.85*[1]Parametros!$B$2/[1]Parametros!$B$3)*(1-SQRT(1-2*(L130*1000000/([1]Parametros!$B$5*H130*AB130^2))/(0.85*[1]Parametros!$B$2)))*H130*AB130)</f>
        <v>779.31704304184996</v>
      </c>
      <c r="Z130" s="14">
        <v>4</v>
      </c>
      <c r="AA130" s="14">
        <v>1</v>
      </c>
      <c r="AB130" s="13">
        <f>IF(AA130=1,I130-([1]Parametros!$B$7+[1]Parametros!$B$9+[1]Parametros!$B$12/2),I130-(ROUNDUP(Z130/2,0)*([1]Parametros!$B$7+[1]Parametros!$B$9+[1]Parametros!$B$12/2)+ROUNDDOWN(Z130/2,0)*([1]Parametros!$B$7+[1]Parametros!$B$9+[1]Parametros!$B$12/2+[1]Parametros!$B$12+[1]Parametros!$B$10))/Z130)</f>
        <v>489.35</v>
      </c>
      <c r="AC130" s="13">
        <f>Z130*[1]Parametros!$B$8</f>
        <v>796</v>
      </c>
      <c r="AD130" s="13">
        <f>[1]Parametros!$B$5*AC130*[1]Parametros!$B$3*(AB130-(AC130*[1]Parametros!$B$3/(0.85*[1]Parametros!$B$2*H130))/2)/1000000</f>
        <v>142.54333009411764</v>
      </c>
      <c r="AE130" s="13" t="str">
        <f t="shared" si="14"/>
        <v>CUMPLE</v>
      </c>
      <c r="AF130" s="13">
        <f>V130*1.25*[1]Parametros!$B$3*(U130-(V130*1.25*[1]Parametros!$B$3/(0.85*[1]Parametros!$B$2*H130))/2)/1000000</f>
        <v>288.40446661764707</v>
      </c>
      <c r="AG130" s="13">
        <f>AC130*1.25*[1]Parametros!$B$3*(AB130-(AC130*1.25*[1]Parametros!$B$3/(0.85*[1]Parametros!$B$2*H130))/2)/1000000</f>
        <v>196.34621794117646</v>
      </c>
      <c r="AH130" s="13">
        <f t="shared" si="15"/>
        <v>287.74414683600713</v>
      </c>
      <c r="AI130" s="13">
        <f t="shared" si="16"/>
        <v>490.99599999999998</v>
      </c>
      <c r="AJ130" s="13">
        <f>0.17*SQRT([1]Parametros!$B$2)*H130*MIN(U130,AB130)/1000</f>
        <v>198.08885582262698</v>
      </c>
      <c r="AK130" s="13">
        <f>MAX(AI130/[1]Parametros!$B$6-AJ130,0)</f>
        <v>456.57247751070634</v>
      </c>
      <c r="AL130" s="13">
        <f>0.66*SQRT([1]Parametros!$B$2)*H130*MIN(U130,AB130)/1000</f>
        <v>769.05085201725785</v>
      </c>
      <c r="AM130" s="13" t="str">
        <f t="shared" si="17"/>
        <v>CUMPLE</v>
      </c>
      <c r="AN130" s="13" t="s">
        <v>70</v>
      </c>
      <c r="AO130" s="14">
        <v>4</v>
      </c>
      <c r="AP130" s="13">
        <f>ROUNDDOWN(MIN(IF(BC130+BD130=0,1000000000,AO130*BB130/(BC130+BD130)),MIN(U130,AB130)/4,8*[1]Parametros!$B$12,24*BA130,300,IF(AV130=0,1000000000,2*((H130-2*([1]Parametros!$B$7+[1]Parametros!$B$9/2))+(I130-2*([1]Parametros!$B$7+[1]Parametros!$B$9/2)))/8))/10,0)*10</f>
        <v>100</v>
      </c>
      <c r="AQ130" s="13">
        <f>ROUNDDOWN(MIN(IF(BC130+BD130=0,1000000000,AO130*BB130/(BC130+BD130)),IF(AK130&gt;0.33*SQRT([1]Parametros!$B$2)*H130*MIN(U130,AB130)/1000,MIN(U130,AB130)/4,MIN(U130,AB130)/2),600,IF(AV130=0,1000000000,2*((H130-2*([1]Parametros!$B$7+[1]Parametros!$B$9/2))+(I130-2*([1]Parametros!$B$7+[1]Parametros!$B$9/2)))/8))/10,0)*10</f>
        <v>100</v>
      </c>
      <c r="AR130" s="13">
        <f>[1]Parametros!$B$6*(AJ130+MAX(BE130-BD130,0)*[1]Parametros!$B$4*MIN(U130,AB130)/1000)</f>
        <v>506.32241584062319</v>
      </c>
      <c r="AS130" s="13" t="str">
        <f t="shared" si="18"/>
        <v>NO CUMPLE</v>
      </c>
      <c r="AT130" s="13">
        <f>[1]Parametros!$B$6*0.083*SQRT([1]Parametros!$B$2)*(H130*I130)^2/(2*(H130+I130))/1000000</f>
        <v>10.08878303333792</v>
      </c>
      <c r="AU130" s="13" t="str">
        <f t="shared" si="19"/>
        <v>DISEÑAR</v>
      </c>
      <c r="AV130" s="13">
        <f>IF(Q130&lt;=AT130,0,Q130*1000000/([1]Parametros!$B$6*2*0.85*(H130-2*([1]Parametros!$B$7+[1]Parametros!$B$9/2))*(I130-2*([1]Parametros!$B$7+[1]Parametros!$B$9/2))*[1]Parametros!$B$4))</f>
        <v>1.4195497948407334</v>
      </c>
      <c r="AW130" s="13">
        <f>AV130*2*((H130-2*([1]Parametros!$B$7+[1]Parametros!$B$9/2))+(I130-2*([1]Parametros!$B$7+[1]Parametros!$B$9/2)))*[1]Parametros!$B$4/[1]Parametros!$B$3</f>
        <v>2312.7305257545231</v>
      </c>
      <c r="AX130" s="14">
        <v>12</v>
      </c>
      <c r="AY130" s="13" t="str">
        <f t="shared" si="20"/>
        <v>NO CUMPLE</v>
      </c>
      <c r="AZ130" s="13" t="str">
        <f t="shared" si="21"/>
        <v>NO CUMPLE</v>
      </c>
      <c r="BA130" s="14">
        <v>12.7</v>
      </c>
      <c r="BB130" s="14">
        <v>129</v>
      </c>
      <c r="BC130" s="13">
        <f>MAX(IF(AK130=0,0,AK130*1000/([1]Parametros!$B$4*MIN(U130,AB130))),MAX(0.062*SQRT([1]Parametros!$B$2)*H130/[1]Parametros!$B$4,0.35*H130/[1]Parametros!$B$4))</f>
        <v>2.2214720085959816</v>
      </c>
      <c r="BD130" s="13">
        <f t="shared" si="22"/>
        <v>2.8390995896814668</v>
      </c>
      <c r="BE130" s="13">
        <f t="shared" si="23"/>
        <v>5.16</v>
      </c>
      <c r="BF130" s="13">
        <f>SQRT((AI130*1000/(H130*MIN(U130,AB130)))^2+(Q130*1000000*2*((H130-2*([1]Parametros!$B$7+[1]Parametros!$B$9/2))+(I130-2*([1]Parametros!$B$7+[1]Parametros!$B$9/2)))/(1.7*((H130-2*([1]Parametros!$B$7+[1]Parametros!$B$9/2))*(I130-2*([1]Parametros!$B$7+[1]Parametros!$B$9/2)))^2))^2)</f>
        <v>4.9850701296966067</v>
      </c>
      <c r="BG130" s="13">
        <f>[1]Parametros!$B$6*(AJ130*1000/(H130*MIN(U130,AB130))+0.66*SQRT([1]Parametros!$B$2))</f>
        <v>3.2939603822754151</v>
      </c>
      <c r="BH130" s="13" t="str">
        <f t="shared" si="24"/>
        <v>NO CUMPLE</v>
      </c>
      <c r="BI130" s="13">
        <f>AX130*[1]Parametros!$B$8</f>
        <v>2388</v>
      </c>
      <c r="BJ130" s="15" t="str">
        <f t="shared" si="25"/>
        <v>CUMPLE</v>
      </c>
    </row>
    <row r="131" spans="1:62" x14ac:dyDescent="0.3">
      <c r="A131" s="20" t="s">
        <v>69</v>
      </c>
      <c r="B131" s="21">
        <v>86</v>
      </c>
      <c r="C131" s="13">
        <v>1</v>
      </c>
      <c r="D131" s="13">
        <v>3.25</v>
      </c>
      <c r="E131" s="13">
        <v>3.25</v>
      </c>
      <c r="F131" s="13">
        <v>450</v>
      </c>
      <c r="G131" s="13">
        <v>550</v>
      </c>
      <c r="H131" s="13">
        <v>450</v>
      </c>
      <c r="I131" s="13">
        <v>550</v>
      </c>
      <c r="J131" s="14">
        <v>187.85769999999999</v>
      </c>
      <c r="K131" s="13">
        <v>86</v>
      </c>
      <c r="L131" s="14">
        <v>163.38800000000001</v>
      </c>
      <c r="M131" s="13">
        <v>86</v>
      </c>
      <c r="N131" s="14">
        <v>110.35599999999999</v>
      </c>
      <c r="O131" s="14">
        <v>463.77</v>
      </c>
      <c r="P131" s="13">
        <v>86</v>
      </c>
      <c r="Q131" s="14">
        <v>71.619299999999996</v>
      </c>
      <c r="R131" s="13">
        <f>MAX(MAX(1.4/[1]Parametros!$B$3,0.25*SQRT([1]Parametros!$B$2)/[1]Parametros!$B$3)*H131*U131,(0.85*[1]Parametros!$B$2/[1]Parametros!$B$3)*(1-SQRT(1-2*(J131*1000000/([1]Parametros!$B$5*H131*U131^2))/(0.85*[1]Parametros!$B$2)))*H131*U131)</f>
        <v>1060.666449308238</v>
      </c>
      <c r="S131" s="14">
        <v>6</v>
      </c>
      <c r="T131" s="14">
        <v>1</v>
      </c>
      <c r="U131" s="13">
        <f>IF(T131=1,I131-([1]Parametros!$B$7+[1]Parametros!$B$9+[1]Parametros!$B$12/2),I131-(ROUNDUP(S131/2,0)*([1]Parametros!$B$7+[1]Parametros!$B$9+[1]Parametros!$B$12/2)+ROUNDDOWN(S131/2,0)*([1]Parametros!$B$7+[1]Parametros!$B$9+[1]Parametros!$B$12/2+[1]Parametros!$B$12+[1]Parametros!$B$10))/S131)</f>
        <v>489.35</v>
      </c>
      <c r="V131" s="13">
        <f>S131*[1]Parametros!$B$8</f>
        <v>1194</v>
      </c>
      <c r="W131" s="13">
        <f>[1]Parametros!$B$5*V131*[1]Parametros!$B$3*(U131-(V131*[1]Parametros!$B$3/(0.85*[1]Parametros!$B$2*H131))/2)/1000000</f>
        <v>210.29283561176473</v>
      </c>
      <c r="X131" s="13" t="str">
        <f t="shared" si="13"/>
        <v>CUMPLE</v>
      </c>
      <c r="Y131" s="13">
        <f>MAX(MAX(1.4/[1]Parametros!$B$3,0.25*SQRT([1]Parametros!$B$2)/[1]Parametros!$B$3)*H131*AB131,(0.85*[1]Parametros!$B$2/[1]Parametros!$B$3)*(1-SQRT(1-2*(L131*1000000/([1]Parametros!$B$5*H131*AB131^2))/(0.85*[1]Parametros!$B$2)))*H131*AB131)</f>
        <v>916.99438860020211</v>
      </c>
      <c r="Z131" s="14">
        <v>5</v>
      </c>
      <c r="AA131" s="14">
        <v>1</v>
      </c>
      <c r="AB131" s="13">
        <f>IF(AA131=1,I131-([1]Parametros!$B$7+[1]Parametros!$B$9+[1]Parametros!$B$12/2),I131-(ROUNDUP(Z131/2,0)*([1]Parametros!$B$7+[1]Parametros!$B$9+[1]Parametros!$B$12/2)+ROUNDDOWN(Z131/2,0)*([1]Parametros!$B$7+[1]Parametros!$B$9+[1]Parametros!$B$12/2+[1]Parametros!$B$12+[1]Parametros!$B$10))/Z131)</f>
        <v>489.35</v>
      </c>
      <c r="AC131" s="13">
        <f>Z131*[1]Parametros!$B$8</f>
        <v>995</v>
      </c>
      <c r="AD131" s="13">
        <f>[1]Parametros!$B$5*AC131*[1]Parametros!$B$3*(AB131-(AC131*[1]Parametros!$B$3/(0.85*[1]Parametros!$B$2*H131))/2)/1000000</f>
        <v>176.71159614705886</v>
      </c>
      <c r="AE131" s="13" t="str">
        <f t="shared" si="14"/>
        <v>CUMPLE</v>
      </c>
      <c r="AF131" s="13">
        <f>V131*1.25*[1]Parametros!$B$3*(U131-(V131*1.25*[1]Parametros!$B$3/(0.85*[1]Parametros!$B$2*H131))/2)/1000000</f>
        <v>288.40446661764707</v>
      </c>
      <c r="AG131" s="13">
        <f>AC131*1.25*[1]Parametros!$B$3*(AB131-(AC131*1.25*[1]Parametros!$B$3/(0.85*[1]Parametros!$B$2*H131))/2)/1000000</f>
        <v>242.88491397058826</v>
      </c>
      <c r="AH131" s="13">
        <f t="shared" si="15"/>
        <v>273.82965556561089</v>
      </c>
      <c r="AI131" s="13">
        <f t="shared" si="16"/>
        <v>463.77</v>
      </c>
      <c r="AJ131" s="13">
        <f>0.17*SQRT([1]Parametros!$B$2)*H131*MIN(U131,AB131)/1000</f>
        <v>198.08885582262698</v>
      </c>
      <c r="AK131" s="13">
        <f>MAX(AI131/[1]Parametros!$B$6-AJ131,0)</f>
        <v>420.271144177373</v>
      </c>
      <c r="AL131" s="13">
        <f>0.66*SQRT([1]Parametros!$B$2)*H131*MIN(U131,AB131)/1000</f>
        <v>769.05085201725785</v>
      </c>
      <c r="AM131" s="13" t="str">
        <f t="shared" si="17"/>
        <v>CUMPLE</v>
      </c>
      <c r="AN131" s="13" t="s">
        <v>68</v>
      </c>
      <c r="AO131" s="14">
        <v>4</v>
      </c>
      <c r="AP131" s="13">
        <f>ROUNDDOWN(MIN(IF(BC131+BD131=0,1000000000,AO131*BB131/(BC131+BD131)),MIN(U131,AB131)/4,8*[1]Parametros!$B$12,24*BA131,300,IF(AV131=0,1000000000,2*((H131-2*([1]Parametros!$B$7+[1]Parametros!$B$9/2))+(I131-2*([1]Parametros!$B$7+[1]Parametros!$B$9/2)))/8))/10,0)*10</f>
        <v>120</v>
      </c>
      <c r="AQ131" s="13">
        <f>ROUNDDOWN(MIN(IF(BC131+BD131=0,1000000000,AO131*BB131/(BC131+BD131)),IF(AK131&gt;0.33*SQRT([1]Parametros!$B$2)*H131*MIN(U131,AB131)/1000,MIN(U131,AB131)/4,MIN(U131,AB131)/2),600,IF(AV131=0,1000000000,2*((H131-2*([1]Parametros!$B$7+[1]Parametros!$B$9/2))+(I131-2*([1]Parametros!$B$7+[1]Parametros!$B$9/2)))/8))/10,0)*10</f>
        <v>120</v>
      </c>
      <c r="AR131" s="13">
        <f>[1]Parametros!$B$6*(AJ131+MAX(BE131-BD131,0)*[1]Parametros!$B$4*MIN(U131,AB131)/1000)</f>
        <v>559.04516091816106</v>
      </c>
      <c r="AS131" s="13" t="str">
        <f t="shared" si="18"/>
        <v>CUMPLE</v>
      </c>
      <c r="AT131" s="13">
        <f>[1]Parametros!$B$6*0.083*SQRT([1]Parametros!$B$2)*(H131*I131)^2/(2*(H131+I131))/1000000</f>
        <v>10.08878303333792</v>
      </c>
      <c r="AU131" s="13" t="str">
        <f t="shared" si="19"/>
        <v>DISEÑAR</v>
      </c>
      <c r="AV131" s="13">
        <f>IF(Q131&lt;=AT131,0,Q131*1000000/([1]Parametros!$B$6*2*0.85*(H131-2*([1]Parametros!$B$7+[1]Parametros!$B$9/2))*(I131-2*([1]Parametros!$B$7+[1]Parametros!$B$9/2))*[1]Parametros!$B$4))</f>
        <v>0.81853335068323274</v>
      </c>
      <c r="AW131" s="13">
        <f>AV131*2*((H131-2*([1]Parametros!$B$7+[1]Parametros!$B$9/2))+(I131-2*([1]Parametros!$B$7+[1]Parametros!$B$9/2)))*[1]Parametros!$B$4/[1]Parametros!$B$3</f>
        <v>1333.5545349331228</v>
      </c>
      <c r="AX131" s="14">
        <v>8</v>
      </c>
      <c r="AY131" s="13" t="str">
        <f t="shared" si="20"/>
        <v>NO CUMPLE</v>
      </c>
      <c r="AZ131" s="13" t="str">
        <f t="shared" si="21"/>
        <v>NO CUMPLE</v>
      </c>
      <c r="BA131" s="14">
        <v>12.7</v>
      </c>
      <c r="BB131" s="14">
        <v>129</v>
      </c>
      <c r="BC131" s="13">
        <f>MAX(IF(AK131=0,0,AK131*1000/([1]Parametros!$B$4*MIN(U131,AB131))),MAX(0.062*SQRT([1]Parametros!$B$2)*H131/[1]Parametros!$B$4,0.35*H131/[1]Parametros!$B$4))</f>
        <v>2.0448463908750334</v>
      </c>
      <c r="BD131" s="13">
        <f t="shared" si="22"/>
        <v>1.6370667013664655</v>
      </c>
      <c r="BE131" s="13">
        <f t="shared" si="23"/>
        <v>4.3</v>
      </c>
      <c r="BF131" s="13">
        <f>SQRT((AI131*1000/(H131*MIN(U131,AB131)))^2+(Q131*1000000*2*((H131-2*([1]Parametros!$B$7+[1]Parametros!$B$9/2))+(I131-2*([1]Parametros!$B$7+[1]Parametros!$B$9/2)))/(1.7*((H131-2*([1]Parametros!$B$7+[1]Parametros!$B$9/2))*(I131-2*([1]Parametros!$B$7+[1]Parametros!$B$9/2)))^2))^2)</f>
        <v>3.3234124613978309</v>
      </c>
      <c r="BG131" s="13">
        <f>[1]Parametros!$B$6*(AJ131*1000/(H131*MIN(U131,AB131))+0.66*SQRT([1]Parametros!$B$2))</f>
        <v>3.2939603822754151</v>
      </c>
      <c r="BH131" s="13" t="str">
        <f t="shared" si="24"/>
        <v>NO CUMPLE</v>
      </c>
      <c r="BI131" s="13">
        <f>AX131*[1]Parametros!$B$8</f>
        <v>1592</v>
      </c>
      <c r="BJ131" s="15" t="str">
        <f t="shared" si="25"/>
        <v>CUMPLE</v>
      </c>
    </row>
    <row r="132" spans="1:62" x14ac:dyDescent="0.3">
      <c r="A132" s="20" t="s">
        <v>69</v>
      </c>
      <c r="B132" s="21">
        <v>263</v>
      </c>
      <c r="C132" s="13">
        <v>1</v>
      </c>
      <c r="D132" s="13">
        <v>3.25</v>
      </c>
      <c r="E132" s="13">
        <v>3.25</v>
      </c>
      <c r="F132" s="13">
        <v>450</v>
      </c>
      <c r="G132" s="13">
        <v>550</v>
      </c>
      <c r="H132" s="13">
        <v>450</v>
      </c>
      <c r="I132" s="13">
        <v>550</v>
      </c>
      <c r="J132" s="14">
        <v>171.36680000000001</v>
      </c>
      <c r="K132" s="13">
        <v>263</v>
      </c>
      <c r="L132" s="14">
        <v>139.94929999999999</v>
      </c>
      <c r="M132" s="13">
        <v>263</v>
      </c>
      <c r="N132" s="14">
        <v>102.74</v>
      </c>
      <c r="O132" s="14">
        <v>415.55</v>
      </c>
      <c r="P132" s="13">
        <v>263</v>
      </c>
      <c r="Q132" s="14">
        <v>65.117400000000004</v>
      </c>
      <c r="R132" s="13">
        <f>MAX(MAX(1.4/[1]Parametros!$B$3,0.25*SQRT([1]Parametros!$B$2)/[1]Parametros!$B$3)*H132*U132,(0.85*[1]Parametros!$B$2/[1]Parametros!$B$3)*(1-SQRT(1-2*(J132*1000000/([1]Parametros!$B$5*H132*U132^2))/(0.85*[1]Parametros!$B$2)))*H132*U132)</f>
        <v>963.64436725203961</v>
      </c>
      <c r="S132" s="14">
        <v>5</v>
      </c>
      <c r="T132" s="14">
        <v>1</v>
      </c>
      <c r="U132" s="13">
        <f>IF(T132=1,I132-([1]Parametros!$B$7+[1]Parametros!$B$9+[1]Parametros!$B$12/2),I132-(ROUNDUP(S132/2,0)*([1]Parametros!$B$7+[1]Parametros!$B$9+[1]Parametros!$B$12/2)+ROUNDDOWN(S132/2,0)*([1]Parametros!$B$7+[1]Parametros!$B$9+[1]Parametros!$B$12/2+[1]Parametros!$B$12+[1]Parametros!$B$10))/S132)</f>
        <v>489.35</v>
      </c>
      <c r="V132" s="13">
        <f>S132*[1]Parametros!$B$8</f>
        <v>995</v>
      </c>
      <c r="W132" s="13">
        <f>[1]Parametros!$B$5*V132*[1]Parametros!$B$3*(U132-(V132*[1]Parametros!$B$3/(0.85*[1]Parametros!$B$2*H132))/2)/1000000</f>
        <v>176.71159614705886</v>
      </c>
      <c r="X132" s="13" t="str">
        <f t="shared" ref="X132:X195" si="26">IF(W132&gt;=J132,"CUMPLE","NO CUMPLE")</f>
        <v>CUMPLE</v>
      </c>
      <c r="Y132" s="13">
        <f>MAX(MAX(1.4/[1]Parametros!$B$3,0.25*SQRT([1]Parametros!$B$2)/[1]Parametros!$B$3)*H132*AB132,(0.85*[1]Parametros!$B$2/[1]Parametros!$B$3)*(1-SQRT(1-2*(L132*1000000/([1]Parametros!$B$5*H132*AB132^2))/(0.85*[1]Parametros!$B$2)))*H132*AB132)</f>
        <v>781.03032990672386</v>
      </c>
      <c r="Z132" s="14">
        <v>4</v>
      </c>
      <c r="AA132" s="14">
        <v>1</v>
      </c>
      <c r="AB132" s="13">
        <f>IF(AA132=1,I132-([1]Parametros!$B$7+[1]Parametros!$B$9+[1]Parametros!$B$12/2),I132-(ROUNDUP(Z132/2,0)*([1]Parametros!$B$7+[1]Parametros!$B$9+[1]Parametros!$B$12/2)+ROUNDDOWN(Z132/2,0)*([1]Parametros!$B$7+[1]Parametros!$B$9+[1]Parametros!$B$12/2+[1]Parametros!$B$12+[1]Parametros!$B$10))/Z132)</f>
        <v>489.35</v>
      </c>
      <c r="AC132" s="13">
        <f>Z132*[1]Parametros!$B$8</f>
        <v>796</v>
      </c>
      <c r="AD132" s="13">
        <f>[1]Parametros!$B$5*AC132*[1]Parametros!$B$3*(AB132-(AC132*[1]Parametros!$B$3/(0.85*[1]Parametros!$B$2*H132))/2)/1000000</f>
        <v>142.54333009411764</v>
      </c>
      <c r="AE132" s="13" t="str">
        <f t="shared" ref="AE132:AE195" si="27">IF(AD132&gt;=L132,"CUMPLE","NO CUMPLE")</f>
        <v>CUMPLE</v>
      </c>
      <c r="AF132" s="13">
        <f>V132*1.25*[1]Parametros!$B$3*(U132-(V132*1.25*[1]Parametros!$B$3/(0.85*[1]Parametros!$B$2*H132))/2)/1000000</f>
        <v>242.88491397058826</v>
      </c>
      <c r="AG132" s="13">
        <f>AC132*1.25*[1]Parametros!$B$3*(AB132-(AC132*1.25*[1]Parametros!$B$3/(0.85*[1]Parametros!$B$2*H132))/2)/1000000</f>
        <v>196.34621794117646</v>
      </c>
      <c r="AH132" s="13">
        <f t="shared" ref="AH132:AH195" si="28">N132+(AF132+AG132)/D132</f>
        <v>237.8880405882353</v>
      </c>
      <c r="AI132" s="13">
        <f t="shared" ref="AI132:AI195" si="29">MAX(O132,AH132)</f>
        <v>415.55</v>
      </c>
      <c r="AJ132" s="13">
        <f>0.17*SQRT([1]Parametros!$B$2)*H132*MIN(U132,AB132)/1000</f>
        <v>198.08885582262698</v>
      </c>
      <c r="AK132" s="13">
        <f>MAX(AI132/[1]Parametros!$B$6-AJ132,0)</f>
        <v>355.97781084403971</v>
      </c>
      <c r="AL132" s="13">
        <f>0.66*SQRT([1]Parametros!$B$2)*H132*MIN(U132,AB132)/1000</f>
        <v>769.05085201725785</v>
      </c>
      <c r="AM132" s="13" t="str">
        <f t="shared" ref="AM132:AM195" si="30">IF(AK132&lt;=AL132,"CUMPLE","NO CUMPLE")</f>
        <v>CUMPLE</v>
      </c>
      <c r="AN132" s="13" t="s">
        <v>68</v>
      </c>
      <c r="AO132" s="14">
        <v>2</v>
      </c>
      <c r="AP132" s="13">
        <f>ROUNDDOWN(MIN(IF(BC132+BD132=0,1000000000,AO132*BB132/(BC132+BD132)),MIN(U132,AB132)/4,8*[1]Parametros!$B$12,24*BA132,300,IF(AV132=0,1000000000,2*((H132-2*([1]Parametros!$B$7+[1]Parametros!$B$9/2))+(I132-2*([1]Parametros!$B$7+[1]Parametros!$B$9/2)))/8))/10,0)*10</f>
        <v>80</v>
      </c>
      <c r="AQ132" s="13">
        <f>ROUNDDOWN(MIN(IF(BC132+BD132=0,1000000000,AO132*BB132/(BC132+BD132)),IF(AK132&gt;0.33*SQRT([1]Parametros!$B$2)*H132*MIN(U132,AB132)/1000,MIN(U132,AB132)/4,MIN(U132,AB132)/2),600,IF(AV132=0,1000000000,2*((H132-2*([1]Parametros!$B$7+[1]Parametros!$B$9/2))+(I132-2*([1]Parametros!$B$7+[1]Parametros!$B$9/2)))/8))/10,0)*10</f>
        <v>80</v>
      </c>
      <c r="AR132" s="13">
        <f>[1]Parametros!$B$6*(AJ132+MAX(BE132-BD132,0)*[1]Parametros!$B$4*MIN(U132,AB132)/1000)</f>
        <v>416.2480489678793</v>
      </c>
      <c r="AS132" s="13" t="str">
        <f t="shared" ref="AS132:AS195" si="31">IF(AND(ISERROR(SEARCH("referencia",AN132)),AM132="CUMPLE",AR132&gt;=AI132),"CUMPLE","NO CUMPLE")</f>
        <v>CUMPLE</v>
      </c>
      <c r="AT132" s="13">
        <f>[1]Parametros!$B$6*0.083*SQRT([1]Parametros!$B$2)*(H132*I132)^2/(2*(H132+I132))/1000000</f>
        <v>10.08878303333792</v>
      </c>
      <c r="AU132" s="13" t="str">
        <f t="shared" ref="AU132:AU195" si="32">IF(Q132&lt;=AT132,"DESPRECIABLE","DISEÑAR")</f>
        <v>DISEÑAR</v>
      </c>
      <c r="AV132" s="13">
        <f>IF(Q132&lt;=AT132,0,Q132*1000000/([1]Parametros!$B$6*2*0.85*(H132-2*([1]Parametros!$B$7+[1]Parametros!$B$9/2))*(I132-2*([1]Parametros!$B$7+[1]Parametros!$B$9/2))*[1]Parametros!$B$4))</f>
        <v>0.74422346504057335</v>
      </c>
      <c r="AW132" s="13">
        <f>AV132*2*((H132-2*([1]Parametros!$B$7+[1]Parametros!$B$9/2))+(I132-2*([1]Parametros!$B$7+[1]Parametros!$B$9/2)))*[1]Parametros!$B$4/[1]Parametros!$B$3</f>
        <v>1212.488869244102</v>
      </c>
      <c r="AX132" s="14">
        <v>8</v>
      </c>
      <c r="AY132" s="13" t="str">
        <f t="shared" ref="AY132:AY195" si="33">IF(AV132=0,"DESPRECIABLE",IF(AND(ISERROR(SEARCH("referencia",AN132)),BB132/AP132&gt;=AV132,BI132&gt;=AW132,BH132="CUMPLE"),"CUMPLE","NO CUMPLE"))</f>
        <v>CUMPLE</v>
      </c>
      <c r="AZ132" s="13" t="str">
        <f t="shared" ref="AZ132:AZ195" si="34">IF(AND(X132="CUMPLE",AE132="CUMPLE",AS132="CUMPLE",OR(AY132="CUMPLE",AY132="DESPRECIABLE"),BH132="CUMPLE",BJ132="CUMPLE"),"CUMPLE","NO CUMPLE")</f>
        <v>CUMPLE</v>
      </c>
      <c r="BA132" s="14">
        <v>12.7</v>
      </c>
      <c r="BB132" s="14">
        <v>129</v>
      </c>
      <c r="BC132" s="13">
        <f>MAX(IF(AK132=0,0,AK132*1000/([1]Parametros!$B$4*MIN(U132,AB132))),MAX(0.062*SQRT([1]Parametros!$B$2)*H132/[1]Parametros!$B$4,0.35*H132/[1]Parametros!$B$4))</f>
        <v>1.7320245556254883</v>
      </c>
      <c r="BD132" s="13">
        <f t="shared" ref="BD132:BD195" si="35">2*AV132</f>
        <v>1.4884469300811467</v>
      </c>
      <c r="BE132" s="13">
        <f t="shared" ref="BE132:BE195" si="36">AO132*BB132/AP132</f>
        <v>3.2250000000000001</v>
      </c>
      <c r="BF132" s="13">
        <f>SQRT((AI132*1000/(H132*MIN(U132,AB132)))^2+(Q132*1000000*2*((H132-2*([1]Parametros!$B$7+[1]Parametros!$B$9/2))+(I132-2*([1]Parametros!$B$7+[1]Parametros!$B$9/2)))/(1.7*((H132-2*([1]Parametros!$B$7+[1]Parametros!$B$9/2))*(I132-2*([1]Parametros!$B$7+[1]Parametros!$B$9/2)))^2))^2)</f>
        <v>3.0041727225303161</v>
      </c>
      <c r="BG132" s="13">
        <f>[1]Parametros!$B$6*(AJ132*1000/(H132*MIN(U132,AB132))+0.66*SQRT([1]Parametros!$B$2))</f>
        <v>3.2939603822754151</v>
      </c>
      <c r="BH132" s="13" t="str">
        <f t="shared" ref="BH132:BH195" si="37">IF(BF132&lt;=BG132,"CUMPLE","NO CUMPLE")</f>
        <v>CUMPLE</v>
      </c>
      <c r="BI132" s="13">
        <f>AX132*[1]Parametros!$B$8</f>
        <v>1592</v>
      </c>
      <c r="BJ132" s="15" t="str">
        <f t="shared" ref="BJ132:BJ195" si="38">IF(BI132&gt;=AW132,"CUMPLE","NO CUMPLE")</f>
        <v>CUMPLE</v>
      </c>
    </row>
    <row r="133" spans="1:62" ht="28.8" x14ac:dyDescent="0.3">
      <c r="A133" s="20" t="s">
        <v>69</v>
      </c>
      <c r="B133" s="21">
        <v>264</v>
      </c>
      <c r="C133" s="13">
        <v>1</v>
      </c>
      <c r="D133" s="13">
        <v>3.3</v>
      </c>
      <c r="E133" s="13">
        <v>3.3</v>
      </c>
      <c r="F133" s="13">
        <v>450</v>
      </c>
      <c r="G133" s="13">
        <v>550</v>
      </c>
      <c r="H133" s="13">
        <v>450</v>
      </c>
      <c r="I133" s="13">
        <v>550</v>
      </c>
      <c r="J133" s="14">
        <v>197.3278</v>
      </c>
      <c r="K133" s="13">
        <v>264</v>
      </c>
      <c r="L133" s="14">
        <v>132.45169999999999</v>
      </c>
      <c r="M133" s="13">
        <v>264</v>
      </c>
      <c r="N133" s="14">
        <v>141.28700000000001</v>
      </c>
      <c r="O133" s="14">
        <v>468.38</v>
      </c>
      <c r="P133" s="13">
        <v>264</v>
      </c>
      <c r="Q133" s="14">
        <v>109.5204</v>
      </c>
      <c r="R133" s="13">
        <f>MAX(MAX(1.4/[1]Parametros!$B$3,0.25*SQRT([1]Parametros!$B$2)/[1]Parametros!$B$3)*H133*U133,(0.85*[1]Parametros!$B$2/[1]Parametros!$B$3)*(1-SQRT(1-2*(J133*1000000/([1]Parametros!$B$5*H133*U133^2))/(0.85*[1]Parametros!$B$2)))*H133*U133)</f>
        <v>1116.7570583141078</v>
      </c>
      <c r="S133" s="14">
        <v>6</v>
      </c>
      <c r="T133" s="14">
        <v>1</v>
      </c>
      <c r="U133" s="13">
        <f>IF(T133=1,I133-([1]Parametros!$B$7+[1]Parametros!$B$9+[1]Parametros!$B$12/2),I133-(ROUNDUP(S133/2,0)*([1]Parametros!$B$7+[1]Parametros!$B$9+[1]Parametros!$B$12/2)+ROUNDDOWN(S133/2,0)*([1]Parametros!$B$7+[1]Parametros!$B$9+[1]Parametros!$B$12/2+[1]Parametros!$B$12+[1]Parametros!$B$10))/S133)</f>
        <v>489.35</v>
      </c>
      <c r="V133" s="13">
        <f>S133*[1]Parametros!$B$8</f>
        <v>1194</v>
      </c>
      <c r="W133" s="13">
        <f>[1]Parametros!$B$5*V133*[1]Parametros!$B$3*(U133-(V133*[1]Parametros!$B$3/(0.85*[1]Parametros!$B$2*H133))/2)/1000000</f>
        <v>210.29283561176473</v>
      </c>
      <c r="X133" s="13" t="str">
        <f t="shared" si="26"/>
        <v>CUMPLE</v>
      </c>
      <c r="Y133" s="13">
        <f>MAX(MAX(1.4/[1]Parametros!$B$3,0.25*SQRT([1]Parametros!$B$2)/[1]Parametros!$B$3)*H133*AB133,(0.85*[1]Parametros!$B$2/[1]Parametros!$B$3)*(1-SQRT(1-2*(L133*1000000/([1]Parametros!$B$5*H133*AB133^2))/(0.85*[1]Parametros!$B$2)))*H133*AB133)</f>
        <v>737.87036998751785</v>
      </c>
      <c r="Z133" s="14">
        <v>4</v>
      </c>
      <c r="AA133" s="14">
        <v>1</v>
      </c>
      <c r="AB133" s="13">
        <f>IF(AA133=1,I133-([1]Parametros!$B$7+[1]Parametros!$B$9+[1]Parametros!$B$12/2),I133-(ROUNDUP(Z133/2,0)*([1]Parametros!$B$7+[1]Parametros!$B$9+[1]Parametros!$B$12/2)+ROUNDDOWN(Z133/2,0)*([1]Parametros!$B$7+[1]Parametros!$B$9+[1]Parametros!$B$12/2+[1]Parametros!$B$12+[1]Parametros!$B$10))/Z133)</f>
        <v>489.35</v>
      </c>
      <c r="AC133" s="13">
        <f>Z133*[1]Parametros!$B$8</f>
        <v>796</v>
      </c>
      <c r="AD133" s="13">
        <f>[1]Parametros!$B$5*AC133*[1]Parametros!$B$3*(AB133-(AC133*[1]Parametros!$B$3/(0.85*[1]Parametros!$B$2*H133))/2)/1000000</f>
        <v>142.54333009411764</v>
      </c>
      <c r="AE133" s="13" t="str">
        <f t="shared" si="27"/>
        <v>CUMPLE</v>
      </c>
      <c r="AF133" s="13">
        <f>V133*1.25*[1]Parametros!$B$3*(U133-(V133*1.25*[1]Parametros!$B$3/(0.85*[1]Parametros!$B$2*H133))/2)/1000000</f>
        <v>288.40446661764707</v>
      </c>
      <c r="AG133" s="13">
        <f>AC133*1.25*[1]Parametros!$B$3*(AB133-(AC133*1.25*[1]Parametros!$B$3/(0.85*[1]Parametros!$B$2*H133))/2)/1000000</f>
        <v>196.34621794117646</v>
      </c>
      <c r="AH133" s="13">
        <f t="shared" si="28"/>
        <v>288.18114683600714</v>
      </c>
      <c r="AI133" s="13">
        <f t="shared" si="29"/>
        <v>468.38</v>
      </c>
      <c r="AJ133" s="13">
        <f>0.17*SQRT([1]Parametros!$B$2)*H133*MIN(U133,AB133)/1000</f>
        <v>198.08885582262698</v>
      </c>
      <c r="AK133" s="13">
        <f>MAX(AI133/[1]Parametros!$B$6-AJ133,0)</f>
        <v>426.41781084403965</v>
      </c>
      <c r="AL133" s="13">
        <f>0.66*SQRT([1]Parametros!$B$2)*H133*MIN(U133,AB133)/1000</f>
        <v>769.05085201725785</v>
      </c>
      <c r="AM133" s="13" t="str">
        <f t="shared" si="30"/>
        <v>CUMPLE</v>
      </c>
      <c r="AN133" s="13" t="s">
        <v>70</v>
      </c>
      <c r="AO133" s="14">
        <v>4</v>
      </c>
      <c r="AP133" s="13">
        <f>ROUNDDOWN(MIN(IF(BC133+BD133=0,1000000000,AO133*BB133/(BC133+BD133)),MIN(U133,AB133)/4,8*[1]Parametros!$B$12,24*BA133,300,IF(AV133=0,1000000000,2*((H133-2*([1]Parametros!$B$7+[1]Parametros!$B$9/2))+(I133-2*([1]Parametros!$B$7+[1]Parametros!$B$9/2)))/8))/10,0)*10</f>
        <v>110</v>
      </c>
      <c r="AQ133" s="13">
        <f>ROUNDDOWN(MIN(IF(BC133+BD133=0,1000000000,AO133*BB133/(BC133+BD133)),IF(AK133&gt;0.33*SQRT([1]Parametros!$B$2)*H133*MIN(U133,AB133)/1000,MIN(U133,AB133)/4,MIN(U133,AB133)/2),600,IF(AV133=0,1000000000,2*((H133-2*([1]Parametros!$B$7+[1]Parametros!$B$9/2))+(I133-2*([1]Parametros!$B$7+[1]Parametros!$B$9/2)))/8))/10,0)*10</f>
        <v>110</v>
      </c>
      <c r="AR133" s="13">
        <f>[1]Parametros!$B$6*(AJ133+MAX(BE133-BD133,0)*[1]Parametros!$B$4*MIN(U133,AB133)/1000)</f>
        <v>485.75982121473419</v>
      </c>
      <c r="AS133" s="13" t="str">
        <f t="shared" si="31"/>
        <v>NO CUMPLE</v>
      </c>
      <c r="AT133" s="13">
        <f>[1]Parametros!$B$6*0.083*SQRT([1]Parametros!$B$2)*(H133*I133)^2/(2*(H133+I133))/1000000</f>
        <v>10.08878303333792</v>
      </c>
      <c r="AU133" s="13" t="str">
        <f t="shared" si="32"/>
        <v>DISEÑAR</v>
      </c>
      <c r="AV133" s="13">
        <f>IF(Q133&lt;=AT133,0,Q133*1000000/([1]Parametros!$B$6*2*0.85*(H133-2*([1]Parametros!$B$7+[1]Parametros!$B$9/2))*(I133-2*([1]Parametros!$B$7+[1]Parametros!$B$9/2))*[1]Parametros!$B$4))</f>
        <v>1.2517031020991258</v>
      </c>
      <c r="AW133" s="13">
        <f>AV133*2*((H133-2*([1]Parametros!$B$7+[1]Parametros!$B$9/2))+(I133-2*([1]Parametros!$B$7+[1]Parametros!$B$9/2)))*[1]Parametros!$B$4/[1]Parametros!$B$3</f>
        <v>2039.2746939398958</v>
      </c>
      <c r="AX133" s="14">
        <v>12</v>
      </c>
      <c r="AY133" s="13" t="str">
        <f t="shared" si="33"/>
        <v>NO CUMPLE</v>
      </c>
      <c r="AZ133" s="13" t="str">
        <f t="shared" si="34"/>
        <v>NO CUMPLE</v>
      </c>
      <c r="BA133" s="14">
        <v>12.7</v>
      </c>
      <c r="BB133" s="14">
        <v>129</v>
      </c>
      <c r="BC133" s="13">
        <f>MAX(IF(AK133=0,0,AK133*1000/([1]Parametros!$B$4*MIN(U133,AB133))),MAX(0.062*SQRT([1]Parametros!$B$2)*H133/[1]Parametros!$B$4,0.35*H133/[1]Parametros!$B$4))</f>
        <v>2.0747532482060249</v>
      </c>
      <c r="BD133" s="13">
        <f t="shared" si="35"/>
        <v>2.5034062041982517</v>
      </c>
      <c r="BE133" s="13">
        <f t="shared" si="36"/>
        <v>4.6909090909090905</v>
      </c>
      <c r="BF133" s="13">
        <f>SQRT((AI133*1000/(H133*MIN(U133,AB133)))^2+(Q133*1000000*2*((H133-2*([1]Parametros!$B$7+[1]Parametros!$B$9/2))+(I133-2*([1]Parametros!$B$7+[1]Parametros!$B$9/2)))/(1.7*((H133-2*([1]Parametros!$B$7+[1]Parametros!$B$9/2))*(I133-2*([1]Parametros!$B$7+[1]Parametros!$B$9/2)))^2))^2)</f>
        <v>4.4699387941465663</v>
      </c>
      <c r="BG133" s="13">
        <f>[1]Parametros!$B$6*(AJ133*1000/(H133*MIN(U133,AB133))+0.66*SQRT([1]Parametros!$B$2))</f>
        <v>3.2939603822754151</v>
      </c>
      <c r="BH133" s="13" t="str">
        <f t="shared" si="37"/>
        <v>NO CUMPLE</v>
      </c>
      <c r="BI133" s="13">
        <f>AX133*[1]Parametros!$B$8</f>
        <v>2388</v>
      </c>
      <c r="BJ133" s="15" t="str">
        <f t="shared" si="38"/>
        <v>CUMPLE</v>
      </c>
    </row>
    <row r="134" spans="1:62" ht="28.8" x14ac:dyDescent="0.3">
      <c r="A134" s="20" t="s">
        <v>69</v>
      </c>
      <c r="B134" s="21">
        <v>265</v>
      </c>
      <c r="C134" s="13">
        <v>1</v>
      </c>
      <c r="D134" s="13">
        <v>3.3</v>
      </c>
      <c r="E134" s="13">
        <v>3.3</v>
      </c>
      <c r="F134" s="13">
        <v>450</v>
      </c>
      <c r="G134" s="13">
        <v>550</v>
      </c>
      <c r="H134" s="13">
        <v>450</v>
      </c>
      <c r="I134" s="13">
        <v>550</v>
      </c>
      <c r="J134" s="14">
        <v>197.32310000000001</v>
      </c>
      <c r="K134" s="13">
        <v>265</v>
      </c>
      <c r="L134" s="14">
        <v>132.4366</v>
      </c>
      <c r="M134" s="13">
        <v>265</v>
      </c>
      <c r="N134" s="14">
        <v>141.279</v>
      </c>
      <c r="O134" s="14">
        <v>468.37599999999998</v>
      </c>
      <c r="P134" s="13">
        <v>265</v>
      </c>
      <c r="Q134" s="14">
        <v>109.5342</v>
      </c>
      <c r="R134" s="13">
        <f>MAX(MAX(1.4/[1]Parametros!$B$3,0.25*SQRT([1]Parametros!$B$2)/[1]Parametros!$B$3)*H134*U134,(0.85*[1]Parametros!$B$2/[1]Parametros!$B$3)*(1-SQRT(1-2*(J134*1000000/([1]Parametros!$B$5*H134*U134^2))/(0.85*[1]Parametros!$B$2)))*H134*U134)</f>
        <v>1116.7291519270968</v>
      </c>
      <c r="S134" s="14">
        <v>6</v>
      </c>
      <c r="T134" s="14">
        <v>1</v>
      </c>
      <c r="U134" s="13">
        <f>IF(T134=1,I134-([1]Parametros!$B$7+[1]Parametros!$B$9+[1]Parametros!$B$12/2),I134-(ROUNDUP(S134/2,0)*([1]Parametros!$B$7+[1]Parametros!$B$9+[1]Parametros!$B$12/2)+ROUNDDOWN(S134/2,0)*([1]Parametros!$B$7+[1]Parametros!$B$9+[1]Parametros!$B$12/2+[1]Parametros!$B$12+[1]Parametros!$B$10))/S134)</f>
        <v>489.35</v>
      </c>
      <c r="V134" s="13">
        <f>S134*[1]Parametros!$B$8</f>
        <v>1194</v>
      </c>
      <c r="W134" s="13">
        <f>[1]Parametros!$B$5*V134*[1]Parametros!$B$3*(U134-(V134*[1]Parametros!$B$3/(0.85*[1]Parametros!$B$2*H134))/2)/1000000</f>
        <v>210.29283561176473</v>
      </c>
      <c r="X134" s="13" t="str">
        <f t="shared" si="26"/>
        <v>CUMPLE</v>
      </c>
      <c r="Y134" s="13">
        <f>MAX(MAX(1.4/[1]Parametros!$B$3,0.25*SQRT([1]Parametros!$B$2)/[1]Parametros!$B$3)*H134*AB134,(0.85*[1]Parametros!$B$2/[1]Parametros!$B$3)*(1-SQRT(1-2*(L134*1000000/([1]Parametros!$B$5*H134*AB134^2))/(0.85*[1]Parametros!$B$2)))*H134*AB134)</f>
        <v>737.78360687778047</v>
      </c>
      <c r="Z134" s="14">
        <v>4</v>
      </c>
      <c r="AA134" s="14">
        <v>1</v>
      </c>
      <c r="AB134" s="13">
        <f>IF(AA134=1,I134-([1]Parametros!$B$7+[1]Parametros!$B$9+[1]Parametros!$B$12/2),I134-(ROUNDUP(Z134/2,0)*([1]Parametros!$B$7+[1]Parametros!$B$9+[1]Parametros!$B$12/2)+ROUNDDOWN(Z134/2,0)*([1]Parametros!$B$7+[1]Parametros!$B$9+[1]Parametros!$B$12/2+[1]Parametros!$B$12+[1]Parametros!$B$10))/Z134)</f>
        <v>489.35</v>
      </c>
      <c r="AC134" s="13">
        <f>Z134*[1]Parametros!$B$8</f>
        <v>796</v>
      </c>
      <c r="AD134" s="13">
        <f>[1]Parametros!$B$5*AC134*[1]Parametros!$B$3*(AB134-(AC134*[1]Parametros!$B$3/(0.85*[1]Parametros!$B$2*H134))/2)/1000000</f>
        <v>142.54333009411764</v>
      </c>
      <c r="AE134" s="13" t="str">
        <f t="shared" si="27"/>
        <v>CUMPLE</v>
      </c>
      <c r="AF134" s="13">
        <f>V134*1.25*[1]Parametros!$B$3*(U134-(V134*1.25*[1]Parametros!$B$3/(0.85*[1]Parametros!$B$2*H134))/2)/1000000</f>
        <v>288.40446661764707</v>
      </c>
      <c r="AG134" s="13">
        <f>AC134*1.25*[1]Parametros!$B$3*(AB134-(AC134*1.25*[1]Parametros!$B$3/(0.85*[1]Parametros!$B$2*H134))/2)/1000000</f>
        <v>196.34621794117646</v>
      </c>
      <c r="AH134" s="13">
        <f t="shared" si="28"/>
        <v>288.17314683600716</v>
      </c>
      <c r="AI134" s="13">
        <f t="shared" si="29"/>
        <v>468.37599999999998</v>
      </c>
      <c r="AJ134" s="13">
        <f>0.17*SQRT([1]Parametros!$B$2)*H134*MIN(U134,AB134)/1000</f>
        <v>198.08885582262698</v>
      </c>
      <c r="AK134" s="13">
        <f>MAX(AI134/[1]Parametros!$B$6-AJ134,0)</f>
        <v>426.41247751070625</v>
      </c>
      <c r="AL134" s="13">
        <f>0.66*SQRT([1]Parametros!$B$2)*H134*MIN(U134,AB134)/1000</f>
        <v>769.05085201725785</v>
      </c>
      <c r="AM134" s="13" t="str">
        <f t="shared" si="30"/>
        <v>CUMPLE</v>
      </c>
      <c r="AN134" s="13" t="s">
        <v>70</v>
      </c>
      <c r="AO134" s="14">
        <v>4</v>
      </c>
      <c r="AP134" s="13">
        <f>ROUNDDOWN(MIN(IF(BC134+BD134=0,1000000000,AO134*BB134/(BC134+BD134)),MIN(U134,AB134)/4,8*[1]Parametros!$B$12,24*BA134,300,IF(AV134=0,1000000000,2*((H134-2*([1]Parametros!$B$7+[1]Parametros!$B$9/2))+(I134-2*([1]Parametros!$B$7+[1]Parametros!$B$9/2)))/8))/10,0)*10</f>
        <v>110</v>
      </c>
      <c r="AQ134" s="13">
        <f>ROUNDDOWN(MIN(IF(BC134+BD134=0,1000000000,AO134*BB134/(BC134+BD134)),IF(AK134&gt;0.33*SQRT([1]Parametros!$B$2)*H134*MIN(U134,AB134)/1000,MIN(U134,AB134)/4,MIN(U134,AB134)/2),600,IF(AV134=0,1000000000,2*((H134-2*([1]Parametros!$B$7+[1]Parametros!$B$9/2))+(I134-2*([1]Parametros!$B$7+[1]Parametros!$B$9/2)))/8))/10,0)*10</f>
        <v>110</v>
      </c>
      <c r="AR134" s="13">
        <f>[1]Parametros!$B$6*(AJ134+MAX(BE134-BD134,0)*[1]Parametros!$B$4*MIN(U134,AB134)/1000)</f>
        <v>485.71119779099092</v>
      </c>
      <c r="AS134" s="13" t="str">
        <f t="shared" si="31"/>
        <v>NO CUMPLE</v>
      </c>
      <c r="AT134" s="13">
        <f>[1]Parametros!$B$6*0.083*SQRT([1]Parametros!$B$2)*(H134*I134)^2/(2*(H134+I134))/1000000</f>
        <v>10.08878303333792</v>
      </c>
      <c r="AU134" s="13" t="str">
        <f t="shared" si="32"/>
        <v>DISEÑAR</v>
      </c>
      <c r="AV134" s="13">
        <f>IF(Q134&lt;=AT134,0,Q134*1000000/([1]Parametros!$B$6*2*0.85*(H134-2*([1]Parametros!$B$7+[1]Parametros!$B$9/2))*(I134-2*([1]Parametros!$B$7+[1]Parametros!$B$9/2))*[1]Parametros!$B$4))</f>
        <v>1.251860821599867</v>
      </c>
      <c r="AW134" s="13">
        <f>AV134*2*((H134-2*([1]Parametros!$B$7+[1]Parametros!$B$9/2))+(I134-2*([1]Parametros!$B$7+[1]Parametros!$B$9/2)))*[1]Parametros!$B$4/[1]Parametros!$B$3</f>
        <v>2039.5316505505032</v>
      </c>
      <c r="AX134" s="14">
        <v>12</v>
      </c>
      <c r="AY134" s="13" t="str">
        <f t="shared" si="33"/>
        <v>NO CUMPLE</v>
      </c>
      <c r="AZ134" s="13" t="str">
        <f t="shared" si="34"/>
        <v>NO CUMPLE</v>
      </c>
      <c r="BA134" s="14">
        <v>12.7</v>
      </c>
      <c r="BB134" s="14">
        <v>129</v>
      </c>
      <c r="BC134" s="13">
        <f>MAX(IF(AK134=0,0,AK134*1000/([1]Parametros!$B$4*MIN(U134,AB134))),MAX(0.062*SQRT([1]Parametros!$B$2)*H134/[1]Parametros!$B$4,0.35*H134/[1]Parametros!$B$4))</f>
        <v>2.074727298655195</v>
      </c>
      <c r="BD134" s="13">
        <f t="shared" si="35"/>
        <v>2.503721643199734</v>
      </c>
      <c r="BE134" s="13">
        <f t="shared" si="36"/>
        <v>4.6909090909090905</v>
      </c>
      <c r="BF134" s="13">
        <f>SQRT((AI134*1000/(H134*MIN(U134,AB134)))^2+(Q134*1000000*2*((H134-2*([1]Parametros!$B$7+[1]Parametros!$B$9/2))+(I134-2*([1]Parametros!$B$7+[1]Parametros!$B$9/2)))/(1.7*((H134-2*([1]Parametros!$B$7+[1]Parametros!$B$9/2))*(I134-2*([1]Parametros!$B$7+[1]Parametros!$B$9/2)))^2))^2)</f>
        <v>4.4703658567324807</v>
      </c>
      <c r="BG134" s="13">
        <f>[1]Parametros!$B$6*(AJ134*1000/(H134*MIN(U134,AB134))+0.66*SQRT([1]Parametros!$B$2))</f>
        <v>3.2939603822754151</v>
      </c>
      <c r="BH134" s="13" t="str">
        <f t="shared" si="37"/>
        <v>NO CUMPLE</v>
      </c>
      <c r="BI134" s="13">
        <f>AX134*[1]Parametros!$B$8</f>
        <v>2388</v>
      </c>
      <c r="BJ134" s="15" t="str">
        <f t="shared" si="38"/>
        <v>CUMPLE</v>
      </c>
    </row>
    <row r="135" spans="1:62" x14ac:dyDescent="0.3">
      <c r="A135" s="20" t="s">
        <v>69</v>
      </c>
      <c r="B135" s="21">
        <v>266</v>
      </c>
      <c r="C135" s="13">
        <v>1</v>
      </c>
      <c r="D135" s="13">
        <v>3.25</v>
      </c>
      <c r="E135" s="13">
        <v>3.25</v>
      </c>
      <c r="F135" s="13">
        <v>450</v>
      </c>
      <c r="G135" s="13">
        <v>550</v>
      </c>
      <c r="H135" s="13">
        <v>450</v>
      </c>
      <c r="I135" s="13">
        <v>550</v>
      </c>
      <c r="J135" s="14">
        <v>171.38059999999999</v>
      </c>
      <c r="K135" s="13">
        <v>266</v>
      </c>
      <c r="L135" s="14">
        <v>139.941</v>
      </c>
      <c r="M135" s="13">
        <v>266</v>
      </c>
      <c r="N135" s="14">
        <v>102.747</v>
      </c>
      <c r="O135" s="14">
        <v>415.55700000000002</v>
      </c>
      <c r="P135" s="13">
        <v>266</v>
      </c>
      <c r="Q135" s="14">
        <v>65.112700000000004</v>
      </c>
      <c r="R135" s="13">
        <f>MAX(MAX(1.4/[1]Parametros!$B$3,0.25*SQRT([1]Parametros!$B$2)/[1]Parametros!$B$3)*H135*U135,(0.85*[1]Parametros!$B$2/[1]Parametros!$B$3)*(1-SQRT(1-2*(J135*1000000/([1]Parametros!$B$5*H135*U135^2))/(0.85*[1]Parametros!$B$2)))*H135*U135)</f>
        <v>963.7252160045166</v>
      </c>
      <c r="S135" s="14">
        <v>5</v>
      </c>
      <c r="T135" s="14">
        <v>1</v>
      </c>
      <c r="U135" s="13">
        <f>IF(T135=1,I135-([1]Parametros!$B$7+[1]Parametros!$B$9+[1]Parametros!$B$12/2),I135-(ROUNDUP(S135/2,0)*([1]Parametros!$B$7+[1]Parametros!$B$9+[1]Parametros!$B$12/2)+ROUNDDOWN(S135/2,0)*([1]Parametros!$B$7+[1]Parametros!$B$9+[1]Parametros!$B$12/2+[1]Parametros!$B$12+[1]Parametros!$B$10))/S135)</f>
        <v>489.35</v>
      </c>
      <c r="V135" s="13">
        <f>S135*[1]Parametros!$B$8</f>
        <v>995</v>
      </c>
      <c r="W135" s="13">
        <f>[1]Parametros!$B$5*V135*[1]Parametros!$B$3*(U135-(V135*[1]Parametros!$B$3/(0.85*[1]Parametros!$B$2*H135))/2)/1000000</f>
        <v>176.71159614705886</v>
      </c>
      <c r="X135" s="13" t="str">
        <f t="shared" si="26"/>
        <v>CUMPLE</v>
      </c>
      <c r="Y135" s="13">
        <f>MAX(MAX(1.4/[1]Parametros!$B$3,0.25*SQRT([1]Parametros!$B$2)/[1]Parametros!$B$3)*H135*AB135,(0.85*[1]Parametros!$B$2/[1]Parametros!$B$3)*(1-SQRT(1-2*(L135*1000000/([1]Parametros!$B$5*H135*AB135^2))/(0.85*[1]Parametros!$B$2)))*H135*AB135)</f>
        <v>780.98246288119537</v>
      </c>
      <c r="Z135" s="14">
        <v>4</v>
      </c>
      <c r="AA135" s="14">
        <v>1</v>
      </c>
      <c r="AB135" s="13">
        <f>IF(AA135=1,I135-([1]Parametros!$B$7+[1]Parametros!$B$9+[1]Parametros!$B$12/2),I135-(ROUNDUP(Z135/2,0)*([1]Parametros!$B$7+[1]Parametros!$B$9+[1]Parametros!$B$12/2)+ROUNDDOWN(Z135/2,0)*([1]Parametros!$B$7+[1]Parametros!$B$9+[1]Parametros!$B$12/2+[1]Parametros!$B$12+[1]Parametros!$B$10))/Z135)</f>
        <v>489.35</v>
      </c>
      <c r="AC135" s="13">
        <f>Z135*[1]Parametros!$B$8</f>
        <v>796</v>
      </c>
      <c r="AD135" s="13">
        <f>[1]Parametros!$B$5*AC135*[1]Parametros!$B$3*(AB135-(AC135*[1]Parametros!$B$3/(0.85*[1]Parametros!$B$2*H135))/2)/1000000</f>
        <v>142.54333009411764</v>
      </c>
      <c r="AE135" s="13" t="str">
        <f t="shared" si="27"/>
        <v>CUMPLE</v>
      </c>
      <c r="AF135" s="13">
        <f>V135*1.25*[1]Parametros!$B$3*(U135-(V135*1.25*[1]Parametros!$B$3/(0.85*[1]Parametros!$B$2*H135))/2)/1000000</f>
        <v>242.88491397058826</v>
      </c>
      <c r="AG135" s="13">
        <f>AC135*1.25*[1]Parametros!$B$3*(AB135-(AC135*1.25*[1]Parametros!$B$3/(0.85*[1]Parametros!$B$2*H135))/2)/1000000</f>
        <v>196.34621794117646</v>
      </c>
      <c r="AH135" s="13">
        <f t="shared" si="28"/>
        <v>237.8950405882353</v>
      </c>
      <c r="AI135" s="13">
        <f t="shared" si="29"/>
        <v>415.55700000000002</v>
      </c>
      <c r="AJ135" s="13">
        <f>0.17*SQRT([1]Parametros!$B$2)*H135*MIN(U135,AB135)/1000</f>
        <v>198.08885582262698</v>
      </c>
      <c r="AK135" s="13">
        <f>MAX(AI135/[1]Parametros!$B$6-AJ135,0)</f>
        <v>355.98714417737301</v>
      </c>
      <c r="AL135" s="13">
        <f>0.66*SQRT([1]Parametros!$B$2)*H135*MIN(U135,AB135)/1000</f>
        <v>769.05085201725785</v>
      </c>
      <c r="AM135" s="13" t="str">
        <f t="shared" si="30"/>
        <v>CUMPLE</v>
      </c>
      <c r="AN135" s="13" t="s">
        <v>68</v>
      </c>
      <c r="AO135" s="14">
        <v>2</v>
      </c>
      <c r="AP135" s="13">
        <f>ROUNDDOWN(MIN(IF(BC135+BD135=0,1000000000,AO135*BB135/(BC135+BD135)),MIN(U135,AB135)/4,8*[1]Parametros!$B$12,24*BA135,300,IF(AV135=0,1000000000,2*((H135-2*([1]Parametros!$B$7+[1]Parametros!$B$9/2))+(I135-2*([1]Parametros!$B$7+[1]Parametros!$B$9/2)))/8))/10,0)*10</f>
        <v>80</v>
      </c>
      <c r="AQ135" s="13">
        <f>ROUNDDOWN(MIN(IF(BC135+BD135=0,1000000000,AO135*BB135/(BC135+BD135)),IF(AK135&gt;0.33*SQRT([1]Parametros!$B$2)*H135*MIN(U135,AB135)/1000,MIN(U135,AB135)/4,MIN(U135,AB135)/2),600,IF(AV135=0,1000000000,2*((H135-2*([1]Parametros!$B$7+[1]Parametros!$B$9/2))+(I135-2*([1]Parametros!$B$7+[1]Parametros!$B$9/2)))/8))/10,0)*10</f>
        <v>80</v>
      </c>
      <c r="AR135" s="13">
        <f>[1]Parametros!$B$6*(AJ135+MAX(BE135-BD135,0)*[1]Parametros!$B$4*MIN(U135,AB135)/1000)</f>
        <v>416.264609119444</v>
      </c>
      <c r="AS135" s="13" t="str">
        <f t="shared" si="31"/>
        <v>CUMPLE</v>
      </c>
      <c r="AT135" s="13">
        <f>[1]Parametros!$B$6*0.083*SQRT([1]Parametros!$B$2)*(H135*I135)^2/(2*(H135+I135))/1000000</f>
        <v>10.08878303333792</v>
      </c>
      <c r="AU135" s="13" t="str">
        <f t="shared" si="32"/>
        <v>DISEÑAR</v>
      </c>
      <c r="AV135" s="13">
        <f>IF(Q135&lt;=AT135,0,Q135*1000000/([1]Parametros!$B$6*2*0.85*(H135-2*([1]Parametros!$B$7+[1]Parametros!$B$9/2))*(I135-2*([1]Parametros!$B$7+[1]Parametros!$B$9/2))*[1]Parametros!$B$4))</f>
        <v>0.7441697489787269</v>
      </c>
      <c r="AW135" s="13">
        <f>AV135*2*((H135-2*([1]Parametros!$B$7+[1]Parametros!$B$9/2))+(I135-2*([1]Parametros!$B$7+[1]Parametros!$B$9/2)))*[1]Parametros!$B$4/[1]Parametros!$B$3</f>
        <v>1212.4013550361419</v>
      </c>
      <c r="AX135" s="14">
        <v>8</v>
      </c>
      <c r="AY135" s="13" t="str">
        <f t="shared" si="33"/>
        <v>CUMPLE</v>
      </c>
      <c r="AZ135" s="13" t="str">
        <f t="shared" si="34"/>
        <v>CUMPLE</v>
      </c>
      <c r="BA135" s="14">
        <v>12.7</v>
      </c>
      <c r="BB135" s="14">
        <v>129</v>
      </c>
      <c r="BC135" s="13">
        <f>MAX(IF(AK135=0,0,AK135*1000/([1]Parametros!$B$4*MIN(U135,AB135))),MAX(0.062*SQRT([1]Parametros!$B$2)*H135/[1]Parametros!$B$4,0.35*H135/[1]Parametros!$B$4))</f>
        <v>1.7320699673394397</v>
      </c>
      <c r="BD135" s="13">
        <f t="shared" si="35"/>
        <v>1.4883394979574538</v>
      </c>
      <c r="BE135" s="13">
        <f t="shared" si="36"/>
        <v>3.2250000000000001</v>
      </c>
      <c r="BF135" s="13">
        <f>SQRT((AI135*1000/(H135*MIN(U135,AB135)))^2+(Q135*1000000*2*((H135-2*([1]Parametros!$B$7+[1]Parametros!$B$9/2))+(I135-2*([1]Parametros!$B$7+[1]Parametros!$B$9/2)))/(1.7*((H135-2*([1]Parametros!$B$7+[1]Parametros!$B$9/2))*(I135-2*([1]Parametros!$B$7+[1]Parametros!$B$9/2)))^2))^2)</f>
        <v>3.0040614176390421</v>
      </c>
      <c r="BG135" s="13">
        <f>[1]Parametros!$B$6*(AJ135*1000/(H135*MIN(U135,AB135))+0.66*SQRT([1]Parametros!$B$2))</f>
        <v>3.2939603822754151</v>
      </c>
      <c r="BH135" s="13" t="str">
        <f t="shared" si="37"/>
        <v>CUMPLE</v>
      </c>
      <c r="BI135" s="13">
        <f>AX135*[1]Parametros!$B$8</f>
        <v>1592</v>
      </c>
      <c r="BJ135" s="15" t="str">
        <f t="shared" si="38"/>
        <v>CUMPLE</v>
      </c>
    </row>
    <row r="136" spans="1:62" x14ac:dyDescent="0.3">
      <c r="A136" s="20" t="s">
        <v>69</v>
      </c>
      <c r="B136" s="21">
        <v>283</v>
      </c>
      <c r="C136" s="13">
        <v>1</v>
      </c>
      <c r="D136" s="13">
        <v>3.25</v>
      </c>
      <c r="E136" s="13">
        <v>3.25</v>
      </c>
      <c r="F136" s="13">
        <v>450</v>
      </c>
      <c r="G136" s="13">
        <v>550</v>
      </c>
      <c r="H136" s="13">
        <v>450</v>
      </c>
      <c r="I136" s="13">
        <v>550</v>
      </c>
      <c r="J136" s="14">
        <v>171.38659999999999</v>
      </c>
      <c r="K136" s="13">
        <v>283</v>
      </c>
      <c r="L136" s="14">
        <v>139.95009999999999</v>
      </c>
      <c r="M136" s="13">
        <v>283</v>
      </c>
      <c r="N136" s="14">
        <v>102.74299999999999</v>
      </c>
      <c r="O136" s="14">
        <v>415.57</v>
      </c>
      <c r="P136" s="13">
        <v>283</v>
      </c>
      <c r="Q136" s="14">
        <v>65.108000000000004</v>
      </c>
      <c r="R136" s="13">
        <f>MAX(MAX(1.4/[1]Parametros!$B$3,0.25*SQRT([1]Parametros!$B$2)/[1]Parametros!$B$3)*H136*U136,(0.85*[1]Parametros!$B$2/[1]Parametros!$B$3)*(1-SQRT(1-2*(J136*1000000/([1]Parametros!$B$5*H136*U136^2))/(0.85*[1]Parametros!$B$2)))*H136*U136)</f>
        <v>963.76036781309006</v>
      </c>
      <c r="S136" s="14">
        <v>5</v>
      </c>
      <c r="T136" s="14">
        <v>1</v>
      </c>
      <c r="U136" s="13">
        <f>IF(T136=1,I136-([1]Parametros!$B$7+[1]Parametros!$B$9+[1]Parametros!$B$12/2),I136-(ROUNDUP(S136/2,0)*([1]Parametros!$B$7+[1]Parametros!$B$9+[1]Parametros!$B$12/2)+ROUNDDOWN(S136/2,0)*([1]Parametros!$B$7+[1]Parametros!$B$9+[1]Parametros!$B$12/2+[1]Parametros!$B$12+[1]Parametros!$B$10))/S136)</f>
        <v>489.35</v>
      </c>
      <c r="V136" s="13">
        <f>S136*[1]Parametros!$B$8</f>
        <v>995</v>
      </c>
      <c r="W136" s="13">
        <f>[1]Parametros!$B$5*V136*[1]Parametros!$B$3*(U136-(V136*[1]Parametros!$B$3/(0.85*[1]Parametros!$B$2*H136))/2)/1000000</f>
        <v>176.71159614705886</v>
      </c>
      <c r="X136" s="13" t="str">
        <f t="shared" si="26"/>
        <v>CUMPLE</v>
      </c>
      <c r="Y136" s="13">
        <f>MAX(MAX(1.4/[1]Parametros!$B$3,0.25*SQRT([1]Parametros!$B$2)/[1]Parametros!$B$3)*H136*AB136,(0.85*[1]Parametros!$B$2/[1]Parametros!$B$3)*(1-SQRT(1-2*(L136*1000000/([1]Parametros!$B$5*H136*AB136^2))/(0.85*[1]Parametros!$B$2)))*H136*AB136)</f>
        <v>781.03494360628065</v>
      </c>
      <c r="Z136" s="14">
        <v>4</v>
      </c>
      <c r="AA136" s="14">
        <v>1</v>
      </c>
      <c r="AB136" s="13">
        <f>IF(AA136=1,I136-([1]Parametros!$B$7+[1]Parametros!$B$9+[1]Parametros!$B$12/2),I136-(ROUNDUP(Z136/2,0)*([1]Parametros!$B$7+[1]Parametros!$B$9+[1]Parametros!$B$12/2)+ROUNDDOWN(Z136/2,0)*([1]Parametros!$B$7+[1]Parametros!$B$9+[1]Parametros!$B$12/2+[1]Parametros!$B$12+[1]Parametros!$B$10))/Z136)</f>
        <v>489.35</v>
      </c>
      <c r="AC136" s="13">
        <f>Z136*[1]Parametros!$B$8</f>
        <v>796</v>
      </c>
      <c r="AD136" s="13">
        <f>[1]Parametros!$B$5*AC136*[1]Parametros!$B$3*(AB136-(AC136*[1]Parametros!$B$3/(0.85*[1]Parametros!$B$2*H136))/2)/1000000</f>
        <v>142.54333009411764</v>
      </c>
      <c r="AE136" s="13" t="str">
        <f t="shared" si="27"/>
        <v>CUMPLE</v>
      </c>
      <c r="AF136" s="13">
        <f>V136*1.25*[1]Parametros!$B$3*(U136-(V136*1.25*[1]Parametros!$B$3/(0.85*[1]Parametros!$B$2*H136))/2)/1000000</f>
        <v>242.88491397058826</v>
      </c>
      <c r="AG136" s="13">
        <f>AC136*1.25*[1]Parametros!$B$3*(AB136-(AC136*1.25*[1]Parametros!$B$3/(0.85*[1]Parametros!$B$2*H136))/2)/1000000</f>
        <v>196.34621794117646</v>
      </c>
      <c r="AH136" s="13">
        <f t="shared" si="28"/>
        <v>237.89104058823528</v>
      </c>
      <c r="AI136" s="13">
        <f t="shared" si="29"/>
        <v>415.57</v>
      </c>
      <c r="AJ136" s="13">
        <f>0.17*SQRT([1]Parametros!$B$2)*H136*MIN(U136,AB136)/1000</f>
        <v>198.08885582262698</v>
      </c>
      <c r="AK136" s="13">
        <f>MAX(AI136/[1]Parametros!$B$6-AJ136,0)</f>
        <v>356.00447751070635</v>
      </c>
      <c r="AL136" s="13">
        <f>0.66*SQRT([1]Parametros!$B$2)*H136*MIN(U136,AB136)/1000</f>
        <v>769.05085201725785</v>
      </c>
      <c r="AM136" s="13" t="str">
        <f t="shared" si="30"/>
        <v>CUMPLE</v>
      </c>
      <c r="AN136" s="13" t="s">
        <v>68</v>
      </c>
      <c r="AO136" s="14">
        <v>2</v>
      </c>
      <c r="AP136" s="13">
        <f>ROUNDDOWN(MIN(IF(BC136+BD136=0,1000000000,AO136*BB136/(BC136+BD136)),MIN(U136,AB136)/4,8*[1]Parametros!$B$12,24*BA136,300,IF(AV136=0,1000000000,2*((H136-2*([1]Parametros!$B$7+[1]Parametros!$B$9/2))+(I136-2*([1]Parametros!$B$7+[1]Parametros!$B$9/2)))/8))/10,0)*10</f>
        <v>80</v>
      </c>
      <c r="AQ136" s="13">
        <f>ROUNDDOWN(MIN(IF(BC136+BD136=0,1000000000,AO136*BB136/(BC136+BD136)),IF(AK136&gt;0.33*SQRT([1]Parametros!$B$2)*H136*MIN(U136,AB136)/1000,MIN(U136,AB136)/4,MIN(U136,AB136)/2),600,IF(AV136=0,1000000000,2*((H136-2*([1]Parametros!$B$7+[1]Parametros!$B$9/2))+(I136-2*([1]Parametros!$B$7+[1]Parametros!$B$9/2)))/8))/10,0)*10</f>
        <v>80</v>
      </c>
      <c r="AR136" s="13">
        <f>[1]Parametros!$B$6*(AJ136+MAX(BE136-BD136,0)*[1]Parametros!$B$4*MIN(U136,AB136)/1000)</f>
        <v>416.28116927100882</v>
      </c>
      <c r="AS136" s="13" t="str">
        <f t="shared" si="31"/>
        <v>CUMPLE</v>
      </c>
      <c r="AT136" s="13">
        <f>[1]Parametros!$B$6*0.083*SQRT([1]Parametros!$B$2)*(H136*I136)^2/(2*(H136+I136))/1000000</f>
        <v>10.08878303333792</v>
      </c>
      <c r="AU136" s="13" t="str">
        <f t="shared" si="32"/>
        <v>DISEÑAR</v>
      </c>
      <c r="AV136" s="13">
        <f>IF(Q136&lt;=AT136,0,Q136*1000000/([1]Parametros!$B$6*2*0.85*(H136-2*([1]Parametros!$B$7+[1]Parametros!$B$9/2))*(I136-2*([1]Parametros!$B$7+[1]Parametros!$B$9/2))*[1]Parametros!$B$4))</f>
        <v>0.74411603291688022</v>
      </c>
      <c r="AW136" s="13">
        <f>AV136*2*((H136-2*([1]Parametros!$B$7+[1]Parametros!$B$9/2))+(I136-2*([1]Parametros!$B$7+[1]Parametros!$B$9/2)))*[1]Parametros!$B$4/[1]Parametros!$B$3</f>
        <v>1212.3138408281814</v>
      </c>
      <c r="AX136" s="14">
        <v>8</v>
      </c>
      <c r="AY136" s="13" t="str">
        <f t="shared" si="33"/>
        <v>CUMPLE</v>
      </c>
      <c r="AZ136" s="13" t="str">
        <f t="shared" si="34"/>
        <v>CUMPLE</v>
      </c>
      <c r="BA136" s="14">
        <v>12.7</v>
      </c>
      <c r="BB136" s="14">
        <v>129</v>
      </c>
      <c r="BC136" s="13">
        <f>MAX(IF(AK136=0,0,AK136*1000/([1]Parametros!$B$4*MIN(U136,AB136))),MAX(0.062*SQRT([1]Parametros!$B$2)*H136/[1]Parametros!$B$4,0.35*H136/[1]Parametros!$B$4))</f>
        <v>1.7321543033796356</v>
      </c>
      <c r="BD136" s="13">
        <f t="shared" si="35"/>
        <v>1.4882320658337604</v>
      </c>
      <c r="BE136" s="13">
        <f t="shared" si="36"/>
        <v>3.2250000000000001</v>
      </c>
      <c r="BF136" s="13">
        <f>SQRT((AI136*1000/(H136*MIN(U136,AB136)))^2+(Q136*1000000*2*((H136-2*([1]Parametros!$B$7+[1]Parametros!$B$9/2))+(I136-2*([1]Parametros!$B$7+[1]Parametros!$B$9/2)))/(1.7*((H136-2*([1]Parametros!$B$7+[1]Parametros!$B$9/2))*(I136-2*([1]Parametros!$B$7+[1]Parametros!$B$9/2)))^2))^2)</f>
        <v>3.003967235691448</v>
      </c>
      <c r="BG136" s="13">
        <f>[1]Parametros!$B$6*(AJ136*1000/(H136*MIN(U136,AB136))+0.66*SQRT([1]Parametros!$B$2))</f>
        <v>3.2939603822754151</v>
      </c>
      <c r="BH136" s="13" t="str">
        <f t="shared" si="37"/>
        <v>CUMPLE</v>
      </c>
      <c r="BI136" s="13">
        <f>AX136*[1]Parametros!$B$8</f>
        <v>1592</v>
      </c>
      <c r="BJ136" s="15" t="str">
        <f t="shared" si="38"/>
        <v>CUMPLE</v>
      </c>
    </row>
    <row r="137" spans="1:62" ht="28.8" x14ac:dyDescent="0.3">
      <c r="A137" s="20" t="s">
        <v>69</v>
      </c>
      <c r="B137" s="21">
        <v>284</v>
      </c>
      <c r="C137" s="13">
        <v>1</v>
      </c>
      <c r="D137" s="13">
        <v>3.3</v>
      </c>
      <c r="E137" s="13">
        <v>3.3</v>
      </c>
      <c r="F137" s="13">
        <v>450</v>
      </c>
      <c r="G137" s="13">
        <v>550</v>
      </c>
      <c r="H137" s="13">
        <v>450</v>
      </c>
      <c r="I137" s="13">
        <v>550</v>
      </c>
      <c r="J137" s="14">
        <v>197.44479999999999</v>
      </c>
      <c r="K137" s="13">
        <v>284</v>
      </c>
      <c r="L137" s="14">
        <v>132.4376</v>
      </c>
      <c r="M137" s="13">
        <v>284</v>
      </c>
      <c r="N137" s="14">
        <v>141.40100000000001</v>
      </c>
      <c r="O137" s="14">
        <v>468.53500000000003</v>
      </c>
      <c r="P137" s="13">
        <v>284</v>
      </c>
      <c r="Q137" s="14">
        <v>109.6063</v>
      </c>
      <c r="R137" s="13">
        <f>MAX(MAX(1.4/[1]Parametros!$B$3,0.25*SQRT([1]Parametros!$B$2)/[1]Parametros!$B$3)*H137*U137,(0.85*[1]Parametros!$B$2/[1]Parametros!$B$3)*(1-SQRT(1-2*(J137*1000000/([1]Parametros!$B$5*H137*U137^2))/(0.85*[1]Parametros!$B$2)))*H137*U137)</f>
        <v>1117.4517713172027</v>
      </c>
      <c r="S137" s="14">
        <v>6</v>
      </c>
      <c r="T137" s="14">
        <v>1</v>
      </c>
      <c r="U137" s="13">
        <f>IF(T137=1,I137-([1]Parametros!$B$7+[1]Parametros!$B$9+[1]Parametros!$B$12/2),I137-(ROUNDUP(S137/2,0)*([1]Parametros!$B$7+[1]Parametros!$B$9+[1]Parametros!$B$12/2)+ROUNDDOWN(S137/2,0)*([1]Parametros!$B$7+[1]Parametros!$B$9+[1]Parametros!$B$12/2+[1]Parametros!$B$12+[1]Parametros!$B$10))/S137)</f>
        <v>489.35</v>
      </c>
      <c r="V137" s="13">
        <f>S137*[1]Parametros!$B$8</f>
        <v>1194</v>
      </c>
      <c r="W137" s="13">
        <f>[1]Parametros!$B$5*V137*[1]Parametros!$B$3*(U137-(V137*[1]Parametros!$B$3/(0.85*[1]Parametros!$B$2*H137))/2)/1000000</f>
        <v>210.29283561176473</v>
      </c>
      <c r="X137" s="13" t="str">
        <f t="shared" si="26"/>
        <v>CUMPLE</v>
      </c>
      <c r="Y137" s="13">
        <f>MAX(MAX(1.4/[1]Parametros!$B$3,0.25*SQRT([1]Parametros!$B$2)/[1]Parametros!$B$3)*H137*AB137,(0.85*[1]Parametros!$B$2/[1]Parametros!$B$3)*(1-SQRT(1-2*(L137*1000000/([1]Parametros!$B$5*H137*AB137^2))/(0.85*[1]Parametros!$B$2)))*H137*AB137)</f>
        <v>737.7893527592629</v>
      </c>
      <c r="Z137" s="14">
        <v>4</v>
      </c>
      <c r="AA137" s="14">
        <v>1</v>
      </c>
      <c r="AB137" s="13">
        <f>IF(AA137=1,I137-([1]Parametros!$B$7+[1]Parametros!$B$9+[1]Parametros!$B$12/2),I137-(ROUNDUP(Z137/2,0)*([1]Parametros!$B$7+[1]Parametros!$B$9+[1]Parametros!$B$12/2)+ROUNDDOWN(Z137/2,0)*([1]Parametros!$B$7+[1]Parametros!$B$9+[1]Parametros!$B$12/2+[1]Parametros!$B$12+[1]Parametros!$B$10))/Z137)</f>
        <v>489.35</v>
      </c>
      <c r="AC137" s="13">
        <f>Z137*[1]Parametros!$B$8</f>
        <v>796</v>
      </c>
      <c r="AD137" s="13">
        <f>[1]Parametros!$B$5*AC137*[1]Parametros!$B$3*(AB137-(AC137*[1]Parametros!$B$3/(0.85*[1]Parametros!$B$2*H137))/2)/1000000</f>
        <v>142.54333009411764</v>
      </c>
      <c r="AE137" s="13" t="str">
        <f t="shared" si="27"/>
        <v>CUMPLE</v>
      </c>
      <c r="AF137" s="13">
        <f>V137*1.25*[1]Parametros!$B$3*(U137-(V137*1.25*[1]Parametros!$B$3/(0.85*[1]Parametros!$B$2*H137))/2)/1000000</f>
        <v>288.40446661764707</v>
      </c>
      <c r="AG137" s="13">
        <f>AC137*1.25*[1]Parametros!$B$3*(AB137-(AC137*1.25*[1]Parametros!$B$3/(0.85*[1]Parametros!$B$2*H137))/2)/1000000</f>
        <v>196.34621794117646</v>
      </c>
      <c r="AH137" s="13">
        <f t="shared" si="28"/>
        <v>288.29514683600712</v>
      </c>
      <c r="AI137" s="13">
        <f t="shared" si="29"/>
        <v>468.53500000000003</v>
      </c>
      <c r="AJ137" s="13">
        <f>0.17*SQRT([1]Parametros!$B$2)*H137*MIN(U137,AB137)/1000</f>
        <v>198.08885582262698</v>
      </c>
      <c r="AK137" s="13">
        <f>MAX(AI137/[1]Parametros!$B$6-AJ137,0)</f>
        <v>426.62447751070636</v>
      </c>
      <c r="AL137" s="13">
        <f>0.66*SQRT([1]Parametros!$B$2)*H137*MIN(U137,AB137)/1000</f>
        <v>769.05085201725785</v>
      </c>
      <c r="AM137" s="13" t="str">
        <f t="shared" si="30"/>
        <v>CUMPLE</v>
      </c>
      <c r="AN137" s="13" t="s">
        <v>70</v>
      </c>
      <c r="AO137" s="14">
        <v>4</v>
      </c>
      <c r="AP137" s="13">
        <f>ROUNDDOWN(MIN(IF(BC137+BD137=0,1000000000,AO137*BB137/(BC137+BD137)),MIN(U137,AB137)/4,8*[1]Parametros!$B$12,24*BA137,300,IF(AV137=0,1000000000,2*((H137-2*([1]Parametros!$B$7+[1]Parametros!$B$9/2))+(I137-2*([1]Parametros!$B$7+[1]Parametros!$B$9/2)))/8))/10,0)*10</f>
        <v>110</v>
      </c>
      <c r="AQ137" s="13">
        <f>ROUNDDOWN(MIN(IF(BC137+BD137=0,1000000000,AO137*BB137/(BC137+BD137)),IF(AK137&gt;0.33*SQRT([1]Parametros!$B$2)*H137*MIN(U137,AB137)/1000,MIN(U137,AB137)/4,MIN(U137,AB137)/2),600,IF(AV137=0,1000000000,2*((H137-2*([1]Parametros!$B$7+[1]Parametros!$B$9/2))+(I137-2*([1]Parametros!$B$7+[1]Parametros!$B$9/2)))/8))/10,0)*10</f>
        <v>110</v>
      </c>
      <c r="AR137" s="13">
        <f>[1]Parametros!$B$6*(AJ137+MAX(BE137-BD137,0)*[1]Parametros!$B$4*MIN(U137,AB137)/1000)</f>
        <v>485.45715801911513</v>
      </c>
      <c r="AS137" s="13" t="str">
        <f t="shared" si="31"/>
        <v>NO CUMPLE</v>
      </c>
      <c r="AT137" s="13">
        <f>[1]Parametros!$B$6*0.083*SQRT([1]Parametros!$B$2)*(H137*I137)^2/(2*(H137+I137))/1000000</f>
        <v>10.08878303333792</v>
      </c>
      <c r="AU137" s="13" t="str">
        <f t="shared" si="32"/>
        <v>DISEÑAR</v>
      </c>
      <c r="AV137" s="13">
        <f>IF(Q137&lt;=AT137,0,Q137*1000000/([1]Parametros!$B$6*2*0.85*(H137-2*([1]Parametros!$B$7+[1]Parametros!$B$9/2))*(I137-2*([1]Parametros!$B$7+[1]Parametros!$B$9/2))*[1]Parametros!$B$4))</f>
        <v>1.2526848488464926</v>
      </c>
      <c r="AW137" s="13">
        <f>AV137*2*((H137-2*([1]Parametros!$B$7+[1]Parametros!$B$9/2))+(I137-2*([1]Parametros!$B$7+[1]Parametros!$B$9/2)))*[1]Parametros!$B$4/[1]Parametros!$B$3</f>
        <v>2040.8741557407056</v>
      </c>
      <c r="AX137" s="14">
        <v>12</v>
      </c>
      <c r="AY137" s="13" t="str">
        <f t="shared" si="33"/>
        <v>NO CUMPLE</v>
      </c>
      <c r="AZ137" s="13" t="str">
        <f t="shared" si="34"/>
        <v>NO CUMPLE</v>
      </c>
      <c r="BA137" s="14">
        <v>12.7</v>
      </c>
      <c r="BB137" s="14">
        <v>129</v>
      </c>
      <c r="BC137" s="13">
        <f>MAX(IF(AK137=0,0,AK137*1000/([1]Parametros!$B$4*MIN(U137,AB137))),MAX(0.062*SQRT([1]Parametros!$B$2)*H137/[1]Parametros!$B$4,0.35*H137/[1]Parametros!$B$4))</f>
        <v>2.0757587933006678</v>
      </c>
      <c r="BD137" s="13">
        <f t="shared" si="35"/>
        <v>2.5053696976929851</v>
      </c>
      <c r="BE137" s="13">
        <f t="shared" si="36"/>
        <v>4.6909090909090905</v>
      </c>
      <c r="BF137" s="13">
        <f>SQRT((AI137*1000/(H137*MIN(U137,AB137)))^2+(Q137*1000000*2*((H137-2*([1]Parametros!$B$7+[1]Parametros!$B$9/2))+(I137-2*([1]Parametros!$B$7+[1]Parametros!$B$9/2)))/(1.7*((H137-2*([1]Parametros!$B$7+[1]Parametros!$B$9/2))*(I137-2*([1]Parametros!$B$7+[1]Parametros!$B$9/2)))^2))^2)</f>
        <v>4.4729858812094205</v>
      </c>
      <c r="BG137" s="13">
        <f>[1]Parametros!$B$6*(AJ137*1000/(H137*MIN(U137,AB137))+0.66*SQRT([1]Parametros!$B$2))</f>
        <v>3.2939603822754151</v>
      </c>
      <c r="BH137" s="13" t="str">
        <f t="shared" si="37"/>
        <v>NO CUMPLE</v>
      </c>
      <c r="BI137" s="13">
        <f>AX137*[1]Parametros!$B$8</f>
        <v>2388</v>
      </c>
      <c r="BJ137" s="15" t="str">
        <f t="shared" si="38"/>
        <v>CUMPLE</v>
      </c>
    </row>
    <row r="138" spans="1:62" ht="28.8" x14ac:dyDescent="0.3">
      <c r="A138" s="20" t="s">
        <v>69</v>
      </c>
      <c r="B138" s="21">
        <v>285</v>
      </c>
      <c r="C138" s="13">
        <v>1</v>
      </c>
      <c r="D138" s="13">
        <v>3.3</v>
      </c>
      <c r="E138" s="13">
        <v>3.3</v>
      </c>
      <c r="F138" s="13">
        <v>450</v>
      </c>
      <c r="G138" s="13">
        <v>550</v>
      </c>
      <c r="H138" s="13">
        <v>450</v>
      </c>
      <c r="I138" s="13">
        <v>550</v>
      </c>
      <c r="J138" s="14">
        <v>197.328</v>
      </c>
      <c r="K138" s="13">
        <v>285</v>
      </c>
      <c r="L138" s="14">
        <v>132.42689999999999</v>
      </c>
      <c r="M138" s="13">
        <v>285</v>
      </c>
      <c r="N138" s="14">
        <v>141.29300000000001</v>
      </c>
      <c r="O138" s="14">
        <v>468.4</v>
      </c>
      <c r="P138" s="13">
        <v>285</v>
      </c>
      <c r="Q138" s="14">
        <v>109.54040000000001</v>
      </c>
      <c r="R138" s="13">
        <f>MAX(MAX(1.4/[1]Parametros!$B$3,0.25*SQRT([1]Parametros!$B$2)/[1]Parametros!$B$3)*H138*U138,(0.85*[1]Parametros!$B$2/[1]Parametros!$B$3)*(1-SQRT(1-2*(J138*1000000/([1]Parametros!$B$5*H138*U138^2))/(0.85*[1]Parametros!$B$2)))*H138*U138)</f>
        <v>1116.7582458214583</v>
      </c>
      <c r="S138" s="14">
        <v>6</v>
      </c>
      <c r="T138" s="14">
        <v>1</v>
      </c>
      <c r="U138" s="13">
        <f>IF(T138=1,I138-([1]Parametros!$B$7+[1]Parametros!$B$9+[1]Parametros!$B$12/2),I138-(ROUNDUP(S138/2,0)*([1]Parametros!$B$7+[1]Parametros!$B$9+[1]Parametros!$B$12/2)+ROUNDDOWN(S138/2,0)*([1]Parametros!$B$7+[1]Parametros!$B$9+[1]Parametros!$B$12/2+[1]Parametros!$B$12+[1]Parametros!$B$10))/S138)</f>
        <v>489.35</v>
      </c>
      <c r="V138" s="13">
        <f>S138*[1]Parametros!$B$8</f>
        <v>1194</v>
      </c>
      <c r="W138" s="13">
        <f>[1]Parametros!$B$5*V138*[1]Parametros!$B$3*(U138-(V138*[1]Parametros!$B$3/(0.85*[1]Parametros!$B$2*H138))/2)/1000000</f>
        <v>210.29283561176473</v>
      </c>
      <c r="X138" s="13" t="str">
        <f t="shared" si="26"/>
        <v>CUMPLE</v>
      </c>
      <c r="Y138" s="13">
        <f>MAX(MAX(1.4/[1]Parametros!$B$3,0.25*SQRT([1]Parametros!$B$2)/[1]Parametros!$B$3)*H138*AB138,(0.85*[1]Parametros!$B$2/[1]Parametros!$B$3)*(1-SQRT(1-2*(L138*1000000/([1]Parametros!$B$5*H138*AB138^2))/(0.85*[1]Parametros!$B$2)))*H138*AB138)</f>
        <v>737.72787197333491</v>
      </c>
      <c r="Z138" s="14">
        <v>4</v>
      </c>
      <c r="AA138" s="14">
        <v>1</v>
      </c>
      <c r="AB138" s="13">
        <f>IF(AA138=1,I138-([1]Parametros!$B$7+[1]Parametros!$B$9+[1]Parametros!$B$12/2),I138-(ROUNDUP(Z138/2,0)*([1]Parametros!$B$7+[1]Parametros!$B$9+[1]Parametros!$B$12/2)+ROUNDDOWN(Z138/2,0)*([1]Parametros!$B$7+[1]Parametros!$B$9+[1]Parametros!$B$12/2+[1]Parametros!$B$12+[1]Parametros!$B$10))/Z138)</f>
        <v>489.35</v>
      </c>
      <c r="AC138" s="13">
        <f>Z138*[1]Parametros!$B$8</f>
        <v>796</v>
      </c>
      <c r="AD138" s="13">
        <f>[1]Parametros!$B$5*AC138*[1]Parametros!$B$3*(AB138-(AC138*[1]Parametros!$B$3/(0.85*[1]Parametros!$B$2*H138))/2)/1000000</f>
        <v>142.54333009411764</v>
      </c>
      <c r="AE138" s="13" t="str">
        <f t="shared" si="27"/>
        <v>CUMPLE</v>
      </c>
      <c r="AF138" s="13">
        <f>V138*1.25*[1]Parametros!$B$3*(U138-(V138*1.25*[1]Parametros!$B$3/(0.85*[1]Parametros!$B$2*H138))/2)/1000000</f>
        <v>288.40446661764707</v>
      </c>
      <c r="AG138" s="13">
        <f>AC138*1.25*[1]Parametros!$B$3*(AB138-(AC138*1.25*[1]Parametros!$B$3/(0.85*[1]Parametros!$B$2*H138))/2)/1000000</f>
        <v>196.34621794117646</v>
      </c>
      <c r="AH138" s="13">
        <f t="shared" si="28"/>
        <v>288.18714683600717</v>
      </c>
      <c r="AI138" s="13">
        <f t="shared" si="29"/>
        <v>468.4</v>
      </c>
      <c r="AJ138" s="13">
        <f>0.17*SQRT([1]Parametros!$B$2)*H138*MIN(U138,AB138)/1000</f>
        <v>198.08885582262698</v>
      </c>
      <c r="AK138" s="13">
        <f>MAX(AI138/[1]Parametros!$B$6-AJ138,0)</f>
        <v>426.44447751070629</v>
      </c>
      <c r="AL138" s="13">
        <f>0.66*SQRT([1]Parametros!$B$2)*H138*MIN(U138,AB138)/1000</f>
        <v>769.05085201725785</v>
      </c>
      <c r="AM138" s="13" t="str">
        <f t="shared" si="30"/>
        <v>CUMPLE</v>
      </c>
      <c r="AN138" s="13" t="s">
        <v>70</v>
      </c>
      <c r="AO138" s="14">
        <v>4</v>
      </c>
      <c r="AP138" s="13">
        <f>ROUNDDOWN(MIN(IF(BC138+BD138=0,1000000000,AO138*BB138/(BC138+BD138)),MIN(U138,AB138)/4,8*[1]Parametros!$B$12,24*BA138,300,IF(AV138=0,1000000000,2*((H138-2*([1]Parametros!$B$7+[1]Parametros!$B$9/2))+(I138-2*([1]Parametros!$B$7+[1]Parametros!$B$9/2)))/8))/10,0)*10</f>
        <v>110</v>
      </c>
      <c r="AQ138" s="13">
        <f>ROUNDDOWN(MIN(IF(BC138+BD138=0,1000000000,AO138*BB138/(BC138+BD138)),IF(AK138&gt;0.33*SQRT([1]Parametros!$B$2)*H138*MIN(U138,AB138)/1000,MIN(U138,AB138)/4,MIN(U138,AB138)/2),600,IF(AV138=0,1000000000,2*((H138-2*([1]Parametros!$B$7+[1]Parametros!$B$9/2))+(I138-2*([1]Parametros!$B$7+[1]Parametros!$B$9/2)))/8))/10,0)*10</f>
        <v>110</v>
      </c>
      <c r="AR138" s="13">
        <f>[1]Parametros!$B$6*(AJ138+MAX(BE138-BD138,0)*[1]Parametros!$B$4*MIN(U138,AB138)/1000)</f>
        <v>485.68935248467159</v>
      </c>
      <c r="AS138" s="13" t="str">
        <f t="shared" si="31"/>
        <v>NO CUMPLE</v>
      </c>
      <c r="AT138" s="13">
        <f>[1]Parametros!$B$6*0.083*SQRT([1]Parametros!$B$2)*(H138*I138)^2/(2*(H138+I138))/1000000</f>
        <v>10.08878303333792</v>
      </c>
      <c r="AU138" s="13" t="str">
        <f t="shared" si="32"/>
        <v>DISEÑAR</v>
      </c>
      <c r="AV138" s="13">
        <f>IF(Q138&lt;=AT138,0,Q138*1000000/([1]Parametros!$B$6*2*0.85*(H138-2*([1]Parametros!$B$7+[1]Parametros!$B$9/2))*(I138-2*([1]Parametros!$B$7+[1]Parametros!$B$9/2))*[1]Parametros!$B$4))</f>
        <v>1.2519316810857071</v>
      </c>
      <c r="AW138" s="13">
        <f>AV138*2*((H138-2*([1]Parametros!$B$7+[1]Parametros!$B$9/2))+(I138-2*([1]Parametros!$B$7+[1]Parametros!$B$9/2)))*[1]Parametros!$B$4/[1]Parametros!$B$3</f>
        <v>2039.6470948248343</v>
      </c>
      <c r="AX138" s="14">
        <v>12</v>
      </c>
      <c r="AY138" s="13" t="str">
        <f t="shared" si="33"/>
        <v>NO CUMPLE</v>
      </c>
      <c r="AZ138" s="13" t="str">
        <f t="shared" si="34"/>
        <v>NO CUMPLE</v>
      </c>
      <c r="BA138" s="14">
        <v>12.7</v>
      </c>
      <c r="BB138" s="14">
        <v>129</v>
      </c>
      <c r="BC138" s="13">
        <f>MAX(IF(AK138=0,0,AK138*1000/([1]Parametros!$B$4*MIN(U138,AB138))),MAX(0.062*SQRT([1]Parametros!$B$2)*H138/[1]Parametros!$B$4,0.35*H138/[1]Parametros!$B$4))</f>
        <v>2.0748829959601722</v>
      </c>
      <c r="BD138" s="13">
        <f t="shared" si="35"/>
        <v>2.5038633621714141</v>
      </c>
      <c r="BE138" s="13">
        <f t="shared" si="36"/>
        <v>4.6909090909090905</v>
      </c>
      <c r="BF138" s="13">
        <f>SQRT((AI138*1000/(H138*MIN(U138,AB138)))^2+(Q138*1000000*2*((H138-2*([1]Parametros!$B$7+[1]Parametros!$B$9/2))+(I138-2*([1]Parametros!$B$7+[1]Parametros!$B$9/2)))/(1.7*((H138-2*([1]Parametros!$B$7+[1]Parametros!$B$9/2))*(I138-2*([1]Parametros!$B$7+[1]Parametros!$B$9/2)))^2))^2)</f>
        <v>4.4706134675083584</v>
      </c>
      <c r="BG138" s="13">
        <f>[1]Parametros!$B$6*(AJ138*1000/(H138*MIN(U138,AB138))+0.66*SQRT([1]Parametros!$B$2))</f>
        <v>3.2939603822754151</v>
      </c>
      <c r="BH138" s="13" t="str">
        <f t="shared" si="37"/>
        <v>NO CUMPLE</v>
      </c>
      <c r="BI138" s="13">
        <f>AX138*[1]Parametros!$B$8</f>
        <v>2388</v>
      </c>
      <c r="BJ138" s="15" t="str">
        <f t="shared" si="38"/>
        <v>CUMPLE</v>
      </c>
    </row>
    <row r="139" spans="1:62" x14ac:dyDescent="0.3">
      <c r="A139" s="20" t="s">
        <v>69</v>
      </c>
      <c r="B139" s="21">
        <v>286</v>
      </c>
      <c r="C139" s="13">
        <v>1</v>
      </c>
      <c r="D139" s="13">
        <v>3.25</v>
      </c>
      <c r="E139" s="13">
        <v>3.25</v>
      </c>
      <c r="F139" s="13">
        <v>450</v>
      </c>
      <c r="G139" s="13">
        <v>550</v>
      </c>
      <c r="H139" s="13">
        <v>450</v>
      </c>
      <c r="I139" s="13">
        <v>550</v>
      </c>
      <c r="J139" s="14">
        <v>171.36760000000001</v>
      </c>
      <c r="K139" s="13">
        <v>286</v>
      </c>
      <c r="L139" s="14">
        <v>139.96100000000001</v>
      </c>
      <c r="M139" s="13">
        <v>286</v>
      </c>
      <c r="N139" s="14">
        <v>102.73399999999999</v>
      </c>
      <c r="O139" s="14">
        <v>415.56</v>
      </c>
      <c r="P139" s="13">
        <v>286</v>
      </c>
      <c r="Q139" s="14">
        <v>65.108900000000006</v>
      </c>
      <c r="R139" s="13">
        <f>MAX(MAX(1.4/[1]Parametros!$B$3,0.25*SQRT([1]Parametros!$B$2)/[1]Parametros!$B$3)*H139*U139,(0.85*[1]Parametros!$B$2/[1]Parametros!$B$3)*(1-SQRT(1-2*(J139*1000000/([1]Parametros!$B$5*H139*U139^2))/(0.85*[1]Parametros!$B$2)))*H139*U139)</f>
        <v>963.64905412074108</v>
      </c>
      <c r="S139" s="14">
        <v>5</v>
      </c>
      <c r="T139" s="14">
        <v>1</v>
      </c>
      <c r="U139" s="13">
        <f>IF(T139=1,I139-([1]Parametros!$B$7+[1]Parametros!$B$9+[1]Parametros!$B$12/2),I139-(ROUNDUP(S139/2,0)*([1]Parametros!$B$7+[1]Parametros!$B$9+[1]Parametros!$B$12/2)+ROUNDDOWN(S139/2,0)*([1]Parametros!$B$7+[1]Parametros!$B$9+[1]Parametros!$B$12/2+[1]Parametros!$B$12+[1]Parametros!$B$10))/S139)</f>
        <v>489.35</v>
      </c>
      <c r="V139" s="13">
        <f>S139*[1]Parametros!$B$8</f>
        <v>995</v>
      </c>
      <c r="W139" s="13">
        <f>[1]Parametros!$B$5*V139*[1]Parametros!$B$3*(U139-(V139*[1]Parametros!$B$3/(0.85*[1]Parametros!$B$2*H139))/2)/1000000</f>
        <v>176.71159614705886</v>
      </c>
      <c r="X139" s="13" t="str">
        <f t="shared" si="26"/>
        <v>CUMPLE</v>
      </c>
      <c r="Y139" s="13">
        <f>MAX(MAX(1.4/[1]Parametros!$B$3,0.25*SQRT([1]Parametros!$B$2)/[1]Parametros!$B$3)*H139*AB139,(0.85*[1]Parametros!$B$2/[1]Parametros!$B$3)*(1-SQRT(1-2*(L139*1000000/([1]Parametros!$B$5*H139*AB139^2))/(0.85*[1]Parametros!$B$2)))*H139*AB139)</f>
        <v>781.09780544405612</v>
      </c>
      <c r="Z139" s="14">
        <v>4</v>
      </c>
      <c r="AA139" s="14">
        <v>1</v>
      </c>
      <c r="AB139" s="13">
        <f>IF(AA139=1,I139-([1]Parametros!$B$7+[1]Parametros!$B$9+[1]Parametros!$B$12/2),I139-(ROUNDUP(Z139/2,0)*([1]Parametros!$B$7+[1]Parametros!$B$9+[1]Parametros!$B$12/2)+ROUNDDOWN(Z139/2,0)*([1]Parametros!$B$7+[1]Parametros!$B$9+[1]Parametros!$B$12/2+[1]Parametros!$B$12+[1]Parametros!$B$10))/Z139)</f>
        <v>489.35</v>
      </c>
      <c r="AC139" s="13">
        <f>Z139*[1]Parametros!$B$8</f>
        <v>796</v>
      </c>
      <c r="AD139" s="13">
        <f>[1]Parametros!$B$5*AC139*[1]Parametros!$B$3*(AB139-(AC139*[1]Parametros!$B$3/(0.85*[1]Parametros!$B$2*H139))/2)/1000000</f>
        <v>142.54333009411764</v>
      </c>
      <c r="AE139" s="13" t="str">
        <f t="shared" si="27"/>
        <v>CUMPLE</v>
      </c>
      <c r="AF139" s="13">
        <f>V139*1.25*[1]Parametros!$B$3*(U139-(V139*1.25*[1]Parametros!$B$3/(0.85*[1]Parametros!$B$2*H139))/2)/1000000</f>
        <v>242.88491397058826</v>
      </c>
      <c r="AG139" s="13">
        <f>AC139*1.25*[1]Parametros!$B$3*(AB139-(AC139*1.25*[1]Parametros!$B$3/(0.85*[1]Parametros!$B$2*H139))/2)/1000000</f>
        <v>196.34621794117646</v>
      </c>
      <c r="AH139" s="13">
        <f t="shared" si="28"/>
        <v>237.88204058823527</v>
      </c>
      <c r="AI139" s="13">
        <f t="shared" si="29"/>
        <v>415.56</v>
      </c>
      <c r="AJ139" s="13">
        <f>0.17*SQRT([1]Parametros!$B$2)*H139*MIN(U139,AB139)/1000</f>
        <v>198.08885582262698</v>
      </c>
      <c r="AK139" s="13">
        <f>MAX(AI139/[1]Parametros!$B$6-AJ139,0)</f>
        <v>355.99114417737303</v>
      </c>
      <c r="AL139" s="13">
        <f>0.66*SQRT([1]Parametros!$B$2)*H139*MIN(U139,AB139)/1000</f>
        <v>769.05085201725785</v>
      </c>
      <c r="AM139" s="13" t="str">
        <f t="shared" si="30"/>
        <v>CUMPLE</v>
      </c>
      <c r="AN139" s="13" t="s">
        <v>68</v>
      </c>
      <c r="AO139" s="14">
        <v>2</v>
      </c>
      <c r="AP139" s="13">
        <f>ROUNDDOWN(MIN(IF(BC139+BD139=0,1000000000,AO139*BB139/(BC139+BD139)),MIN(U139,AB139)/4,8*[1]Parametros!$B$12,24*BA139,300,IF(AV139=0,1000000000,2*((H139-2*([1]Parametros!$B$7+[1]Parametros!$B$9/2))+(I139-2*([1]Parametros!$B$7+[1]Parametros!$B$9/2)))/8))/10,0)*10</f>
        <v>80</v>
      </c>
      <c r="AQ139" s="13">
        <f>ROUNDDOWN(MIN(IF(BC139+BD139=0,1000000000,AO139*BB139/(BC139+BD139)),IF(AK139&gt;0.33*SQRT([1]Parametros!$B$2)*H139*MIN(U139,AB139)/1000,MIN(U139,AB139)/4,MIN(U139,AB139)/2),600,IF(AV139=0,1000000000,2*((H139-2*([1]Parametros!$B$7+[1]Parametros!$B$9/2))+(I139-2*([1]Parametros!$B$7+[1]Parametros!$B$9/2)))/8))/10,0)*10</f>
        <v>80</v>
      </c>
      <c r="AR139" s="13">
        <f>[1]Parametros!$B$6*(AJ139+MAX(BE139-BD139,0)*[1]Parametros!$B$4*MIN(U139,AB139)/1000)</f>
        <v>416.27799817815594</v>
      </c>
      <c r="AS139" s="13" t="str">
        <f t="shared" si="31"/>
        <v>CUMPLE</v>
      </c>
      <c r="AT139" s="13">
        <f>[1]Parametros!$B$6*0.083*SQRT([1]Parametros!$B$2)*(H139*I139)^2/(2*(H139+I139))/1000000</f>
        <v>10.08878303333792</v>
      </c>
      <c r="AU139" s="13" t="str">
        <f t="shared" si="32"/>
        <v>DISEÑAR</v>
      </c>
      <c r="AV139" s="13">
        <f>IF(Q139&lt;=AT139,0,Q139*1000000/([1]Parametros!$B$6*2*0.85*(H139-2*([1]Parametros!$B$7+[1]Parametros!$B$9/2))*(I139-2*([1]Parametros!$B$7+[1]Parametros!$B$9/2))*[1]Parametros!$B$4))</f>
        <v>0.74412631897127646</v>
      </c>
      <c r="AW139" s="13">
        <f>AV139*2*((H139-2*([1]Parametros!$B$7+[1]Parametros!$B$9/2))+(I139-2*([1]Parametros!$B$7+[1]Parametros!$B$9/2)))*[1]Parametros!$B$4/[1]Parametros!$B$3</f>
        <v>1212.3305988680036</v>
      </c>
      <c r="AX139" s="14">
        <v>8</v>
      </c>
      <c r="AY139" s="13" t="str">
        <f t="shared" si="33"/>
        <v>CUMPLE</v>
      </c>
      <c r="AZ139" s="13" t="str">
        <f t="shared" si="34"/>
        <v>CUMPLE</v>
      </c>
      <c r="BA139" s="14">
        <v>12.7</v>
      </c>
      <c r="BB139" s="14">
        <v>129</v>
      </c>
      <c r="BC139" s="13">
        <f>MAX(IF(AK139=0,0,AK139*1000/([1]Parametros!$B$4*MIN(U139,AB139))),MAX(0.062*SQRT([1]Parametros!$B$2)*H139/[1]Parametros!$B$4,0.35*H139/[1]Parametros!$B$4))</f>
        <v>1.732089429502562</v>
      </c>
      <c r="BD139" s="13">
        <f t="shared" si="35"/>
        <v>1.4882526379425529</v>
      </c>
      <c r="BE139" s="13">
        <f t="shared" si="36"/>
        <v>3.2250000000000001</v>
      </c>
      <c r="BF139" s="13">
        <f>SQRT((AI139*1000/(H139*MIN(U139,AB139)))^2+(Q139*1000000*2*((H139-2*([1]Parametros!$B$7+[1]Parametros!$B$9/2))+(I139-2*([1]Parametros!$B$7+[1]Parametros!$B$9/2)))/(1.7*((H139-2*([1]Parametros!$B$7+[1]Parametros!$B$9/2))*(I139-2*([1]Parametros!$B$7+[1]Parametros!$B$9/2)))^2))^2)</f>
        <v>3.0039638432990081</v>
      </c>
      <c r="BG139" s="13">
        <f>[1]Parametros!$B$6*(AJ139*1000/(H139*MIN(U139,AB139))+0.66*SQRT([1]Parametros!$B$2))</f>
        <v>3.2939603822754151</v>
      </c>
      <c r="BH139" s="13" t="str">
        <f t="shared" si="37"/>
        <v>CUMPLE</v>
      </c>
      <c r="BI139" s="13">
        <f>AX139*[1]Parametros!$B$8</f>
        <v>1592</v>
      </c>
      <c r="BJ139" s="15" t="str">
        <f t="shared" si="38"/>
        <v>CUMPLE</v>
      </c>
    </row>
    <row r="140" spans="1:62" x14ac:dyDescent="0.3">
      <c r="A140" s="20" t="s">
        <v>69</v>
      </c>
      <c r="B140" s="21">
        <v>821</v>
      </c>
      <c r="C140" s="13">
        <v>1</v>
      </c>
      <c r="D140" s="13">
        <v>3.25</v>
      </c>
      <c r="E140" s="13">
        <v>3.25</v>
      </c>
      <c r="F140" s="13">
        <v>450</v>
      </c>
      <c r="G140" s="13">
        <v>550</v>
      </c>
      <c r="H140" s="13">
        <v>450</v>
      </c>
      <c r="I140" s="13">
        <v>550</v>
      </c>
      <c r="J140" s="14">
        <v>135.32079999999999</v>
      </c>
      <c r="K140" s="13">
        <v>821</v>
      </c>
      <c r="L140" s="14">
        <v>101.23609999999999</v>
      </c>
      <c r="M140" s="13">
        <v>821</v>
      </c>
      <c r="N140" s="14">
        <v>84.221999999999994</v>
      </c>
      <c r="O140" s="14">
        <v>319.44</v>
      </c>
      <c r="P140" s="13">
        <v>821</v>
      </c>
      <c r="Q140" s="14">
        <v>49.895400000000002</v>
      </c>
      <c r="R140" s="13">
        <f>MAX(MAX(1.4/[1]Parametros!$B$3,0.25*SQRT([1]Parametros!$B$2)/[1]Parametros!$B$3)*H140*U140,(0.85*[1]Parametros!$B$2/[1]Parametros!$B$3)*(1-SQRT(1-2*(J140*1000000/([1]Parametros!$B$5*H140*U140^2))/(0.85*[1]Parametros!$B$2)))*H140*U140)</f>
        <v>754.36758685770792</v>
      </c>
      <c r="S140" s="14">
        <v>4</v>
      </c>
      <c r="T140" s="14">
        <v>1</v>
      </c>
      <c r="U140" s="13">
        <f>IF(T140=1,I140-([1]Parametros!$B$7+[1]Parametros!$B$9+[1]Parametros!$B$12/2),I140-(ROUNDUP(S140/2,0)*([1]Parametros!$B$7+[1]Parametros!$B$9+[1]Parametros!$B$12/2)+ROUNDDOWN(S140/2,0)*([1]Parametros!$B$7+[1]Parametros!$B$9+[1]Parametros!$B$12/2+[1]Parametros!$B$12+[1]Parametros!$B$10))/S140)</f>
        <v>489.35</v>
      </c>
      <c r="V140" s="13">
        <f>S140*[1]Parametros!$B$8</f>
        <v>796</v>
      </c>
      <c r="W140" s="13">
        <f>[1]Parametros!$B$5*V140*[1]Parametros!$B$3*(U140-(V140*[1]Parametros!$B$3/(0.85*[1]Parametros!$B$2*H140))/2)/1000000</f>
        <v>142.54333009411764</v>
      </c>
      <c r="X140" s="13" t="str">
        <f t="shared" si="26"/>
        <v>CUMPLE</v>
      </c>
      <c r="Y140" s="13">
        <f>MAX(MAX(1.4/[1]Parametros!$B$3,0.25*SQRT([1]Parametros!$B$2)/[1]Parametros!$B$3)*H140*AB140,(0.85*[1]Parametros!$B$2/[1]Parametros!$B$3)*(1-SQRT(1-2*(L140*1000000/([1]Parametros!$B$5*H140*AB140^2))/(0.85*[1]Parametros!$B$2)))*H140*AB140)</f>
        <v>734.02500000000009</v>
      </c>
      <c r="Z140" s="14">
        <v>4</v>
      </c>
      <c r="AA140" s="14">
        <v>1</v>
      </c>
      <c r="AB140" s="13">
        <f>IF(AA140=1,I140-([1]Parametros!$B$7+[1]Parametros!$B$9+[1]Parametros!$B$12/2),I140-(ROUNDUP(Z140/2,0)*([1]Parametros!$B$7+[1]Parametros!$B$9+[1]Parametros!$B$12/2)+ROUNDDOWN(Z140/2,0)*([1]Parametros!$B$7+[1]Parametros!$B$9+[1]Parametros!$B$12/2+[1]Parametros!$B$12+[1]Parametros!$B$10))/Z140)</f>
        <v>489.35</v>
      </c>
      <c r="AC140" s="13">
        <f>Z140*[1]Parametros!$B$8</f>
        <v>796</v>
      </c>
      <c r="AD140" s="13">
        <f>[1]Parametros!$B$5*AC140*[1]Parametros!$B$3*(AB140-(AC140*[1]Parametros!$B$3/(0.85*[1]Parametros!$B$2*H140))/2)/1000000</f>
        <v>142.54333009411764</v>
      </c>
      <c r="AE140" s="13" t="str">
        <f t="shared" si="27"/>
        <v>CUMPLE</v>
      </c>
      <c r="AF140" s="13">
        <f>V140*1.25*[1]Parametros!$B$3*(U140-(V140*1.25*[1]Parametros!$B$3/(0.85*[1]Parametros!$B$2*H140))/2)/1000000</f>
        <v>196.34621794117646</v>
      </c>
      <c r="AG140" s="13">
        <f>AC140*1.25*[1]Parametros!$B$3*(AB140-(AC140*1.25*[1]Parametros!$B$3/(0.85*[1]Parametros!$B$2*H140))/2)/1000000</f>
        <v>196.34621794117646</v>
      </c>
      <c r="AH140" s="13">
        <f t="shared" si="28"/>
        <v>205.05044180995475</v>
      </c>
      <c r="AI140" s="13">
        <f t="shared" si="29"/>
        <v>319.44</v>
      </c>
      <c r="AJ140" s="13">
        <f>0.17*SQRT([1]Parametros!$B$2)*H140*MIN(U140,AB140)/1000</f>
        <v>198.08885582262698</v>
      </c>
      <c r="AK140" s="13">
        <f>MAX(AI140/[1]Parametros!$B$6-AJ140,0)</f>
        <v>227.83114417737303</v>
      </c>
      <c r="AL140" s="13">
        <f>0.66*SQRT([1]Parametros!$B$2)*H140*MIN(U140,AB140)/1000</f>
        <v>769.05085201725785</v>
      </c>
      <c r="AM140" s="13" t="str">
        <f t="shared" si="30"/>
        <v>CUMPLE</v>
      </c>
      <c r="AN140" s="13" t="s">
        <v>68</v>
      </c>
      <c r="AO140" s="14">
        <v>2</v>
      </c>
      <c r="AP140" s="13">
        <f>ROUNDDOWN(MIN(IF(BC140+BD140=0,1000000000,AO140*BB140/(BC140+BD140)),MIN(U140,AB140)/4,8*[1]Parametros!$B$12,24*BA140,300,IF(AV140=0,1000000000,2*((H140-2*([1]Parametros!$B$7+[1]Parametros!$B$9/2))+(I140-2*([1]Parametros!$B$7+[1]Parametros!$B$9/2)))/8))/10,0)*10</f>
        <v>110</v>
      </c>
      <c r="AQ140" s="13">
        <f>ROUNDDOWN(MIN(IF(BC140+BD140=0,1000000000,AO140*BB140/(BC140+BD140)),IF(AK140&gt;0.33*SQRT([1]Parametros!$B$2)*H140*MIN(U140,AB140)/1000,MIN(U140,AB140)/4,MIN(U140,AB140)/2),600,IF(AV140=0,1000000000,2*((H140-2*([1]Parametros!$B$7+[1]Parametros!$B$9/2))+(I140-2*([1]Parametros!$B$7+[1]Parametros!$B$9/2)))/8))/10,0)*10</f>
        <v>110</v>
      </c>
      <c r="AR140" s="13">
        <f>[1]Parametros!$B$6*(AJ140+MAX(BE140-BD140,0)*[1]Parametros!$B$4*MIN(U140,AB140)/1000)</f>
        <v>334.30404544129203</v>
      </c>
      <c r="AS140" s="13" t="str">
        <f t="shared" si="31"/>
        <v>CUMPLE</v>
      </c>
      <c r="AT140" s="13">
        <f>[1]Parametros!$B$6*0.083*SQRT([1]Parametros!$B$2)*(H140*I140)^2/(2*(H140+I140))/1000000</f>
        <v>10.08878303333792</v>
      </c>
      <c r="AU140" s="13" t="str">
        <f t="shared" si="32"/>
        <v>DISEÑAR</v>
      </c>
      <c r="AV140" s="13">
        <f>IF(Q140&lt;=AT140,0,Q140*1000000/([1]Parametros!$B$6*2*0.85*(H140-2*([1]Parametros!$B$7+[1]Parametros!$B$9/2))*(I140-2*([1]Parametros!$B$7+[1]Parametros!$B$9/2))*[1]Parametros!$B$4))</f>
        <v>0.57025199835351881</v>
      </c>
      <c r="AW140" s="13">
        <f>AV140*2*((H140-2*([1]Parametros!$B$7+[1]Parametros!$B$9/2))+(I140-2*([1]Parametros!$B$7+[1]Parametros!$B$9/2)))*[1]Parametros!$B$4/[1]Parametros!$B$3</f>
        <v>929.05455571755283</v>
      </c>
      <c r="AX140" s="14">
        <v>8</v>
      </c>
      <c r="AY140" s="13" t="str">
        <f t="shared" si="33"/>
        <v>CUMPLE</v>
      </c>
      <c r="AZ140" s="13" t="str">
        <f t="shared" si="34"/>
        <v>CUMPLE</v>
      </c>
      <c r="BA140" s="14">
        <v>12.7</v>
      </c>
      <c r="BB140" s="14">
        <v>129</v>
      </c>
      <c r="BC140" s="13">
        <f>MAX(IF(AK140=0,0,AK140*1000/([1]Parametros!$B$4*MIN(U140,AB140))),MAX(0.062*SQRT([1]Parametros!$B$2)*H140/[1]Parametros!$B$4,0.35*H140/[1]Parametros!$B$4))</f>
        <v>1.1085217230698303</v>
      </c>
      <c r="BD140" s="13">
        <f t="shared" si="35"/>
        <v>1.1405039967070376</v>
      </c>
      <c r="BE140" s="13">
        <f t="shared" si="36"/>
        <v>2.3454545454545452</v>
      </c>
      <c r="BF140" s="13">
        <f>SQRT((AI140*1000/(H140*MIN(U140,AB140)))^2+(Q140*1000000*2*((H140-2*([1]Parametros!$B$7+[1]Parametros!$B$9/2))+(I140-2*([1]Parametros!$B$7+[1]Parametros!$B$9/2)))/(1.7*((H140-2*([1]Parametros!$B$7+[1]Parametros!$B$9/2))*(I140-2*([1]Parametros!$B$7+[1]Parametros!$B$9/2)))^2))^2)</f>
        <v>2.3048509956236742</v>
      </c>
      <c r="BG140" s="13">
        <f>[1]Parametros!$B$6*(AJ140*1000/(H140*MIN(U140,AB140))+0.66*SQRT([1]Parametros!$B$2))</f>
        <v>3.2939603822754151</v>
      </c>
      <c r="BH140" s="13" t="str">
        <f t="shared" si="37"/>
        <v>CUMPLE</v>
      </c>
      <c r="BI140" s="13">
        <f>AX140*[1]Parametros!$B$8</f>
        <v>1592</v>
      </c>
      <c r="BJ140" s="15" t="str">
        <f t="shared" si="38"/>
        <v>CUMPLE</v>
      </c>
    </row>
    <row r="141" spans="1:62" x14ac:dyDescent="0.3">
      <c r="A141" s="20" t="s">
        <v>69</v>
      </c>
      <c r="B141" s="21">
        <v>822</v>
      </c>
      <c r="C141" s="13">
        <v>1</v>
      </c>
      <c r="D141" s="13">
        <v>3.3</v>
      </c>
      <c r="E141" s="13">
        <v>3.3</v>
      </c>
      <c r="F141" s="13">
        <v>450</v>
      </c>
      <c r="G141" s="13">
        <v>550</v>
      </c>
      <c r="H141" s="13">
        <v>450</v>
      </c>
      <c r="I141" s="13">
        <v>550</v>
      </c>
      <c r="J141" s="14">
        <v>168.90309999999999</v>
      </c>
      <c r="K141" s="13">
        <v>822</v>
      </c>
      <c r="L141" s="14">
        <v>104.1618</v>
      </c>
      <c r="M141" s="13">
        <v>822</v>
      </c>
      <c r="N141" s="14">
        <v>125.967</v>
      </c>
      <c r="O141" s="14">
        <v>383.54899999999998</v>
      </c>
      <c r="P141" s="13">
        <v>822</v>
      </c>
      <c r="Q141" s="14">
        <v>80.810100000000006</v>
      </c>
      <c r="R141" s="13">
        <f>MAX(MAX(1.4/[1]Parametros!$B$3,0.25*SQRT([1]Parametros!$B$2)/[1]Parametros!$B$3)*H141*U141,(0.85*[1]Parametros!$B$2/[1]Parametros!$B$3)*(1-SQRT(1-2*(J141*1000000/([1]Parametros!$B$5*H141*U141^2))/(0.85*[1]Parametros!$B$2)))*H141*U141)</f>
        <v>949.21960723500263</v>
      </c>
      <c r="S141" s="14">
        <v>5</v>
      </c>
      <c r="T141" s="14">
        <v>1</v>
      </c>
      <c r="U141" s="13">
        <f>IF(T141=1,I141-([1]Parametros!$B$7+[1]Parametros!$B$9+[1]Parametros!$B$12/2),I141-(ROUNDUP(S141/2,0)*([1]Parametros!$B$7+[1]Parametros!$B$9+[1]Parametros!$B$12/2)+ROUNDDOWN(S141/2,0)*([1]Parametros!$B$7+[1]Parametros!$B$9+[1]Parametros!$B$12/2+[1]Parametros!$B$12+[1]Parametros!$B$10))/S141)</f>
        <v>489.35</v>
      </c>
      <c r="V141" s="13">
        <f>S141*[1]Parametros!$B$8</f>
        <v>995</v>
      </c>
      <c r="W141" s="13">
        <f>[1]Parametros!$B$5*V141*[1]Parametros!$B$3*(U141-(V141*[1]Parametros!$B$3/(0.85*[1]Parametros!$B$2*H141))/2)/1000000</f>
        <v>176.71159614705886</v>
      </c>
      <c r="X141" s="13" t="str">
        <f t="shared" si="26"/>
        <v>CUMPLE</v>
      </c>
      <c r="Y141" s="13">
        <f>MAX(MAX(1.4/[1]Parametros!$B$3,0.25*SQRT([1]Parametros!$B$2)/[1]Parametros!$B$3)*H141*AB141,(0.85*[1]Parametros!$B$2/[1]Parametros!$B$3)*(1-SQRT(1-2*(L141*1000000/([1]Parametros!$B$5*H141*AB141^2))/(0.85*[1]Parametros!$B$2)))*H141*AB141)</f>
        <v>734.02500000000009</v>
      </c>
      <c r="Z141" s="14">
        <v>4</v>
      </c>
      <c r="AA141" s="14">
        <v>1</v>
      </c>
      <c r="AB141" s="13">
        <f>IF(AA141=1,I141-([1]Parametros!$B$7+[1]Parametros!$B$9+[1]Parametros!$B$12/2),I141-(ROUNDUP(Z141/2,0)*([1]Parametros!$B$7+[1]Parametros!$B$9+[1]Parametros!$B$12/2)+ROUNDDOWN(Z141/2,0)*([1]Parametros!$B$7+[1]Parametros!$B$9+[1]Parametros!$B$12/2+[1]Parametros!$B$12+[1]Parametros!$B$10))/Z141)</f>
        <v>489.35</v>
      </c>
      <c r="AC141" s="13">
        <f>Z141*[1]Parametros!$B$8</f>
        <v>796</v>
      </c>
      <c r="AD141" s="13">
        <f>[1]Parametros!$B$5*AC141*[1]Parametros!$B$3*(AB141-(AC141*[1]Parametros!$B$3/(0.85*[1]Parametros!$B$2*H141))/2)/1000000</f>
        <v>142.54333009411764</v>
      </c>
      <c r="AE141" s="13" t="str">
        <f t="shared" si="27"/>
        <v>CUMPLE</v>
      </c>
      <c r="AF141" s="13">
        <f>V141*1.25*[1]Parametros!$B$3*(U141-(V141*1.25*[1]Parametros!$B$3/(0.85*[1]Parametros!$B$2*H141))/2)/1000000</f>
        <v>242.88491397058826</v>
      </c>
      <c r="AG141" s="13">
        <f>AC141*1.25*[1]Parametros!$B$3*(AB141-(AC141*1.25*[1]Parametros!$B$3/(0.85*[1]Parametros!$B$2*H141))/2)/1000000</f>
        <v>196.34621794117646</v>
      </c>
      <c r="AH141" s="13">
        <f t="shared" si="28"/>
        <v>259.06734300356504</v>
      </c>
      <c r="AI141" s="13">
        <f t="shared" si="29"/>
        <v>383.54899999999998</v>
      </c>
      <c r="AJ141" s="13">
        <f>0.17*SQRT([1]Parametros!$B$2)*H141*MIN(U141,AB141)/1000</f>
        <v>198.08885582262698</v>
      </c>
      <c r="AK141" s="13">
        <f>MAX(AI141/[1]Parametros!$B$6-AJ141,0)</f>
        <v>313.3098108440397</v>
      </c>
      <c r="AL141" s="13">
        <f>0.66*SQRT([1]Parametros!$B$2)*H141*MIN(U141,AB141)/1000</f>
        <v>769.05085201725785</v>
      </c>
      <c r="AM141" s="13" t="str">
        <f t="shared" si="30"/>
        <v>CUMPLE</v>
      </c>
      <c r="AN141" s="13" t="s">
        <v>68</v>
      </c>
      <c r="AO141" s="14">
        <v>4</v>
      </c>
      <c r="AP141" s="13">
        <f>ROUNDDOWN(MIN(IF(BC141+BD141=0,1000000000,AO141*BB141/(BC141+BD141)),MIN(U141,AB141)/4,8*[1]Parametros!$B$12,24*BA141,300,IF(AV141=0,1000000000,2*((H141-2*([1]Parametros!$B$7+[1]Parametros!$B$9/2))+(I141-2*([1]Parametros!$B$7+[1]Parametros!$B$9/2)))/8))/10,0)*10</f>
        <v>120</v>
      </c>
      <c r="AQ141" s="13">
        <f>ROUNDDOWN(MIN(IF(BC141+BD141=0,1000000000,AO141*BB141/(BC141+BD141)),IF(AK141&gt;0.33*SQRT([1]Parametros!$B$2)*H141*MIN(U141,AB141)/1000,MIN(U141,AB141)/4,MIN(U141,AB141)/2),600,IF(AV141=0,1000000000,2*((H141-2*([1]Parametros!$B$7+[1]Parametros!$B$9/2))+(I141-2*([1]Parametros!$B$7+[1]Parametros!$B$9/2)))/8))/10,0)*10</f>
        <v>150</v>
      </c>
      <c r="AR141" s="13">
        <f>[1]Parametros!$B$6*(AJ141+MAX(BE141-BD141,0)*[1]Parametros!$B$4*MIN(U141,AB141)/1000)</f>
        <v>526.66196070516935</v>
      </c>
      <c r="AS141" s="13" t="str">
        <f t="shared" si="31"/>
        <v>CUMPLE</v>
      </c>
      <c r="AT141" s="13">
        <f>[1]Parametros!$B$6*0.083*SQRT([1]Parametros!$B$2)*(H141*I141)^2/(2*(H141+I141))/1000000</f>
        <v>10.08878303333792</v>
      </c>
      <c r="AU141" s="13" t="str">
        <f t="shared" si="32"/>
        <v>DISEÑAR</v>
      </c>
      <c r="AV141" s="13">
        <f>IF(Q141&lt;=AT141,0,Q141*1000000/([1]Parametros!$B$6*2*0.85*(H141-2*([1]Parametros!$B$7+[1]Parametros!$B$9/2))*(I141-2*([1]Parametros!$B$7+[1]Parametros!$B$9/2))*[1]Parametros!$B$4))</f>
        <v>0.92357453817681967</v>
      </c>
      <c r="AW141" s="13">
        <f>AV141*2*((H141-2*([1]Parametros!$B$7+[1]Parametros!$B$9/2))+(I141-2*([1]Parametros!$B$7+[1]Parametros!$B$9/2)))*[1]Parametros!$B$4/[1]Parametros!$B$3</f>
        <v>1504.6876375976747</v>
      </c>
      <c r="AX141" s="14">
        <v>8</v>
      </c>
      <c r="AY141" s="13" t="str">
        <f t="shared" si="33"/>
        <v>NO CUMPLE</v>
      </c>
      <c r="AZ141" s="13" t="str">
        <f t="shared" si="34"/>
        <v>NO CUMPLE</v>
      </c>
      <c r="BA141" s="14">
        <v>12.7</v>
      </c>
      <c r="BB141" s="14">
        <v>129</v>
      </c>
      <c r="BC141" s="13">
        <f>MAX(IF(AK141=0,0,AK141*1000/([1]Parametros!$B$4*MIN(U141,AB141))),MAX(0.062*SQRT([1]Parametros!$B$2)*H141/[1]Parametros!$B$4,0.35*H141/[1]Parametros!$B$4))</f>
        <v>1.524421661601832</v>
      </c>
      <c r="BD141" s="13">
        <f t="shared" si="35"/>
        <v>1.8471490763536393</v>
      </c>
      <c r="BE141" s="13">
        <f t="shared" si="36"/>
        <v>4.3</v>
      </c>
      <c r="BF141" s="13">
        <f>SQRT((AI141*1000/(H141*MIN(U141,AB141)))^2+(Q141*1000000*2*((H141-2*([1]Parametros!$B$7+[1]Parametros!$B$9/2))+(I141-2*([1]Parametros!$B$7+[1]Parametros!$B$9/2)))/(1.7*((H141-2*([1]Parametros!$B$7+[1]Parametros!$B$9/2))*(I141-2*([1]Parametros!$B$7+[1]Parametros!$B$9/2)))^2))^2)</f>
        <v>3.3835727560814819</v>
      </c>
      <c r="BG141" s="13">
        <f>[1]Parametros!$B$6*(AJ141*1000/(H141*MIN(U141,AB141))+0.66*SQRT([1]Parametros!$B$2))</f>
        <v>3.2939603822754151</v>
      </c>
      <c r="BH141" s="13" t="str">
        <f t="shared" si="37"/>
        <v>NO CUMPLE</v>
      </c>
      <c r="BI141" s="13">
        <f>AX141*[1]Parametros!$B$8</f>
        <v>1592</v>
      </c>
      <c r="BJ141" s="15" t="str">
        <f t="shared" si="38"/>
        <v>CUMPLE</v>
      </c>
    </row>
    <row r="142" spans="1:62" x14ac:dyDescent="0.3">
      <c r="A142" s="20" t="s">
        <v>69</v>
      </c>
      <c r="B142" s="21">
        <v>823</v>
      </c>
      <c r="C142" s="13">
        <v>1</v>
      </c>
      <c r="D142" s="13">
        <v>3.3</v>
      </c>
      <c r="E142" s="13">
        <v>3.3</v>
      </c>
      <c r="F142" s="13">
        <v>450</v>
      </c>
      <c r="G142" s="13">
        <v>550</v>
      </c>
      <c r="H142" s="13">
        <v>450</v>
      </c>
      <c r="I142" s="13">
        <v>550</v>
      </c>
      <c r="J142" s="14">
        <v>169.02809999999999</v>
      </c>
      <c r="K142" s="13">
        <v>823</v>
      </c>
      <c r="L142" s="14">
        <v>104.205</v>
      </c>
      <c r="M142" s="13">
        <v>823</v>
      </c>
      <c r="N142" s="14">
        <v>126.06</v>
      </c>
      <c r="O142" s="14">
        <v>383.66399999999999</v>
      </c>
      <c r="P142" s="13">
        <v>823</v>
      </c>
      <c r="Q142" s="14">
        <v>80.865899999999996</v>
      </c>
      <c r="R142" s="13">
        <f>MAX(MAX(1.4/[1]Parametros!$B$3,0.25*SQRT([1]Parametros!$B$2)/[1]Parametros!$B$3)*H142*U142,(0.85*[1]Parametros!$B$2/[1]Parametros!$B$3)*(1-SQRT(1-2*(J142*1000000/([1]Parametros!$B$5*H142*U142^2))/(0.85*[1]Parametros!$B$2)))*H142*U142)</f>
        <v>949.9510372763807</v>
      </c>
      <c r="S142" s="14">
        <v>5</v>
      </c>
      <c r="T142" s="14">
        <v>1</v>
      </c>
      <c r="U142" s="13">
        <f>IF(T142=1,I142-([1]Parametros!$B$7+[1]Parametros!$B$9+[1]Parametros!$B$12/2),I142-(ROUNDUP(S142/2,0)*([1]Parametros!$B$7+[1]Parametros!$B$9+[1]Parametros!$B$12/2)+ROUNDDOWN(S142/2,0)*([1]Parametros!$B$7+[1]Parametros!$B$9+[1]Parametros!$B$12/2+[1]Parametros!$B$12+[1]Parametros!$B$10))/S142)</f>
        <v>489.35</v>
      </c>
      <c r="V142" s="13">
        <f>S142*[1]Parametros!$B$8</f>
        <v>995</v>
      </c>
      <c r="W142" s="13">
        <f>[1]Parametros!$B$5*V142*[1]Parametros!$B$3*(U142-(V142*[1]Parametros!$B$3/(0.85*[1]Parametros!$B$2*H142))/2)/1000000</f>
        <v>176.71159614705886</v>
      </c>
      <c r="X142" s="13" t="str">
        <f t="shared" si="26"/>
        <v>CUMPLE</v>
      </c>
      <c r="Y142" s="13">
        <f>MAX(MAX(1.4/[1]Parametros!$B$3,0.25*SQRT([1]Parametros!$B$2)/[1]Parametros!$B$3)*H142*AB142,(0.85*[1]Parametros!$B$2/[1]Parametros!$B$3)*(1-SQRT(1-2*(L142*1000000/([1]Parametros!$B$5*H142*AB142^2))/(0.85*[1]Parametros!$B$2)))*H142*AB142)</f>
        <v>734.02500000000009</v>
      </c>
      <c r="Z142" s="14">
        <v>4</v>
      </c>
      <c r="AA142" s="14">
        <v>1</v>
      </c>
      <c r="AB142" s="13">
        <f>IF(AA142=1,I142-([1]Parametros!$B$7+[1]Parametros!$B$9+[1]Parametros!$B$12/2),I142-(ROUNDUP(Z142/2,0)*([1]Parametros!$B$7+[1]Parametros!$B$9+[1]Parametros!$B$12/2)+ROUNDDOWN(Z142/2,0)*([1]Parametros!$B$7+[1]Parametros!$B$9+[1]Parametros!$B$12/2+[1]Parametros!$B$12+[1]Parametros!$B$10))/Z142)</f>
        <v>489.35</v>
      </c>
      <c r="AC142" s="13">
        <f>Z142*[1]Parametros!$B$8</f>
        <v>796</v>
      </c>
      <c r="AD142" s="13">
        <f>[1]Parametros!$B$5*AC142*[1]Parametros!$B$3*(AB142-(AC142*[1]Parametros!$B$3/(0.85*[1]Parametros!$B$2*H142))/2)/1000000</f>
        <v>142.54333009411764</v>
      </c>
      <c r="AE142" s="13" t="str">
        <f t="shared" si="27"/>
        <v>CUMPLE</v>
      </c>
      <c r="AF142" s="13">
        <f>V142*1.25*[1]Parametros!$B$3*(U142-(V142*1.25*[1]Parametros!$B$3/(0.85*[1]Parametros!$B$2*H142))/2)/1000000</f>
        <v>242.88491397058826</v>
      </c>
      <c r="AG142" s="13">
        <f>AC142*1.25*[1]Parametros!$B$3*(AB142-(AC142*1.25*[1]Parametros!$B$3/(0.85*[1]Parametros!$B$2*H142))/2)/1000000</f>
        <v>196.34621794117646</v>
      </c>
      <c r="AH142" s="13">
        <f t="shared" si="28"/>
        <v>259.16034300356506</v>
      </c>
      <c r="AI142" s="13">
        <f t="shared" si="29"/>
        <v>383.66399999999999</v>
      </c>
      <c r="AJ142" s="13">
        <f>0.17*SQRT([1]Parametros!$B$2)*H142*MIN(U142,AB142)/1000</f>
        <v>198.08885582262698</v>
      </c>
      <c r="AK142" s="13">
        <f>MAX(AI142/[1]Parametros!$B$6-AJ142,0)</f>
        <v>313.46314417737301</v>
      </c>
      <c r="AL142" s="13">
        <f>0.66*SQRT([1]Parametros!$B$2)*H142*MIN(U142,AB142)/1000</f>
        <v>769.05085201725785</v>
      </c>
      <c r="AM142" s="13" t="str">
        <f t="shared" si="30"/>
        <v>CUMPLE</v>
      </c>
      <c r="AN142" s="13" t="s">
        <v>68</v>
      </c>
      <c r="AO142" s="14">
        <v>4</v>
      </c>
      <c r="AP142" s="13">
        <f>ROUNDDOWN(MIN(IF(BC142+BD142=0,1000000000,AO142*BB142/(BC142+BD142)),MIN(U142,AB142)/4,8*[1]Parametros!$B$12,24*BA142,300,IF(AV142=0,1000000000,2*((H142-2*([1]Parametros!$B$7+[1]Parametros!$B$9/2))+(I142-2*([1]Parametros!$B$7+[1]Parametros!$B$9/2)))/8))/10,0)*10</f>
        <v>120</v>
      </c>
      <c r="AQ142" s="13">
        <f>ROUNDDOWN(MIN(IF(BC142+BD142=0,1000000000,AO142*BB142/(BC142+BD142)),IF(AK142&gt;0.33*SQRT([1]Parametros!$B$2)*H142*MIN(U142,AB142)/1000,MIN(U142,AB142)/4,MIN(U142,AB142)/2),600,IF(AV142=0,1000000000,2*((H142-2*([1]Parametros!$B$7+[1]Parametros!$B$9/2))+(I142-2*([1]Parametros!$B$7+[1]Parametros!$B$9/2)))/8))/10,0)*10</f>
        <v>150</v>
      </c>
      <c r="AR142" s="13">
        <f>[1]Parametros!$B$6*(AJ142+MAX(BE142-BD142,0)*[1]Parametros!$B$4*MIN(U142,AB142)/1000)</f>
        <v>526.46535294829459</v>
      </c>
      <c r="AS142" s="13" t="str">
        <f t="shared" si="31"/>
        <v>CUMPLE</v>
      </c>
      <c r="AT142" s="13">
        <f>[1]Parametros!$B$6*0.083*SQRT([1]Parametros!$B$2)*(H142*I142)^2/(2*(H142+I142))/1000000</f>
        <v>10.08878303333792</v>
      </c>
      <c r="AU142" s="13" t="str">
        <f t="shared" si="32"/>
        <v>DISEÑAR</v>
      </c>
      <c r="AV142" s="13">
        <f>IF(Q142&lt;=AT142,0,Q142*1000000/([1]Parametros!$B$6*2*0.85*(H142-2*([1]Parametros!$B$7+[1]Parametros!$B$9/2))*(I142-2*([1]Parametros!$B$7+[1]Parametros!$B$9/2))*[1]Parametros!$B$4))</f>
        <v>0.92421227354938162</v>
      </c>
      <c r="AW142" s="13">
        <f>AV142*2*((H142-2*([1]Parametros!$B$7+[1]Parametros!$B$9/2))+(I142-2*([1]Parametros!$B$7+[1]Parametros!$B$9/2)))*[1]Parametros!$B$4/[1]Parametros!$B$3</f>
        <v>1505.7266360666524</v>
      </c>
      <c r="AX142" s="14">
        <v>8</v>
      </c>
      <c r="AY142" s="13" t="str">
        <f t="shared" si="33"/>
        <v>NO CUMPLE</v>
      </c>
      <c r="AZ142" s="13" t="str">
        <f t="shared" si="34"/>
        <v>NO CUMPLE</v>
      </c>
      <c r="BA142" s="14">
        <v>12.7</v>
      </c>
      <c r="BB142" s="14">
        <v>129</v>
      </c>
      <c r="BC142" s="13">
        <f>MAX(IF(AK142=0,0,AK142*1000/([1]Parametros!$B$4*MIN(U142,AB142))),MAX(0.062*SQRT([1]Parametros!$B$2)*H142/[1]Parametros!$B$4,0.35*H142/[1]Parametros!$B$4))</f>
        <v>1.5251677111881798</v>
      </c>
      <c r="BD142" s="13">
        <f t="shared" si="35"/>
        <v>1.8484245470987632</v>
      </c>
      <c r="BE142" s="13">
        <f t="shared" si="36"/>
        <v>4.3</v>
      </c>
      <c r="BF142" s="13">
        <f>SQRT((AI142*1000/(H142*MIN(U142,AB142)))^2+(Q142*1000000*2*((H142-2*([1]Parametros!$B$7+[1]Parametros!$B$9/2))+(I142-2*([1]Parametros!$B$7+[1]Parametros!$B$9/2)))/(1.7*((H142-2*([1]Parametros!$B$7+[1]Parametros!$B$9/2))*(I142-2*([1]Parametros!$B$7+[1]Parametros!$B$9/2)))^2))^2)</f>
        <v>3.3855589064353748</v>
      </c>
      <c r="BG142" s="13">
        <f>[1]Parametros!$B$6*(AJ142*1000/(H142*MIN(U142,AB142))+0.66*SQRT([1]Parametros!$B$2))</f>
        <v>3.2939603822754151</v>
      </c>
      <c r="BH142" s="13" t="str">
        <f t="shared" si="37"/>
        <v>NO CUMPLE</v>
      </c>
      <c r="BI142" s="13">
        <f>AX142*[1]Parametros!$B$8</f>
        <v>1592</v>
      </c>
      <c r="BJ142" s="15" t="str">
        <f t="shared" si="38"/>
        <v>CUMPLE</v>
      </c>
    </row>
    <row r="143" spans="1:62" x14ac:dyDescent="0.3">
      <c r="A143" s="20" t="s">
        <v>69</v>
      </c>
      <c r="B143" s="21">
        <v>824</v>
      </c>
      <c r="C143" s="13">
        <v>1</v>
      </c>
      <c r="D143" s="13">
        <v>3.25</v>
      </c>
      <c r="E143" s="13">
        <v>3.25</v>
      </c>
      <c r="F143" s="13">
        <v>450</v>
      </c>
      <c r="G143" s="13">
        <v>550</v>
      </c>
      <c r="H143" s="13">
        <v>450</v>
      </c>
      <c r="I143" s="13">
        <v>550</v>
      </c>
      <c r="J143" s="14">
        <v>135.3425</v>
      </c>
      <c r="K143" s="13">
        <v>824</v>
      </c>
      <c r="L143" s="14">
        <v>101.2238</v>
      </c>
      <c r="M143" s="13">
        <v>824</v>
      </c>
      <c r="N143" s="14">
        <v>84.233999999999995</v>
      </c>
      <c r="O143" s="14">
        <v>319.45299999999997</v>
      </c>
      <c r="P143" s="13">
        <v>824</v>
      </c>
      <c r="Q143" s="14">
        <v>49.893900000000002</v>
      </c>
      <c r="R143" s="13">
        <f>MAX(MAX(1.4/[1]Parametros!$B$3,0.25*SQRT([1]Parametros!$B$2)/[1]Parametros!$B$3)*H143*U143,(0.85*[1]Parametros!$B$2/[1]Parametros!$B$3)*(1-SQRT(1-2*(J143*1000000/([1]Parametros!$B$5*H143*U143^2))/(0.85*[1]Parametros!$B$2)))*H143*U143)</f>
        <v>754.49244949123442</v>
      </c>
      <c r="S143" s="14">
        <v>4</v>
      </c>
      <c r="T143" s="14">
        <v>1</v>
      </c>
      <c r="U143" s="13">
        <f>IF(T143=1,I143-([1]Parametros!$B$7+[1]Parametros!$B$9+[1]Parametros!$B$12/2),I143-(ROUNDUP(S143/2,0)*([1]Parametros!$B$7+[1]Parametros!$B$9+[1]Parametros!$B$12/2)+ROUNDDOWN(S143/2,0)*([1]Parametros!$B$7+[1]Parametros!$B$9+[1]Parametros!$B$12/2+[1]Parametros!$B$12+[1]Parametros!$B$10))/S143)</f>
        <v>489.35</v>
      </c>
      <c r="V143" s="13">
        <f>S143*[1]Parametros!$B$8</f>
        <v>796</v>
      </c>
      <c r="W143" s="13">
        <f>[1]Parametros!$B$5*V143*[1]Parametros!$B$3*(U143-(V143*[1]Parametros!$B$3/(0.85*[1]Parametros!$B$2*H143))/2)/1000000</f>
        <v>142.54333009411764</v>
      </c>
      <c r="X143" s="13" t="str">
        <f t="shared" si="26"/>
        <v>CUMPLE</v>
      </c>
      <c r="Y143" s="13">
        <f>MAX(MAX(1.4/[1]Parametros!$B$3,0.25*SQRT([1]Parametros!$B$2)/[1]Parametros!$B$3)*H143*AB143,(0.85*[1]Parametros!$B$2/[1]Parametros!$B$3)*(1-SQRT(1-2*(L143*1000000/([1]Parametros!$B$5*H143*AB143^2))/(0.85*[1]Parametros!$B$2)))*H143*AB143)</f>
        <v>734.02500000000009</v>
      </c>
      <c r="Z143" s="14">
        <v>4</v>
      </c>
      <c r="AA143" s="14">
        <v>1</v>
      </c>
      <c r="AB143" s="13">
        <f>IF(AA143=1,I143-([1]Parametros!$B$7+[1]Parametros!$B$9+[1]Parametros!$B$12/2),I143-(ROUNDUP(Z143/2,0)*([1]Parametros!$B$7+[1]Parametros!$B$9+[1]Parametros!$B$12/2)+ROUNDDOWN(Z143/2,0)*([1]Parametros!$B$7+[1]Parametros!$B$9+[1]Parametros!$B$12/2+[1]Parametros!$B$12+[1]Parametros!$B$10))/Z143)</f>
        <v>489.35</v>
      </c>
      <c r="AC143" s="13">
        <f>Z143*[1]Parametros!$B$8</f>
        <v>796</v>
      </c>
      <c r="AD143" s="13">
        <f>[1]Parametros!$B$5*AC143*[1]Parametros!$B$3*(AB143-(AC143*[1]Parametros!$B$3/(0.85*[1]Parametros!$B$2*H143))/2)/1000000</f>
        <v>142.54333009411764</v>
      </c>
      <c r="AE143" s="13" t="str">
        <f t="shared" si="27"/>
        <v>CUMPLE</v>
      </c>
      <c r="AF143" s="13">
        <f>V143*1.25*[1]Parametros!$B$3*(U143-(V143*1.25*[1]Parametros!$B$3/(0.85*[1]Parametros!$B$2*H143))/2)/1000000</f>
        <v>196.34621794117646</v>
      </c>
      <c r="AG143" s="13">
        <f>AC143*1.25*[1]Parametros!$B$3*(AB143-(AC143*1.25*[1]Parametros!$B$3/(0.85*[1]Parametros!$B$2*H143))/2)/1000000</f>
        <v>196.34621794117646</v>
      </c>
      <c r="AH143" s="13">
        <f t="shared" si="28"/>
        <v>205.06244180995475</v>
      </c>
      <c r="AI143" s="13">
        <f t="shared" si="29"/>
        <v>319.45299999999997</v>
      </c>
      <c r="AJ143" s="13">
        <f>0.17*SQRT([1]Parametros!$B$2)*H143*MIN(U143,AB143)/1000</f>
        <v>198.08885582262698</v>
      </c>
      <c r="AK143" s="13">
        <f>MAX(AI143/[1]Parametros!$B$6-AJ143,0)</f>
        <v>227.84847751070632</v>
      </c>
      <c r="AL143" s="13">
        <f>0.66*SQRT([1]Parametros!$B$2)*H143*MIN(U143,AB143)/1000</f>
        <v>769.05085201725785</v>
      </c>
      <c r="AM143" s="13" t="str">
        <f t="shared" si="30"/>
        <v>CUMPLE</v>
      </c>
      <c r="AN143" s="13" t="s">
        <v>68</v>
      </c>
      <c r="AO143" s="14">
        <v>2</v>
      </c>
      <c r="AP143" s="13">
        <f>ROUNDDOWN(MIN(IF(BC143+BD143=0,1000000000,AO143*BB143/(BC143+BD143)),MIN(U143,AB143)/4,8*[1]Parametros!$B$12,24*BA143,300,IF(AV143=0,1000000000,2*((H143-2*([1]Parametros!$B$7+[1]Parametros!$B$9/2))+(I143-2*([1]Parametros!$B$7+[1]Parametros!$B$9/2)))/8))/10,0)*10</f>
        <v>110</v>
      </c>
      <c r="AQ143" s="13">
        <f>ROUNDDOWN(MIN(IF(BC143+BD143=0,1000000000,AO143*BB143/(BC143+BD143)),IF(AK143&gt;0.33*SQRT([1]Parametros!$B$2)*H143*MIN(U143,AB143)/1000,MIN(U143,AB143)/4,MIN(U143,AB143)/2),600,IF(AV143=0,1000000000,2*((H143-2*([1]Parametros!$B$7+[1]Parametros!$B$9/2))+(I143-2*([1]Parametros!$B$7+[1]Parametros!$B$9/2)))/8))/10,0)*10</f>
        <v>110</v>
      </c>
      <c r="AR143" s="13">
        <f>[1]Parametros!$B$6*(AJ143+MAX(BE143-BD143,0)*[1]Parametros!$B$4*MIN(U143,AB143)/1000)</f>
        <v>334.30933059604672</v>
      </c>
      <c r="AS143" s="13" t="str">
        <f t="shared" si="31"/>
        <v>CUMPLE</v>
      </c>
      <c r="AT143" s="13">
        <f>[1]Parametros!$B$6*0.083*SQRT([1]Parametros!$B$2)*(H143*I143)^2/(2*(H143+I143))/1000000</f>
        <v>10.08878303333792</v>
      </c>
      <c r="AU143" s="13" t="str">
        <f t="shared" si="32"/>
        <v>DISEÑAR</v>
      </c>
      <c r="AV143" s="13">
        <f>IF(Q143&lt;=AT143,0,Q143*1000000/([1]Parametros!$B$6*2*0.85*(H143-2*([1]Parametros!$B$7+[1]Parametros!$B$9/2))*(I143-2*([1]Parametros!$B$7+[1]Parametros!$B$9/2))*[1]Parametros!$B$4))</f>
        <v>0.57023485492952519</v>
      </c>
      <c r="AW143" s="13">
        <f>AV143*2*((H143-2*([1]Parametros!$B$7+[1]Parametros!$B$9/2))+(I143-2*([1]Parametros!$B$7+[1]Parametros!$B$9/2)))*[1]Parametros!$B$4/[1]Parametros!$B$3</f>
        <v>929.02662565118248</v>
      </c>
      <c r="AX143" s="14">
        <v>8</v>
      </c>
      <c r="AY143" s="13" t="str">
        <f t="shared" si="33"/>
        <v>CUMPLE</v>
      </c>
      <c r="AZ143" s="13" t="str">
        <f t="shared" si="34"/>
        <v>CUMPLE</v>
      </c>
      <c r="BA143" s="14">
        <v>12.7</v>
      </c>
      <c r="BB143" s="14">
        <v>129</v>
      </c>
      <c r="BC143" s="13">
        <f>MAX(IF(AK143=0,0,AK143*1000/([1]Parametros!$B$4*MIN(U143,AB143))),MAX(0.062*SQRT([1]Parametros!$B$2)*H143/[1]Parametros!$B$4,0.35*H143/[1]Parametros!$B$4))</f>
        <v>1.108606059110026</v>
      </c>
      <c r="BD143" s="13">
        <f t="shared" si="35"/>
        <v>1.1404697098590504</v>
      </c>
      <c r="BE143" s="13">
        <f t="shared" si="36"/>
        <v>2.3454545454545452</v>
      </c>
      <c r="BF143" s="13">
        <f>SQRT((AI143*1000/(H143*MIN(U143,AB143)))^2+(Q143*1000000*2*((H143-2*([1]Parametros!$B$7+[1]Parametros!$B$9/2))+(I143-2*([1]Parametros!$B$7+[1]Parametros!$B$9/2)))/(1.7*((H143-2*([1]Parametros!$B$7+[1]Parametros!$B$9/2))*(I143-2*([1]Parametros!$B$7+[1]Parametros!$B$9/2)))^2))^2)</f>
        <v>2.3048463096972602</v>
      </c>
      <c r="BG143" s="13">
        <f>[1]Parametros!$B$6*(AJ143*1000/(H143*MIN(U143,AB143))+0.66*SQRT([1]Parametros!$B$2))</f>
        <v>3.2939603822754151</v>
      </c>
      <c r="BH143" s="13" t="str">
        <f t="shared" si="37"/>
        <v>CUMPLE</v>
      </c>
      <c r="BI143" s="13">
        <f>AX143*[1]Parametros!$B$8</f>
        <v>1592</v>
      </c>
      <c r="BJ143" s="15" t="str">
        <f t="shared" si="38"/>
        <v>CUMPLE</v>
      </c>
    </row>
    <row r="144" spans="1:62" x14ac:dyDescent="0.3">
      <c r="A144" s="20" t="s">
        <v>69</v>
      </c>
      <c r="B144" s="21">
        <v>841</v>
      </c>
      <c r="C144" s="13">
        <v>1</v>
      </c>
      <c r="D144" s="13">
        <v>3.25</v>
      </c>
      <c r="E144" s="13">
        <v>3.25</v>
      </c>
      <c r="F144" s="13">
        <v>450</v>
      </c>
      <c r="G144" s="13">
        <v>550</v>
      </c>
      <c r="H144" s="13">
        <v>450</v>
      </c>
      <c r="I144" s="13">
        <v>550</v>
      </c>
      <c r="J144" s="14">
        <v>135.34030000000001</v>
      </c>
      <c r="K144" s="13">
        <v>841</v>
      </c>
      <c r="L144" s="14">
        <v>101.2347</v>
      </c>
      <c r="M144" s="13">
        <v>841</v>
      </c>
      <c r="N144" s="14">
        <v>84.222999999999999</v>
      </c>
      <c r="O144" s="14">
        <v>319.45400000000001</v>
      </c>
      <c r="P144" s="13">
        <v>841</v>
      </c>
      <c r="Q144" s="14">
        <v>49.881799999999998</v>
      </c>
      <c r="R144" s="13">
        <f>MAX(MAX(1.4/[1]Parametros!$B$3,0.25*SQRT([1]Parametros!$B$2)/[1]Parametros!$B$3)*H144*U144,(0.85*[1]Parametros!$B$2/[1]Parametros!$B$3)*(1-SQRT(1-2*(J144*1000000/([1]Parametros!$B$5*H144*U144^2))/(0.85*[1]Parametros!$B$2)))*H144*U144)</f>
        <v>754.47979054615405</v>
      </c>
      <c r="S144" s="14">
        <v>4</v>
      </c>
      <c r="T144" s="14">
        <v>1</v>
      </c>
      <c r="U144" s="13">
        <f>IF(T144=1,I144-([1]Parametros!$B$7+[1]Parametros!$B$9+[1]Parametros!$B$12/2),I144-(ROUNDUP(S144/2,0)*([1]Parametros!$B$7+[1]Parametros!$B$9+[1]Parametros!$B$12/2)+ROUNDDOWN(S144/2,0)*([1]Parametros!$B$7+[1]Parametros!$B$9+[1]Parametros!$B$12/2+[1]Parametros!$B$12+[1]Parametros!$B$10))/S144)</f>
        <v>489.35</v>
      </c>
      <c r="V144" s="13">
        <f>S144*[1]Parametros!$B$8</f>
        <v>796</v>
      </c>
      <c r="W144" s="13">
        <f>[1]Parametros!$B$5*V144*[1]Parametros!$B$3*(U144-(V144*[1]Parametros!$B$3/(0.85*[1]Parametros!$B$2*H144))/2)/1000000</f>
        <v>142.54333009411764</v>
      </c>
      <c r="X144" s="13" t="str">
        <f t="shared" si="26"/>
        <v>CUMPLE</v>
      </c>
      <c r="Y144" s="13">
        <f>MAX(MAX(1.4/[1]Parametros!$B$3,0.25*SQRT([1]Parametros!$B$2)/[1]Parametros!$B$3)*H144*AB144,(0.85*[1]Parametros!$B$2/[1]Parametros!$B$3)*(1-SQRT(1-2*(L144*1000000/([1]Parametros!$B$5*H144*AB144^2))/(0.85*[1]Parametros!$B$2)))*H144*AB144)</f>
        <v>734.02500000000009</v>
      </c>
      <c r="Z144" s="14">
        <v>4</v>
      </c>
      <c r="AA144" s="14">
        <v>1</v>
      </c>
      <c r="AB144" s="13">
        <f>IF(AA144=1,I144-([1]Parametros!$B$7+[1]Parametros!$B$9+[1]Parametros!$B$12/2),I144-(ROUNDUP(Z144/2,0)*([1]Parametros!$B$7+[1]Parametros!$B$9+[1]Parametros!$B$12/2)+ROUNDDOWN(Z144/2,0)*([1]Parametros!$B$7+[1]Parametros!$B$9+[1]Parametros!$B$12/2+[1]Parametros!$B$12+[1]Parametros!$B$10))/Z144)</f>
        <v>489.35</v>
      </c>
      <c r="AC144" s="13">
        <f>Z144*[1]Parametros!$B$8</f>
        <v>796</v>
      </c>
      <c r="AD144" s="13">
        <f>[1]Parametros!$B$5*AC144*[1]Parametros!$B$3*(AB144-(AC144*[1]Parametros!$B$3/(0.85*[1]Parametros!$B$2*H144))/2)/1000000</f>
        <v>142.54333009411764</v>
      </c>
      <c r="AE144" s="13" t="str">
        <f t="shared" si="27"/>
        <v>CUMPLE</v>
      </c>
      <c r="AF144" s="13">
        <f>V144*1.25*[1]Parametros!$B$3*(U144-(V144*1.25*[1]Parametros!$B$3/(0.85*[1]Parametros!$B$2*H144))/2)/1000000</f>
        <v>196.34621794117646</v>
      </c>
      <c r="AG144" s="13">
        <f>AC144*1.25*[1]Parametros!$B$3*(AB144-(AC144*1.25*[1]Parametros!$B$3/(0.85*[1]Parametros!$B$2*H144))/2)/1000000</f>
        <v>196.34621794117646</v>
      </c>
      <c r="AH144" s="13">
        <f t="shared" si="28"/>
        <v>205.05144180995472</v>
      </c>
      <c r="AI144" s="13">
        <f t="shared" si="29"/>
        <v>319.45400000000001</v>
      </c>
      <c r="AJ144" s="13">
        <f>0.17*SQRT([1]Parametros!$B$2)*H144*MIN(U144,AB144)/1000</f>
        <v>198.08885582262698</v>
      </c>
      <c r="AK144" s="13">
        <f>MAX(AI144/[1]Parametros!$B$6-AJ144,0)</f>
        <v>227.84981084403969</v>
      </c>
      <c r="AL144" s="13">
        <f>0.66*SQRT([1]Parametros!$B$2)*H144*MIN(U144,AB144)/1000</f>
        <v>769.05085201725785</v>
      </c>
      <c r="AM144" s="13" t="str">
        <f t="shared" si="30"/>
        <v>CUMPLE</v>
      </c>
      <c r="AN144" s="13" t="s">
        <v>68</v>
      </c>
      <c r="AO144" s="14">
        <v>2</v>
      </c>
      <c r="AP144" s="13">
        <f>ROUNDDOWN(MIN(IF(BC144+BD144=0,1000000000,AO144*BB144/(BC144+BD144)),MIN(U144,AB144)/4,8*[1]Parametros!$B$12,24*BA144,300,IF(AV144=0,1000000000,2*((H144-2*([1]Parametros!$B$7+[1]Parametros!$B$9/2))+(I144-2*([1]Parametros!$B$7+[1]Parametros!$B$9/2)))/8))/10,0)*10</f>
        <v>110</v>
      </c>
      <c r="AQ144" s="13">
        <f>ROUNDDOWN(MIN(IF(BC144+BD144=0,1000000000,AO144*BB144/(BC144+BD144)),IF(AK144&gt;0.33*SQRT([1]Parametros!$B$2)*H144*MIN(U144,AB144)/1000,MIN(U144,AB144)/4,MIN(U144,AB144)/2),600,IF(AV144=0,1000000000,2*((H144-2*([1]Parametros!$B$7+[1]Parametros!$B$9/2))+(I144-2*([1]Parametros!$B$7+[1]Parametros!$B$9/2)))/8))/10,0)*10</f>
        <v>110</v>
      </c>
      <c r="AR144" s="13">
        <f>[1]Parametros!$B$6*(AJ144+MAX(BE144-BD144,0)*[1]Parametros!$B$4*MIN(U144,AB144)/1000)</f>
        <v>334.3519641777346</v>
      </c>
      <c r="AS144" s="13" t="str">
        <f t="shared" si="31"/>
        <v>CUMPLE</v>
      </c>
      <c r="AT144" s="13">
        <f>[1]Parametros!$B$6*0.083*SQRT([1]Parametros!$B$2)*(H144*I144)^2/(2*(H144+I144))/1000000</f>
        <v>10.08878303333792</v>
      </c>
      <c r="AU144" s="13" t="str">
        <f t="shared" si="32"/>
        <v>DISEÑAR</v>
      </c>
      <c r="AV144" s="13">
        <f>IF(Q144&lt;=AT144,0,Q144*1000000/([1]Parametros!$B$6*2*0.85*(H144-2*([1]Parametros!$B$7+[1]Parametros!$B$9/2))*(I144-2*([1]Parametros!$B$7+[1]Parametros!$B$9/2))*[1]Parametros!$B$4))</f>
        <v>0.57009656464264347</v>
      </c>
      <c r="AW144" s="13">
        <f>AV144*2*((H144-2*([1]Parametros!$B$7+[1]Parametros!$B$9/2))+(I144-2*([1]Parametros!$B$7+[1]Parametros!$B$9/2)))*[1]Parametros!$B$4/[1]Parametros!$B$3</f>
        <v>928.80132311579473</v>
      </c>
      <c r="AX144" s="14">
        <v>8</v>
      </c>
      <c r="AY144" s="13" t="str">
        <f t="shared" si="33"/>
        <v>CUMPLE</v>
      </c>
      <c r="AZ144" s="13" t="str">
        <f t="shared" si="34"/>
        <v>CUMPLE</v>
      </c>
      <c r="BA144" s="14">
        <v>12.7</v>
      </c>
      <c r="BB144" s="14">
        <v>129</v>
      </c>
      <c r="BC144" s="13">
        <f>MAX(IF(AK144=0,0,AK144*1000/([1]Parametros!$B$4*MIN(U144,AB144))),MAX(0.062*SQRT([1]Parametros!$B$2)*H144/[1]Parametros!$B$4,0.35*H144/[1]Parametros!$B$4))</f>
        <v>1.1086125464977337</v>
      </c>
      <c r="BD144" s="13">
        <f t="shared" si="35"/>
        <v>1.1401931292852869</v>
      </c>
      <c r="BE144" s="13">
        <f t="shared" si="36"/>
        <v>2.3454545454545452</v>
      </c>
      <c r="BF144" s="13">
        <f>SQRT((AI144*1000/(H144*MIN(U144,AB144)))^2+(Q144*1000000*2*((H144-2*([1]Parametros!$B$7+[1]Parametros!$B$9/2))+(I144-2*([1]Parametros!$B$7+[1]Parametros!$B$9/2)))/(1.7*((H144-2*([1]Parametros!$B$7+[1]Parametros!$B$9/2))*(I144-2*([1]Parametros!$B$7+[1]Parametros!$B$9/2)))^2))^2)</f>
        <v>2.3045116603693225</v>
      </c>
      <c r="BG144" s="13">
        <f>[1]Parametros!$B$6*(AJ144*1000/(H144*MIN(U144,AB144))+0.66*SQRT([1]Parametros!$B$2))</f>
        <v>3.2939603822754151</v>
      </c>
      <c r="BH144" s="13" t="str">
        <f t="shared" si="37"/>
        <v>CUMPLE</v>
      </c>
      <c r="BI144" s="13">
        <f>AX144*[1]Parametros!$B$8</f>
        <v>1592</v>
      </c>
      <c r="BJ144" s="15" t="str">
        <f t="shared" si="38"/>
        <v>CUMPLE</v>
      </c>
    </row>
    <row r="145" spans="1:62" x14ac:dyDescent="0.3">
      <c r="A145" s="20" t="s">
        <v>69</v>
      </c>
      <c r="B145" s="21">
        <v>842</v>
      </c>
      <c r="C145" s="13">
        <v>1</v>
      </c>
      <c r="D145" s="13">
        <v>3.3</v>
      </c>
      <c r="E145" s="13">
        <v>3.3</v>
      </c>
      <c r="F145" s="13">
        <v>450</v>
      </c>
      <c r="G145" s="13">
        <v>550</v>
      </c>
      <c r="H145" s="13">
        <v>450</v>
      </c>
      <c r="I145" s="13">
        <v>550</v>
      </c>
      <c r="J145" s="14">
        <v>169.04949999999999</v>
      </c>
      <c r="K145" s="13">
        <v>842</v>
      </c>
      <c r="L145" s="14">
        <v>104.1942</v>
      </c>
      <c r="M145" s="13">
        <v>842</v>
      </c>
      <c r="N145" s="14">
        <v>126.107</v>
      </c>
      <c r="O145" s="14">
        <v>383.726</v>
      </c>
      <c r="P145" s="13">
        <v>842</v>
      </c>
      <c r="Q145" s="14">
        <v>80.904899999999998</v>
      </c>
      <c r="R145" s="13">
        <f>MAX(MAX(1.4/[1]Parametros!$B$3,0.25*SQRT([1]Parametros!$B$2)/[1]Parametros!$B$3)*H145*U145,(0.85*[1]Parametros!$B$2/[1]Parametros!$B$3)*(1-SQRT(1-2*(J145*1000000/([1]Parametros!$B$5*H145*U145^2))/(0.85*[1]Parametros!$B$2)))*H145*U145)</f>
        <v>950.07626275193184</v>
      </c>
      <c r="S145" s="14">
        <v>5</v>
      </c>
      <c r="T145" s="14">
        <v>1</v>
      </c>
      <c r="U145" s="13">
        <f>IF(T145=1,I145-([1]Parametros!$B$7+[1]Parametros!$B$9+[1]Parametros!$B$12/2),I145-(ROUNDUP(S145/2,0)*([1]Parametros!$B$7+[1]Parametros!$B$9+[1]Parametros!$B$12/2)+ROUNDDOWN(S145/2,0)*([1]Parametros!$B$7+[1]Parametros!$B$9+[1]Parametros!$B$12/2+[1]Parametros!$B$12+[1]Parametros!$B$10))/S145)</f>
        <v>489.35</v>
      </c>
      <c r="V145" s="13">
        <f>S145*[1]Parametros!$B$8</f>
        <v>995</v>
      </c>
      <c r="W145" s="13">
        <f>[1]Parametros!$B$5*V145*[1]Parametros!$B$3*(U145-(V145*[1]Parametros!$B$3/(0.85*[1]Parametros!$B$2*H145))/2)/1000000</f>
        <v>176.71159614705886</v>
      </c>
      <c r="X145" s="13" t="str">
        <f t="shared" si="26"/>
        <v>CUMPLE</v>
      </c>
      <c r="Y145" s="13">
        <f>MAX(MAX(1.4/[1]Parametros!$B$3,0.25*SQRT([1]Parametros!$B$2)/[1]Parametros!$B$3)*H145*AB145,(0.85*[1]Parametros!$B$2/[1]Parametros!$B$3)*(1-SQRT(1-2*(L145*1000000/([1]Parametros!$B$5*H145*AB145^2))/(0.85*[1]Parametros!$B$2)))*H145*AB145)</f>
        <v>734.02500000000009</v>
      </c>
      <c r="Z145" s="14">
        <v>4</v>
      </c>
      <c r="AA145" s="14">
        <v>1</v>
      </c>
      <c r="AB145" s="13">
        <f>IF(AA145=1,I145-([1]Parametros!$B$7+[1]Parametros!$B$9+[1]Parametros!$B$12/2),I145-(ROUNDUP(Z145/2,0)*([1]Parametros!$B$7+[1]Parametros!$B$9+[1]Parametros!$B$12/2)+ROUNDDOWN(Z145/2,0)*([1]Parametros!$B$7+[1]Parametros!$B$9+[1]Parametros!$B$12/2+[1]Parametros!$B$12+[1]Parametros!$B$10))/Z145)</f>
        <v>489.35</v>
      </c>
      <c r="AC145" s="13">
        <f>Z145*[1]Parametros!$B$8</f>
        <v>796</v>
      </c>
      <c r="AD145" s="13">
        <f>[1]Parametros!$B$5*AC145*[1]Parametros!$B$3*(AB145-(AC145*[1]Parametros!$B$3/(0.85*[1]Parametros!$B$2*H145))/2)/1000000</f>
        <v>142.54333009411764</v>
      </c>
      <c r="AE145" s="13" t="str">
        <f t="shared" si="27"/>
        <v>CUMPLE</v>
      </c>
      <c r="AF145" s="13">
        <f>V145*1.25*[1]Parametros!$B$3*(U145-(V145*1.25*[1]Parametros!$B$3/(0.85*[1]Parametros!$B$2*H145))/2)/1000000</f>
        <v>242.88491397058826</v>
      </c>
      <c r="AG145" s="13">
        <f>AC145*1.25*[1]Parametros!$B$3*(AB145-(AC145*1.25*[1]Parametros!$B$3/(0.85*[1]Parametros!$B$2*H145))/2)/1000000</f>
        <v>196.34621794117646</v>
      </c>
      <c r="AH145" s="13">
        <f t="shared" si="28"/>
        <v>259.20734300356503</v>
      </c>
      <c r="AI145" s="13">
        <f t="shared" si="29"/>
        <v>383.726</v>
      </c>
      <c r="AJ145" s="13">
        <f>0.17*SQRT([1]Parametros!$B$2)*H145*MIN(U145,AB145)/1000</f>
        <v>198.08885582262698</v>
      </c>
      <c r="AK145" s="13">
        <f>MAX(AI145/[1]Parametros!$B$6-AJ145,0)</f>
        <v>313.54581084403969</v>
      </c>
      <c r="AL145" s="13">
        <f>0.66*SQRT([1]Parametros!$B$2)*H145*MIN(U145,AB145)/1000</f>
        <v>769.05085201725785</v>
      </c>
      <c r="AM145" s="13" t="str">
        <f t="shared" si="30"/>
        <v>CUMPLE</v>
      </c>
      <c r="AN145" s="13" t="s">
        <v>68</v>
      </c>
      <c r="AO145" s="14">
        <v>4</v>
      </c>
      <c r="AP145" s="13">
        <f>ROUNDDOWN(MIN(IF(BC145+BD145=0,1000000000,AO145*BB145/(BC145+BD145)),MIN(U145,AB145)/4,8*[1]Parametros!$B$12,24*BA145,300,IF(AV145=0,1000000000,2*((H145-2*([1]Parametros!$B$7+[1]Parametros!$B$9/2))+(I145-2*([1]Parametros!$B$7+[1]Parametros!$B$9/2)))/8))/10,0)*10</f>
        <v>120</v>
      </c>
      <c r="AQ145" s="13">
        <f>ROUNDDOWN(MIN(IF(BC145+BD145=0,1000000000,AO145*BB145/(BC145+BD145)),IF(AK145&gt;0.33*SQRT([1]Parametros!$B$2)*H145*MIN(U145,AB145)/1000,MIN(U145,AB145)/4,MIN(U145,AB145)/2),600,IF(AV145=0,1000000000,2*((H145-2*([1]Parametros!$B$7+[1]Parametros!$B$9/2))+(I145-2*([1]Parametros!$B$7+[1]Parametros!$B$9/2)))/8))/10,0)*10</f>
        <v>150</v>
      </c>
      <c r="AR145" s="13">
        <f>[1]Parametros!$B$6*(AJ145+MAX(BE145-BD145,0)*[1]Parametros!$B$4*MIN(U145,AB145)/1000)</f>
        <v>526.32793892467248</v>
      </c>
      <c r="AS145" s="13" t="str">
        <f t="shared" si="31"/>
        <v>CUMPLE</v>
      </c>
      <c r="AT145" s="13">
        <f>[1]Parametros!$B$6*0.083*SQRT([1]Parametros!$B$2)*(H145*I145)^2/(2*(H145+I145))/1000000</f>
        <v>10.08878303333792</v>
      </c>
      <c r="AU145" s="13" t="str">
        <f t="shared" si="32"/>
        <v>DISEÑAR</v>
      </c>
      <c r="AV145" s="13">
        <f>IF(Q145&lt;=AT145,0,Q145*1000000/([1]Parametros!$B$6*2*0.85*(H145-2*([1]Parametros!$B$7+[1]Parametros!$B$9/2))*(I145-2*([1]Parametros!$B$7+[1]Parametros!$B$9/2))*[1]Parametros!$B$4))</f>
        <v>0.92465800257321529</v>
      </c>
      <c r="AW145" s="13">
        <f>AV145*2*((H145-2*([1]Parametros!$B$7+[1]Parametros!$B$9/2))+(I145-2*([1]Parametros!$B$7+[1]Parametros!$B$9/2)))*[1]Parametros!$B$4/[1]Parametros!$B$3</f>
        <v>1506.4528177922825</v>
      </c>
      <c r="AX145" s="14">
        <v>8</v>
      </c>
      <c r="AY145" s="13" t="str">
        <f t="shared" si="33"/>
        <v>NO CUMPLE</v>
      </c>
      <c r="AZ145" s="13" t="str">
        <f t="shared" si="34"/>
        <v>NO CUMPLE</v>
      </c>
      <c r="BA145" s="14">
        <v>12.7</v>
      </c>
      <c r="BB145" s="14">
        <v>129</v>
      </c>
      <c r="BC145" s="13">
        <f>MAX(IF(AK145=0,0,AK145*1000/([1]Parametros!$B$4*MIN(U145,AB145))),MAX(0.062*SQRT([1]Parametros!$B$2)*H145/[1]Parametros!$B$4,0.35*H145/[1]Parametros!$B$4))</f>
        <v>1.525569929226037</v>
      </c>
      <c r="BD145" s="13">
        <f t="shared" si="35"/>
        <v>1.8493160051464306</v>
      </c>
      <c r="BE145" s="13">
        <f t="shared" si="36"/>
        <v>4.3</v>
      </c>
      <c r="BF145" s="13">
        <f>SQRT((AI145*1000/(H145*MIN(U145,AB145)))^2+(Q145*1000000*2*((H145-2*([1]Parametros!$B$7+[1]Parametros!$B$9/2))+(I145-2*([1]Parametros!$B$7+[1]Parametros!$B$9/2)))/(1.7*((H145-2*([1]Parametros!$B$7+[1]Parametros!$B$9/2))*(I145-2*([1]Parametros!$B$7+[1]Parametros!$B$9/2)))^2))^2)</f>
        <v>3.386904199732339</v>
      </c>
      <c r="BG145" s="13">
        <f>[1]Parametros!$B$6*(AJ145*1000/(H145*MIN(U145,AB145))+0.66*SQRT([1]Parametros!$B$2))</f>
        <v>3.2939603822754151</v>
      </c>
      <c r="BH145" s="13" t="str">
        <f t="shared" si="37"/>
        <v>NO CUMPLE</v>
      </c>
      <c r="BI145" s="13">
        <f>AX145*[1]Parametros!$B$8</f>
        <v>1592</v>
      </c>
      <c r="BJ145" s="15" t="str">
        <f t="shared" si="38"/>
        <v>CUMPLE</v>
      </c>
    </row>
    <row r="146" spans="1:62" x14ac:dyDescent="0.3">
      <c r="A146" s="20" t="s">
        <v>69</v>
      </c>
      <c r="B146" s="21">
        <v>843</v>
      </c>
      <c r="C146" s="13">
        <v>1</v>
      </c>
      <c r="D146" s="13">
        <v>3.3</v>
      </c>
      <c r="E146" s="13">
        <v>3.3</v>
      </c>
      <c r="F146" s="13">
        <v>450</v>
      </c>
      <c r="G146" s="13">
        <v>550</v>
      </c>
      <c r="H146" s="13">
        <v>450</v>
      </c>
      <c r="I146" s="13">
        <v>550</v>
      </c>
      <c r="J146" s="14">
        <v>168.93510000000001</v>
      </c>
      <c r="K146" s="13">
        <v>843</v>
      </c>
      <c r="L146" s="14">
        <v>104.18219999999999</v>
      </c>
      <c r="M146" s="13">
        <v>843</v>
      </c>
      <c r="N146" s="14">
        <v>126.002</v>
      </c>
      <c r="O146" s="14">
        <v>383.601</v>
      </c>
      <c r="P146" s="13">
        <v>843</v>
      </c>
      <c r="Q146" s="14">
        <v>80.840199999999996</v>
      </c>
      <c r="R146" s="13">
        <f>MAX(MAX(1.4/[1]Parametros!$B$3,0.25*SQRT([1]Parametros!$B$2)/[1]Parametros!$B$3)*H146*U146,(0.85*[1]Parametros!$B$2/[1]Parametros!$B$3)*(1-SQRT(1-2*(J146*1000000/([1]Parametros!$B$5*H146*U146^2))/(0.85*[1]Parametros!$B$2)))*H146*U146)</f>
        <v>949.4068489064714</v>
      </c>
      <c r="S146" s="14">
        <v>5</v>
      </c>
      <c r="T146" s="14">
        <v>1</v>
      </c>
      <c r="U146" s="13">
        <f>IF(T146=1,I146-([1]Parametros!$B$7+[1]Parametros!$B$9+[1]Parametros!$B$12/2),I146-(ROUNDUP(S146/2,0)*([1]Parametros!$B$7+[1]Parametros!$B$9+[1]Parametros!$B$12/2)+ROUNDDOWN(S146/2,0)*([1]Parametros!$B$7+[1]Parametros!$B$9+[1]Parametros!$B$12/2+[1]Parametros!$B$12+[1]Parametros!$B$10))/S146)</f>
        <v>489.35</v>
      </c>
      <c r="V146" s="13">
        <f>S146*[1]Parametros!$B$8</f>
        <v>995</v>
      </c>
      <c r="W146" s="13">
        <f>[1]Parametros!$B$5*V146*[1]Parametros!$B$3*(U146-(V146*[1]Parametros!$B$3/(0.85*[1]Parametros!$B$2*H146))/2)/1000000</f>
        <v>176.71159614705886</v>
      </c>
      <c r="X146" s="13" t="str">
        <f t="shared" si="26"/>
        <v>CUMPLE</v>
      </c>
      <c r="Y146" s="13">
        <f>MAX(MAX(1.4/[1]Parametros!$B$3,0.25*SQRT([1]Parametros!$B$2)/[1]Parametros!$B$3)*H146*AB146,(0.85*[1]Parametros!$B$2/[1]Parametros!$B$3)*(1-SQRT(1-2*(L146*1000000/([1]Parametros!$B$5*H146*AB146^2))/(0.85*[1]Parametros!$B$2)))*H146*AB146)</f>
        <v>734.02500000000009</v>
      </c>
      <c r="Z146" s="14">
        <v>4</v>
      </c>
      <c r="AA146" s="14">
        <v>1</v>
      </c>
      <c r="AB146" s="13">
        <f>IF(AA146=1,I146-([1]Parametros!$B$7+[1]Parametros!$B$9+[1]Parametros!$B$12/2),I146-(ROUNDUP(Z146/2,0)*([1]Parametros!$B$7+[1]Parametros!$B$9+[1]Parametros!$B$12/2)+ROUNDDOWN(Z146/2,0)*([1]Parametros!$B$7+[1]Parametros!$B$9+[1]Parametros!$B$12/2+[1]Parametros!$B$12+[1]Parametros!$B$10))/Z146)</f>
        <v>489.35</v>
      </c>
      <c r="AC146" s="13">
        <f>Z146*[1]Parametros!$B$8</f>
        <v>796</v>
      </c>
      <c r="AD146" s="13">
        <f>[1]Parametros!$B$5*AC146*[1]Parametros!$B$3*(AB146-(AC146*[1]Parametros!$B$3/(0.85*[1]Parametros!$B$2*H146))/2)/1000000</f>
        <v>142.54333009411764</v>
      </c>
      <c r="AE146" s="13" t="str">
        <f t="shared" si="27"/>
        <v>CUMPLE</v>
      </c>
      <c r="AF146" s="13">
        <f>V146*1.25*[1]Parametros!$B$3*(U146-(V146*1.25*[1]Parametros!$B$3/(0.85*[1]Parametros!$B$2*H146))/2)/1000000</f>
        <v>242.88491397058826</v>
      </c>
      <c r="AG146" s="13">
        <f>AC146*1.25*[1]Parametros!$B$3*(AB146-(AC146*1.25*[1]Parametros!$B$3/(0.85*[1]Parametros!$B$2*H146))/2)/1000000</f>
        <v>196.34621794117646</v>
      </c>
      <c r="AH146" s="13">
        <f t="shared" si="28"/>
        <v>259.10234300356507</v>
      </c>
      <c r="AI146" s="13">
        <f t="shared" si="29"/>
        <v>383.601</v>
      </c>
      <c r="AJ146" s="13">
        <f>0.17*SQRT([1]Parametros!$B$2)*H146*MIN(U146,AB146)/1000</f>
        <v>198.08885582262698</v>
      </c>
      <c r="AK146" s="13">
        <f>MAX(AI146/[1]Parametros!$B$6-AJ146,0)</f>
        <v>313.37914417737306</v>
      </c>
      <c r="AL146" s="13">
        <f>0.66*SQRT([1]Parametros!$B$2)*H146*MIN(U146,AB146)/1000</f>
        <v>769.05085201725785</v>
      </c>
      <c r="AM146" s="13" t="str">
        <f t="shared" si="30"/>
        <v>CUMPLE</v>
      </c>
      <c r="AN146" s="13" t="s">
        <v>68</v>
      </c>
      <c r="AO146" s="14">
        <v>4</v>
      </c>
      <c r="AP146" s="13">
        <f>ROUNDDOWN(MIN(IF(BC146+BD146=0,1000000000,AO146*BB146/(BC146+BD146)),MIN(U146,AB146)/4,8*[1]Parametros!$B$12,24*BA146,300,IF(AV146=0,1000000000,2*((H146-2*([1]Parametros!$B$7+[1]Parametros!$B$9/2))+(I146-2*([1]Parametros!$B$7+[1]Parametros!$B$9/2)))/8))/10,0)*10</f>
        <v>120</v>
      </c>
      <c r="AQ146" s="13">
        <f>ROUNDDOWN(MIN(IF(BC146+BD146=0,1000000000,AO146*BB146/(BC146+BD146)),IF(AK146&gt;0.33*SQRT([1]Parametros!$B$2)*H146*MIN(U146,AB146)/1000,MIN(U146,AB146)/4,MIN(U146,AB146)/2),600,IF(AV146=0,1000000000,2*((H146-2*([1]Parametros!$B$7+[1]Parametros!$B$9/2))+(I146-2*([1]Parametros!$B$7+[1]Parametros!$B$9/2)))/8))/10,0)*10</f>
        <v>150</v>
      </c>
      <c r="AR146" s="13">
        <f>[1]Parametros!$B$6*(AJ146+MAX(BE146-BD146,0)*[1]Parametros!$B$4*MIN(U146,AB146)/1000)</f>
        <v>526.55590526642504</v>
      </c>
      <c r="AS146" s="13" t="str">
        <f t="shared" si="31"/>
        <v>CUMPLE</v>
      </c>
      <c r="AT146" s="13">
        <f>[1]Parametros!$B$6*0.083*SQRT([1]Parametros!$B$2)*(H146*I146)^2/(2*(H146+I146))/1000000</f>
        <v>10.08878303333792</v>
      </c>
      <c r="AU146" s="13" t="str">
        <f t="shared" si="32"/>
        <v>DISEÑAR</v>
      </c>
      <c r="AV146" s="13">
        <f>IF(Q146&lt;=AT146,0,Q146*1000000/([1]Parametros!$B$6*2*0.85*(H146-2*([1]Parametros!$B$7+[1]Parametros!$B$9/2))*(I146-2*([1]Parametros!$B$7+[1]Parametros!$B$9/2))*[1]Parametros!$B$4))</f>
        <v>0.92391854955162467</v>
      </c>
      <c r="AW146" s="13">
        <f>AV146*2*((H146-2*([1]Parametros!$B$7+[1]Parametros!$B$9/2))+(I146-2*([1]Parametros!$B$7+[1]Parametros!$B$9/2)))*[1]Parametros!$B$4/[1]Parametros!$B$3</f>
        <v>1505.2481009295068</v>
      </c>
      <c r="AX146" s="14">
        <v>8</v>
      </c>
      <c r="AY146" s="13" t="str">
        <f t="shared" si="33"/>
        <v>NO CUMPLE</v>
      </c>
      <c r="AZ146" s="13" t="str">
        <f t="shared" si="34"/>
        <v>NO CUMPLE</v>
      </c>
      <c r="BA146" s="14">
        <v>12.7</v>
      </c>
      <c r="BB146" s="14">
        <v>129</v>
      </c>
      <c r="BC146" s="13">
        <f>MAX(IF(AK146=0,0,AK146*1000/([1]Parametros!$B$4*MIN(U146,AB146))),MAX(0.062*SQRT([1]Parametros!$B$2)*H146/[1]Parametros!$B$4,0.35*H146/[1]Parametros!$B$4))</f>
        <v>1.5247590057626155</v>
      </c>
      <c r="BD146" s="13">
        <f t="shared" si="35"/>
        <v>1.8478370991032493</v>
      </c>
      <c r="BE146" s="13">
        <f t="shared" si="36"/>
        <v>4.3</v>
      </c>
      <c r="BF146" s="13">
        <f>SQRT((AI146*1000/(H146*MIN(U146,AB146)))^2+(Q146*1000000*2*((H146-2*([1]Parametros!$B$7+[1]Parametros!$B$9/2))+(I146-2*([1]Parametros!$B$7+[1]Parametros!$B$9/2)))/(1.7*((H146-2*([1]Parametros!$B$7+[1]Parametros!$B$9/2))*(I146-2*([1]Parametros!$B$7+[1]Parametros!$B$9/2)))^2))^2)</f>
        <v>3.3846206734500677</v>
      </c>
      <c r="BG146" s="13">
        <f>[1]Parametros!$B$6*(AJ146*1000/(H146*MIN(U146,AB146))+0.66*SQRT([1]Parametros!$B$2))</f>
        <v>3.2939603822754151</v>
      </c>
      <c r="BH146" s="13" t="str">
        <f t="shared" si="37"/>
        <v>NO CUMPLE</v>
      </c>
      <c r="BI146" s="13">
        <f>AX146*[1]Parametros!$B$8</f>
        <v>1592</v>
      </c>
      <c r="BJ146" s="15" t="str">
        <f t="shared" si="38"/>
        <v>CUMPLE</v>
      </c>
    </row>
    <row r="147" spans="1:62" x14ac:dyDescent="0.3">
      <c r="A147" s="20" t="s">
        <v>69</v>
      </c>
      <c r="B147" s="21">
        <v>844</v>
      </c>
      <c r="C147" s="13">
        <v>1</v>
      </c>
      <c r="D147" s="13">
        <v>3.25</v>
      </c>
      <c r="E147" s="13">
        <v>3.25</v>
      </c>
      <c r="F147" s="13">
        <v>450</v>
      </c>
      <c r="G147" s="13">
        <v>550</v>
      </c>
      <c r="H147" s="13">
        <v>450</v>
      </c>
      <c r="I147" s="13">
        <v>550</v>
      </c>
      <c r="J147" s="14">
        <v>135.32210000000001</v>
      </c>
      <c r="K147" s="13">
        <v>844</v>
      </c>
      <c r="L147" s="14">
        <v>101.2449</v>
      </c>
      <c r="M147" s="13">
        <v>844</v>
      </c>
      <c r="N147" s="14">
        <v>84.213999999999999</v>
      </c>
      <c r="O147" s="14">
        <v>319.44499999999999</v>
      </c>
      <c r="P147" s="13">
        <v>844</v>
      </c>
      <c r="Q147" s="14">
        <v>49.883299999999998</v>
      </c>
      <c r="R147" s="13">
        <f>MAX(MAX(1.4/[1]Parametros!$B$3,0.25*SQRT([1]Parametros!$B$2)/[1]Parametros!$B$3)*H147*U147,(0.85*[1]Parametros!$B$2/[1]Parametros!$B$3)*(1-SQRT(1-2*(J147*1000000/([1]Parametros!$B$5*H147*U147^2))/(0.85*[1]Parametros!$B$2)))*H147*U147)</f>
        <v>754.37506707019531</v>
      </c>
      <c r="S147" s="14">
        <v>4</v>
      </c>
      <c r="T147" s="14">
        <v>1</v>
      </c>
      <c r="U147" s="13">
        <f>IF(T147=1,I147-([1]Parametros!$B$7+[1]Parametros!$B$9+[1]Parametros!$B$12/2),I147-(ROUNDUP(S147/2,0)*([1]Parametros!$B$7+[1]Parametros!$B$9+[1]Parametros!$B$12/2)+ROUNDDOWN(S147/2,0)*([1]Parametros!$B$7+[1]Parametros!$B$9+[1]Parametros!$B$12/2+[1]Parametros!$B$12+[1]Parametros!$B$10))/S147)</f>
        <v>489.35</v>
      </c>
      <c r="V147" s="13">
        <f>S147*[1]Parametros!$B$8</f>
        <v>796</v>
      </c>
      <c r="W147" s="13">
        <f>[1]Parametros!$B$5*V147*[1]Parametros!$B$3*(U147-(V147*[1]Parametros!$B$3/(0.85*[1]Parametros!$B$2*H147))/2)/1000000</f>
        <v>142.54333009411764</v>
      </c>
      <c r="X147" s="13" t="str">
        <f t="shared" si="26"/>
        <v>CUMPLE</v>
      </c>
      <c r="Y147" s="13">
        <f>MAX(MAX(1.4/[1]Parametros!$B$3,0.25*SQRT([1]Parametros!$B$2)/[1]Parametros!$B$3)*H147*AB147,(0.85*[1]Parametros!$B$2/[1]Parametros!$B$3)*(1-SQRT(1-2*(L147*1000000/([1]Parametros!$B$5*H147*AB147^2))/(0.85*[1]Parametros!$B$2)))*H147*AB147)</f>
        <v>734.02500000000009</v>
      </c>
      <c r="Z147" s="14">
        <v>4</v>
      </c>
      <c r="AA147" s="14">
        <v>1</v>
      </c>
      <c r="AB147" s="13">
        <f>IF(AA147=1,I147-([1]Parametros!$B$7+[1]Parametros!$B$9+[1]Parametros!$B$12/2),I147-(ROUNDUP(Z147/2,0)*([1]Parametros!$B$7+[1]Parametros!$B$9+[1]Parametros!$B$12/2)+ROUNDDOWN(Z147/2,0)*([1]Parametros!$B$7+[1]Parametros!$B$9+[1]Parametros!$B$12/2+[1]Parametros!$B$12+[1]Parametros!$B$10))/Z147)</f>
        <v>489.35</v>
      </c>
      <c r="AC147" s="13">
        <f>Z147*[1]Parametros!$B$8</f>
        <v>796</v>
      </c>
      <c r="AD147" s="13">
        <f>[1]Parametros!$B$5*AC147*[1]Parametros!$B$3*(AB147-(AC147*[1]Parametros!$B$3/(0.85*[1]Parametros!$B$2*H147))/2)/1000000</f>
        <v>142.54333009411764</v>
      </c>
      <c r="AE147" s="13" t="str">
        <f t="shared" si="27"/>
        <v>CUMPLE</v>
      </c>
      <c r="AF147" s="13">
        <f>V147*1.25*[1]Parametros!$B$3*(U147-(V147*1.25*[1]Parametros!$B$3/(0.85*[1]Parametros!$B$2*H147))/2)/1000000</f>
        <v>196.34621794117646</v>
      </c>
      <c r="AG147" s="13">
        <f>AC147*1.25*[1]Parametros!$B$3*(AB147-(AC147*1.25*[1]Parametros!$B$3/(0.85*[1]Parametros!$B$2*H147))/2)/1000000</f>
        <v>196.34621794117646</v>
      </c>
      <c r="AH147" s="13">
        <f t="shared" si="28"/>
        <v>205.04244180995474</v>
      </c>
      <c r="AI147" s="13">
        <f t="shared" si="29"/>
        <v>319.44499999999999</v>
      </c>
      <c r="AJ147" s="13">
        <f>0.17*SQRT([1]Parametros!$B$2)*H147*MIN(U147,AB147)/1000</f>
        <v>198.08885582262698</v>
      </c>
      <c r="AK147" s="13">
        <f>MAX(AI147/[1]Parametros!$B$6-AJ147,0)</f>
        <v>227.83781084403969</v>
      </c>
      <c r="AL147" s="13">
        <f>0.66*SQRT([1]Parametros!$B$2)*H147*MIN(U147,AB147)/1000</f>
        <v>769.05085201725785</v>
      </c>
      <c r="AM147" s="13" t="str">
        <f t="shared" si="30"/>
        <v>CUMPLE</v>
      </c>
      <c r="AN147" s="13" t="s">
        <v>68</v>
      </c>
      <c r="AO147" s="14">
        <v>2</v>
      </c>
      <c r="AP147" s="13">
        <f>ROUNDDOWN(MIN(IF(BC147+BD147=0,1000000000,AO147*BB147/(BC147+BD147)),MIN(U147,AB147)/4,8*[1]Parametros!$B$12,24*BA147,300,IF(AV147=0,1000000000,2*((H147-2*([1]Parametros!$B$7+[1]Parametros!$B$9/2))+(I147-2*([1]Parametros!$B$7+[1]Parametros!$B$9/2)))/8))/10,0)*10</f>
        <v>110</v>
      </c>
      <c r="AQ147" s="13">
        <f>ROUNDDOWN(MIN(IF(BC147+BD147=0,1000000000,AO147*BB147/(BC147+BD147)),IF(AK147&gt;0.33*SQRT([1]Parametros!$B$2)*H147*MIN(U147,AB147)/1000,MIN(U147,AB147)/4,MIN(U147,AB147)/2),600,IF(AV147=0,1000000000,2*((H147-2*([1]Parametros!$B$7+[1]Parametros!$B$9/2))+(I147-2*([1]Parametros!$B$7+[1]Parametros!$B$9/2)))/8))/10,0)*10</f>
        <v>110</v>
      </c>
      <c r="AR147" s="13">
        <f>[1]Parametros!$B$6*(AJ147+MAX(BE147-BD147,0)*[1]Parametros!$B$4*MIN(U147,AB147)/1000)</f>
        <v>334.34667902297986</v>
      </c>
      <c r="AS147" s="13" t="str">
        <f t="shared" si="31"/>
        <v>CUMPLE</v>
      </c>
      <c r="AT147" s="13">
        <f>[1]Parametros!$B$6*0.083*SQRT([1]Parametros!$B$2)*(H147*I147)^2/(2*(H147+I147))/1000000</f>
        <v>10.08878303333792</v>
      </c>
      <c r="AU147" s="13" t="str">
        <f t="shared" si="32"/>
        <v>DISEÑAR</v>
      </c>
      <c r="AV147" s="13">
        <f>IF(Q147&lt;=AT147,0,Q147*1000000/([1]Parametros!$B$6*2*0.85*(H147-2*([1]Parametros!$B$7+[1]Parametros!$B$9/2))*(I147-2*([1]Parametros!$B$7+[1]Parametros!$B$9/2))*[1]Parametros!$B$4))</f>
        <v>0.57011370806663708</v>
      </c>
      <c r="AW147" s="13">
        <f>AV147*2*((H147-2*([1]Parametros!$B$7+[1]Parametros!$B$9/2))+(I147-2*([1]Parametros!$B$7+[1]Parametros!$B$9/2)))*[1]Parametros!$B$4/[1]Parametros!$B$3</f>
        <v>928.82925318216519</v>
      </c>
      <c r="AX147" s="14">
        <v>8</v>
      </c>
      <c r="AY147" s="13" t="str">
        <f t="shared" si="33"/>
        <v>CUMPLE</v>
      </c>
      <c r="AZ147" s="13" t="str">
        <f t="shared" si="34"/>
        <v>CUMPLE</v>
      </c>
      <c r="BA147" s="14">
        <v>12.7</v>
      </c>
      <c r="BB147" s="14">
        <v>129</v>
      </c>
      <c r="BC147" s="13">
        <f>MAX(IF(AK147=0,0,AK147*1000/([1]Parametros!$B$4*MIN(U147,AB147))),MAX(0.062*SQRT([1]Parametros!$B$2)*H147/[1]Parametros!$B$4,0.35*H147/[1]Parametros!$B$4))</f>
        <v>1.1085541600083673</v>
      </c>
      <c r="BD147" s="13">
        <f t="shared" si="35"/>
        <v>1.1402274161332742</v>
      </c>
      <c r="BE147" s="13">
        <f t="shared" si="36"/>
        <v>2.3454545454545452</v>
      </c>
      <c r="BF147" s="13">
        <f>SQRT((AI147*1000/(H147*MIN(U147,AB147)))^2+(Q147*1000000*2*((H147-2*([1]Parametros!$B$7+[1]Parametros!$B$9/2))+(I147-2*([1]Parametros!$B$7+[1]Parametros!$B$9/2)))/(1.7*((H147-2*([1]Parametros!$B$7+[1]Parametros!$B$9/2))*(I147-2*([1]Parametros!$B$7+[1]Parametros!$B$9/2)))^2))^2)</f>
        <v>2.3045277709770131</v>
      </c>
      <c r="BG147" s="13">
        <f>[1]Parametros!$B$6*(AJ147*1000/(H147*MIN(U147,AB147))+0.66*SQRT([1]Parametros!$B$2))</f>
        <v>3.2939603822754151</v>
      </c>
      <c r="BH147" s="13" t="str">
        <f t="shared" si="37"/>
        <v>CUMPLE</v>
      </c>
      <c r="BI147" s="13">
        <f>AX147*[1]Parametros!$B$8</f>
        <v>1592</v>
      </c>
      <c r="BJ147" s="15" t="str">
        <f t="shared" si="38"/>
        <v>CUMPLE</v>
      </c>
    </row>
    <row r="148" spans="1:62" x14ac:dyDescent="0.3">
      <c r="A148" s="20" t="s">
        <v>69</v>
      </c>
      <c r="B148" s="21">
        <v>915</v>
      </c>
      <c r="C148" s="13">
        <v>1</v>
      </c>
      <c r="D148" s="13">
        <v>3.25</v>
      </c>
      <c r="E148" s="13">
        <v>3.25</v>
      </c>
      <c r="F148" s="13">
        <v>450</v>
      </c>
      <c r="G148" s="13">
        <v>550</v>
      </c>
      <c r="H148" s="13">
        <v>450</v>
      </c>
      <c r="I148" s="13">
        <v>550</v>
      </c>
      <c r="J148" s="14">
        <v>89.260099999999994</v>
      </c>
      <c r="K148" s="13">
        <v>915</v>
      </c>
      <c r="L148" s="14">
        <v>53.579099999999997</v>
      </c>
      <c r="M148" s="13">
        <v>915</v>
      </c>
      <c r="N148" s="14">
        <v>60.750999999999998</v>
      </c>
      <c r="O148" s="14">
        <v>197.011</v>
      </c>
      <c r="P148" s="13">
        <v>915</v>
      </c>
      <c r="Q148" s="14">
        <v>31.403600000000001</v>
      </c>
      <c r="R148" s="13">
        <f>MAX(MAX(1.4/[1]Parametros!$B$3,0.25*SQRT([1]Parametros!$B$2)/[1]Parametros!$B$3)*H148*U148,(0.85*[1]Parametros!$B$2/[1]Parametros!$B$3)*(1-SQRT(1-2*(J148*1000000/([1]Parametros!$B$5*H148*U148^2))/(0.85*[1]Parametros!$B$2)))*H148*U148)</f>
        <v>734.02500000000009</v>
      </c>
      <c r="S148" s="14">
        <v>4</v>
      </c>
      <c r="T148" s="14">
        <v>1</v>
      </c>
      <c r="U148" s="13">
        <f>IF(T148=1,I148-([1]Parametros!$B$7+[1]Parametros!$B$9+[1]Parametros!$B$12/2),I148-(ROUNDUP(S148/2,0)*([1]Parametros!$B$7+[1]Parametros!$B$9+[1]Parametros!$B$12/2)+ROUNDDOWN(S148/2,0)*([1]Parametros!$B$7+[1]Parametros!$B$9+[1]Parametros!$B$12/2+[1]Parametros!$B$12+[1]Parametros!$B$10))/S148)</f>
        <v>489.35</v>
      </c>
      <c r="V148" s="13">
        <f>S148*[1]Parametros!$B$8</f>
        <v>796</v>
      </c>
      <c r="W148" s="13">
        <f>[1]Parametros!$B$5*V148*[1]Parametros!$B$3*(U148-(V148*[1]Parametros!$B$3/(0.85*[1]Parametros!$B$2*H148))/2)/1000000</f>
        <v>142.54333009411764</v>
      </c>
      <c r="X148" s="13" t="str">
        <f t="shared" si="26"/>
        <v>CUMPLE</v>
      </c>
      <c r="Y148" s="13">
        <f>MAX(MAX(1.4/[1]Parametros!$B$3,0.25*SQRT([1]Parametros!$B$2)/[1]Parametros!$B$3)*H148*AB148,(0.85*[1]Parametros!$B$2/[1]Parametros!$B$3)*(1-SQRT(1-2*(L148*1000000/([1]Parametros!$B$5*H148*AB148^2))/(0.85*[1]Parametros!$B$2)))*H148*AB148)</f>
        <v>734.02500000000009</v>
      </c>
      <c r="Z148" s="14">
        <v>4</v>
      </c>
      <c r="AA148" s="14">
        <v>1</v>
      </c>
      <c r="AB148" s="13">
        <f>IF(AA148=1,I148-([1]Parametros!$B$7+[1]Parametros!$B$9+[1]Parametros!$B$12/2),I148-(ROUNDUP(Z148/2,0)*([1]Parametros!$B$7+[1]Parametros!$B$9+[1]Parametros!$B$12/2)+ROUNDDOWN(Z148/2,0)*([1]Parametros!$B$7+[1]Parametros!$B$9+[1]Parametros!$B$12/2+[1]Parametros!$B$12+[1]Parametros!$B$10))/Z148)</f>
        <v>489.35</v>
      </c>
      <c r="AC148" s="13">
        <f>Z148*[1]Parametros!$B$8</f>
        <v>796</v>
      </c>
      <c r="AD148" s="13">
        <f>[1]Parametros!$B$5*AC148*[1]Parametros!$B$3*(AB148-(AC148*[1]Parametros!$B$3/(0.85*[1]Parametros!$B$2*H148))/2)/1000000</f>
        <v>142.54333009411764</v>
      </c>
      <c r="AE148" s="13" t="str">
        <f t="shared" si="27"/>
        <v>CUMPLE</v>
      </c>
      <c r="AF148" s="13">
        <f>V148*1.25*[1]Parametros!$B$3*(U148-(V148*1.25*[1]Parametros!$B$3/(0.85*[1]Parametros!$B$2*H148))/2)/1000000</f>
        <v>196.34621794117646</v>
      </c>
      <c r="AG148" s="13">
        <f>AC148*1.25*[1]Parametros!$B$3*(AB148-(AC148*1.25*[1]Parametros!$B$3/(0.85*[1]Parametros!$B$2*H148))/2)/1000000</f>
        <v>196.34621794117646</v>
      </c>
      <c r="AH148" s="13">
        <f t="shared" si="28"/>
        <v>181.57944180995474</v>
      </c>
      <c r="AI148" s="13">
        <f t="shared" si="29"/>
        <v>197.011</v>
      </c>
      <c r="AJ148" s="13">
        <f>0.17*SQRT([1]Parametros!$B$2)*H148*MIN(U148,AB148)/1000</f>
        <v>198.08885582262698</v>
      </c>
      <c r="AK148" s="13">
        <f>MAX(AI148/[1]Parametros!$B$6-AJ148,0)</f>
        <v>64.592477510706345</v>
      </c>
      <c r="AL148" s="13">
        <f>0.66*SQRT([1]Parametros!$B$2)*H148*MIN(U148,AB148)/1000</f>
        <v>769.05085201725785</v>
      </c>
      <c r="AM148" s="13" t="str">
        <f t="shared" si="30"/>
        <v>CUMPLE</v>
      </c>
      <c r="AN148" s="13" t="s">
        <v>64</v>
      </c>
      <c r="AO148" s="14">
        <v>2</v>
      </c>
      <c r="AP148" s="13">
        <f>ROUNDDOWN(MIN(IF(BC148+BD148=0,1000000000,AO148*BB148/(BC148+BD148)),MIN(U148,AB148)/4,8*[1]Parametros!$B$12,24*BA148,300,IF(AV148=0,1000000000,2*((H148-2*([1]Parametros!$B$7+[1]Parametros!$B$9/2))+(I148-2*([1]Parametros!$B$7+[1]Parametros!$B$9/2)))/8))/10,0)*10</f>
        <v>120</v>
      </c>
      <c r="AQ148" s="13">
        <f>ROUNDDOWN(MIN(IF(BC148+BD148=0,1000000000,AO148*BB148/(BC148+BD148)),IF(AK148&gt;0.33*SQRT([1]Parametros!$B$2)*H148*MIN(U148,AB148)/1000,MIN(U148,AB148)/4,MIN(U148,AB148)/2),600,IF(AV148=0,1000000000,2*((H148-2*([1]Parametros!$B$7+[1]Parametros!$B$9/2))+(I148-2*([1]Parametros!$B$7+[1]Parametros!$B$9/2)))/8))/10,0)*10</f>
        <v>120</v>
      </c>
      <c r="AR148" s="13">
        <f>[1]Parametros!$B$6*(AJ148+MAX(BE148-BD148,0)*[1]Parametros!$B$4*MIN(U148,AB148)/1000)</f>
        <v>220.32326379719333</v>
      </c>
      <c r="AS148" s="13" t="str">
        <f t="shared" si="31"/>
        <v>CUMPLE</v>
      </c>
      <c r="AT148" s="13">
        <f>[1]Parametros!$B$6*0.083*SQRT([1]Parametros!$B$2)*(H148*I148)^2/(2*(H148+I148))/1000000</f>
        <v>10.08878303333792</v>
      </c>
      <c r="AU148" s="13" t="str">
        <f t="shared" si="32"/>
        <v>DISEÑAR</v>
      </c>
      <c r="AV148" s="13">
        <f>IF(Q148&lt;=AT148,0,Q148*1000000/([1]Parametros!$B$6*2*0.85*(H148-2*([1]Parametros!$B$7+[1]Parametros!$B$9/2))*(I148-2*([1]Parametros!$B$7+[1]Parametros!$B$9/2))*[1]Parametros!$B$4))</f>
        <v>0.35891015315028163</v>
      </c>
      <c r="AW148" s="13">
        <f>AV148*2*((H148-2*([1]Parametros!$B$7+[1]Parametros!$B$9/2))+(I148-2*([1]Parametros!$B$7+[1]Parametros!$B$9/2)))*[1]Parametros!$B$4/[1]Parametros!$B$3</f>
        <v>584.73642151243882</v>
      </c>
      <c r="AX148" s="14">
        <v>8</v>
      </c>
      <c r="AY148" s="13" t="str">
        <f t="shared" si="33"/>
        <v>CUMPLE</v>
      </c>
      <c r="AZ148" s="13" t="str">
        <f t="shared" si="34"/>
        <v>CUMPLE</v>
      </c>
      <c r="BA148" s="14">
        <v>9.5</v>
      </c>
      <c r="BB148" s="14">
        <v>71</v>
      </c>
      <c r="BC148" s="13">
        <f>MAX(IF(AK148=0,0,AK148*1000/([1]Parametros!$B$4*MIN(U148,AB148))),MAX(0.062*SQRT([1]Parametros!$B$2)*H148/[1]Parametros!$B$4,0.35*H148/[1]Parametros!$B$4))</f>
        <v>0.375</v>
      </c>
      <c r="BD148" s="13">
        <f t="shared" si="35"/>
        <v>0.71782030630056326</v>
      </c>
      <c r="BE148" s="13">
        <f t="shared" si="36"/>
        <v>1.1833333333333333</v>
      </c>
      <c r="BF148" s="13">
        <f>SQRT((AI148*1000/(H148*MIN(U148,AB148)))^2+(Q148*1000000*2*((H148-2*([1]Parametros!$B$7+[1]Parametros!$B$9/2))+(I148-2*([1]Parametros!$B$7+[1]Parametros!$B$9/2)))/(1.7*((H148-2*([1]Parametros!$B$7+[1]Parametros!$B$9/2))*(I148-2*([1]Parametros!$B$7+[1]Parametros!$B$9/2)))^2))^2)</f>
        <v>1.4391682965311201</v>
      </c>
      <c r="BG148" s="13">
        <f>[1]Parametros!$B$6*(AJ148*1000/(H148*MIN(U148,AB148))+0.66*SQRT([1]Parametros!$B$2))</f>
        <v>3.2939603822754151</v>
      </c>
      <c r="BH148" s="13" t="str">
        <f t="shared" si="37"/>
        <v>CUMPLE</v>
      </c>
      <c r="BI148" s="13">
        <f>AX148*[1]Parametros!$B$8</f>
        <v>1592</v>
      </c>
      <c r="BJ148" s="15" t="str">
        <f t="shared" si="38"/>
        <v>CUMPLE</v>
      </c>
    </row>
    <row r="149" spans="1:62" x14ac:dyDescent="0.3">
      <c r="A149" s="20" t="s">
        <v>69</v>
      </c>
      <c r="B149" s="21">
        <v>916</v>
      </c>
      <c r="C149" s="13">
        <v>1</v>
      </c>
      <c r="D149" s="13">
        <v>3.3</v>
      </c>
      <c r="E149" s="13">
        <v>3.3</v>
      </c>
      <c r="F149" s="13">
        <v>450</v>
      </c>
      <c r="G149" s="13">
        <v>550</v>
      </c>
      <c r="H149" s="13">
        <v>450</v>
      </c>
      <c r="I149" s="13">
        <v>550</v>
      </c>
      <c r="J149" s="14">
        <v>130.4829</v>
      </c>
      <c r="K149" s="13">
        <v>916</v>
      </c>
      <c r="L149" s="14">
        <v>66.103200000000001</v>
      </c>
      <c r="M149" s="13">
        <v>916</v>
      </c>
      <c r="N149" s="14">
        <v>105.092</v>
      </c>
      <c r="O149" s="14">
        <v>272.61</v>
      </c>
      <c r="P149" s="13">
        <v>916</v>
      </c>
      <c r="Q149" s="14">
        <v>45.720599999999997</v>
      </c>
      <c r="R149" s="13">
        <f>MAX(MAX(1.4/[1]Parametros!$B$3,0.25*SQRT([1]Parametros!$B$2)/[1]Parametros!$B$3)*H149*U149,(0.85*[1]Parametros!$B$2/[1]Parametros!$B$3)*(1-SQRT(1-2*(J149*1000000/([1]Parametros!$B$5*H149*U149^2))/(0.85*[1]Parametros!$B$2)))*H149*U149)</f>
        <v>734.02500000000009</v>
      </c>
      <c r="S149" s="14">
        <v>4</v>
      </c>
      <c r="T149" s="14">
        <v>1</v>
      </c>
      <c r="U149" s="13">
        <f>IF(T149=1,I149-([1]Parametros!$B$7+[1]Parametros!$B$9+[1]Parametros!$B$12/2),I149-(ROUNDUP(S149/2,0)*([1]Parametros!$B$7+[1]Parametros!$B$9+[1]Parametros!$B$12/2)+ROUNDDOWN(S149/2,0)*([1]Parametros!$B$7+[1]Parametros!$B$9+[1]Parametros!$B$12/2+[1]Parametros!$B$12+[1]Parametros!$B$10))/S149)</f>
        <v>489.35</v>
      </c>
      <c r="V149" s="13">
        <f>S149*[1]Parametros!$B$8</f>
        <v>796</v>
      </c>
      <c r="W149" s="13">
        <f>[1]Parametros!$B$5*V149*[1]Parametros!$B$3*(U149-(V149*[1]Parametros!$B$3/(0.85*[1]Parametros!$B$2*H149))/2)/1000000</f>
        <v>142.54333009411764</v>
      </c>
      <c r="X149" s="13" t="str">
        <f t="shared" si="26"/>
        <v>CUMPLE</v>
      </c>
      <c r="Y149" s="13">
        <f>MAX(MAX(1.4/[1]Parametros!$B$3,0.25*SQRT([1]Parametros!$B$2)/[1]Parametros!$B$3)*H149*AB149,(0.85*[1]Parametros!$B$2/[1]Parametros!$B$3)*(1-SQRT(1-2*(L149*1000000/([1]Parametros!$B$5*H149*AB149^2))/(0.85*[1]Parametros!$B$2)))*H149*AB149)</f>
        <v>734.02500000000009</v>
      </c>
      <c r="Z149" s="14">
        <v>4</v>
      </c>
      <c r="AA149" s="14">
        <v>1</v>
      </c>
      <c r="AB149" s="13">
        <f>IF(AA149=1,I149-([1]Parametros!$B$7+[1]Parametros!$B$9+[1]Parametros!$B$12/2),I149-(ROUNDUP(Z149/2,0)*([1]Parametros!$B$7+[1]Parametros!$B$9+[1]Parametros!$B$12/2)+ROUNDDOWN(Z149/2,0)*([1]Parametros!$B$7+[1]Parametros!$B$9+[1]Parametros!$B$12/2+[1]Parametros!$B$12+[1]Parametros!$B$10))/Z149)</f>
        <v>489.35</v>
      </c>
      <c r="AC149" s="13">
        <f>Z149*[1]Parametros!$B$8</f>
        <v>796</v>
      </c>
      <c r="AD149" s="13">
        <f>[1]Parametros!$B$5*AC149*[1]Parametros!$B$3*(AB149-(AC149*[1]Parametros!$B$3/(0.85*[1]Parametros!$B$2*H149))/2)/1000000</f>
        <v>142.54333009411764</v>
      </c>
      <c r="AE149" s="13" t="str">
        <f t="shared" si="27"/>
        <v>CUMPLE</v>
      </c>
      <c r="AF149" s="13">
        <f>V149*1.25*[1]Parametros!$B$3*(U149-(V149*1.25*[1]Parametros!$B$3/(0.85*[1]Parametros!$B$2*H149))/2)/1000000</f>
        <v>196.34621794117646</v>
      </c>
      <c r="AG149" s="13">
        <f>AC149*1.25*[1]Parametros!$B$3*(AB149-(AC149*1.25*[1]Parametros!$B$3/(0.85*[1]Parametros!$B$2*H149))/2)/1000000</f>
        <v>196.34621794117646</v>
      </c>
      <c r="AH149" s="13">
        <f t="shared" si="28"/>
        <v>224.08970784313726</v>
      </c>
      <c r="AI149" s="13">
        <f t="shared" si="29"/>
        <v>272.61</v>
      </c>
      <c r="AJ149" s="13">
        <f>0.17*SQRT([1]Parametros!$B$2)*H149*MIN(U149,AB149)/1000</f>
        <v>198.08885582262698</v>
      </c>
      <c r="AK149" s="13">
        <f>MAX(AI149/[1]Parametros!$B$6-AJ149,0)</f>
        <v>165.39114417737304</v>
      </c>
      <c r="AL149" s="13">
        <f>0.66*SQRT([1]Parametros!$B$2)*H149*MIN(U149,AB149)/1000</f>
        <v>769.05085201725785</v>
      </c>
      <c r="AM149" s="13" t="str">
        <f t="shared" si="30"/>
        <v>CUMPLE</v>
      </c>
      <c r="AN149" s="13" t="s">
        <v>68</v>
      </c>
      <c r="AO149" s="14">
        <v>2</v>
      </c>
      <c r="AP149" s="13">
        <f>ROUNDDOWN(MIN(IF(BC149+BD149=0,1000000000,AO149*BB149/(BC149+BD149)),MIN(U149,AB149)/4,8*[1]Parametros!$B$12,24*BA149,300,IF(AV149=0,1000000000,2*((H149-2*([1]Parametros!$B$7+[1]Parametros!$B$9/2))+(I149-2*([1]Parametros!$B$7+[1]Parametros!$B$9/2)))/8))/10,0)*10</f>
        <v>120</v>
      </c>
      <c r="AQ149" s="13">
        <f>ROUNDDOWN(MIN(IF(BC149+BD149=0,1000000000,AO149*BB149/(BC149+BD149)),IF(AK149&gt;0.33*SQRT([1]Parametros!$B$2)*H149*MIN(U149,AB149)/1000,MIN(U149,AB149)/4,MIN(U149,AB149)/2),600,IF(AV149=0,1000000000,2*((H149-2*([1]Parametros!$B$7+[1]Parametros!$B$9/2))+(I149-2*([1]Parametros!$B$7+[1]Parametros!$B$9/2)))/8))/10,0)*10</f>
        <v>130</v>
      </c>
      <c r="AR149" s="13">
        <f>[1]Parametros!$B$6*(AJ149+MAX(BE149-BD149,0)*[1]Parametros!$B$4*MIN(U149,AB149)/1000)</f>
        <v>318.88529838184297</v>
      </c>
      <c r="AS149" s="13" t="str">
        <f t="shared" si="31"/>
        <v>CUMPLE</v>
      </c>
      <c r="AT149" s="13">
        <f>[1]Parametros!$B$6*0.083*SQRT([1]Parametros!$B$2)*(H149*I149)^2/(2*(H149+I149))/1000000</f>
        <v>10.08878303333792</v>
      </c>
      <c r="AU149" s="13" t="str">
        <f t="shared" si="32"/>
        <v>DISEÑAR</v>
      </c>
      <c r="AV149" s="13">
        <f>IF(Q149&lt;=AT149,0,Q149*1000000/([1]Parametros!$B$6*2*0.85*(H149-2*([1]Parametros!$B$7+[1]Parametros!$B$9/2))*(I149-2*([1]Parametros!$B$7+[1]Parametros!$B$9/2))*[1]Parametros!$B$4))</f>
        <v>0.52253842069453083</v>
      </c>
      <c r="AW149" s="13">
        <f>AV149*2*((H149-2*([1]Parametros!$B$7+[1]Parametros!$B$9/2))+(I149-2*([1]Parametros!$B$7+[1]Parametros!$B$9/2)))*[1]Parametros!$B$4/[1]Parametros!$B$3</f>
        <v>851.31959499552954</v>
      </c>
      <c r="AX149" s="14">
        <v>8</v>
      </c>
      <c r="AY149" s="13" t="str">
        <f t="shared" si="33"/>
        <v>CUMPLE</v>
      </c>
      <c r="AZ149" s="13" t="str">
        <f t="shared" si="34"/>
        <v>CUMPLE</v>
      </c>
      <c r="BA149" s="14">
        <v>12.7</v>
      </c>
      <c r="BB149" s="14">
        <v>129</v>
      </c>
      <c r="BC149" s="13">
        <f>MAX(IF(AK149=0,0,AK149*1000/([1]Parametros!$B$4*MIN(U149,AB149))),MAX(0.062*SQRT([1]Parametros!$B$2)*H149/[1]Parametros!$B$4,0.35*H149/[1]Parametros!$B$4))</f>
        <v>0.80471735673353395</v>
      </c>
      <c r="BD149" s="13">
        <f t="shared" si="35"/>
        <v>1.0450768413890617</v>
      </c>
      <c r="BE149" s="13">
        <f t="shared" si="36"/>
        <v>2.15</v>
      </c>
      <c r="BF149" s="13">
        <f>SQRT((AI149*1000/(H149*MIN(U149,AB149)))^2+(Q149*1000000*2*((H149-2*([1]Parametros!$B$7+[1]Parametros!$B$9/2))+(I149-2*([1]Parametros!$B$7+[1]Parametros!$B$9/2)))/(1.7*((H149-2*([1]Parametros!$B$7+[1]Parametros!$B$9/2))*(I149-2*([1]Parametros!$B$7+[1]Parametros!$B$9/2)))^2))^2)</f>
        <v>2.0557715180360416</v>
      </c>
      <c r="BG149" s="13">
        <f>[1]Parametros!$B$6*(AJ149*1000/(H149*MIN(U149,AB149))+0.66*SQRT([1]Parametros!$B$2))</f>
        <v>3.2939603822754151</v>
      </c>
      <c r="BH149" s="13" t="str">
        <f t="shared" si="37"/>
        <v>CUMPLE</v>
      </c>
      <c r="BI149" s="13">
        <f>AX149*[1]Parametros!$B$8</f>
        <v>1592</v>
      </c>
      <c r="BJ149" s="15" t="str">
        <f t="shared" si="38"/>
        <v>CUMPLE</v>
      </c>
    </row>
    <row r="150" spans="1:62" x14ac:dyDescent="0.3">
      <c r="A150" s="20" t="s">
        <v>69</v>
      </c>
      <c r="B150" s="21">
        <v>917</v>
      </c>
      <c r="C150" s="13">
        <v>1</v>
      </c>
      <c r="D150" s="13">
        <v>3.3</v>
      </c>
      <c r="E150" s="13">
        <v>3.3</v>
      </c>
      <c r="F150" s="13">
        <v>450</v>
      </c>
      <c r="G150" s="13">
        <v>550</v>
      </c>
      <c r="H150" s="13">
        <v>450</v>
      </c>
      <c r="I150" s="13">
        <v>550</v>
      </c>
      <c r="J150" s="14">
        <v>130.60290000000001</v>
      </c>
      <c r="K150" s="13">
        <v>917</v>
      </c>
      <c r="L150" s="14">
        <v>66.138199999999998</v>
      </c>
      <c r="M150" s="13">
        <v>917</v>
      </c>
      <c r="N150" s="14">
        <v>105.176</v>
      </c>
      <c r="O150" s="14">
        <v>272.70800000000003</v>
      </c>
      <c r="P150" s="13">
        <v>917</v>
      </c>
      <c r="Q150" s="14">
        <v>45.775500000000001</v>
      </c>
      <c r="R150" s="13">
        <f>MAX(MAX(1.4/[1]Parametros!$B$3,0.25*SQRT([1]Parametros!$B$2)/[1]Parametros!$B$3)*H150*U150,(0.85*[1]Parametros!$B$2/[1]Parametros!$B$3)*(1-SQRT(1-2*(J150*1000000/([1]Parametros!$B$5*H150*U150^2))/(0.85*[1]Parametros!$B$2)))*H150*U150)</f>
        <v>734.02500000000009</v>
      </c>
      <c r="S150" s="14">
        <v>4</v>
      </c>
      <c r="T150" s="14">
        <v>1</v>
      </c>
      <c r="U150" s="13">
        <f>IF(T150=1,I150-([1]Parametros!$B$7+[1]Parametros!$B$9+[1]Parametros!$B$12/2),I150-(ROUNDUP(S150/2,0)*([1]Parametros!$B$7+[1]Parametros!$B$9+[1]Parametros!$B$12/2)+ROUNDDOWN(S150/2,0)*([1]Parametros!$B$7+[1]Parametros!$B$9+[1]Parametros!$B$12/2+[1]Parametros!$B$12+[1]Parametros!$B$10))/S150)</f>
        <v>489.35</v>
      </c>
      <c r="V150" s="13">
        <f>S150*[1]Parametros!$B$8</f>
        <v>796</v>
      </c>
      <c r="W150" s="13">
        <f>[1]Parametros!$B$5*V150*[1]Parametros!$B$3*(U150-(V150*[1]Parametros!$B$3/(0.85*[1]Parametros!$B$2*H150))/2)/1000000</f>
        <v>142.54333009411764</v>
      </c>
      <c r="X150" s="13" t="str">
        <f t="shared" si="26"/>
        <v>CUMPLE</v>
      </c>
      <c r="Y150" s="13">
        <f>MAX(MAX(1.4/[1]Parametros!$B$3,0.25*SQRT([1]Parametros!$B$2)/[1]Parametros!$B$3)*H150*AB150,(0.85*[1]Parametros!$B$2/[1]Parametros!$B$3)*(1-SQRT(1-2*(L150*1000000/([1]Parametros!$B$5*H150*AB150^2))/(0.85*[1]Parametros!$B$2)))*H150*AB150)</f>
        <v>734.02500000000009</v>
      </c>
      <c r="Z150" s="14">
        <v>4</v>
      </c>
      <c r="AA150" s="14">
        <v>1</v>
      </c>
      <c r="AB150" s="13">
        <f>IF(AA150=1,I150-([1]Parametros!$B$7+[1]Parametros!$B$9+[1]Parametros!$B$12/2),I150-(ROUNDUP(Z150/2,0)*([1]Parametros!$B$7+[1]Parametros!$B$9+[1]Parametros!$B$12/2)+ROUNDDOWN(Z150/2,0)*([1]Parametros!$B$7+[1]Parametros!$B$9+[1]Parametros!$B$12/2+[1]Parametros!$B$12+[1]Parametros!$B$10))/Z150)</f>
        <v>489.35</v>
      </c>
      <c r="AC150" s="13">
        <f>Z150*[1]Parametros!$B$8</f>
        <v>796</v>
      </c>
      <c r="AD150" s="13">
        <f>[1]Parametros!$B$5*AC150*[1]Parametros!$B$3*(AB150-(AC150*[1]Parametros!$B$3/(0.85*[1]Parametros!$B$2*H150))/2)/1000000</f>
        <v>142.54333009411764</v>
      </c>
      <c r="AE150" s="13" t="str">
        <f t="shared" si="27"/>
        <v>CUMPLE</v>
      </c>
      <c r="AF150" s="13">
        <f>V150*1.25*[1]Parametros!$B$3*(U150-(V150*1.25*[1]Parametros!$B$3/(0.85*[1]Parametros!$B$2*H150))/2)/1000000</f>
        <v>196.34621794117646</v>
      </c>
      <c r="AG150" s="13">
        <f>AC150*1.25*[1]Parametros!$B$3*(AB150-(AC150*1.25*[1]Parametros!$B$3/(0.85*[1]Parametros!$B$2*H150))/2)/1000000</f>
        <v>196.34621794117646</v>
      </c>
      <c r="AH150" s="13">
        <f t="shared" si="28"/>
        <v>224.17370784313727</v>
      </c>
      <c r="AI150" s="13">
        <f t="shared" si="29"/>
        <v>272.70800000000003</v>
      </c>
      <c r="AJ150" s="13">
        <f>0.17*SQRT([1]Parametros!$B$2)*H150*MIN(U150,AB150)/1000</f>
        <v>198.08885582262698</v>
      </c>
      <c r="AK150" s="13">
        <f>MAX(AI150/[1]Parametros!$B$6-AJ150,0)</f>
        <v>165.52181084403972</v>
      </c>
      <c r="AL150" s="13">
        <f>0.66*SQRT([1]Parametros!$B$2)*H150*MIN(U150,AB150)/1000</f>
        <v>769.05085201725785</v>
      </c>
      <c r="AM150" s="13" t="str">
        <f t="shared" si="30"/>
        <v>CUMPLE</v>
      </c>
      <c r="AN150" s="13" t="s">
        <v>68</v>
      </c>
      <c r="AO150" s="14">
        <v>2</v>
      </c>
      <c r="AP150" s="13">
        <f>ROUNDDOWN(MIN(IF(BC150+BD150=0,1000000000,AO150*BB150/(BC150+BD150)),MIN(U150,AB150)/4,8*[1]Parametros!$B$12,24*BA150,300,IF(AV150=0,1000000000,2*((H150-2*([1]Parametros!$B$7+[1]Parametros!$B$9/2))+(I150-2*([1]Parametros!$B$7+[1]Parametros!$B$9/2)))/8))/10,0)*10</f>
        <v>120</v>
      </c>
      <c r="AQ150" s="13">
        <f>ROUNDDOWN(MIN(IF(BC150+BD150=0,1000000000,AO150*BB150/(BC150+BD150)),IF(AK150&gt;0.33*SQRT([1]Parametros!$B$2)*H150*MIN(U150,AB150)/1000,MIN(U150,AB150)/4,MIN(U150,AB150)/2),600,IF(AV150=0,1000000000,2*((H150-2*([1]Parametros!$B$7+[1]Parametros!$B$9/2))+(I150-2*([1]Parametros!$B$7+[1]Parametros!$B$9/2)))/8))/10,0)*10</f>
        <v>130</v>
      </c>
      <c r="AR150" s="13">
        <f>[1]Parametros!$B$6*(AJ150+MAX(BE150-BD150,0)*[1]Parametros!$B$4*MIN(U150,AB150)/1000)</f>
        <v>318.69186171782104</v>
      </c>
      <c r="AS150" s="13" t="str">
        <f t="shared" si="31"/>
        <v>CUMPLE</v>
      </c>
      <c r="AT150" s="13">
        <f>[1]Parametros!$B$6*0.083*SQRT([1]Parametros!$B$2)*(H150*I150)^2/(2*(H150+I150))/1000000</f>
        <v>10.08878303333792</v>
      </c>
      <c r="AU150" s="13" t="str">
        <f t="shared" si="32"/>
        <v>DISEÑAR</v>
      </c>
      <c r="AV150" s="13">
        <f>IF(Q150&lt;=AT150,0,Q150*1000000/([1]Parametros!$B$6*2*0.85*(H150-2*([1]Parametros!$B$7+[1]Parametros!$B$9/2))*(I150-2*([1]Parametros!$B$7+[1]Parametros!$B$9/2))*[1]Parametros!$B$4))</f>
        <v>0.52316587001269654</v>
      </c>
      <c r="AW150" s="13">
        <f>AV150*2*((H150-2*([1]Parametros!$B$7+[1]Parametros!$B$9/2))+(I150-2*([1]Parametros!$B$7+[1]Parametros!$B$9/2)))*[1]Parametros!$B$4/[1]Parametros!$B$3</f>
        <v>852.34183542468531</v>
      </c>
      <c r="AX150" s="14">
        <v>8</v>
      </c>
      <c r="AY150" s="13" t="str">
        <f t="shared" si="33"/>
        <v>CUMPLE</v>
      </c>
      <c r="AZ150" s="13" t="str">
        <f t="shared" si="34"/>
        <v>CUMPLE</v>
      </c>
      <c r="BA150" s="14">
        <v>12.7</v>
      </c>
      <c r="BB150" s="14">
        <v>129</v>
      </c>
      <c r="BC150" s="13">
        <f>MAX(IF(AK150=0,0,AK150*1000/([1]Parametros!$B$4*MIN(U150,AB150))),MAX(0.062*SQRT([1]Parametros!$B$2)*H150/[1]Parametros!$B$4,0.35*H150/[1]Parametros!$B$4))</f>
        <v>0.80535312072885668</v>
      </c>
      <c r="BD150" s="13">
        <f t="shared" si="35"/>
        <v>1.0463317400253931</v>
      </c>
      <c r="BE150" s="13">
        <f t="shared" si="36"/>
        <v>2.15</v>
      </c>
      <c r="BF150" s="13">
        <f>SQRT((AI150*1000/(H150*MIN(U150,AB150)))^2+(Q150*1000000*2*((H150-2*([1]Parametros!$B$7+[1]Parametros!$B$9/2))+(I150-2*([1]Parametros!$B$7+[1]Parametros!$B$9/2)))/(1.7*((H150-2*([1]Parametros!$B$7+[1]Parametros!$B$9/2))*(I150-2*([1]Parametros!$B$7+[1]Parametros!$B$9/2)))^2))^2)</f>
        <v>2.057613025689673</v>
      </c>
      <c r="BG150" s="13">
        <f>[1]Parametros!$B$6*(AJ150*1000/(H150*MIN(U150,AB150))+0.66*SQRT([1]Parametros!$B$2))</f>
        <v>3.2939603822754151</v>
      </c>
      <c r="BH150" s="13" t="str">
        <f t="shared" si="37"/>
        <v>CUMPLE</v>
      </c>
      <c r="BI150" s="13">
        <f>AX150*[1]Parametros!$B$8</f>
        <v>1592</v>
      </c>
      <c r="BJ150" s="15" t="str">
        <f t="shared" si="38"/>
        <v>CUMPLE</v>
      </c>
    </row>
    <row r="151" spans="1:62" x14ac:dyDescent="0.3">
      <c r="A151" s="20" t="s">
        <v>69</v>
      </c>
      <c r="B151" s="21">
        <v>918</v>
      </c>
      <c r="C151" s="13">
        <v>1</v>
      </c>
      <c r="D151" s="13">
        <v>3.25</v>
      </c>
      <c r="E151" s="13">
        <v>3.25</v>
      </c>
      <c r="F151" s="13">
        <v>450</v>
      </c>
      <c r="G151" s="13">
        <v>550</v>
      </c>
      <c r="H151" s="13">
        <v>450</v>
      </c>
      <c r="I151" s="13">
        <v>550</v>
      </c>
      <c r="J151" s="14">
        <v>89.292400000000001</v>
      </c>
      <c r="K151" s="13">
        <v>918</v>
      </c>
      <c r="L151" s="14">
        <v>53.5959</v>
      </c>
      <c r="M151" s="13">
        <v>918</v>
      </c>
      <c r="N151" s="14">
        <v>60.768000000000001</v>
      </c>
      <c r="O151" s="14">
        <v>197.02799999999999</v>
      </c>
      <c r="P151" s="13">
        <v>918</v>
      </c>
      <c r="Q151" s="14">
        <v>31.400200000000002</v>
      </c>
      <c r="R151" s="13">
        <f>MAX(MAX(1.4/[1]Parametros!$B$3,0.25*SQRT([1]Parametros!$B$2)/[1]Parametros!$B$3)*H151*U151,(0.85*[1]Parametros!$B$2/[1]Parametros!$B$3)*(1-SQRT(1-2*(J151*1000000/([1]Parametros!$B$5*H151*U151^2))/(0.85*[1]Parametros!$B$2)))*H151*U151)</f>
        <v>734.02500000000009</v>
      </c>
      <c r="S151" s="14">
        <v>4</v>
      </c>
      <c r="T151" s="14">
        <v>1</v>
      </c>
      <c r="U151" s="13">
        <f>IF(T151=1,I151-([1]Parametros!$B$7+[1]Parametros!$B$9+[1]Parametros!$B$12/2),I151-(ROUNDUP(S151/2,0)*([1]Parametros!$B$7+[1]Parametros!$B$9+[1]Parametros!$B$12/2)+ROUNDDOWN(S151/2,0)*([1]Parametros!$B$7+[1]Parametros!$B$9+[1]Parametros!$B$12/2+[1]Parametros!$B$12+[1]Parametros!$B$10))/S151)</f>
        <v>489.35</v>
      </c>
      <c r="V151" s="13">
        <f>S151*[1]Parametros!$B$8</f>
        <v>796</v>
      </c>
      <c r="W151" s="13">
        <f>[1]Parametros!$B$5*V151*[1]Parametros!$B$3*(U151-(V151*[1]Parametros!$B$3/(0.85*[1]Parametros!$B$2*H151))/2)/1000000</f>
        <v>142.54333009411764</v>
      </c>
      <c r="X151" s="13" t="str">
        <f t="shared" si="26"/>
        <v>CUMPLE</v>
      </c>
      <c r="Y151" s="13">
        <f>MAX(MAX(1.4/[1]Parametros!$B$3,0.25*SQRT([1]Parametros!$B$2)/[1]Parametros!$B$3)*H151*AB151,(0.85*[1]Parametros!$B$2/[1]Parametros!$B$3)*(1-SQRT(1-2*(L151*1000000/([1]Parametros!$B$5*H151*AB151^2))/(0.85*[1]Parametros!$B$2)))*H151*AB151)</f>
        <v>734.02500000000009</v>
      </c>
      <c r="Z151" s="14">
        <v>4</v>
      </c>
      <c r="AA151" s="14">
        <v>1</v>
      </c>
      <c r="AB151" s="13">
        <f>IF(AA151=1,I151-([1]Parametros!$B$7+[1]Parametros!$B$9+[1]Parametros!$B$12/2),I151-(ROUNDUP(Z151/2,0)*([1]Parametros!$B$7+[1]Parametros!$B$9+[1]Parametros!$B$12/2)+ROUNDDOWN(Z151/2,0)*([1]Parametros!$B$7+[1]Parametros!$B$9+[1]Parametros!$B$12/2+[1]Parametros!$B$12+[1]Parametros!$B$10))/Z151)</f>
        <v>489.35</v>
      </c>
      <c r="AC151" s="13">
        <f>Z151*[1]Parametros!$B$8</f>
        <v>796</v>
      </c>
      <c r="AD151" s="13">
        <f>[1]Parametros!$B$5*AC151*[1]Parametros!$B$3*(AB151-(AC151*[1]Parametros!$B$3/(0.85*[1]Parametros!$B$2*H151))/2)/1000000</f>
        <v>142.54333009411764</v>
      </c>
      <c r="AE151" s="13" t="str">
        <f t="shared" si="27"/>
        <v>CUMPLE</v>
      </c>
      <c r="AF151" s="13">
        <f>V151*1.25*[1]Parametros!$B$3*(U151-(V151*1.25*[1]Parametros!$B$3/(0.85*[1]Parametros!$B$2*H151))/2)/1000000</f>
        <v>196.34621794117646</v>
      </c>
      <c r="AG151" s="13">
        <f>AC151*1.25*[1]Parametros!$B$3*(AB151-(AC151*1.25*[1]Parametros!$B$3/(0.85*[1]Parametros!$B$2*H151))/2)/1000000</f>
        <v>196.34621794117646</v>
      </c>
      <c r="AH151" s="13">
        <f t="shared" si="28"/>
        <v>181.59644180995474</v>
      </c>
      <c r="AI151" s="13">
        <f t="shared" si="29"/>
        <v>197.02799999999999</v>
      </c>
      <c r="AJ151" s="13">
        <f>0.17*SQRT([1]Parametros!$B$2)*H151*MIN(U151,AB151)/1000</f>
        <v>198.08885582262698</v>
      </c>
      <c r="AK151" s="13">
        <f>MAX(AI151/[1]Parametros!$B$6-AJ151,0)</f>
        <v>64.615144177373026</v>
      </c>
      <c r="AL151" s="13">
        <f>0.66*SQRT([1]Parametros!$B$2)*H151*MIN(U151,AB151)/1000</f>
        <v>769.05085201725785</v>
      </c>
      <c r="AM151" s="13" t="str">
        <f t="shared" si="30"/>
        <v>CUMPLE</v>
      </c>
      <c r="AN151" s="13" t="s">
        <v>64</v>
      </c>
      <c r="AO151" s="14">
        <v>2</v>
      </c>
      <c r="AP151" s="13">
        <f>ROUNDDOWN(MIN(IF(BC151+BD151=0,1000000000,AO151*BB151/(BC151+BD151)),MIN(U151,AB151)/4,8*[1]Parametros!$B$12,24*BA151,300,IF(AV151=0,1000000000,2*((H151-2*([1]Parametros!$B$7+[1]Parametros!$B$9/2))+(I151-2*([1]Parametros!$B$7+[1]Parametros!$B$9/2)))/8))/10,0)*10</f>
        <v>120</v>
      </c>
      <c r="AQ151" s="13">
        <f>ROUNDDOWN(MIN(IF(BC151+BD151=0,1000000000,AO151*BB151/(BC151+BD151)),IF(AK151&gt;0.33*SQRT([1]Parametros!$B$2)*H151*MIN(U151,AB151)/1000,MIN(U151,AB151)/4,MIN(U151,AB151)/2),600,IF(AV151=0,1000000000,2*((H151-2*([1]Parametros!$B$7+[1]Parametros!$B$9/2))+(I151-2*([1]Parametros!$B$7+[1]Parametros!$B$9/2)))/8))/10,0)*10</f>
        <v>120</v>
      </c>
      <c r="AR151" s="13">
        <f>[1]Parametros!$B$6*(AJ151+MAX(BE151-BD151,0)*[1]Parametros!$B$4*MIN(U151,AB151)/1000)</f>
        <v>220.33524348130396</v>
      </c>
      <c r="AS151" s="13" t="str">
        <f t="shared" si="31"/>
        <v>CUMPLE</v>
      </c>
      <c r="AT151" s="13">
        <f>[1]Parametros!$B$6*0.083*SQRT([1]Parametros!$B$2)*(H151*I151)^2/(2*(H151+I151))/1000000</f>
        <v>10.08878303333792</v>
      </c>
      <c r="AU151" s="13" t="str">
        <f t="shared" si="32"/>
        <v>DISEÑAR</v>
      </c>
      <c r="AV151" s="13">
        <f>IF(Q151&lt;=AT151,0,Q151*1000000/([1]Parametros!$B$6*2*0.85*(H151-2*([1]Parametros!$B$7+[1]Parametros!$B$9/2))*(I151-2*([1]Parametros!$B$7+[1]Parametros!$B$9/2))*[1]Parametros!$B$4))</f>
        <v>0.35887129472256285</v>
      </c>
      <c r="AW151" s="13">
        <f>AV151*2*((H151-2*([1]Parametros!$B$7+[1]Parametros!$B$9/2))+(I151-2*([1]Parametros!$B$7+[1]Parametros!$B$9/2)))*[1]Parametros!$B$4/[1]Parametros!$B$3</f>
        <v>584.67311336199941</v>
      </c>
      <c r="AX151" s="14">
        <v>8</v>
      </c>
      <c r="AY151" s="13" t="str">
        <f t="shared" si="33"/>
        <v>CUMPLE</v>
      </c>
      <c r="AZ151" s="13" t="str">
        <f t="shared" si="34"/>
        <v>CUMPLE</v>
      </c>
      <c r="BA151" s="14">
        <v>9.5</v>
      </c>
      <c r="BB151" s="14">
        <v>71</v>
      </c>
      <c r="BC151" s="13">
        <f>MAX(IF(AK151=0,0,AK151*1000/([1]Parametros!$B$4*MIN(U151,AB151))),MAX(0.062*SQRT([1]Parametros!$B$2)*H151/[1]Parametros!$B$4,0.35*H151/[1]Parametros!$B$4))</f>
        <v>0.375</v>
      </c>
      <c r="BD151" s="13">
        <f t="shared" si="35"/>
        <v>0.7177425894451257</v>
      </c>
      <c r="BE151" s="13">
        <f t="shared" si="36"/>
        <v>1.1833333333333333</v>
      </c>
      <c r="BF151" s="13">
        <f>SQRT((AI151*1000/(H151*MIN(U151,AB151)))^2+(Q151*1000000*2*((H151-2*([1]Parametros!$B$7+[1]Parametros!$B$9/2))+(I151-2*([1]Parametros!$B$7+[1]Parametros!$B$9/2)))/(1.7*((H151-2*([1]Parametros!$B$7+[1]Parametros!$B$9/2))*(I151-2*([1]Parametros!$B$7+[1]Parametros!$B$9/2)))^2))^2)</f>
        <v>1.439120693756343</v>
      </c>
      <c r="BG151" s="13">
        <f>[1]Parametros!$B$6*(AJ151*1000/(H151*MIN(U151,AB151))+0.66*SQRT([1]Parametros!$B$2))</f>
        <v>3.2939603822754151</v>
      </c>
      <c r="BH151" s="13" t="str">
        <f t="shared" si="37"/>
        <v>CUMPLE</v>
      </c>
      <c r="BI151" s="13">
        <f>AX151*[1]Parametros!$B$8</f>
        <v>1592</v>
      </c>
      <c r="BJ151" s="15" t="str">
        <f t="shared" si="38"/>
        <v>CUMPLE</v>
      </c>
    </row>
    <row r="152" spans="1:62" x14ac:dyDescent="0.3">
      <c r="A152" s="20" t="s">
        <v>69</v>
      </c>
      <c r="B152" s="21">
        <v>935</v>
      </c>
      <c r="C152" s="13">
        <v>1</v>
      </c>
      <c r="D152" s="13">
        <v>3.25</v>
      </c>
      <c r="E152" s="13">
        <v>3.25</v>
      </c>
      <c r="F152" s="13">
        <v>450</v>
      </c>
      <c r="G152" s="13">
        <v>550</v>
      </c>
      <c r="H152" s="13">
        <v>450</v>
      </c>
      <c r="I152" s="13">
        <v>550</v>
      </c>
      <c r="J152" s="14">
        <v>89.2821</v>
      </c>
      <c r="K152" s="13">
        <v>935</v>
      </c>
      <c r="L152" s="14">
        <v>53.601799999999997</v>
      </c>
      <c r="M152" s="13">
        <v>935</v>
      </c>
      <c r="N152" s="14">
        <v>60.753</v>
      </c>
      <c r="O152" s="14">
        <v>197.023</v>
      </c>
      <c r="P152" s="13">
        <v>935</v>
      </c>
      <c r="Q152" s="14">
        <v>31.387</v>
      </c>
      <c r="R152" s="13">
        <f>MAX(MAX(1.4/[1]Parametros!$B$3,0.25*SQRT([1]Parametros!$B$2)/[1]Parametros!$B$3)*H152*U152,(0.85*[1]Parametros!$B$2/[1]Parametros!$B$3)*(1-SQRT(1-2*(J152*1000000/([1]Parametros!$B$5*H152*U152^2))/(0.85*[1]Parametros!$B$2)))*H152*U152)</f>
        <v>734.02500000000009</v>
      </c>
      <c r="S152" s="14">
        <v>4</v>
      </c>
      <c r="T152" s="14">
        <v>1</v>
      </c>
      <c r="U152" s="13">
        <f>IF(T152=1,I152-([1]Parametros!$B$7+[1]Parametros!$B$9+[1]Parametros!$B$12/2),I152-(ROUNDUP(S152/2,0)*([1]Parametros!$B$7+[1]Parametros!$B$9+[1]Parametros!$B$12/2)+ROUNDDOWN(S152/2,0)*([1]Parametros!$B$7+[1]Parametros!$B$9+[1]Parametros!$B$12/2+[1]Parametros!$B$12+[1]Parametros!$B$10))/S152)</f>
        <v>489.35</v>
      </c>
      <c r="V152" s="13">
        <f>S152*[1]Parametros!$B$8</f>
        <v>796</v>
      </c>
      <c r="W152" s="13">
        <f>[1]Parametros!$B$5*V152*[1]Parametros!$B$3*(U152-(V152*[1]Parametros!$B$3/(0.85*[1]Parametros!$B$2*H152))/2)/1000000</f>
        <v>142.54333009411764</v>
      </c>
      <c r="X152" s="13" t="str">
        <f t="shared" si="26"/>
        <v>CUMPLE</v>
      </c>
      <c r="Y152" s="13">
        <f>MAX(MAX(1.4/[1]Parametros!$B$3,0.25*SQRT([1]Parametros!$B$2)/[1]Parametros!$B$3)*H152*AB152,(0.85*[1]Parametros!$B$2/[1]Parametros!$B$3)*(1-SQRT(1-2*(L152*1000000/([1]Parametros!$B$5*H152*AB152^2))/(0.85*[1]Parametros!$B$2)))*H152*AB152)</f>
        <v>734.02500000000009</v>
      </c>
      <c r="Z152" s="14">
        <v>4</v>
      </c>
      <c r="AA152" s="14">
        <v>1</v>
      </c>
      <c r="AB152" s="13">
        <f>IF(AA152=1,I152-([1]Parametros!$B$7+[1]Parametros!$B$9+[1]Parametros!$B$12/2),I152-(ROUNDUP(Z152/2,0)*([1]Parametros!$B$7+[1]Parametros!$B$9+[1]Parametros!$B$12/2)+ROUNDDOWN(Z152/2,0)*([1]Parametros!$B$7+[1]Parametros!$B$9+[1]Parametros!$B$12/2+[1]Parametros!$B$12+[1]Parametros!$B$10))/Z152)</f>
        <v>489.35</v>
      </c>
      <c r="AC152" s="13">
        <f>Z152*[1]Parametros!$B$8</f>
        <v>796</v>
      </c>
      <c r="AD152" s="13">
        <f>[1]Parametros!$B$5*AC152*[1]Parametros!$B$3*(AB152-(AC152*[1]Parametros!$B$3/(0.85*[1]Parametros!$B$2*H152))/2)/1000000</f>
        <v>142.54333009411764</v>
      </c>
      <c r="AE152" s="13" t="str">
        <f t="shared" si="27"/>
        <v>CUMPLE</v>
      </c>
      <c r="AF152" s="13">
        <f>V152*1.25*[1]Parametros!$B$3*(U152-(V152*1.25*[1]Parametros!$B$3/(0.85*[1]Parametros!$B$2*H152))/2)/1000000</f>
        <v>196.34621794117646</v>
      </c>
      <c r="AG152" s="13">
        <f>AC152*1.25*[1]Parametros!$B$3*(AB152-(AC152*1.25*[1]Parametros!$B$3/(0.85*[1]Parametros!$B$2*H152))/2)/1000000</f>
        <v>196.34621794117646</v>
      </c>
      <c r="AH152" s="13">
        <f t="shared" si="28"/>
        <v>181.58144180995475</v>
      </c>
      <c r="AI152" s="13">
        <f t="shared" si="29"/>
        <v>197.023</v>
      </c>
      <c r="AJ152" s="13">
        <f>0.17*SQRT([1]Parametros!$B$2)*H152*MIN(U152,AB152)/1000</f>
        <v>198.08885582262698</v>
      </c>
      <c r="AK152" s="13">
        <f>MAX(AI152/[1]Parametros!$B$6-AJ152,0)</f>
        <v>64.608477510706365</v>
      </c>
      <c r="AL152" s="13">
        <f>0.66*SQRT([1]Parametros!$B$2)*H152*MIN(U152,AB152)/1000</f>
        <v>769.05085201725785</v>
      </c>
      <c r="AM152" s="13" t="str">
        <f t="shared" si="30"/>
        <v>CUMPLE</v>
      </c>
      <c r="AN152" s="13" t="s">
        <v>64</v>
      </c>
      <c r="AO152" s="14">
        <v>2</v>
      </c>
      <c r="AP152" s="13">
        <f>ROUNDDOWN(MIN(IF(BC152+BD152=0,1000000000,AO152*BB152/(BC152+BD152)),MIN(U152,AB152)/4,8*[1]Parametros!$B$12,24*BA152,300,IF(AV152=0,1000000000,2*((H152-2*([1]Parametros!$B$7+[1]Parametros!$B$9/2))+(I152-2*([1]Parametros!$B$7+[1]Parametros!$B$9/2)))/8))/10,0)*10</f>
        <v>120</v>
      </c>
      <c r="AQ152" s="13">
        <f>ROUNDDOWN(MIN(IF(BC152+BD152=0,1000000000,AO152*BB152/(BC152+BD152)),IF(AK152&gt;0.33*SQRT([1]Parametros!$B$2)*H152*MIN(U152,AB152)/1000,MIN(U152,AB152)/4,MIN(U152,AB152)/2),600,IF(AV152=0,1000000000,2*((H152-2*([1]Parametros!$B$7+[1]Parametros!$B$9/2))+(I152-2*([1]Parametros!$B$7+[1]Parametros!$B$9/2)))/8))/10,0)*10</f>
        <v>120</v>
      </c>
      <c r="AR152" s="13">
        <f>[1]Parametros!$B$6*(AJ152+MAX(BE152-BD152,0)*[1]Parametros!$B$4*MIN(U152,AB152)/1000)</f>
        <v>220.38175284314531</v>
      </c>
      <c r="AS152" s="13" t="str">
        <f t="shared" si="31"/>
        <v>CUMPLE</v>
      </c>
      <c r="AT152" s="13">
        <f>[1]Parametros!$B$6*0.083*SQRT([1]Parametros!$B$2)*(H152*I152)^2/(2*(H152+I152))/1000000</f>
        <v>10.08878303333792</v>
      </c>
      <c r="AU152" s="13" t="str">
        <f t="shared" si="32"/>
        <v>DISEÑAR</v>
      </c>
      <c r="AV152" s="13">
        <f>IF(Q152&lt;=AT152,0,Q152*1000000/([1]Parametros!$B$6*2*0.85*(H152-2*([1]Parametros!$B$7+[1]Parametros!$B$9/2))*(I152-2*([1]Parametros!$B$7+[1]Parametros!$B$9/2))*[1]Parametros!$B$4))</f>
        <v>0.35872043259141917</v>
      </c>
      <c r="AW152" s="13">
        <f>AV152*2*((H152-2*([1]Parametros!$B$7+[1]Parametros!$B$9/2))+(I152-2*([1]Parametros!$B$7+[1]Parametros!$B$9/2)))*[1]Parametros!$B$4/[1]Parametros!$B$3</f>
        <v>584.42732877794015</v>
      </c>
      <c r="AX152" s="14">
        <v>8</v>
      </c>
      <c r="AY152" s="13" t="str">
        <f t="shared" si="33"/>
        <v>CUMPLE</v>
      </c>
      <c r="AZ152" s="13" t="str">
        <f t="shared" si="34"/>
        <v>CUMPLE</v>
      </c>
      <c r="BA152" s="14">
        <v>9.5</v>
      </c>
      <c r="BB152" s="14">
        <v>71</v>
      </c>
      <c r="BC152" s="13">
        <f>MAX(IF(AK152=0,0,AK152*1000/([1]Parametros!$B$4*MIN(U152,AB152))),MAX(0.062*SQRT([1]Parametros!$B$2)*H152/[1]Parametros!$B$4,0.35*H152/[1]Parametros!$B$4))</f>
        <v>0.375</v>
      </c>
      <c r="BD152" s="13">
        <f t="shared" si="35"/>
        <v>0.71744086518283834</v>
      </c>
      <c r="BE152" s="13">
        <f t="shared" si="36"/>
        <v>1.1833333333333333</v>
      </c>
      <c r="BF152" s="13">
        <f>SQRT((AI152*1000/(H152*MIN(U152,AB152)))^2+(Q152*1000000*2*((H152-2*([1]Parametros!$B$7+[1]Parametros!$B$9/2))+(I152-2*([1]Parametros!$B$7+[1]Parametros!$B$9/2)))/(1.7*((H152-2*([1]Parametros!$B$7+[1]Parametros!$B$9/2))*(I152-2*([1]Parametros!$B$7+[1]Parametros!$B$9/2)))^2))^2)</f>
        <v>1.438735476008304</v>
      </c>
      <c r="BG152" s="13">
        <f>[1]Parametros!$B$6*(AJ152*1000/(H152*MIN(U152,AB152))+0.66*SQRT([1]Parametros!$B$2))</f>
        <v>3.2939603822754151</v>
      </c>
      <c r="BH152" s="13" t="str">
        <f t="shared" si="37"/>
        <v>CUMPLE</v>
      </c>
      <c r="BI152" s="13">
        <f>AX152*[1]Parametros!$B$8</f>
        <v>1592</v>
      </c>
      <c r="BJ152" s="15" t="str">
        <f t="shared" si="38"/>
        <v>CUMPLE</v>
      </c>
    </row>
    <row r="153" spans="1:62" x14ac:dyDescent="0.3">
      <c r="A153" s="20" t="s">
        <v>69</v>
      </c>
      <c r="B153" s="21">
        <v>936</v>
      </c>
      <c r="C153" s="13">
        <v>1</v>
      </c>
      <c r="D153" s="13">
        <v>3.3</v>
      </c>
      <c r="E153" s="13">
        <v>3.3</v>
      </c>
      <c r="F153" s="13">
        <v>450</v>
      </c>
      <c r="G153" s="13">
        <v>550</v>
      </c>
      <c r="H153" s="13">
        <v>450</v>
      </c>
      <c r="I153" s="13">
        <v>550</v>
      </c>
      <c r="J153" s="14">
        <v>130.6276</v>
      </c>
      <c r="K153" s="13">
        <v>936</v>
      </c>
      <c r="L153" s="14">
        <v>66.130099999999999</v>
      </c>
      <c r="M153" s="13">
        <v>936</v>
      </c>
      <c r="N153" s="14">
        <v>105.229</v>
      </c>
      <c r="O153" s="14">
        <v>272.78199999999998</v>
      </c>
      <c r="P153" s="13">
        <v>936</v>
      </c>
      <c r="Q153" s="14">
        <v>45.826700000000002</v>
      </c>
      <c r="R153" s="13">
        <f>MAX(MAX(1.4/[1]Parametros!$B$3,0.25*SQRT([1]Parametros!$B$2)/[1]Parametros!$B$3)*H153*U153,(0.85*[1]Parametros!$B$2/[1]Parametros!$B$3)*(1-SQRT(1-2*(J153*1000000/([1]Parametros!$B$5*H153*U153^2))/(0.85*[1]Parametros!$B$2)))*H153*U153)</f>
        <v>734.02500000000009</v>
      </c>
      <c r="S153" s="14">
        <v>4</v>
      </c>
      <c r="T153" s="14">
        <v>1</v>
      </c>
      <c r="U153" s="13">
        <f>IF(T153=1,I153-([1]Parametros!$B$7+[1]Parametros!$B$9+[1]Parametros!$B$12/2),I153-(ROUNDUP(S153/2,0)*([1]Parametros!$B$7+[1]Parametros!$B$9+[1]Parametros!$B$12/2)+ROUNDDOWN(S153/2,0)*([1]Parametros!$B$7+[1]Parametros!$B$9+[1]Parametros!$B$12/2+[1]Parametros!$B$12+[1]Parametros!$B$10))/S153)</f>
        <v>489.35</v>
      </c>
      <c r="V153" s="13">
        <f>S153*[1]Parametros!$B$8</f>
        <v>796</v>
      </c>
      <c r="W153" s="13">
        <f>[1]Parametros!$B$5*V153*[1]Parametros!$B$3*(U153-(V153*[1]Parametros!$B$3/(0.85*[1]Parametros!$B$2*H153))/2)/1000000</f>
        <v>142.54333009411764</v>
      </c>
      <c r="X153" s="13" t="str">
        <f t="shared" si="26"/>
        <v>CUMPLE</v>
      </c>
      <c r="Y153" s="13">
        <f>MAX(MAX(1.4/[1]Parametros!$B$3,0.25*SQRT([1]Parametros!$B$2)/[1]Parametros!$B$3)*H153*AB153,(0.85*[1]Parametros!$B$2/[1]Parametros!$B$3)*(1-SQRT(1-2*(L153*1000000/([1]Parametros!$B$5*H153*AB153^2))/(0.85*[1]Parametros!$B$2)))*H153*AB153)</f>
        <v>734.02500000000009</v>
      </c>
      <c r="Z153" s="14">
        <v>4</v>
      </c>
      <c r="AA153" s="14">
        <v>1</v>
      </c>
      <c r="AB153" s="13">
        <f>IF(AA153=1,I153-([1]Parametros!$B$7+[1]Parametros!$B$9+[1]Parametros!$B$12/2),I153-(ROUNDUP(Z153/2,0)*([1]Parametros!$B$7+[1]Parametros!$B$9+[1]Parametros!$B$12/2)+ROUNDDOWN(Z153/2,0)*([1]Parametros!$B$7+[1]Parametros!$B$9+[1]Parametros!$B$12/2+[1]Parametros!$B$12+[1]Parametros!$B$10))/Z153)</f>
        <v>489.35</v>
      </c>
      <c r="AC153" s="13">
        <f>Z153*[1]Parametros!$B$8</f>
        <v>796</v>
      </c>
      <c r="AD153" s="13">
        <f>[1]Parametros!$B$5*AC153*[1]Parametros!$B$3*(AB153-(AC153*[1]Parametros!$B$3/(0.85*[1]Parametros!$B$2*H153))/2)/1000000</f>
        <v>142.54333009411764</v>
      </c>
      <c r="AE153" s="13" t="str">
        <f t="shared" si="27"/>
        <v>CUMPLE</v>
      </c>
      <c r="AF153" s="13">
        <f>V153*1.25*[1]Parametros!$B$3*(U153-(V153*1.25*[1]Parametros!$B$3/(0.85*[1]Parametros!$B$2*H153))/2)/1000000</f>
        <v>196.34621794117646</v>
      </c>
      <c r="AG153" s="13">
        <f>AC153*1.25*[1]Parametros!$B$3*(AB153-(AC153*1.25*[1]Parametros!$B$3/(0.85*[1]Parametros!$B$2*H153))/2)/1000000</f>
        <v>196.34621794117646</v>
      </c>
      <c r="AH153" s="13">
        <f t="shared" si="28"/>
        <v>224.22670784313726</v>
      </c>
      <c r="AI153" s="13">
        <f t="shared" si="29"/>
        <v>272.78199999999998</v>
      </c>
      <c r="AJ153" s="13">
        <f>0.17*SQRT([1]Parametros!$B$2)*H153*MIN(U153,AB153)/1000</f>
        <v>198.08885582262698</v>
      </c>
      <c r="AK153" s="13">
        <f>MAX(AI153/[1]Parametros!$B$6-AJ153,0)</f>
        <v>165.62047751070631</v>
      </c>
      <c r="AL153" s="13">
        <f>0.66*SQRT([1]Parametros!$B$2)*H153*MIN(U153,AB153)/1000</f>
        <v>769.05085201725785</v>
      </c>
      <c r="AM153" s="13" t="str">
        <f t="shared" si="30"/>
        <v>CUMPLE</v>
      </c>
      <c r="AN153" s="13" t="s">
        <v>68</v>
      </c>
      <c r="AO153" s="14">
        <v>2</v>
      </c>
      <c r="AP153" s="13">
        <f>ROUNDDOWN(MIN(IF(BC153+BD153=0,1000000000,AO153*BB153/(BC153+BD153)),MIN(U153,AB153)/4,8*[1]Parametros!$B$12,24*BA153,300,IF(AV153=0,1000000000,2*((H153-2*([1]Parametros!$B$7+[1]Parametros!$B$9/2))+(I153-2*([1]Parametros!$B$7+[1]Parametros!$B$9/2)))/8))/10,0)*10</f>
        <v>120</v>
      </c>
      <c r="AQ153" s="13">
        <f>ROUNDDOWN(MIN(IF(BC153+BD153=0,1000000000,AO153*BB153/(BC153+BD153)),IF(AK153&gt;0.33*SQRT([1]Parametros!$B$2)*H153*MIN(U153,AB153)/1000,MIN(U153,AB153)/4,MIN(U153,AB153)/2),600,IF(AV153=0,1000000000,2*((H153-2*([1]Parametros!$B$7+[1]Parametros!$B$9/2))+(I153-2*([1]Parametros!$B$7+[1]Parametros!$B$9/2)))/8))/10,0)*10</f>
        <v>130</v>
      </c>
      <c r="AR153" s="13">
        <f>[1]Parametros!$B$6*(AJ153+MAX(BE153-BD153,0)*[1]Parametros!$B$4*MIN(U153,AB153)/1000)</f>
        <v>318.51146176886067</v>
      </c>
      <c r="AS153" s="13" t="str">
        <f t="shared" si="31"/>
        <v>CUMPLE</v>
      </c>
      <c r="AT153" s="13">
        <f>[1]Parametros!$B$6*0.083*SQRT([1]Parametros!$B$2)*(H153*I153)^2/(2*(H153+I153))/1000000</f>
        <v>10.08878303333792</v>
      </c>
      <c r="AU153" s="13" t="str">
        <f t="shared" si="32"/>
        <v>DISEÑAR</v>
      </c>
      <c r="AV153" s="13">
        <f>IF(Q153&lt;=AT153,0,Q153*1000000/([1]Parametros!$B$6*2*0.85*(H153-2*([1]Parametros!$B$7+[1]Parametros!$B$9/2))*(I153-2*([1]Parametros!$B$7+[1]Parametros!$B$9/2))*[1]Parametros!$B$4))</f>
        <v>0.52375103221834474</v>
      </c>
      <c r="AW153" s="13">
        <f>AV153*2*((H153-2*([1]Parametros!$B$7+[1]Parametros!$B$9/2))+(I153-2*([1]Parametros!$B$7+[1]Parametros!$B$9/2)))*[1]Parametros!$B$4/[1]Parametros!$B$3</f>
        <v>853.29518169012727</v>
      </c>
      <c r="AX153" s="14">
        <v>8</v>
      </c>
      <c r="AY153" s="13" t="str">
        <f t="shared" si="33"/>
        <v>CUMPLE</v>
      </c>
      <c r="AZ153" s="13" t="str">
        <f t="shared" si="34"/>
        <v>CUMPLE</v>
      </c>
      <c r="BA153" s="14">
        <v>12.7</v>
      </c>
      <c r="BB153" s="14">
        <v>129</v>
      </c>
      <c r="BC153" s="13">
        <f>MAX(IF(AK153=0,0,AK153*1000/([1]Parametros!$B$4*MIN(U153,AB153))),MAX(0.062*SQRT([1]Parametros!$B$2)*H153/[1]Parametros!$B$4,0.35*H153/[1]Parametros!$B$4))</f>
        <v>0.80583318741920196</v>
      </c>
      <c r="BD153" s="13">
        <f t="shared" si="35"/>
        <v>1.0475020644366895</v>
      </c>
      <c r="BE153" s="13">
        <f t="shared" si="36"/>
        <v>2.15</v>
      </c>
      <c r="BF153" s="13">
        <f>SQRT((AI153*1000/(H153*MIN(U153,AB153)))^2+(Q153*1000000*2*((H153-2*([1]Parametros!$B$7+[1]Parametros!$B$9/2))+(I153-2*([1]Parametros!$B$7+[1]Parametros!$B$9/2)))/(1.7*((H153-2*([1]Parametros!$B$7+[1]Parametros!$B$9/2))*(I153-2*([1]Parametros!$B$7+[1]Parametros!$B$9/2)))^2))^2)</f>
        <v>2.05928320683977</v>
      </c>
      <c r="BG153" s="13">
        <f>[1]Parametros!$B$6*(AJ153*1000/(H153*MIN(U153,AB153))+0.66*SQRT([1]Parametros!$B$2))</f>
        <v>3.2939603822754151</v>
      </c>
      <c r="BH153" s="13" t="str">
        <f t="shared" si="37"/>
        <v>CUMPLE</v>
      </c>
      <c r="BI153" s="13">
        <f>AX153*[1]Parametros!$B$8</f>
        <v>1592</v>
      </c>
      <c r="BJ153" s="15" t="str">
        <f t="shared" si="38"/>
        <v>CUMPLE</v>
      </c>
    </row>
    <row r="154" spans="1:62" x14ac:dyDescent="0.3">
      <c r="A154" s="20" t="s">
        <v>69</v>
      </c>
      <c r="B154" s="21">
        <v>937</v>
      </c>
      <c r="C154" s="13">
        <v>1</v>
      </c>
      <c r="D154" s="13">
        <v>3.3</v>
      </c>
      <c r="E154" s="13">
        <v>3.3</v>
      </c>
      <c r="F154" s="13">
        <v>450</v>
      </c>
      <c r="G154" s="13">
        <v>550</v>
      </c>
      <c r="H154" s="13">
        <v>450</v>
      </c>
      <c r="I154" s="13">
        <v>550</v>
      </c>
      <c r="J154" s="14">
        <v>130.517</v>
      </c>
      <c r="K154" s="13">
        <v>937</v>
      </c>
      <c r="L154" s="14">
        <v>66.118399999999994</v>
      </c>
      <c r="M154" s="13">
        <v>937</v>
      </c>
      <c r="N154" s="14">
        <v>105.129</v>
      </c>
      <c r="O154" s="14">
        <v>272.66699999999997</v>
      </c>
      <c r="P154" s="13">
        <v>937</v>
      </c>
      <c r="Q154" s="14">
        <v>45.759900000000002</v>
      </c>
      <c r="R154" s="13">
        <f>MAX(MAX(1.4/[1]Parametros!$B$3,0.25*SQRT([1]Parametros!$B$2)/[1]Parametros!$B$3)*H154*U154,(0.85*[1]Parametros!$B$2/[1]Parametros!$B$3)*(1-SQRT(1-2*(J154*1000000/([1]Parametros!$B$5*H154*U154^2))/(0.85*[1]Parametros!$B$2)))*H154*U154)</f>
        <v>734.02500000000009</v>
      </c>
      <c r="S154" s="14">
        <v>4</v>
      </c>
      <c r="T154" s="14">
        <v>1</v>
      </c>
      <c r="U154" s="13">
        <f>IF(T154=1,I154-([1]Parametros!$B$7+[1]Parametros!$B$9+[1]Parametros!$B$12/2),I154-(ROUNDUP(S154/2,0)*([1]Parametros!$B$7+[1]Parametros!$B$9+[1]Parametros!$B$12/2)+ROUNDDOWN(S154/2,0)*([1]Parametros!$B$7+[1]Parametros!$B$9+[1]Parametros!$B$12/2+[1]Parametros!$B$12+[1]Parametros!$B$10))/S154)</f>
        <v>489.35</v>
      </c>
      <c r="V154" s="13">
        <f>S154*[1]Parametros!$B$8</f>
        <v>796</v>
      </c>
      <c r="W154" s="13">
        <f>[1]Parametros!$B$5*V154*[1]Parametros!$B$3*(U154-(V154*[1]Parametros!$B$3/(0.85*[1]Parametros!$B$2*H154))/2)/1000000</f>
        <v>142.54333009411764</v>
      </c>
      <c r="X154" s="13" t="str">
        <f t="shared" si="26"/>
        <v>CUMPLE</v>
      </c>
      <c r="Y154" s="13">
        <f>MAX(MAX(1.4/[1]Parametros!$B$3,0.25*SQRT([1]Parametros!$B$2)/[1]Parametros!$B$3)*H154*AB154,(0.85*[1]Parametros!$B$2/[1]Parametros!$B$3)*(1-SQRT(1-2*(L154*1000000/([1]Parametros!$B$5*H154*AB154^2))/(0.85*[1]Parametros!$B$2)))*H154*AB154)</f>
        <v>734.02500000000009</v>
      </c>
      <c r="Z154" s="14">
        <v>4</v>
      </c>
      <c r="AA154" s="14">
        <v>1</v>
      </c>
      <c r="AB154" s="13">
        <f>IF(AA154=1,I154-([1]Parametros!$B$7+[1]Parametros!$B$9+[1]Parametros!$B$12/2),I154-(ROUNDUP(Z154/2,0)*([1]Parametros!$B$7+[1]Parametros!$B$9+[1]Parametros!$B$12/2)+ROUNDDOWN(Z154/2,0)*([1]Parametros!$B$7+[1]Parametros!$B$9+[1]Parametros!$B$12/2+[1]Parametros!$B$12+[1]Parametros!$B$10))/Z154)</f>
        <v>489.35</v>
      </c>
      <c r="AC154" s="13">
        <f>Z154*[1]Parametros!$B$8</f>
        <v>796</v>
      </c>
      <c r="AD154" s="13">
        <f>[1]Parametros!$B$5*AC154*[1]Parametros!$B$3*(AB154-(AC154*[1]Parametros!$B$3/(0.85*[1]Parametros!$B$2*H154))/2)/1000000</f>
        <v>142.54333009411764</v>
      </c>
      <c r="AE154" s="13" t="str">
        <f t="shared" si="27"/>
        <v>CUMPLE</v>
      </c>
      <c r="AF154" s="13">
        <f>V154*1.25*[1]Parametros!$B$3*(U154-(V154*1.25*[1]Parametros!$B$3/(0.85*[1]Parametros!$B$2*H154))/2)/1000000</f>
        <v>196.34621794117646</v>
      </c>
      <c r="AG154" s="13">
        <f>AC154*1.25*[1]Parametros!$B$3*(AB154-(AC154*1.25*[1]Parametros!$B$3/(0.85*[1]Parametros!$B$2*H154))/2)/1000000</f>
        <v>196.34621794117646</v>
      </c>
      <c r="AH154" s="13">
        <f t="shared" si="28"/>
        <v>224.12670784313727</v>
      </c>
      <c r="AI154" s="13">
        <f t="shared" si="29"/>
        <v>272.66699999999997</v>
      </c>
      <c r="AJ154" s="13">
        <f>0.17*SQRT([1]Parametros!$B$2)*H154*MIN(U154,AB154)/1000</f>
        <v>198.08885582262698</v>
      </c>
      <c r="AK154" s="13">
        <f>MAX(AI154/[1]Parametros!$B$6-AJ154,0)</f>
        <v>165.467144177373</v>
      </c>
      <c r="AL154" s="13">
        <f>0.66*SQRT([1]Parametros!$B$2)*H154*MIN(U154,AB154)/1000</f>
        <v>769.05085201725785</v>
      </c>
      <c r="AM154" s="13" t="str">
        <f t="shared" si="30"/>
        <v>CUMPLE</v>
      </c>
      <c r="AN154" s="13" t="s">
        <v>68</v>
      </c>
      <c r="AO154" s="14">
        <v>2</v>
      </c>
      <c r="AP154" s="13">
        <f>ROUNDDOWN(MIN(IF(BC154+BD154=0,1000000000,AO154*BB154/(BC154+BD154)),MIN(U154,AB154)/4,8*[1]Parametros!$B$12,24*BA154,300,IF(AV154=0,1000000000,2*((H154-2*([1]Parametros!$B$7+[1]Parametros!$B$9/2))+(I154-2*([1]Parametros!$B$7+[1]Parametros!$B$9/2)))/8))/10,0)*10</f>
        <v>120</v>
      </c>
      <c r="AQ154" s="13">
        <f>ROUNDDOWN(MIN(IF(BC154+BD154=0,1000000000,AO154*BB154/(BC154+BD154)),IF(AK154&gt;0.33*SQRT([1]Parametros!$B$2)*H154*MIN(U154,AB154)/1000,MIN(U154,AB154)/4,MIN(U154,AB154)/2),600,IF(AV154=0,1000000000,2*((H154-2*([1]Parametros!$B$7+[1]Parametros!$B$9/2))+(I154-2*([1]Parametros!$B$7+[1]Parametros!$B$9/2)))/8))/10,0)*10</f>
        <v>130</v>
      </c>
      <c r="AR154" s="13">
        <f>[1]Parametros!$B$6*(AJ154+MAX(BE154-BD154,0)*[1]Parametros!$B$4*MIN(U154,AB154)/1000)</f>
        <v>318.7468273272699</v>
      </c>
      <c r="AS154" s="13" t="str">
        <f t="shared" si="31"/>
        <v>CUMPLE</v>
      </c>
      <c r="AT154" s="13">
        <f>[1]Parametros!$B$6*0.083*SQRT([1]Parametros!$B$2)*(H154*I154)^2/(2*(H154+I154))/1000000</f>
        <v>10.08878303333792</v>
      </c>
      <c r="AU154" s="13" t="str">
        <f t="shared" si="32"/>
        <v>DISEÑAR</v>
      </c>
      <c r="AV154" s="13">
        <f>IF(Q154&lt;=AT154,0,Q154*1000000/([1]Parametros!$B$6*2*0.85*(H154-2*([1]Parametros!$B$7+[1]Parametros!$B$9/2))*(I154-2*([1]Parametros!$B$7+[1]Parametros!$B$9/2))*[1]Parametros!$B$4))</f>
        <v>0.52298757840316312</v>
      </c>
      <c r="AW154" s="13">
        <f>AV154*2*((H154-2*([1]Parametros!$B$7+[1]Parametros!$B$9/2))+(I154-2*([1]Parametros!$B$7+[1]Parametros!$B$9/2)))*[1]Parametros!$B$4/[1]Parametros!$B$3</f>
        <v>852.05136273443338</v>
      </c>
      <c r="AX154" s="14">
        <v>8</v>
      </c>
      <c r="AY154" s="13" t="str">
        <f t="shared" si="33"/>
        <v>CUMPLE</v>
      </c>
      <c r="AZ154" s="13" t="str">
        <f t="shared" si="34"/>
        <v>CUMPLE</v>
      </c>
      <c r="BA154" s="14">
        <v>12.7</v>
      </c>
      <c r="BB154" s="14">
        <v>129</v>
      </c>
      <c r="BC154" s="13">
        <f>MAX(IF(AK154=0,0,AK154*1000/([1]Parametros!$B$4*MIN(U154,AB154))),MAX(0.062*SQRT([1]Parametros!$B$2)*H154/[1]Parametros!$B$4,0.35*H154/[1]Parametros!$B$4))</f>
        <v>0.80508713783285413</v>
      </c>
      <c r="BD154" s="13">
        <f t="shared" si="35"/>
        <v>1.0459751568063262</v>
      </c>
      <c r="BE154" s="13">
        <f t="shared" si="36"/>
        <v>2.15</v>
      </c>
      <c r="BF154" s="13">
        <f>SQRT((AI154*1000/(H154*MIN(U154,AB154)))^2+(Q154*1000000*2*((H154-2*([1]Parametros!$B$7+[1]Parametros!$B$9/2))+(I154-2*([1]Parametros!$B$7+[1]Parametros!$B$9/2)))/(1.7*((H154-2*([1]Parametros!$B$7+[1]Parametros!$B$9/2))*(I154-2*([1]Parametros!$B$7+[1]Parametros!$B$9/2)))^2))^2)</f>
        <v>2.0570537670099389</v>
      </c>
      <c r="BG154" s="13">
        <f>[1]Parametros!$B$6*(AJ154*1000/(H154*MIN(U154,AB154))+0.66*SQRT([1]Parametros!$B$2))</f>
        <v>3.2939603822754151</v>
      </c>
      <c r="BH154" s="13" t="str">
        <f t="shared" si="37"/>
        <v>CUMPLE</v>
      </c>
      <c r="BI154" s="13">
        <f>AX154*[1]Parametros!$B$8</f>
        <v>1592</v>
      </c>
      <c r="BJ154" s="15" t="str">
        <f t="shared" si="38"/>
        <v>CUMPLE</v>
      </c>
    </row>
    <row r="155" spans="1:62" x14ac:dyDescent="0.3">
      <c r="A155" s="20" t="s">
        <v>69</v>
      </c>
      <c r="B155" s="21">
        <v>938</v>
      </c>
      <c r="C155" s="13">
        <v>1</v>
      </c>
      <c r="D155" s="13">
        <v>3.25</v>
      </c>
      <c r="E155" s="13">
        <v>3.25</v>
      </c>
      <c r="F155" s="13">
        <v>450</v>
      </c>
      <c r="G155" s="13">
        <v>550</v>
      </c>
      <c r="H155" s="13">
        <v>450</v>
      </c>
      <c r="I155" s="13">
        <v>550</v>
      </c>
      <c r="J155" s="14">
        <v>89.264300000000006</v>
      </c>
      <c r="K155" s="13">
        <v>938</v>
      </c>
      <c r="L155" s="14">
        <v>53.593800000000002</v>
      </c>
      <c r="M155" s="13">
        <v>938</v>
      </c>
      <c r="N155" s="14">
        <v>60.743000000000002</v>
      </c>
      <c r="O155" s="14">
        <v>197.01400000000001</v>
      </c>
      <c r="P155" s="13">
        <v>938</v>
      </c>
      <c r="Q155" s="14">
        <v>31.389299999999999</v>
      </c>
      <c r="R155" s="13">
        <f>MAX(MAX(1.4/[1]Parametros!$B$3,0.25*SQRT([1]Parametros!$B$2)/[1]Parametros!$B$3)*H155*U155,(0.85*[1]Parametros!$B$2/[1]Parametros!$B$3)*(1-SQRT(1-2*(J155*1000000/([1]Parametros!$B$5*H155*U155^2))/(0.85*[1]Parametros!$B$2)))*H155*U155)</f>
        <v>734.02500000000009</v>
      </c>
      <c r="S155" s="14">
        <v>4</v>
      </c>
      <c r="T155" s="14">
        <v>1</v>
      </c>
      <c r="U155" s="13">
        <f>IF(T155=1,I155-([1]Parametros!$B$7+[1]Parametros!$B$9+[1]Parametros!$B$12/2),I155-(ROUNDUP(S155/2,0)*([1]Parametros!$B$7+[1]Parametros!$B$9+[1]Parametros!$B$12/2)+ROUNDDOWN(S155/2,0)*([1]Parametros!$B$7+[1]Parametros!$B$9+[1]Parametros!$B$12/2+[1]Parametros!$B$12+[1]Parametros!$B$10))/S155)</f>
        <v>489.35</v>
      </c>
      <c r="V155" s="13">
        <f>S155*[1]Parametros!$B$8</f>
        <v>796</v>
      </c>
      <c r="W155" s="13">
        <f>[1]Parametros!$B$5*V155*[1]Parametros!$B$3*(U155-(V155*[1]Parametros!$B$3/(0.85*[1]Parametros!$B$2*H155))/2)/1000000</f>
        <v>142.54333009411764</v>
      </c>
      <c r="X155" s="13" t="str">
        <f t="shared" si="26"/>
        <v>CUMPLE</v>
      </c>
      <c r="Y155" s="13">
        <f>MAX(MAX(1.4/[1]Parametros!$B$3,0.25*SQRT([1]Parametros!$B$2)/[1]Parametros!$B$3)*H155*AB155,(0.85*[1]Parametros!$B$2/[1]Parametros!$B$3)*(1-SQRT(1-2*(L155*1000000/([1]Parametros!$B$5*H155*AB155^2))/(0.85*[1]Parametros!$B$2)))*H155*AB155)</f>
        <v>734.02500000000009</v>
      </c>
      <c r="Z155" s="14">
        <v>4</v>
      </c>
      <c r="AA155" s="14">
        <v>1</v>
      </c>
      <c r="AB155" s="13">
        <f>IF(AA155=1,I155-([1]Parametros!$B$7+[1]Parametros!$B$9+[1]Parametros!$B$12/2),I155-(ROUNDUP(Z155/2,0)*([1]Parametros!$B$7+[1]Parametros!$B$9+[1]Parametros!$B$12/2)+ROUNDDOWN(Z155/2,0)*([1]Parametros!$B$7+[1]Parametros!$B$9+[1]Parametros!$B$12/2+[1]Parametros!$B$12+[1]Parametros!$B$10))/Z155)</f>
        <v>489.35</v>
      </c>
      <c r="AC155" s="13">
        <f>Z155*[1]Parametros!$B$8</f>
        <v>796</v>
      </c>
      <c r="AD155" s="13">
        <f>[1]Parametros!$B$5*AC155*[1]Parametros!$B$3*(AB155-(AC155*[1]Parametros!$B$3/(0.85*[1]Parametros!$B$2*H155))/2)/1000000</f>
        <v>142.54333009411764</v>
      </c>
      <c r="AE155" s="13" t="str">
        <f t="shared" si="27"/>
        <v>CUMPLE</v>
      </c>
      <c r="AF155" s="13">
        <f>V155*1.25*[1]Parametros!$B$3*(U155-(V155*1.25*[1]Parametros!$B$3/(0.85*[1]Parametros!$B$2*H155))/2)/1000000</f>
        <v>196.34621794117646</v>
      </c>
      <c r="AG155" s="13">
        <f>AC155*1.25*[1]Parametros!$B$3*(AB155-(AC155*1.25*[1]Parametros!$B$3/(0.85*[1]Parametros!$B$2*H155))/2)/1000000</f>
        <v>196.34621794117646</v>
      </c>
      <c r="AH155" s="13">
        <f t="shared" si="28"/>
        <v>181.57144180995473</v>
      </c>
      <c r="AI155" s="13">
        <f t="shared" si="29"/>
        <v>197.01400000000001</v>
      </c>
      <c r="AJ155" s="13">
        <f>0.17*SQRT([1]Parametros!$B$2)*H155*MIN(U155,AB155)/1000</f>
        <v>198.08885582262698</v>
      </c>
      <c r="AK155" s="13">
        <f>MAX(AI155/[1]Parametros!$B$6-AJ155,0)</f>
        <v>64.596477510706364</v>
      </c>
      <c r="AL155" s="13">
        <f>0.66*SQRT([1]Parametros!$B$2)*H155*MIN(U155,AB155)/1000</f>
        <v>769.05085201725785</v>
      </c>
      <c r="AM155" s="13" t="str">
        <f t="shared" si="30"/>
        <v>CUMPLE</v>
      </c>
      <c r="AN155" s="13" t="s">
        <v>64</v>
      </c>
      <c r="AO155" s="14">
        <v>2</v>
      </c>
      <c r="AP155" s="13">
        <f>ROUNDDOWN(MIN(IF(BC155+BD155=0,1000000000,AO155*BB155/(BC155+BD155)),MIN(U155,AB155)/4,8*[1]Parametros!$B$12,24*BA155,300,IF(AV155=0,1000000000,2*((H155-2*([1]Parametros!$B$7+[1]Parametros!$B$9/2))+(I155-2*([1]Parametros!$B$7+[1]Parametros!$B$9/2)))/8))/10,0)*10</f>
        <v>120</v>
      </c>
      <c r="AQ155" s="13">
        <f>ROUNDDOWN(MIN(IF(BC155+BD155=0,1000000000,AO155*BB155/(BC155+BD155)),IF(AK155&gt;0.33*SQRT([1]Parametros!$B$2)*H155*MIN(U155,AB155)/1000,MIN(U155,AB155)/4,MIN(U155,AB155)/2),600,IF(AV155=0,1000000000,2*((H155-2*([1]Parametros!$B$7+[1]Parametros!$B$9/2))+(I155-2*([1]Parametros!$B$7+[1]Parametros!$B$9/2)))/8))/10,0)*10</f>
        <v>120</v>
      </c>
      <c r="AR155" s="13">
        <f>[1]Parametros!$B$6*(AJ155+MAX(BE155-BD155,0)*[1]Parametros!$B$4*MIN(U155,AB155)/1000)</f>
        <v>220.37364893918812</v>
      </c>
      <c r="AS155" s="13" t="str">
        <f t="shared" si="31"/>
        <v>CUMPLE</v>
      </c>
      <c r="AT155" s="13">
        <f>[1]Parametros!$B$6*0.083*SQRT([1]Parametros!$B$2)*(H155*I155)^2/(2*(H155+I155))/1000000</f>
        <v>10.08878303333792</v>
      </c>
      <c r="AU155" s="13" t="str">
        <f t="shared" si="32"/>
        <v>DISEÑAR</v>
      </c>
      <c r="AV155" s="13">
        <f>IF(Q155&lt;=AT155,0,Q155*1000000/([1]Parametros!$B$6*2*0.85*(H155-2*([1]Parametros!$B$7+[1]Parametros!$B$9/2))*(I155-2*([1]Parametros!$B$7+[1]Parametros!$B$9/2))*[1]Parametros!$B$4))</f>
        <v>0.35874671917487599</v>
      </c>
      <c r="AW155" s="13">
        <f>AV155*2*((H155-2*([1]Parametros!$B$7+[1]Parametros!$B$9/2))+(I155-2*([1]Parametros!$B$7+[1]Parametros!$B$9/2)))*[1]Parametros!$B$4/[1]Parametros!$B$3</f>
        <v>584.47015487970793</v>
      </c>
      <c r="AX155" s="14">
        <v>8</v>
      </c>
      <c r="AY155" s="13" t="str">
        <f t="shared" si="33"/>
        <v>CUMPLE</v>
      </c>
      <c r="AZ155" s="13" t="str">
        <f t="shared" si="34"/>
        <v>CUMPLE</v>
      </c>
      <c r="BA155" s="14">
        <v>9.5</v>
      </c>
      <c r="BB155" s="14">
        <v>71</v>
      </c>
      <c r="BC155" s="13">
        <f>MAX(IF(AK155=0,0,AK155*1000/([1]Parametros!$B$4*MIN(U155,AB155))),MAX(0.062*SQRT([1]Parametros!$B$2)*H155/[1]Parametros!$B$4,0.35*H155/[1]Parametros!$B$4))</f>
        <v>0.375</v>
      </c>
      <c r="BD155" s="13">
        <f t="shared" si="35"/>
        <v>0.71749343834975199</v>
      </c>
      <c r="BE155" s="13">
        <f t="shared" si="36"/>
        <v>1.1833333333333333</v>
      </c>
      <c r="BF155" s="13">
        <f>SQRT((AI155*1000/(H155*MIN(U155,AB155)))^2+(Q155*1000000*2*((H155-2*([1]Parametros!$B$7+[1]Parametros!$B$9/2))+(I155-2*([1]Parametros!$B$7+[1]Parametros!$B$9/2)))/(1.7*((H155-2*([1]Parametros!$B$7+[1]Parametros!$B$9/2))*(I155-2*([1]Parametros!$B$7+[1]Parametros!$B$9/2)))^2))^2)</f>
        <v>1.4387747182987987</v>
      </c>
      <c r="BG155" s="13">
        <f>[1]Parametros!$B$6*(AJ155*1000/(H155*MIN(U155,AB155))+0.66*SQRT([1]Parametros!$B$2))</f>
        <v>3.2939603822754151</v>
      </c>
      <c r="BH155" s="13" t="str">
        <f t="shared" si="37"/>
        <v>CUMPLE</v>
      </c>
      <c r="BI155" s="13">
        <f>AX155*[1]Parametros!$B$8</f>
        <v>1592</v>
      </c>
      <c r="BJ155" s="15" t="str">
        <f t="shared" si="38"/>
        <v>CUMPLE</v>
      </c>
    </row>
    <row r="156" spans="1:62" x14ac:dyDescent="0.3">
      <c r="A156" s="20" t="s">
        <v>69</v>
      </c>
      <c r="B156" s="21">
        <v>1009</v>
      </c>
      <c r="C156" s="13">
        <v>1</v>
      </c>
      <c r="D156" s="13">
        <v>3.25</v>
      </c>
      <c r="E156" s="13">
        <v>3.25</v>
      </c>
      <c r="F156" s="13">
        <v>450</v>
      </c>
      <c r="G156" s="13">
        <v>550</v>
      </c>
      <c r="H156" s="13">
        <v>450</v>
      </c>
      <c r="I156" s="13">
        <v>550</v>
      </c>
      <c r="J156" s="14">
        <v>42.062100000000001</v>
      </c>
      <c r="K156" s="13">
        <v>1009</v>
      </c>
      <c r="L156" s="14">
        <v>19.465699999999998</v>
      </c>
      <c r="M156" s="13">
        <v>1009</v>
      </c>
      <c r="N156" s="14">
        <v>35.482999999999997</v>
      </c>
      <c r="O156" s="14">
        <v>87.02</v>
      </c>
      <c r="P156" s="13">
        <v>1009</v>
      </c>
      <c r="Q156" s="14">
        <v>13.7011</v>
      </c>
      <c r="R156" s="13">
        <f>MAX(MAX(1.4/[1]Parametros!$B$3,0.25*SQRT([1]Parametros!$B$2)/[1]Parametros!$B$3)*H156*U156,(0.85*[1]Parametros!$B$2/[1]Parametros!$B$3)*(1-SQRT(1-2*(J156*1000000/([1]Parametros!$B$5*H156*U156^2))/(0.85*[1]Parametros!$B$2)))*H156*U156)</f>
        <v>734.02500000000009</v>
      </c>
      <c r="S156" s="14">
        <v>4</v>
      </c>
      <c r="T156" s="14">
        <v>1</v>
      </c>
      <c r="U156" s="13">
        <f>IF(T156=1,I156-([1]Parametros!$B$7+[1]Parametros!$B$9+[1]Parametros!$B$12/2),I156-(ROUNDUP(S156/2,0)*([1]Parametros!$B$7+[1]Parametros!$B$9+[1]Parametros!$B$12/2)+ROUNDDOWN(S156/2,0)*([1]Parametros!$B$7+[1]Parametros!$B$9+[1]Parametros!$B$12/2+[1]Parametros!$B$12+[1]Parametros!$B$10))/S156)</f>
        <v>489.35</v>
      </c>
      <c r="V156" s="13">
        <f>S156*[1]Parametros!$B$8</f>
        <v>796</v>
      </c>
      <c r="W156" s="13">
        <f>[1]Parametros!$B$5*V156*[1]Parametros!$B$3*(U156-(V156*[1]Parametros!$B$3/(0.85*[1]Parametros!$B$2*H156))/2)/1000000</f>
        <v>142.54333009411764</v>
      </c>
      <c r="X156" s="13" t="str">
        <f t="shared" si="26"/>
        <v>CUMPLE</v>
      </c>
      <c r="Y156" s="13">
        <f>MAX(MAX(1.4/[1]Parametros!$B$3,0.25*SQRT([1]Parametros!$B$2)/[1]Parametros!$B$3)*H156*AB156,(0.85*[1]Parametros!$B$2/[1]Parametros!$B$3)*(1-SQRT(1-2*(L156*1000000/([1]Parametros!$B$5*H156*AB156^2))/(0.85*[1]Parametros!$B$2)))*H156*AB156)</f>
        <v>734.02500000000009</v>
      </c>
      <c r="Z156" s="14">
        <v>4</v>
      </c>
      <c r="AA156" s="14">
        <v>1</v>
      </c>
      <c r="AB156" s="13">
        <f>IF(AA156=1,I156-([1]Parametros!$B$7+[1]Parametros!$B$9+[1]Parametros!$B$12/2),I156-(ROUNDUP(Z156/2,0)*([1]Parametros!$B$7+[1]Parametros!$B$9+[1]Parametros!$B$12/2)+ROUNDDOWN(Z156/2,0)*([1]Parametros!$B$7+[1]Parametros!$B$9+[1]Parametros!$B$12/2+[1]Parametros!$B$12+[1]Parametros!$B$10))/Z156)</f>
        <v>489.35</v>
      </c>
      <c r="AC156" s="13">
        <f>Z156*[1]Parametros!$B$8</f>
        <v>796</v>
      </c>
      <c r="AD156" s="13">
        <f>[1]Parametros!$B$5*AC156*[1]Parametros!$B$3*(AB156-(AC156*[1]Parametros!$B$3/(0.85*[1]Parametros!$B$2*H156))/2)/1000000</f>
        <v>142.54333009411764</v>
      </c>
      <c r="AE156" s="13" t="str">
        <f t="shared" si="27"/>
        <v>CUMPLE</v>
      </c>
      <c r="AF156" s="13">
        <f>V156*1.25*[1]Parametros!$B$3*(U156-(V156*1.25*[1]Parametros!$B$3/(0.85*[1]Parametros!$B$2*H156))/2)/1000000</f>
        <v>196.34621794117646</v>
      </c>
      <c r="AG156" s="13">
        <f>AC156*1.25*[1]Parametros!$B$3*(AB156-(AC156*1.25*[1]Parametros!$B$3/(0.85*[1]Parametros!$B$2*H156))/2)/1000000</f>
        <v>196.34621794117646</v>
      </c>
      <c r="AH156" s="13">
        <f t="shared" si="28"/>
        <v>156.31144180995474</v>
      </c>
      <c r="AI156" s="13">
        <f t="shared" si="29"/>
        <v>156.31144180995474</v>
      </c>
      <c r="AJ156" s="13">
        <f>0.17*SQRT([1]Parametros!$B$2)*H156*MIN(U156,AB156)/1000</f>
        <v>198.08885582262698</v>
      </c>
      <c r="AK156" s="13">
        <f>MAX(AI156/[1]Parametros!$B$6-AJ156,0)</f>
        <v>10.326399923979352</v>
      </c>
      <c r="AL156" s="13">
        <f>0.66*SQRT([1]Parametros!$B$2)*H156*MIN(U156,AB156)/1000</f>
        <v>769.05085201725785</v>
      </c>
      <c r="AM156" s="13" t="str">
        <f t="shared" si="30"/>
        <v>CUMPLE</v>
      </c>
      <c r="AN156" s="13" t="s">
        <v>64</v>
      </c>
      <c r="AO156" s="14">
        <v>2</v>
      </c>
      <c r="AP156" s="13">
        <f>ROUNDDOWN(MIN(IF(BC156+BD156=0,1000000000,AO156*BB156/(BC156+BD156)),MIN(U156,AB156)/4,8*[1]Parametros!$B$12,24*BA156,300,IF(AV156=0,1000000000,2*((H156-2*([1]Parametros!$B$7+[1]Parametros!$B$9/2))+(I156-2*([1]Parametros!$B$7+[1]Parametros!$B$9/2)))/8))/10,0)*10</f>
        <v>120</v>
      </c>
      <c r="AQ156" s="13">
        <f>ROUNDDOWN(MIN(IF(BC156+BD156=0,1000000000,AO156*BB156/(BC156+BD156)),IF(AK156&gt;0.33*SQRT([1]Parametros!$B$2)*H156*MIN(U156,AB156)/1000,MIN(U156,AB156)/4,MIN(U156,AB156)/2),600,IF(AV156=0,1000000000,2*((H156-2*([1]Parametros!$B$7+[1]Parametros!$B$9/2))+(I156-2*([1]Parametros!$B$7+[1]Parametros!$B$9/2)))/8))/10,0)*10</f>
        <v>200</v>
      </c>
      <c r="AR156" s="13">
        <f>[1]Parametros!$B$6*(AJ156+MAX(BE156-BD156,0)*[1]Parametros!$B$4*MIN(U156,AB156)/1000)</f>
        <v>282.69689849389931</v>
      </c>
      <c r="AS156" s="13" t="str">
        <f t="shared" si="31"/>
        <v>CUMPLE</v>
      </c>
      <c r="AT156" s="13">
        <f>[1]Parametros!$B$6*0.083*SQRT([1]Parametros!$B$2)*(H156*I156)^2/(2*(H156+I156))/1000000</f>
        <v>10.08878303333792</v>
      </c>
      <c r="AU156" s="13" t="str">
        <f t="shared" si="32"/>
        <v>DISEÑAR</v>
      </c>
      <c r="AV156" s="13">
        <f>IF(Q156&lt;=AT156,0,Q156*1000000/([1]Parametros!$B$6*2*0.85*(H156-2*([1]Parametros!$B$7+[1]Parametros!$B$9/2))*(I156-2*([1]Parametros!$B$7+[1]Parametros!$B$9/2))*[1]Parametros!$B$4))</f>
        <v>0.1565891776524769</v>
      </c>
      <c r="AW156" s="13">
        <f>AV156*2*((H156-2*([1]Parametros!$B$7+[1]Parametros!$B$9/2))+(I156-2*([1]Parametros!$B$7+[1]Parametros!$B$9/2)))*[1]Parametros!$B$4/[1]Parametros!$B$3</f>
        <v>255.11508823141537</v>
      </c>
      <c r="AX156" s="14">
        <v>8</v>
      </c>
      <c r="AY156" s="13" t="str">
        <f t="shared" si="33"/>
        <v>CUMPLE</v>
      </c>
      <c r="AZ156" s="13" t="str">
        <f t="shared" si="34"/>
        <v>CUMPLE</v>
      </c>
      <c r="BA156" s="14">
        <v>9.5</v>
      </c>
      <c r="BB156" s="14">
        <v>71</v>
      </c>
      <c r="BC156" s="13">
        <f>MAX(IF(AK156=0,0,AK156*1000/([1]Parametros!$B$4*MIN(U156,AB156))),MAX(0.062*SQRT([1]Parametros!$B$2)*H156/[1]Parametros!$B$4,0.35*H156/[1]Parametros!$B$4))</f>
        <v>0.375</v>
      </c>
      <c r="BD156" s="13">
        <f t="shared" si="35"/>
        <v>0.3131783553049538</v>
      </c>
      <c r="BE156" s="13">
        <f t="shared" si="36"/>
        <v>1.1833333333333333</v>
      </c>
      <c r="BF156" s="13">
        <f>SQRT((AI156*1000/(H156*MIN(U156,AB156)))^2+(Q156*1000000*2*((H156-2*([1]Parametros!$B$7+[1]Parametros!$B$9/2))+(I156-2*([1]Parametros!$B$7+[1]Parametros!$B$9/2)))/(1.7*((H156-2*([1]Parametros!$B$7+[1]Parametros!$B$9/2))*(I156-2*([1]Parametros!$B$7+[1]Parametros!$B$9/2)))^2))^2)</f>
        <v>0.86357545147145476</v>
      </c>
      <c r="BG156" s="13">
        <f>[1]Parametros!$B$6*(AJ156*1000/(H156*MIN(U156,AB156))+0.66*SQRT([1]Parametros!$B$2))</f>
        <v>3.2939603822754151</v>
      </c>
      <c r="BH156" s="13" t="str">
        <f t="shared" si="37"/>
        <v>CUMPLE</v>
      </c>
      <c r="BI156" s="13">
        <f>AX156*[1]Parametros!$B$8</f>
        <v>1592</v>
      </c>
      <c r="BJ156" s="15" t="str">
        <f t="shared" si="38"/>
        <v>CUMPLE</v>
      </c>
    </row>
    <row r="157" spans="1:62" x14ac:dyDescent="0.3">
      <c r="A157" s="20" t="s">
        <v>69</v>
      </c>
      <c r="B157" s="21">
        <v>1010</v>
      </c>
      <c r="C157" s="13">
        <v>1</v>
      </c>
      <c r="D157" s="13">
        <v>3.3</v>
      </c>
      <c r="E157" s="13">
        <v>3.3</v>
      </c>
      <c r="F157" s="13">
        <v>450</v>
      </c>
      <c r="G157" s="13">
        <v>550</v>
      </c>
      <c r="H157" s="13">
        <v>450</v>
      </c>
      <c r="I157" s="13">
        <v>550</v>
      </c>
      <c r="J157" s="14">
        <v>82.449799999999996</v>
      </c>
      <c r="K157" s="13">
        <v>1010</v>
      </c>
      <c r="L157" s="14">
        <v>29.648599999999998</v>
      </c>
      <c r="M157" s="13">
        <v>1010</v>
      </c>
      <c r="N157" s="14">
        <v>77.397000000000006</v>
      </c>
      <c r="O157" s="14">
        <v>152.929</v>
      </c>
      <c r="P157" s="13">
        <v>1010</v>
      </c>
      <c r="Q157" s="14">
        <v>18.9069</v>
      </c>
      <c r="R157" s="13">
        <f>MAX(MAX(1.4/[1]Parametros!$B$3,0.25*SQRT([1]Parametros!$B$2)/[1]Parametros!$B$3)*H157*U157,(0.85*[1]Parametros!$B$2/[1]Parametros!$B$3)*(1-SQRT(1-2*(J157*1000000/([1]Parametros!$B$5*H157*U157^2))/(0.85*[1]Parametros!$B$2)))*H157*U157)</f>
        <v>734.02500000000009</v>
      </c>
      <c r="S157" s="14">
        <v>4</v>
      </c>
      <c r="T157" s="14">
        <v>1</v>
      </c>
      <c r="U157" s="13">
        <f>IF(T157=1,I157-([1]Parametros!$B$7+[1]Parametros!$B$9+[1]Parametros!$B$12/2),I157-(ROUNDUP(S157/2,0)*([1]Parametros!$B$7+[1]Parametros!$B$9+[1]Parametros!$B$12/2)+ROUNDDOWN(S157/2,0)*([1]Parametros!$B$7+[1]Parametros!$B$9+[1]Parametros!$B$12/2+[1]Parametros!$B$12+[1]Parametros!$B$10))/S157)</f>
        <v>489.35</v>
      </c>
      <c r="V157" s="13">
        <f>S157*[1]Parametros!$B$8</f>
        <v>796</v>
      </c>
      <c r="W157" s="13">
        <f>[1]Parametros!$B$5*V157*[1]Parametros!$B$3*(U157-(V157*[1]Parametros!$B$3/(0.85*[1]Parametros!$B$2*H157))/2)/1000000</f>
        <v>142.54333009411764</v>
      </c>
      <c r="X157" s="13" t="str">
        <f t="shared" si="26"/>
        <v>CUMPLE</v>
      </c>
      <c r="Y157" s="13">
        <f>MAX(MAX(1.4/[1]Parametros!$B$3,0.25*SQRT([1]Parametros!$B$2)/[1]Parametros!$B$3)*H157*AB157,(0.85*[1]Parametros!$B$2/[1]Parametros!$B$3)*(1-SQRT(1-2*(L157*1000000/([1]Parametros!$B$5*H157*AB157^2))/(0.85*[1]Parametros!$B$2)))*H157*AB157)</f>
        <v>734.02500000000009</v>
      </c>
      <c r="Z157" s="14">
        <v>4</v>
      </c>
      <c r="AA157" s="14">
        <v>1</v>
      </c>
      <c r="AB157" s="13">
        <f>IF(AA157=1,I157-([1]Parametros!$B$7+[1]Parametros!$B$9+[1]Parametros!$B$12/2),I157-(ROUNDUP(Z157/2,0)*([1]Parametros!$B$7+[1]Parametros!$B$9+[1]Parametros!$B$12/2)+ROUNDDOWN(Z157/2,0)*([1]Parametros!$B$7+[1]Parametros!$B$9+[1]Parametros!$B$12/2+[1]Parametros!$B$12+[1]Parametros!$B$10))/Z157)</f>
        <v>489.35</v>
      </c>
      <c r="AC157" s="13">
        <f>Z157*[1]Parametros!$B$8</f>
        <v>796</v>
      </c>
      <c r="AD157" s="13">
        <f>[1]Parametros!$B$5*AC157*[1]Parametros!$B$3*(AB157-(AC157*[1]Parametros!$B$3/(0.85*[1]Parametros!$B$2*H157))/2)/1000000</f>
        <v>142.54333009411764</v>
      </c>
      <c r="AE157" s="13" t="str">
        <f t="shared" si="27"/>
        <v>CUMPLE</v>
      </c>
      <c r="AF157" s="13">
        <f>V157*1.25*[1]Parametros!$B$3*(U157-(V157*1.25*[1]Parametros!$B$3/(0.85*[1]Parametros!$B$2*H157))/2)/1000000</f>
        <v>196.34621794117646</v>
      </c>
      <c r="AG157" s="13">
        <f>AC157*1.25*[1]Parametros!$B$3*(AB157-(AC157*1.25*[1]Parametros!$B$3/(0.85*[1]Parametros!$B$2*H157))/2)/1000000</f>
        <v>196.34621794117646</v>
      </c>
      <c r="AH157" s="13">
        <f t="shared" si="28"/>
        <v>196.39470784313727</v>
      </c>
      <c r="AI157" s="13">
        <f t="shared" si="29"/>
        <v>196.39470784313727</v>
      </c>
      <c r="AJ157" s="13">
        <f>0.17*SQRT([1]Parametros!$B$2)*H157*MIN(U157,AB157)/1000</f>
        <v>198.08885582262698</v>
      </c>
      <c r="AK157" s="13">
        <f>MAX(AI157/[1]Parametros!$B$6-AJ157,0)</f>
        <v>63.770754634889357</v>
      </c>
      <c r="AL157" s="13">
        <f>0.66*SQRT([1]Parametros!$B$2)*H157*MIN(U157,AB157)/1000</f>
        <v>769.05085201725785</v>
      </c>
      <c r="AM157" s="13" t="str">
        <f t="shared" si="30"/>
        <v>CUMPLE</v>
      </c>
      <c r="AN157" s="13" t="s">
        <v>64</v>
      </c>
      <c r="AO157" s="14">
        <v>2</v>
      </c>
      <c r="AP157" s="13">
        <f>ROUNDDOWN(MIN(IF(BC157+BD157=0,1000000000,AO157*BB157/(BC157+BD157)),MIN(U157,AB157)/4,8*[1]Parametros!$B$12,24*BA157,300,IF(AV157=0,1000000000,2*((H157-2*([1]Parametros!$B$7+[1]Parametros!$B$9/2))+(I157-2*([1]Parametros!$B$7+[1]Parametros!$B$9/2)))/8))/10,0)*10</f>
        <v>120</v>
      </c>
      <c r="AQ157" s="13">
        <f>ROUNDDOWN(MIN(IF(BC157+BD157=0,1000000000,AO157*BB157/(BC157+BD157)),IF(AK157&gt;0.33*SQRT([1]Parametros!$B$2)*H157*MIN(U157,AB157)/1000,MIN(U157,AB157)/4,MIN(U157,AB157)/2),600,IF(AV157=0,1000000000,2*((H157-2*([1]Parametros!$B$7+[1]Parametros!$B$9/2))+(I157-2*([1]Parametros!$B$7+[1]Parametros!$B$9/2)))/8))/10,0)*10</f>
        <v>170</v>
      </c>
      <c r="AR157" s="13">
        <f>[1]Parametros!$B$6*(AJ157+MAX(BE157-BD157,0)*[1]Parametros!$B$4*MIN(U157,AB157)/1000)</f>
        <v>264.3545927458913</v>
      </c>
      <c r="AS157" s="13" t="str">
        <f t="shared" si="31"/>
        <v>CUMPLE</v>
      </c>
      <c r="AT157" s="13">
        <f>[1]Parametros!$B$6*0.083*SQRT([1]Parametros!$B$2)*(H157*I157)^2/(2*(H157+I157))/1000000</f>
        <v>10.08878303333792</v>
      </c>
      <c r="AU157" s="13" t="str">
        <f t="shared" si="32"/>
        <v>DISEÑAR</v>
      </c>
      <c r="AV157" s="13">
        <f>IF(Q157&lt;=AT157,0,Q157*1000000/([1]Parametros!$B$6*2*0.85*(H157-2*([1]Parametros!$B$7+[1]Parametros!$B$9/2))*(I157-2*([1]Parametros!$B$7+[1]Parametros!$B$9/2))*[1]Parametros!$B$4))</f>
        <v>0.21608600206973277</v>
      </c>
      <c r="AW157" s="13">
        <f>AV157*2*((H157-2*([1]Parametros!$B$7+[1]Parametros!$B$9/2))+(I157-2*([1]Parametros!$B$7+[1]Parametros!$B$9/2)))*[1]Parametros!$B$4/[1]Parametros!$B$3</f>
        <v>352.04731457200864</v>
      </c>
      <c r="AX157" s="14">
        <v>8</v>
      </c>
      <c r="AY157" s="13" t="str">
        <f t="shared" si="33"/>
        <v>CUMPLE</v>
      </c>
      <c r="AZ157" s="13" t="str">
        <f t="shared" si="34"/>
        <v>CUMPLE</v>
      </c>
      <c r="BA157" s="14">
        <v>9.5</v>
      </c>
      <c r="BB157" s="14">
        <v>71</v>
      </c>
      <c r="BC157" s="13">
        <f>MAX(IF(AK157=0,0,AK157*1000/([1]Parametros!$B$4*MIN(U157,AB157))),MAX(0.062*SQRT([1]Parametros!$B$2)*H157/[1]Parametros!$B$4,0.35*H157/[1]Parametros!$B$4))</f>
        <v>0.375</v>
      </c>
      <c r="BD157" s="13">
        <f t="shared" si="35"/>
        <v>0.43217200413946555</v>
      </c>
      <c r="BE157" s="13">
        <f t="shared" si="36"/>
        <v>1.1833333333333333</v>
      </c>
      <c r="BF157" s="13">
        <f>SQRT((AI157*1000/(H157*MIN(U157,AB157)))^2+(Q157*1000000*2*((H157-2*([1]Parametros!$B$7+[1]Parametros!$B$9/2))+(I157-2*([1]Parametros!$B$7+[1]Parametros!$B$9/2)))/(1.7*((H157-2*([1]Parametros!$B$7+[1]Parametros!$B$9/2))*(I157-2*([1]Parametros!$B$7+[1]Parametros!$B$9/2)))^2))^2)</f>
        <v>1.1207366137433779</v>
      </c>
      <c r="BG157" s="13">
        <f>[1]Parametros!$B$6*(AJ157*1000/(H157*MIN(U157,AB157))+0.66*SQRT([1]Parametros!$B$2))</f>
        <v>3.2939603822754151</v>
      </c>
      <c r="BH157" s="13" t="str">
        <f t="shared" si="37"/>
        <v>CUMPLE</v>
      </c>
      <c r="BI157" s="13">
        <f>AX157*[1]Parametros!$B$8</f>
        <v>1592</v>
      </c>
      <c r="BJ157" s="15" t="str">
        <f t="shared" si="38"/>
        <v>CUMPLE</v>
      </c>
    </row>
    <row r="158" spans="1:62" x14ac:dyDescent="0.3">
      <c r="A158" s="20" t="s">
        <v>69</v>
      </c>
      <c r="B158" s="21">
        <v>1011</v>
      </c>
      <c r="C158" s="13">
        <v>1</v>
      </c>
      <c r="D158" s="13">
        <v>3.3</v>
      </c>
      <c r="E158" s="13">
        <v>3.3</v>
      </c>
      <c r="F158" s="13">
        <v>450</v>
      </c>
      <c r="G158" s="13">
        <v>550</v>
      </c>
      <c r="H158" s="13">
        <v>450</v>
      </c>
      <c r="I158" s="13">
        <v>550</v>
      </c>
      <c r="J158" s="14">
        <v>82.574700000000007</v>
      </c>
      <c r="K158" s="13">
        <v>1011</v>
      </c>
      <c r="L158" s="14">
        <v>29.6205</v>
      </c>
      <c r="M158" s="13">
        <v>1011</v>
      </c>
      <c r="N158" s="14">
        <v>77.489999999999995</v>
      </c>
      <c r="O158" s="14">
        <v>153.029</v>
      </c>
      <c r="P158" s="13">
        <v>1011</v>
      </c>
      <c r="Q158" s="14">
        <v>18.916699999999999</v>
      </c>
      <c r="R158" s="13">
        <f>MAX(MAX(1.4/[1]Parametros!$B$3,0.25*SQRT([1]Parametros!$B$2)/[1]Parametros!$B$3)*H158*U158,(0.85*[1]Parametros!$B$2/[1]Parametros!$B$3)*(1-SQRT(1-2*(J158*1000000/([1]Parametros!$B$5*H158*U158^2))/(0.85*[1]Parametros!$B$2)))*H158*U158)</f>
        <v>734.02500000000009</v>
      </c>
      <c r="S158" s="14">
        <v>4</v>
      </c>
      <c r="T158" s="14">
        <v>1</v>
      </c>
      <c r="U158" s="13">
        <f>IF(T158=1,I158-([1]Parametros!$B$7+[1]Parametros!$B$9+[1]Parametros!$B$12/2),I158-(ROUNDUP(S158/2,0)*([1]Parametros!$B$7+[1]Parametros!$B$9+[1]Parametros!$B$12/2)+ROUNDDOWN(S158/2,0)*([1]Parametros!$B$7+[1]Parametros!$B$9+[1]Parametros!$B$12/2+[1]Parametros!$B$12+[1]Parametros!$B$10))/S158)</f>
        <v>489.35</v>
      </c>
      <c r="V158" s="13">
        <f>S158*[1]Parametros!$B$8</f>
        <v>796</v>
      </c>
      <c r="W158" s="13">
        <f>[1]Parametros!$B$5*V158*[1]Parametros!$B$3*(U158-(V158*[1]Parametros!$B$3/(0.85*[1]Parametros!$B$2*H158))/2)/1000000</f>
        <v>142.54333009411764</v>
      </c>
      <c r="X158" s="13" t="str">
        <f t="shared" si="26"/>
        <v>CUMPLE</v>
      </c>
      <c r="Y158" s="13">
        <f>MAX(MAX(1.4/[1]Parametros!$B$3,0.25*SQRT([1]Parametros!$B$2)/[1]Parametros!$B$3)*H158*AB158,(0.85*[1]Parametros!$B$2/[1]Parametros!$B$3)*(1-SQRT(1-2*(L158*1000000/([1]Parametros!$B$5*H158*AB158^2))/(0.85*[1]Parametros!$B$2)))*H158*AB158)</f>
        <v>734.02500000000009</v>
      </c>
      <c r="Z158" s="14">
        <v>4</v>
      </c>
      <c r="AA158" s="14">
        <v>1</v>
      </c>
      <c r="AB158" s="13">
        <f>IF(AA158=1,I158-([1]Parametros!$B$7+[1]Parametros!$B$9+[1]Parametros!$B$12/2),I158-(ROUNDUP(Z158/2,0)*([1]Parametros!$B$7+[1]Parametros!$B$9+[1]Parametros!$B$12/2)+ROUNDDOWN(Z158/2,0)*([1]Parametros!$B$7+[1]Parametros!$B$9+[1]Parametros!$B$12/2+[1]Parametros!$B$12+[1]Parametros!$B$10))/Z158)</f>
        <v>489.35</v>
      </c>
      <c r="AC158" s="13">
        <f>Z158*[1]Parametros!$B$8</f>
        <v>796</v>
      </c>
      <c r="AD158" s="13">
        <f>[1]Parametros!$B$5*AC158*[1]Parametros!$B$3*(AB158-(AC158*[1]Parametros!$B$3/(0.85*[1]Parametros!$B$2*H158))/2)/1000000</f>
        <v>142.54333009411764</v>
      </c>
      <c r="AE158" s="13" t="str">
        <f t="shared" si="27"/>
        <v>CUMPLE</v>
      </c>
      <c r="AF158" s="13">
        <f>V158*1.25*[1]Parametros!$B$3*(U158-(V158*1.25*[1]Parametros!$B$3/(0.85*[1]Parametros!$B$2*H158))/2)/1000000</f>
        <v>196.34621794117646</v>
      </c>
      <c r="AG158" s="13">
        <f>AC158*1.25*[1]Parametros!$B$3*(AB158-(AC158*1.25*[1]Parametros!$B$3/(0.85*[1]Parametros!$B$2*H158))/2)/1000000</f>
        <v>196.34621794117646</v>
      </c>
      <c r="AH158" s="13">
        <f t="shared" si="28"/>
        <v>196.48770784313726</v>
      </c>
      <c r="AI158" s="13">
        <f t="shared" si="29"/>
        <v>196.48770784313726</v>
      </c>
      <c r="AJ158" s="13">
        <f>0.17*SQRT([1]Parametros!$B$2)*H158*MIN(U158,AB158)/1000</f>
        <v>198.08885582262698</v>
      </c>
      <c r="AK158" s="13">
        <f>MAX(AI158/[1]Parametros!$B$6-AJ158,0)</f>
        <v>63.894754634889381</v>
      </c>
      <c r="AL158" s="13">
        <f>0.66*SQRT([1]Parametros!$B$2)*H158*MIN(U158,AB158)/1000</f>
        <v>769.05085201725785</v>
      </c>
      <c r="AM158" s="13" t="str">
        <f t="shared" si="30"/>
        <v>CUMPLE</v>
      </c>
      <c r="AN158" s="13" t="s">
        <v>64</v>
      </c>
      <c r="AO158" s="14">
        <v>2</v>
      </c>
      <c r="AP158" s="13">
        <f>ROUNDDOWN(MIN(IF(BC158+BD158=0,1000000000,AO158*BB158/(BC158+BD158)),MIN(U158,AB158)/4,8*[1]Parametros!$B$12,24*BA158,300,IF(AV158=0,1000000000,2*((H158-2*([1]Parametros!$B$7+[1]Parametros!$B$9/2))+(I158-2*([1]Parametros!$B$7+[1]Parametros!$B$9/2)))/8))/10,0)*10</f>
        <v>120</v>
      </c>
      <c r="AQ158" s="13">
        <f>ROUNDDOWN(MIN(IF(BC158+BD158=0,1000000000,AO158*BB158/(BC158+BD158)),IF(AK158&gt;0.33*SQRT([1]Parametros!$B$2)*H158*MIN(U158,AB158)/1000,MIN(U158,AB158)/4,MIN(U158,AB158)/2),600,IF(AV158=0,1000000000,2*((H158-2*([1]Parametros!$B$7+[1]Parametros!$B$9/2))+(I158-2*([1]Parametros!$B$7+[1]Parametros!$B$9/2)))/8))/10,0)*10</f>
        <v>170</v>
      </c>
      <c r="AR158" s="13">
        <f>[1]Parametros!$B$6*(AJ158+MAX(BE158-BD158,0)*[1]Parametros!$B$4*MIN(U158,AB158)/1000)</f>
        <v>264.32006306816061</v>
      </c>
      <c r="AS158" s="13" t="str">
        <f t="shared" si="31"/>
        <v>CUMPLE</v>
      </c>
      <c r="AT158" s="13">
        <f>[1]Parametros!$B$6*0.083*SQRT([1]Parametros!$B$2)*(H158*I158)^2/(2*(H158+I158))/1000000</f>
        <v>10.08878303333792</v>
      </c>
      <c r="AU158" s="13" t="str">
        <f t="shared" si="32"/>
        <v>DISEÑAR</v>
      </c>
      <c r="AV158" s="13">
        <f>IF(Q158&lt;=AT158,0,Q158*1000000/([1]Parametros!$B$6*2*0.85*(H158-2*([1]Parametros!$B$7+[1]Parametros!$B$9/2))*(I158-2*([1]Parametros!$B$7+[1]Parametros!$B$9/2))*[1]Parametros!$B$4))</f>
        <v>0.21619800577315762</v>
      </c>
      <c r="AW158" s="13">
        <f>AV158*2*((H158-2*([1]Parametros!$B$7+[1]Parametros!$B$9/2))+(I158-2*([1]Parametros!$B$7+[1]Parametros!$B$9/2)))*[1]Parametros!$B$4/[1]Parametros!$B$3</f>
        <v>352.22979100562839</v>
      </c>
      <c r="AX158" s="14">
        <v>8</v>
      </c>
      <c r="AY158" s="13" t="str">
        <f t="shared" si="33"/>
        <v>CUMPLE</v>
      </c>
      <c r="AZ158" s="13" t="str">
        <f t="shared" si="34"/>
        <v>CUMPLE</v>
      </c>
      <c r="BA158" s="14">
        <v>9.5</v>
      </c>
      <c r="BB158" s="14">
        <v>71</v>
      </c>
      <c r="BC158" s="13">
        <f>MAX(IF(AK158=0,0,AK158*1000/([1]Parametros!$B$4*MIN(U158,AB158))),MAX(0.062*SQRT([1]Parametros!$B$2)*H158/[1]Parametros!$B$4,0.35*H158/[1]Parametros!$B$4))</f>
        <v>0.375</v>
      </c>
      <c r="BD158" s="13">
        <f t="shared" si="35"/>
        <v>0.43239601154631524</v>
      </c>
      <c r="BE158" s="13">
        <f t="shared" si="36"/>
        <v>1.1833333333333333</v>
      </c>
      <c r="BF158" s="13">
        <f>SQRT((AI158*1000/(H158*MIN(U158,AB158)))^2+(Q158*1000000*2*((H158-2*([1]Parametros!$B$7+[1]Parametros!$B$9/2))+(I158-2*([1]Parametros!$B$7+[1]Parametros!$B$9/2)))/(1.7*((H158-2*([1]Parametros!$B$7+[1]Parametros!$B$9/2))*(I158-2*([1]Parametros!$B$7+[1]Parametros!$B$9/2)))^2))^2)</f>
        <v>1.121285733704138</v>
      </c>
      <c r="BG158" s="13">
        <f>[1]Parametros!$B$6*(AJ158*1000/(H158*MIN(U158,AB158))+0.66*SQRT([1]Parametros!$B$2))</f>
        <v>3.2939603822754151</v>
      </c>
      <c r="BH158" s="13" t="str">
        <f t="shared" si="37"/>
        <v>CUMPLE</v>
      </c>
      <c r="BI158" s="13">
        <f>AX158*[1]Parametros!$B$8</f>
        <v>1592</v>
      </c>
      <c r="BJ158" s="15" t="str">
        <f t="shared" si="38"/>
        <v>CUMPLE</v>
      </c>
    </row>
    <row r="159" spans="1:62" x14ac:dyDescent="0.3">
      <c r="A159" s="20" t="s">
        <v>69</v>
      </c>
      <c r="B159" s="21">
        <v>1012</v>
      </c>
      <c r="C159" s="13">
        <v>1</v>
      </c>
      <c r="D159" s="13">
        <v>3.25</v>
      </c>
      <c r="E159" s="13">
        <v>3.25</v>
      </c>
      <c r="F159" s="13">
        <v>450</v>
      </c>
      <c r="G159" s="13">
        <v>550</v>
      </c>
      <c r="H159" s="13">
        <v>450</v>
      </c>
      <c r="I159" s="13">
        <v>550</v>
      </c>
      <c r="J159" s="14">
        <v>42.045900000000003</v>
      </c>
      <c r="K159" s="13">
        <v>1012</v>
      </c>
      <c r="L159" s="14">
        <v>19.4572</v>
      </c>
      <c r="M159" s="13">
        <v>1012</v>
      </c>
      <c r="N159" s="14">
        <v>35.472000000000001</v>
      </c>
      <c r="O159" s="14">
        <v>87.009</v>
      </c>
      <c r="P159" s="13">
        <v>1012</v>
      </c>
      <c r="Q159" s="14">
        <v>13.6981</v>
      </c>
      <c r="R159" s="13">
        <f>MAX(MAX(1.4/[1]Parametros!$B$3,0.25*SQRT([1]Parametros!$B$2)/[1]Parametros!$B$3)*H159*U159,(0.85*[1]Parametros!$B$2/[1]Parametros!$B$3)*(1-SQRT(1-2*(J159*1000000/([1]Parametros!$B$5*H159*U159^2))/(0.85*[1]Parametros!$B$2)))*H159*U159)</f>
        <v>734.02500000000009</v>
      </c>
      <c r="S159" s="14">
        <v>4</v>
      </c>
      <c r="T159" s="14">
        <v>1</v>
      </c>
      <c r="U159" s="13">
        <f>IF(T159=1,I159-([1]Parametros!$B$7+[1]Parametros!$B$9+[1]Parametros!$B$12/2),I159-(ROUNDUP(S159/2,0)*([1]Parametros!$B$7+[1]Parametros!$B$9+[1]Parametros!$B$12/2)+ROUNDDOWN(S159/2,0)*([1]Parametros!$B$7+[1]Parametros!$B$9+[1]Parametros!$B$12/2+[1]Parametros!$B$12+[1]Parametros!$B$10))/S159)</f>
        <v>489.35</v>
      </c>
      <c r="V159" s="13">
        <f>S159*[1]Parametros!$B$8</f>
        <v>796</v>
      </c>
      <c r="W159" s="13">
        <f>[1]Parametros!$B$5*V159*[1]Parametros!$B$3*(U159-(V159*[1]Parametros!$B$3/(0.85*[1]Parametros!$B$2*H159))/2)/1000000</f>
        <v>142.54333009411764</v>
      </c>
      <c r="X159" s="13" t="str">
        <f t="shared" si="26"/>
        <v>CUMPLE</v>
      </c>
      <c r="Y159" s="13">
        <f>MAX(MAX(1.4/[1]Parametros!$B$3,0.25*SQRT([1]Parametros!$B$2)/[1]Parametros!$B$3)*H159*AB159,(0.85*[1]Parametros!$B$2/[1]Parametros!$B$3)*(1-SQRT(1-2*(L159*1000000/([1]Parametros!$B$5*H159*AB159^2))/(0.85*[1]Parametros!$B$2)))*H159*AB159)</f>
        <v>734.02500000000009</v>
      </c>
      <c r="Z159" s="14">
        <v>4</v>
      </c>
      <c r="AA159" s="14">
        <v>1</v>
      </c>
      <c r="AB159" s="13">
        <f>IF(AA159=1,I159-([1]Parametros!$B$7+[1]Parametros!$B$9+[1]Parametros!$B$12/2),I159-(ROUNDUP(Z159/2,0)*([1]Parametros!$B$7+[1]Parametros!$B$9+[1]Parametros!$B$12/2)+ROUNDDOWN(Z159/2,0)*([1]Parametros!$B$7+[1]Parametros!$B$9+[1]Parametros!$B$12/2+[1]Parametros!$B$12+[1]Parametros!$B$10))/Z159)</f>
        <v>489.35</v>
      </c>
      <c r="AC159" s="13">
        <f>Z159*[1]Parametros!$B$8</f>
        <v>796</v>
      </c>
      <c r="AD159" s="13">
        <f>[1]Parametros!$B$5*AC159*[1]Parametros!$B$3*(AB159-(AC159*[1]Parametros!$B$3/(0.85*[1]Parametros!$B$2*H159))/2)/1000000</f>
        <v>142.54333009411764</v>
      </c>
      <c r="AE159" s="13" t="str">
        <f t="shared" si="27"/>
        <v>CUMPLE</v>
      </c>
      <c r="AF159" s="13">
        <f>V159*1.25*[1]Parametros!$B$3*(U159-(V159*1.25*[1]Parametros!$B$3/(0.85*[1]Parametros!$B$2*H159))/2)/1000000</f>
        <v>196.34621794117646</v>
      </c>
      <c r="AG159" s="13">
        <f>AC159*1.25*[1]Parametros!$B$3*(AB159-(AC159*1.25*[1]Parametros!$B$3/(0.85*[1]Parametros!$B$2*H159))/2)/1000000</f>
        <v>196.34621794117646</v>
      </c>
      <c r="AH159" s="13">
        <f t="shared" si="28"/>
        <v>156.30044180995475</v>
      </c>
      <c r="AI159" s="13">
        <f t="shared" si="29"/>
        <v>156.30044180995475</v>
      </c>
      <c r="AJ159" s="13">
        <f>0.17*SQRT([1]Parametros!$B$2)*H159*MIN(U159,AB159)/1000</f>
        <v>198.08885582262698</v>
      </c>
      <c r="AK159" s="13">
        <f>MAX(AI159/[1]Parametros!$B$6-AJ159,0)</f>
        <v>10.311733257312682</v>
      </c>
      <c r="AL159" s="13">
        <f>0.66*SQRT([1]Parametros!$B$2)*H159*MIN(U159,AB159)/1000</f>
        <v>769.05085201725785</v>
      </c>
      <c r="AM159" s="13" t="str">
        <f t="shared" si="30"/>
        <v>CUMPLE</v>
      </c>
      <c r="AN159" s="13" t="s">
        <v>64</v>
      </c>
      <c r="AO159" s="14">
        <v>2</v>
      </c>
      <c r="AP159" s="13">
        <f>ROUNDDOWN(MIN(IF(BC159+BD159=0,1000000000,AO159*BB159/(BC159+BD159)),MIN(U159,AB159)/4,8*[1]Parametros!$B$12,24*BA159,300,IF(AV159=0,1000000000,2*((H159-2*([1]Parametros!$B$7+[1]Parametros!$B$9/2))+(I159-2*([1]Parametros!$B$7+[1]Parametros!$B$9/2)))/8))/10,0)*10</f>
        <v>120</v>
      </c>
      <c r="AQ159" s="13">
        <f>ROUNDDOWN(MIN(IF(BC159+BD159=0,1000000000,AO159*BB159/(BC159+BD159)),IF(AK159&gt;0.33*SQRT([1]Parametros!$B$2)*H159*MIN(U159,AB159)/1000,MIN(U159,AB159)/4,MIN(U159,AB159)/2),600,IF(AV159=0,1000000000,2*((H159-2*([1]Parametros!$B$7+[1]Parametros!$B$9/2))+(I159-2*([1]Parametros!$B$7+[1]Parametros!$B$9/2)))/8))/10,0)*10</f>
        <v>200</v>
      </c>
      <c r="AR159" s="13">
        <f>[1]Parametros!$B$6*(AJ159+MAX(BE159-BD159,0)*[1]Parametros!$B$4*MIN(U159,AB159)/1000)</f>
        <v>282.70746880340869</v>
      </c>
      <c r="AS159" s="13" t="str">
        <f t="shared" si="31"/>
        <v>CUMPLE</v>
      </c>
      <c r="AT159" s="13">
        <f>[1]Parametros!$B$6*0.083*SQRT([1]Parametros!$B$2)*(H159*I159)^2/(2*(H159+I159))/1000000</f>
        <v>10.08878303333792</v>
      </c>
      <c r="AU159" s="13" t="str">
        <f t="shared" si="32"/>
        <v>DISEÑAR</v>
      </c>
      <c r="AV159" s="13">
        <f>IF(Q159&lt;=AT159,0,Q159*1000000/([1]Parametros!$B$6*2*0.85*(H159-2*([1]Parametros!$B$7+[1]Parametros!$B$9/2))*(I159-2*([1]Parametros!$B$7+[1]Parametros!$B$9/2))*[1]Parametros!$B$4))</f>
        <v>0.1565548908044897</v>
      </c>
      <c r="AW159" s="13">
        <f>AV159*2*((H159-2*([1]Parametros!$B$7+[1]Parametros!$B$9/2))+(I159-2*([1]Parametros!$B$7+[1]Parametros!$B$9/2)))*[1]Parametros!$B$4/[1]Parametros!$B$3</f>
        <v>255.05922809867462</v>
      </c>
      <c r="AX159" s="14">
        <v>8</v>
      </c>
      <c r="AY159" s="13" t="str">
        <f t="shared" si="33"/>
        <v>CUMPLE</v>
      </c>
      <c r="AZ159" s="13" t="str">
        <f t="shared" si="34"/>
        <v>CUMPLE</v>
      </c>
      <c r="BA159" s="14">
        <v>9.5</v>
      </c>
      <c r="BB159" s="14">
        <v>71</v>
      </c>
      <c r="BC159" s="13">
        <f>MAX(IF(AK159=0,0,AK159*1000/([1]Parametros!$B$4*MIN(U159,AB159))),MAX(0.062*SQRT([1]Parametros!$B$2)*H159/[1]Parametros!$B$4,0.35*H159/[1]Parametros!$B$4))</f>
        <v>0.375</v>
      </c>
      <c r="BD159" s="13">
        <f t="shared" si="35"/>
        <v>0.3131097816089794</v>
      </c>
      <c r="BE159" s="13">
        <f t="shared" si="36"/>
        <v>1.1833333333333333</v>
      </c>
      <c r="BF159" s="13">
        <f>SQRT((AI159*1000/(H159*MIN(U159,AB159)))^2+(Q159*1000000*2*((H159-2*([1]Parametros!$B$7+[1]Parametros!$B$9/2))+(I159-2*([1]Parametros!$B$7+[1]Parametros!$B$9/2)))/(1.7*((H159-2*([1]Parametros!$B$7+[1]Parametros!$B$9/2))*(I159-2*([1]Parametros!$B$7+[1]Parametros!$B$9/2)))^2))^2)</f>
        <v>0.86347306108489874</v>
      </c>
      <c r="BG159" s="13">
        <f>[1]Parametros!$B$6*(AJ159*1000/(H159*MIN(U159,AB159))+0.66*SQRT([1]Parametros!$B$2))</f>
        <v>3.2939603822754151</v>
      </c>
      <c r="BH159" s="13" t="str">
        <f t="shared" si="37"/>
        <v>CUMPLE</v>
      </c>
      <c r="BI159" s="13">
        <f>AX159*[1]Parametros!$B$8</f>
        <v>1592</v>
      </c>
      <c r="BJ159" s="15" t="str">
        <f t="shared" si="38"/>
        <v>CUMPLE</v>
      </c>
    </row>
    <row r="160" spans="1:62" x14ac:dyDescent="0.3">
      <c r="A160" s="20" t="s">
        <v>69</v>
      </c>
      <c r="B160" s="21">
        <v>1029</v>
      </c>
      <c r="C160" s="13">
        <v>1</v>
      </c>
      <c r="D160" s="13">
        <v>3.25</v>
      </c>
      <c r="E160" s="13">
        <v>3.25</v>
      </c>
      <c r="F160" s="13">
        <v>450</v>
      </c>
      <c r="G160" s="13">
        <v>550</v>
      </c>
      <c r="H160" s="13">
        <v>450</v>
      </c>
      <c r="I160" s="13">
        <v>550</v>
      </c>
      <c r="J160" s="14">
        <v>42.052300000000002</v>
      </c>
      <c r="K160" s="13">
        <v>1029</v>
      </c>
      <c r="L160" s="14">
        <v>19.4452</v>
      </c>
      <c r="M160" s="13">
        <v>1029</v>
      </c>
      <c r="N160" s="14">
        <v>35.47</v>
      </c>
      <c r="O160" s="14">
        <v>87.013000000000005</v>
      </c>
      <c r="P160" s="13">
        <v>1029</v>
      </c>
      <c r="Q160" s="14">
        <v>13.6919</v>
      </c>
      <c r="R160" s="13">
        <f>MAX(MAX(1.4/[1]Parametros!$B$3,0.25*SQRT([1]Parametros!$B$2)/[1]Parametros!$B$3)*H160*U160,(0.85*[1]Parametros!$B$2/[1]Parametros!$B$3)*(1-SQRT(1-2*(J160*1000000/([1]Parametros!$B$5*H160*U160^2))/(0.85*[1]Parametros!$B$2)))*H160*U160)</f>
        <v>734.02500000000009</v>
      </c>
      <c r="S160" s="14">
        <v>4</v>
      </c>
      <c r="T160" s="14">
        <v>1</v>
      </c>
      <c r="U160" s="13">
        <f>IF(T160=1,I160-([1]Parametros!$B$7+[1]Parametros!$B$9+[1]Parametros!$B$12/2),I160-(ROUNDUP(S160/2,0)*([1]Parametros!$B$7+[1]Parametros!$B$9+[1]Parametros!$B$12/2)+ROUNDDOWN(S160/2,0)*([1]Parametros!$B$7+[1]Parametros!$B$9+[1]Parametros!$B$12/2+[1]Parametros!$B$12+[1]Parametros!$B$10))/S160)</f>
        <v>489.35</v>
      </c>
      <c r="V160" s="13">
        <f>S160*[1]Parametros!$B$8</f>
        <v>796</v>
      </c>
      <c r="W160" s="13">
        <f>[1]Parametros!$B$5*V160*[1]Parametros!$B$3*(U160-(V160*[1]Parametros!$B$3/(0.85*[1]Parametros!$B$2*H160))/2)/1000000</f>
        <v>142.54333009411764</v>
      </c>
      <c r="X160" s="13" t="str">
        <f t="shared" si="26"/>
        <v>CUMPLE</v>
      </c>
      <c r="Y160" s="13">
        <f>MAX(MAX(1.4/[1]Parametros!$B$3,0.25*SQRT([1]Parametros!$B$2)/[1]Parametros!$B$3)*H160*AB160,(0.85*[1]Parametros!$B$2/[1]Parametros!$B$3)*(1-SQRT(1-2*(L160*1000000/([1]Parametros!$B$5*H160*AB160^2))/(0.85*[1]Parametros!$B$2)))*H160*AB160)</f>
        <v>734.02500000000009</v>
      </c>
      <c r="Z160" s="14">
        <v>4</v>
      </c>
      <c r="AA160" s="14">
        <v>1</v>
      </c>
      <c r="AB160" s="13">
        <f>IF(AA160=1,I160-([1]Parametros!$B$7+[1]Parametros!$B$9+[1]Parametros!$B$12/2),I160-(ROUNDUP(Z160/2,0)*([1]Parametros!$B$7+[1]Parametros!$B$9+[1]Parametros!$B$12/2)+ROUNDDOWN(Z160/2,0)*([1]Parametros!$B$7+[1]Parametros!$B$9+[1]Parametros!$B$12/2+[1]Parametros!$B$12+[1]Parametros!$B$10))/Z160)</f>
        <v>489.35</v>
      </c>
      <c r="AC160" s="13">
        <f>Z160*[1]Parametros!$B$8</f>
        <v>796</v>
      </c>
      <c r="AD160" s="13">
        <f>[1]Parametros!$B$5*AC160*[1]Parametros!$B$3*(AB160-(AC160*[1]Parametros!$B$3/(0.85*[1]Parametros!$B$2*H160))/2)/1000000</f>
        <v>142.54333009411764</v>
      </c>
      <c r="AE160" s="13" t="str">
        <f t="shared" si="27"/>
        <v>CUMPLE</v>
      </c>
      <c r="AF160" s="13">
        <f>V160*1.25*[1]Parametros!$B$3*(U160-(V160*1.25*[1]Parametros!$B$3/(0.85*[1]Parametros!$B$2*H160))/2)/1000000</f>
        <v>196.34621794117646</v>
      </c>
      <c r="AG160" s="13">
        <f>AC160*1.25*[1]Parametros!$B$3*(AB160-(AC160*1.25*[1]Parametros!$B$3/(0.85*[1]Parametros!$B$2*H160))/2)/1000000</f>
        <v>196.34621794117646</v>
      </c>
      <c r="AH160" s="13">
        <f t="shared" si="28"/>
        <v>156.29844180995474</v>
      </c>
      <c r="AI160" s="13">
        <f t="shared" si="29"/>
        <v>156.29844180995474</v>
      </c>
      <c r="AJ160" s="13">
        <f>0.17*SQRT([1]Parametros!$B$2)*H160*MIN(U160,AB160)/1000</f>
        <v>198.08885582262698</v>
      </c>
      <c r="AK160" s="13">
        <f>MAX(AI160/[1]Parametros!$B$6-AJ160,0)</f>
        <v>10.309066590646012</v>
      </c>
      <c r="AL160" s="13">
        <f>0.66*SQRT([1]Parametros!$B$2)*H160*MIN(U160,AB160)/1000</f>
        <v>769.05085201725785</v>
      </c>
      <c r="AM160" s="13" t="str">
        <f t="shared" si="30"/>
        <v>CUMPLE</v>
      </c>
      <c r="AN160" s="13" t="s">
        <v>64</v>
      </c>
      <c r="AO160" s="14">
        <v>2</v>
      </c>
      <c r="AP160" s="13">
        <f>ROUNDDOWN(MIN(IF(BC160+BD160=0,1000000000,AO160*BB160/(BC160+BD160)),MIN(U160,AB160)/4,8*[1]Parametros!$B$12,24*BA160,300,IF(AV160=0,1000000000,2*((H160-2*([1]Parametros!$B$7+[1]Parametros!$B$9/2))+(I160-2*([1]Parametros!$B$7+[1]Parametros!$B$9/2)))/8))/10,0)*10</f>
        <v>120</v>
      </c>
      <c r="AQ160" s="13">
        <f>ROUNDDOWN(MIN(IF(BC160+BD160=0,1000000000,AO160*BB160/(BC160+BD160)),IF(AK160&gt;0.33*SQRT([1]Parametros!$B$2)*H160*MIN(U160,AB160)/1000,MIN(U160,AB160)/4,MIN(U160,AB160)/2),600,IF(AV160=0,1000000000,2*((H160-2*([1]Parametros!$B$7+[1]Parametros!$B$9/2))+(I160-2*([1]Parametros!$B$7+[1]Parametros!$B$9/2)))/8))/10,0)*10</f>
        <v>200</v>
      </c>
      <c r="AR160" s="13">
        <f>[1]Parametros!$B$6*(AJ160+MAX(BE160-BD160,0)*[1]Parametros!$B$4*MIN(U160,AB160)/1000)</f>
        <v>282.72931410972814</v>
      </c>
      <c r="AS160" s="13" t="str">
        <f t="shared" si="31"/>
        <v>CUMPLE</v>
      </c>
      <c r="AT160" s="13">
        <f>[1]Parametros!$B$6*0.083*SQRT([1]Parametros!$B$2)*(H160*I160)^2/(2*(H160+I160))/1000000</f>
        <v>10.08878303333792</v>
      </c>
      <c r="AU160" s="13" t="str">
        <f t="shared" si="32"/>
        <v>DISEÑAR</v>
      </c>
      <c r="AV160" s="13">
        <f>IF(Q160&lt;=AT160,0,Q160*1000000/([1]Parametros!$B$6*2*0.85*(H160-2*([1]Parametros!$B$7+[1]Parametros!$B$9/2))*(I160-2*([1]Parametros!$B$7+[1]Parametros!$B$9/2))*[1]Parametros!$B$4))</f>
        <v>0.15648403131864949</v>
      </c>
      <c r="AW160" s="13">
        <f>AV160*2*((H160-2*([1]Parametros!$B$7+[1]Parametros!$B$9/2))+(I160-2*([1]Parametros!$B$7+[1]Parametros!$B$9/2)))*[1]Parametros!$B$4/[1]Parametros!$B$3</f>
        <v>254.94378382434377</v>
      </c>
      <c r="AX160" s="14">
        <v>8</v>
      </c>
      <c r="AY160" s="13" t="str">
        <f t="shared" si="33"/>
        <v>CUMPLE</v>
      </c>
      <c r="AZ160" s="13" t="str">
        <f t="shared" si="34"/>
        <v>CUMPLE</v>
      </c>
      <c r="BA160" s="14">
        <v>9.5</v>
      </c>
      <c r="BB160" s="14">
        <v>71</v>
      </c>
      <c r="BC160" s="13">
        <f>MAX(IF(AK160=0,0,AK160*1000/([1]Parametros!$B$4*MIN(U160,AB160))),MAX(0.062*SQRT([1]Parametros!$B$2)*H160/[1]Parametros!$B$4,0.35*H160/[1]Parametros!$B$4))</f>
        <v>0.375</v>
      </c>
      <c r="BD160" s="13">
        <f t="shared" si="35"/>
        <v>0.31296806263729898</v>
      </c>
      <c r="BE160" s="13">
        <f t="shared" si="36"/>
        <v>1.1833333333333333</v>
      </c>
      <c r="BF160" s="13">
        <f>SQRT((AI160*1000/(H160*MIN(U160,AB160)))^2+(Q160*1000000*2*((H160-2*([1]Parametros!$B$7+[1]Parametros!$B$9/2))+(I160-2*([1]Parametros!$B$7+[1]Parametros!$B$9/2)))/(1.7*((H160-2*([1]Parametros!$B$7+[1]Parametros!$B$9/2))*(I160-2*([1]Parametros!$B$7+[1]Parametros!$B$9/2)))^2))^2)</f>
        <v>0.86333887251869013</v>
      </c>
      <c r="BG160" s="13">
        <f>[1]Parametros!$B$6*(AJ160*1000/(H160*MIN(U160,AB160))+0.66*SQRT([1]Parametros!$B$2))</f>
        <v>3.2939603822754151</v>
      </c>
      <c r="BH160" s="13" t="str">
        <f t="shared" si="37"/>
        <v>CUMPLE</v>
      </c>
      <c r="BI160" s="13">
        <f>AX160*[1]Parametros!$B$8</f>
        <v>1592</v>
      </c>
      <c r="BJ160" s="15" t="str">
        <f t="shared" si="38"/>
        <v>CUMPLE</v>
      </c>
    </row>
    <row r="161" spans="1:62" x14ac:dyDescent="0.3">
      <c r="A161" s="20" t="s">
        <v>69</v>
      </c>
      <c r="B161" s="21">
        <v>1030</v>
      </c>
      <c r="C161" s="13">
        <v>1</v>
      </c>
      <c r="D161" s="13">
        <v>3.3</v>
      </c>
      <c r="E161" s="13">
        <v>3.3</v>
      </c>
      <c r="F161" s="13">
        <v>450</v>
      </c>
      <c r="G161" s="13">
        <v>550</v>
      </c>
      <c r="H161" s="13">
        <v>450</v>
      </c>
      <c r="I161" s="13">
        <v>550</v>
      </c>
      <c r="J161" s="14">
        <v>82.583699999999993</v>
      </c>
      <c r="K161" s="13">
        <v>1030</v>
      </c>
      <c r="L161" s="14">
        <v>29.6495</v>
      </c>
      <c r="M161" s="13">
        <v>1030</v>
      </c>
      <c r="N161" s="14">
        <v>77.525000000000006</v>
      </c>
      <c r="O161" s="14">
        <v>153.06399999999999</v>
      </c>
      <c r="P161" s="13">
        <v>1030</v>
      </c>
      <c r="Q161" s="14">
        <v>18.950500000000002</v>
      </c>
      <c r="R161" s="13">
        <f>MAX(MAX(1.4/[1]Parametros!$B$3,0.25*SQRT([1]Parametros!$B$2)/[1]Parametros!$B$3)*H161*U161,(0.85*[1]Parametros!$B$2/[1]Parametros!$B$3)*(1-SQRT(1-2*(J161*1000000/([1]Parametros!$B$5*H161*U161^2))/(0.85*[1]Parametros!$B$2)))*H161*U161)</f>
        <v>734.02500000000009</v>
      </c>
      <c r="S161" s="14">
        <v>4</v>
      </c>
      <c r="T161" s="14">
        <v>1</v>
      </c>
      <c r="U161" s="13">
        <f>IF(T161=1,I161-([1]Parametros!$B$7+[1]Parametros!$B$9+[1]Parametros!$B$12/2),I161-(ROUNDUP(S161/2,0)*([1]Parametros!$B$7+[1]Parametros!$B$9+[1]Parametros!$B$12/2)+ROUNDDOWN(S161/2,0)*([1]Parametros!$B$7+[1]Parametros!$B$9+[1]Parametros!$B$12/2+[1]Parametros!$B$12+[1]Parametros!$B$10))/S161)</f>
        <v>489.35</v>
      </c>
      <c r="V161" s="13">
        <f>S161*[1]Parametros!$B$8</f>
        <v>796</v>
      </c>
      <c r="W161" s="13">
        <f>[1]Parametros!$B$5*V161*[1]Parametros!$B$3*(U161-(V161*[1]Parametros!$B$3/(0.85*[1]Parametros!$B$2*H161))/2)/1000000</f>
        <v>142.54333009411764</v>
      </c>
      <c r="X161" s="13" t="str">
        <f t="shared" si="26"/>
        <v>CUMPLE</v>
      </c>
      <c r="Y161" s="13">
        <f>MAX(MAX(1.4/[1]Parametros!$B$3,0.25*SQRT([1]Parametros!$B$2)/[1]Parametros!$B$3)*H161*AB161,(0.85*[1]Parametros!$B$2/[1]Parametros!$B$3)*(1-SQRT(1-2*(L161*1000000/([1]Parametros!$B$5*H161*AB161^2))/(0.85*[1]Parametros!$B$2)))*H161*AB161)</f>
        <v>734.02500000000009</v>
      </c>
      <c r="Z161" s="14">
        <v>4</v>
      </c>
      <c r="AA161" s="14">
        <v>1</v>
      </c>
      <c r="AB161" s="13">
        <f>IF(AA161=1,I161-([1]Parametros!$B$7+[1]Parametros!$B$9+[1]Parametros!$B$12/2),I161-(ROUNDUP(Z161/2,0)*([1]Parametros!$B$7+[1]Parametros!$B$9+[1]Parametros!$B$12/2)+ROUNDDOWN(Z161/2,0)*([1]Parametros!$B$7+[1]Parametros!$B$9+[1]Parametros!$B$12/2+[1]Parametros!$B$12+[1]Parametros!$B$10))/Z161)</f>
        <v>489.35</v>
      </c>
      <c r="AC161" s="13">
        <f>Z161*[1]Parametros!$B$8</f>
        <v>796</v>
      </c>
      <c r="AD161" s="13">
        <f>[1]Parametros!$B$5*AC161*[1]Parametros!$B$3*(AB161-(AC161*[1]Parametros!$B$3/(0.85*[1]Parametros!$B$2*H161))/2)/1000000</f>
        <v>142.54333009411764</v>
      </c>
      <c r="AE161" s="13" t="str">
        <f t="shared" si="27"/>
        <v>CUMPLE</v>
      </c>
      <c r="AF161" s="13">
        <f>V161*1.25*[1]Parametros!$B$3*(U161-(V161*1.25*[1]Parametros!$B$3/(0.85*[1]Parametros!$B$2*H161))/2)/1000000</f>
        <v>196.34621794117646</v>
      </c>
      <c r="AG161" s="13">
        <f>AC161*1.25*[1]Parametros!$B$3*(AB161-(AC161*1.25*[1]Parametros!$B$3/(0.85*[1]Parametros!$B$2*H161))/2)/1000000</f>
        <v>196.34621794117646</v>
      </c>
      <c r="AH161" s="13">
        <f t="shared" si="28"/>
        <v>196.52270784313725</v>
      </c>
      <c r="AI161" s="13">
        <f t="shared" si="29"/>
        <v>196.52270784313725</v>
      </c>
      <c r="AJ161" s="13">
        <f>0.17*SQRT([1]Parametros!$B$2)*H161*MIN(U161,AB161)/1000</f>
        <v>198.08885582262698</v>
      </c>
      <c r="AK161" s="13">
        <f>MAX(AI161/[1]Parametros!$B$6-AJ161,0)</f>
        <v>63.941421301556005</v>
      </c>
      <c r="AL161" s="13">
        <f>0.66*SQRT([1]Parametros!$B$2)*H161*MIN(U161,AB161)/1000</f>
        <v>769.05085201725785</v>
      </c>
      <c r="AM161" s="13" t="str">
        <f t="shared" si="30"/>
        <v>CUMPLE</v>
      </c>
      <c r="AN161" s="13" t="s">
        <v>64</v>
      </c>
      <c r="AO161" s="14">
        <v>2</v>
      </c>
      <c r="AP161" s="13">
        <f>ROUNDDOWN(MIN(IF(BC161+BD161=0,1000000000,AO161*BB161/(BC161+BD161)),MIN(U161,AB161)/4,8*[1]Parametros!$B$12,24*BA161,300,IF(AV161=0,1000000000,2*((H161-2*([1]Parametros!$B$7+[1]Parametros!$B$9/2))+(I161-2*([1]Parametros!$B$7+[1]Parametros!$B$9/2)))/8))/10,0)*10</f>
        <v>120</v>
      </c>
      <c r="AQ161" s="13">
        <f>ROUNDDOWN(MIN(IF(BC161+BD161=0,1000000000,AO161*BB161/(BC161+BD161)),IF(AK161&gt;0.33*SQRT([1]Parametros!$B$2)*H161*MIN(U161,AB161)/1000,MIN(U161,AB161)/4,MIN(U161,AB161)/2),600,IF(AV161=0,1000000000,2*((H161-2*([1]Parametros!$B$7+[1]Parametros!$B$9/2))+(I161-2*([1]Parametros!$B$7+[1]Parametros!$B$9/2)))/8))/10,0)*10</f>
        <v>170</v>
      </c>
      <c r="AR161" s="13">
        <f>[1]Parametros!$B$6*(AJ161+MAX(BE161-BD161,0)*[1]Parametros!$B$4*MIN(U161,AB161)/1000)</f>
        <v>264.20097091435468</v>
      </c>
      <c r="AS161" s="13" t="str">
        <f t="shared" si="31"/>
        <v>CUMPLE</v>
      </c>
      <c r="AT161" s="13">
        <f>[1]Parametros!$B$6*0.083*SQRT([1]Parametros!$B$2)*(H161*I161)^2/(2*(H161+I161))/1000000</f>
        <v>10.08878303333792</v>
      </c>
      <c r="AU161" s="13" t="str">
        <f t="shared" si="32"/>
        <v>DISEÑAR</v>
      </c>
      <c r="AV161" s="13">
        <f>IF(Q161&lt;=AT161,0,Q161*1000000/([1]Parametros!$B$6*2*0.85*(H161-2*([1]Parametros!$B$7+[1]Parametros!$B$9/2))*(I161-2*([1]Parametros!$B$7+[1]Parametros!$B$9/2))*[1]Parametros!$B$4))</f>
        <v>0.21658430426048009</v>
      </c>
      <c r="AW161" s="13">
        <f>AV161*2*((H161-2*([1]Parametros!$B$7+[1]Parametros!$B$9/2))+(I161-2*([1]Parametros!$B$7+[1]Parametros!$B$9/2)))*[1]Parametros!$B$4/[1]Parametros!$B$3</f>
        <v>352.8591485011741</v>
      </c>
      <c r="AX161" s="14">
        <v>8</v>
      </c>
      <c r="AY161" s="13" t="str">
        <f t="shared" si="33"/>
        <v>CUMPLE</v>
      </c>
      <c r="AZ161" s="13" t="str">
        <f t="shared" si="34"/>
        <v>CUMPLE</v>
      </c>
      <c r="BA161" s="14">
        <v>9.5</v>
      </c>
      <c r="BB161" s="14">
        <v>71</v>
      </c>
      <c r="BC161" s="13">
        <f>MAX(IF(AK161=0,0,AK161*1000/([1]Parametros!$B$4*MIN(U161,AB161))),MAX(0.062*SQRT([1]Parametros!$B$2)*H161/[1]Parametros!$B$4,0.35*H161/[1]Parametros!$B$4))</f>
        <v>0.375</v>
      </c>
      <c r="BD161" s="13">
        <f t="shared" si="35"/>
        <v>0.43316860852096017</v>
      </c>
      <c r="BE161" s="13">
        <f t="shared" si="36"/>
        <v>1.1833333333333333</v>
      </c>
      <c r="BF161" s="13">
        <f>SQRT((AI161*1000/(H161*MIN(U161,AB161)))^2+(Q161*1000000*2*((H161-2*([1]Parametros!$B$7+[1]Parametros!$B$9/2))+(I161-2*([1]Parametros!$B$7+[1]Parametros!$B$9/2)))/(1.7*((H161-2*([1]Parametros!$B$7+[1]Parametros!$B$9/2))*(I161-2*([1]Parametros!$B$7+[1]Parametros!$B$9/2)))^2))^2)</f>
        <v>1.1221473350017153</v>
      </c>
      <c r="BG161" s="13">
        <f>[1]Parametros!$B$6*(AJ161*1000/(H161*MIN(U161,AB161))+0.66*SQRT([1]Parametros!$B$2))</f>
        <v>3.2939603822754151</v>
      </c>
      <c r="BH161" s="13" t="str">
        <f t="shared" si="37"/>
        <v>CUMPLE</v>
      </c>
      <c r="BI161" s="13">
        <f>AX161*[1]Parametros!$B$8</f>
        <v>1592</v>
      </c>
      <c r="BJ161" s="15" t="str">
        <f t="shared" si="38"/>
        <v>CUMPLE</v>
      </c>
    </row>
    <row r="162" spans="1:62" x14ac:dyDescent="0.3">
      <c r="A162" s="20" t="s">
        <v>69</v>
      </c>
      <c r="B162" s="21">
        <v>1031</v>
      </c>
      <c r="C162" s="13">
        <v>1</v>
      </c>
      <c r="D162" s="13">
        <v>3.3</v>
      </c>
      <c r="E162" s="13">
        <v>3.3</v>
      </c>
      <c r="F162" s="13">
        <v>450</v>
      </c>
      <c r="G162" s="13">
        <v>550</v>
      </c>
      <c r="H162" s="13">
        <v>450</v>
      </c>
      <c r="I162" s="13">
        <v>550</v>
      </c>
      <c r="J162" s="14">
        <v>82.474199999999996</v>
      </c>
      <c r="K162" s="13">
        <v>1031</v>
      </c>
      <c r="L162" s="14">
        <v>29.6663</v>
      </c>
      <c r="M162" s="13">
        <v>1031</v>
      </c>
      <c r="N162" s="14">
        <v>77.424000000000007</v>
      </c>
      <c r="O162" s="14">
        <v>152.95599999999999</v>
      </c>
      <c r="P162" s="13">
        <v>1031</v>
      </c>
      <c r="Q162" s="14">
        <v>18.9237</v>
      </c>
      <c r="R162" s="13">
        <f>MAX(MAX(1.4/[1]Parametros!$B$3,0.25*SQRT([1]Parametros!$B$2)/[1]Parametros!$B$3)*H162*U162,(0.85*[1]Parametros!$B$2/[1]Parametros!$B$3)*(1-SQRT(1-2*(J162*1000000/([1]Parametros!$B$5*H162*U162^2))/(0.85*[1]Parametros!$B$2)))*H162*U162)</f>
        <v>734.02500000000009</v>
      </c>
      <c r="S162" s="14">
        <v>4</v>
      </c>
      <c r="T162" s="14">
        <v>1</v>
      </c>
      <c r="U162" s="13">
        <f>IF(T162=1,I162-([1]Parametros!$B$7+[1]Parametros!$B$9+[1]Parametros!$B$12/2),I162-(ROUNDUP(S162/2,0)*([1]Parametros!$B$7+[1]Parametros!$B$9+[1]Parametros!$B$12/2)+ROUNDDOWN(S162/2,0)*([1]Parametros!$B$7+[1]Parametros!$B$9+[1]Parametros!$B$12/2+[1]Parametros!$B$12+[1]Parametros!$B$10))/S162)</f>
        <v>489.35</v>
      </c>
      <c r="V162" s="13">
        <f>S162*[1]Parametros!$B$8</f>
        <v>796</v>
      </c>
      <c r="W162" s="13">
        <f>[1]Parametros!$B$5*V162*[1]Parametros!$B$3*(U162-(V162*[1]Parametros!$B$3/(0.85*[1]Parametros!$B$2*H162))/2)/1000000</f>
        <v>142.54333009411764</v>
      </c>
      <c r="X162" s="13" t="str">
        <f t="shared" si="26"/>
        <v>CUMPLE</v>
      </c>
      <c r="Y162" s="13">
        <f>MAX(MAX(1.4/[1]Parametros!$B$3,0.25*SQRT([1]Parametros!$B$2)/[1]Parametros!$B$3)*H162*AB162,(0.85*[1]Parametros!$B$2/[1]Parametros!$B$3)*(1-SQRT(1-2*(L162*1000000/([1]Parametros!$B$5*H162*AB162^2))/(0.85*[1]Parametros!$B$2)))*H162*AB162)</f>
        <v>734.02500000000009</v>
      </c>
      <c r="Z162" s="14">
        <v>4</v>
      </c>
      <c r="AA162" s="14">
        <v>1</v>
      </c>
      <c r="AB162" s="13">
        <f>IF(AA162=1,I162-([1]Parametros!$B$7+[1]Parametros!$B$9+[1]Parametros!$B$12/2),I162-(ROUNDUP(Z162/2,0)*([1]Parametros!$B$7+[1]Parametros!$B$9+[1]Parametros!$B$12/2)+ROUNDDOWN(Z162/2,0)*([1]Parametros!$B$7+[1]Parametros!$B$9+[1]Parametros!$B$12/2+[1]Parametros!$B$12+[1]Parametros!$B$10))/Z162)</f>
        <v>489.35</v>
      </c>
      <c r="AC162" s="13">
        <f>Z162*[1]Parametros!$B$8</f>
        <v>796</v>
      </c>
      <c r="AD162" s="13">
        <f>[1]Parametros!$B$5*AC162*[1]Parametros!$B$3*(AB162-(AC162*[1]Parametros!$B$3/(0.85*[1]Parametros!$B$2*H162))/2)/1000000</f>
        <v>142.54333009411764</v>
      </c>
      <c r="AE162" s="13" t="str">
        <f t="shared" si="27"/>
        <v>CUMPLE</v>
      </c>
      <c r="AF162" s="13">
        <f>V162*1.25*[1]Parametros!$B$3*(U162-(V162*1.25*[1]Parametros!$B$3/(0.85*[1]Parametros!$B$2*H162))/2)/1000000</f>
        <v>196.34621794117646</v>
      </c>
      <c r="AG162" s="13">
        <f>AC162*1.25*[1]Parametros!$B$3*(AB162-(AC162*1.25*[1]Parametros!$B$3/(0.85*[1]Parametros!$B$2*H162))/2)/1000000</f>
        <v>196.34621794117646</v>
      </c>
      <c r="AH162" s="13">
        <f t="shared" si="28"/>
        <v>196.42170784313726</v>
      </c>
      <c r="AI162" s="13">
        <f t="shared" si="29"/>
        <v>196.42170784313726</v>
      </c>
      <c r="AJ162" s="13">
        <f>0.17*SQRT([1]Parametros!$B$2)*H162*MIN(U162,AB162)/1000</f>
        <v>198.08885582262698</v>
      </c>
      <c r="AK162" s="13">
        <f>MAX(AI162/[1]Parametros!$B$6-AJ162,0)</f>
        <v>63.806754634889359</v>
      </c>
      <c r="AL162" s="13">
        <f>0.66*SQRT([1]Parametros!$B$2)*H162*MIN(U162,AB162)/1000</f>
        <v>769.05085201725785</v>
      </c>
      <c r="AM162" s="13" t="str">
        <f t="shared" si="30"/>
        <v>CUMPLE</v>
      </c>
      <c r="AN162" s="13" t="s">
        <v>64</v>
      </c>
      <c r="AO162" s="14">
        <v>2</v>
      </c>
      <c r="AP162" s="13">
        <f>ROUNDDOWN(MIN(IF(BC162+BD162=0,1000000000,AO162*BB162/(BC162+BD162)),MIN(U162,AB162)/4,8*[1]Parametros!$B$12,24*BA162,300,IF(AV162=0,1000000000,2*((H162-2*([1]Parametros!$B$7+[1]Parametros!$B$9/2))+(I162-2*([1]Parametros!$B$7+[1]Parametros!$B$9/2)))/8))/10,0)*10</f>
        <v>120</v>
      </c>
      <c r="AQ162" s="13">
        <f>ROUNDDOWN(MIN(IF(BC162+BD162=0,1000000000,AO162*BB162/(BC162+BD162)),IF(AK162&gt;0.33*SQRT([1]Parametros!$B$2)*H162*MIN(U162,AB162)/1000,MIN(U162,AB162)/4,MIN(U162,AB162)/2),600,IF(AV162=0,1000000000,2*((H162-2*([1]Parametros!$B$7+[1]Parametros!$B$9/2))+(I162-2*([1]Parametros!$B$7+[1]Parametros!$B$9/2)))/8))/10,0)*10</f>
        <v>170</v>
      </c>
      <c r="AR162" s="13">
        <f>[1]Parametros!$B$6*(AJ162+MAX(BE162-BD162,0)*[1]Parametros!$B$4*MIN(U162,AB162)/1000)</f>
        <v>264.29539901263865</v>
      </c>
      <c r="AS162" s="13" t="str">
        <f t="shared" si="31"/>
        <v>CUMPLE</v>
      </c>
      <c r="AT162" s="13">
        <f>[1]Parametros!$B$6*0.083*SQRT([1]Parametros!$B$2)*(H162*I162)^2/(2*(H162+I162))/1000000</f>
        <v>10.08878303333792</v>
      </c>
      <c r="AU162" s="13" t="str">
        <f t="shared" si="32"/>
        <v>DISEÑAR</v>
      </c>
      <c r="AV162" s="13">
        <f>IF(Q162&lt;=AT162,0,Q162*1000000/([1]Parametros!$B$6*2*0.85*(H162-2*([1]Parametros!$B$7+[1]Parametros!$B$9/2))*(I162-2*([1]Parametros!$B$7+[1]Parametros!$B$9/2))*[1]Parametros!$B$4))</f>
        <v>0.21627800841846109</v>
      </c>
      <c r="AW162" s="13">
        <f>AV162*2*((H162-2*([1]Parametros!$B$7+[1]Parametros!$B$9/2))+(I162-2*([1]Parametros!$B$7+[1]Parametros!$B$9/2)))*[1]Parametros!$B$4/[1]Parametros!$B$3</f>
        <v>352.3601313153568</v>
      </c>
      <c r="AX162" s="14">
        <v>8</v>
      </c>
      <c r="AY162" s="13" t="str">
        <f t="shared" si="33"/>
        <v>CUMPLE</v>
      </c>
      <c r="AZ162" s="13" t="str">
        <f t="shared" si="34"/>
        <v>CUMPLE</v>
      </c>
      <c r="BA162" s="14">
        <v>9.5</v>
      </c>
      <c r="BB162" s="14">
        <v>71</v>
      </c>
      <c r="BC162" s="13">
        <f>MAX(IF(AK162=0,0,AK162*1000/([1]Parametros!$B$4*MIN(U162,AB162))),MAX(0.062*SQRT([1]Parametros!$B$2)*H162/[1]Parametros!$B$4,0.35*H162/[1]Parametros!$B$4))</f>
        <v>0.375</v>
      </c>
      <c r="BD162" s="13">
        <f t="shared" si="35"/>
        <v>0.43255601683692219</v>
      </c>
      <c r="BE162" s="13">
        <f t="shared" si="36"/>
        <v>1.1833333333333333</v>
      </c>
      <c r="BF162" s="13">
        <f>SQRT((AI162*1000/(H162*MIN(U162,AB162)))^2+(Q162*1000000*2*((H162-2*([1]Parametros!$B$7+[1]Parametros!$B$9/2))+(I162-2*([1]Parametros!$B$7+[1]Parametros!$B$9/2)))/(1.7*((H162-2*([1]Parametros!$B$7+[1]Parametros!$B$9/2))*(I162-2*([1]Parametros!$B$7+[1]Parametros!$B$9/2)))^2))^2)</f>
        <v>1.1211994671346182</v>
      </c>
      <c r="BG162" s="13">
        <f>[1]Parametros!$B$6*(AJ162*1000/(H162*MIN(U162,AB162))+0.66*SQRT([1]Parametros!$B$2))</f>
        <v>3.2939603822754151</v>
      </c>
      <c r="BH162" s="13" t="str">
        <f t="shared" si="37"/>
        <v>CUMPLE</v>
      </c>
      <c r="BI162" s="13">
        <f>AX162*[1]Parametros!$B$8</f>
        <v>1592</v>
      </c>
      <c r="BJ162" s="15" t="str">
        <f t="shared" si="38"/>
        <v>CUMPLE</v>
      </c>
    </row>
    <row r="163" spans="1:62" x14ac:dyDescent="0.3">
      <c r="A163" s="20" t="s">
        <v>69</v>
      </c>
      <c r="B163" s="21">
        <v>1032</v>
      </c>
      <c r="C163" s="13">
        <v>1</v>
      </c>
      <c r="D163" s="13">
        <v>3.25</v>
      </c>
      <c r="E163" s="13">
        <v>3.25</v>
      </c>
      <c r="F163" s="13">
        <v>450</v>
      </c>
      <c r="G163" s="13">
        <v>550</v>
      </c>
      <c r="H163" s="13">
        <v>450</v>
      </c>
      <c r="I163" s="13">
        <v>550</v>
      </c>
      <c r="J163" s="14">
        <v>42.057000000000002</v>
      </c>
      <c r="K163" s="13">
        <v>1032</v>
      </c>
      <c r="L163" s="14">
        <v>19.4526</v>
      </c>
      <c r="M163" s="13">
        <v>1032</v>
      </c>
      <c r="N163" s="14">
        <v>35.475000000000001</v>
      </c>
      <c r="O163" s="14">
        <v>87.019000000000005</v>
      </c>
      <c r="P163" s="13">
        <v>1032</v>
      </c>
      <c r="Q163" s="14">
        <v>13.694100000000001</v>
      </c>
      <c r="R163" s="13">
        <f>MAX(MAX(1.4/[1]Parametros!$B$3,0.25*SQRT([1]Parametros!$B$2)/[1]Parametros!$B$3)*H163*U163,(0.85*[1]Parametros!$B$2/[1]Parametros!$B$3)*(1-SQRT(1-2*(J163*1000000/([1]Parametros!$B$5*H163*U163^2))/(0.85*[1]Parametros!$B$2)))*H163*U163)</f>
        <v>734.02500000000009</v>
      </c>
      <c r="S163" s="14">
        <v>4</v>
      </c>
      <c r="T163" s="14">
        <v>1</v>
      </c>
      <c r="U163" s="13">
        <f>IF(T163=1,I163-([1]Parametros!$B$7+[1]Parametros!$B$9+[1]Parametros!$B$12/2),I163-(ROUNDUP(S163/2,0)*([1]Parametros!$B$7+[1]Parametros!$B$9+[1]Parametros!$B$12/2)+ROUNDDOWN(S163/2,0)*([1]Parametros!$B$7+[1]Parametros!$B$9+[1]Parametros!$B$12/2+[1]Parametros!$B$12+[1]Parametros!$B$10))/S163)</f>
        <v>489.35</v>
      </c>
      <c r="V163" s="13">
        <f>S163*[1]Parametros!$B$8</f>
        <v>796</v>
      </c>
      <c r="W163" s="13">
        <f>[1]Parametros!$B$5*V163*[1]Parametros!$B$3*(U163-(V163*[1]Parametros!$B$3/(0.85*[1]Parametros!$B$2*H163))/2)/1000000</f>
        <v>142.54333009411764</v>
      </c>
      <c r="X163" s="13" t="str">
        <f t="shared" si="26"/>
        <v>CUMPLE</v>
      </c>
      <c r="Y163" s="13">
        <f>MAX(MAX(1.4/[1]Parametros!$B$3,0.25*SQRT([1]Parametros!$B$2)/[1]Parametros!$B$3)*H163*AB163,(0.85*[1]Parametros!$B$2/[1]Parametros!$B$3)*(1-SQRT(1-2*(L163*1000000/([1]Parametros!$B$5*H163*AB163^2))/(0.85*[1]Parametros!$B$2)))*H163*AB163)</f>
        <v>734.02500000000009</v>
      </c>
      <c r="Z163" s="14">
        <v>4</v>
      </c>
      <c r="AA163" s="14">
        <v>1</v>
      </c>
      <c r="AB163" s="13">
        <f>IF(AA163=1,I163-([1]Parametros!$B$7+[1]Parametros!$B$9+[1]Parametros!$B$12/2),I163-(ROUNDUP(Z163/2,0)*([1]Parametros!$B$7+[1]Parametros!$B$9+[1]Parametros!$B$12/2)+ROUNDDOWN(Z163/2,0)*([1]Parametros!$B$7+[1]Parametros!$B$9+[1]Parametros!$B$12/2+[1]Parametros!$B$12+[1]Parametros!$B$10))/Z163)</f>
        <v>489.35</v>
      </c>
      <c r="AC163" s="13">
        <f>Z163*[1]Parametros!$B$8</f>
        <v>796</v>
      </c>
      <c r="AD163" s="13">
        <f>[1]Parametros!$B$5*AC163*[1]Parametros!$B$3*(AB163-(AC163*[1]Parametros!$B$3/(0.85*[1]Parametros!$B$2*H163))/2)/1000000</f>
        <v>142.54333009411764</v>
      </c>
      <c r="AE163" s="13" t="str">
        <f t="shared" si="27"/>
        <v>CUMPLE</v>
      </c>
      <c r="AF163" s="13">
        <f>V163*1.25*[1]Parametros!$B$3*(U163-(V163*1.25*[1]Parametros!$B$3/(0.85*[1]Parametros!$B$2*H163))/2)/1000000</f>
        <v>196.34621794117646</v>
      </c>
      <c r="AG163" s="13">
        <f>AC163*1.25*[1]Parametros!$B$3*(AB163-(AC163*1.25*[1]Parametros!$B$3/(0.85*[1]Parametros!$B$2*H163))/2)/1000000</f>
        <v>196.34621794117646</v>
      </c>
      <c r="AH163" s="13">
        <f t="shared" si="28"/>
        <v>156.30344180995473</v>
      </c>
      <c r="AI163" s="13">
        <f t="shared" si="29"/>
        <v>156.30344180995473</v>
      </c>
      <c r="AJ163" s="13">
        <f>0.17*SQRT([1]Parametros!$B$2)*H163*MIN(U163,AB163)/1000</f>
        <v>198.08885582262698</v>
      </c>
      <c r="AK163" s="13">
        <f>MAX(AI163/[1]Parametros!$B$6-AJ163,0)</f>
        <v>10.315733257312672</v>
      </c>
      <c r="AL163" s="13">
        <f>0.66*SQRT([1]Parametros!$B$2)*H163*MIN(U163,AB163)/1000</f>
        <v>769.05085201725785</v>
      </c>
      <c r="AM163" s="13" t="str">
        <f t="shared" si="30"/>
        <v>CUMPLE</v>
      </c>
      <c r="AN163" s="13" t="s">
        <v>64</v>
      </c>
      <c r="AO163" s="14">
        <v>2</v>
      </c>
      <c r="AP163" s="13">
        <f>ROUNDDOWN(MIN(IF(BC163+BD163=0,1000000000,AO163*BB163/(BC163+BD163)),MIN(U163,AB163)/4,8*[1]Parametros!$B$12,24*BA163,300,IF(AV163=0,1000000000,2*((H163-2*([1]Parametros!$B$7+[1]Parametros!$B$9/2))+(I163-2*([1]Parametros!$B$7+[1]Parametros!$B$9/2)))/8))/10,0)*10</f>
        <v>120</v>
      </c>
      <c r="AQ163" s="13">
        <f>ROUNDDOWN(MIN(IF(BC163+BD163=0,1000000000,AO163*BB163/(BC163+BD163)),IF(AK163&gt;0.33*SQRT([1]Parametros!$B$2)*H163*MIN(U163,AB163)/1000,MIN(U163,AB163)/4,MIN(U163,AB163)/2),600,IF(AV163=0,1000000000,2*((H163-2*([1]Parametros!$B$7+[1]Parametros!$B$9/2))+(I163-2*([1]Parametros!$B$7+[1]Parametros!$B$9/2)))/8))/10,0)*10</f>
        <v>200</v>
      </c>
      <c r="AR163" s="13">
        <f>[1]Parametros!$B$6*(AJ163+MAX(BE163-BD163,0)*[1]Parametros!$B$4*MIN(U163,AB163)/1000)</f>
        <v>282.72156254942126</v>
      </c>
      <c r="AS163" s="13" t="str">
        <f t="shared" si="31"/>
        <v>CUMPLE</v>
      </c>
      <c r="AT163" s="13">
        <f>[1]Parametros!$B$6*0.083*SQRT([1]Parametros!$B$2)*(H163*I163)^2/(2*(H163+I163))/1000000</f>
        <v>10.08878303333792</v>
      </c>
      <c r="AU163" s="13" t="str">
        <f t="shared" si="32"/>
        <v>DISEÑAR</v>
      </c>
      <c r="AV163" s="13">
        <f>IF(Q163&lt;=AT163,0,Q163*1000000/([1]Parametros!$B$6*2*0.85*(H163-2*([1]Parametros!$B$7+[1]Parametros!$B$9/2))*(I163-2*([1]Parametros!$B$7+[1]Parametros!$B$9/2))*[1]Parametros!$B$4))</f>
        <v>0.15650917500717346</v>
      </c>
      <c r="AW163" s="13">
        <f>AV163*2*((H163-2*([1]Parametros!$B$7+[1]Parametros!$B$9/2))+(I163-2*([1]Parametros!$B$7+[1]Parametros!$B$9/2)))*[1]Parametros!$B$4/[1]Parametros!$B$3</f>
        <v>254.98474792168699</v>
      </c>
      <c r="AX163" s="14">
        <v>8</v>
      </c>
      <c r="AY163" s="13" t="str">
        <f t="shared" si="33"/>
        <v>CUMPLE</v>
      </c>
      <c r="AZ163" s="13" t="str">
        <f t="shared" si="34"/>
        <v>CUMPLE</v>
      </c>
      <c r="BA163" s="14">
        <v>9.5</v>
      </c>
      <c r="BB163" s="14">
        <v>71</v>
      </c>
      <c r="BC163" s="13">
        <f>MAX(IF(AK163=0,0,AK163*1000/([1]Parametros!$B$4*MIN(U163,AB163))),MAX(0.062*SQRT([1]Parametros!$B$2)*H163/[1]Parametros!$B$4,0.35*H163/[1]Parametros!$B$4))</f>
        <v>0.375</v>
      </c>
      <c r="BD163" s="13">
        <f t="shared" si="35"/>
        <v>0.31301835001434691</v>
      </c>
      <c r="BE163" s="13">
        <f t="shared" si="36"/>
        <v>1.1833333333333333</v>
      </c>
      <c r="BF163" s="13">
        <f>SQRT((AI163*1000/(H163*MIN(U163,AB163)))^2+(Q163*1000000*2*((H163-2*([1]Parametros!$B$7+[1]Parametros!$B$9/2))+(I163-2*([1]Parametros!$B$7+[1]Parametros!$B$9/2)))/(1.7*((H163-2*([1]Parametros!$B$7+[1]Parametros!$B$9/2))*(I163-2*([1]Parametros!$B$7+[1]Parametros!$B$9/2)))^2))^2)</f>
        <v>0.8634025005470467</v>
      </c>
      <c r="BG163" s="13">
        <f>[1]Parametros!$B$6*(AJ163*1000/(H163*MIN(U163,AB163))+0.66*SQRT([1]Parametros!$B$2))</f>
        <v>3.2939603822754151</v>
      </c>
      <c r="BH163" s="13" t="str">
        <f t="shared" si="37"/>
        <v>CUMPLE</v>
      </c>
      <c r="BI163" s="13">
        <f>AX163*[1]Parametros!$B$8</f>
        <v>1592</v>
      </c>
      <c r="BJ163" s="15" t="str">
        <f t="shared" si="38"/>
        <v>CUMPLE</v>
      </c>
    </row>
    <row r="164" spans="1:62" x14ac:dyDescent="0.3">
      <c r="A164" s="22" t="s">
        <v>71</v>
      </c>
      <c r="B164" s="23">
        <v>67</v>
      </c>
      <c r="C164" s="13">
        <v>1</v>
      </c>
      <c r="D164" s="13">
        <v>3.25</v>
      </c>
      <c r="E164" s="13">
        <v>3.25</v>
      </c>
      <c r="F164" s="13">
        <v>450</v>
      </c>
      <c r="G164" s="13">
        <v>550</v>
      </c>
      <c r="H164" s="13">
        <v>450</v>
      </c>
      <c r="I164" s="13">
        <v>550</v>
      </c>
      <c r="J164" s="14">
        <v>180.72040000000001</v>
      </c>
      <c r="K164" s="13">
        <v>67</v>
      </c>
      <c r="L164" s="14">
        <v>161.3057</v>
      </c>
      <c r="M164" s="13">
        <v>67</v>
      </c>
      <c r="N164" s="14">
        <v>100.13</v>
      </c>
      <c r="O164" s="14">
        <v>439.483</v>
      </c>
      <c r="P164" s="13">
        <v>67</v>
      </c>
      <c r="Q164" s="14">
        <v>6.1764999999999999</v>
      </c>
      <c r="R164" s="13">
        <f>MAX(MAX(1.4/[1]Parametros!$B$3,0.25*SQRT([1]Parametros!$B$2)/[1]Parametros!$B$3)*H164*U164,(0.85*[1]Parametros!$B$2/[1]Parametros!$B$3)*(1-SQRT(1-2*(J164*1000000/([1]Parametros!$B$5*H164*U164^2))/(0.85*[1]Parametros!$B$2)))*H164*U164)</f>
        <v>1018.5742431395996</v>
      </c>
      <c r="S164" s="14">
        <v>6</v>
      </c>
      <c r="T164" s="14">
        <v>1</v>
      </c>
      <c r="U164" s="13">
        <f>IF(T164=1,I164-([1]Parametros!$B$7+[1]Parametros!$B$9+[1]Parametros!$B$12/2),I164-(ROUNDUP(S164/2,0)*([1]Parametros!$B$7+[1]Parametros!$B$9+[1]Parametros!$B$12/2)+ROUNDDOWN(S164/2,0)*([1]Parametros!$B$7+[1]Parametros!$B$9+[1]Parametros!$B$12/2+[1]Parametros!$B$12+[1]Parametros!$B$10))/S164)</f>
        <v>489.35</v>
      </c>
      <c r="V164" s="13">
        <f>S164*[1]Parametros!$B$8</f>
        <v>1194</v>
      </c>
      <c r="W164" s="13">
        <f>[1]Parametros!$B$5*V164*[1]Parametros!$B$3*(U164-(V164*[1]Parametros!$B$3/(0.85*[1]Parametros!$B$2*H164))/2)/1000000</f>
        <v>210.29283561176473</v>
      </c>
      <c r="X164" s="13" t="str">
        <f t="shared" si="26"/>
        <v>CUMPLE</v>
      </c>
      <c r="Y164" s="13">
        <f>MAX(MAX(1.4/[1]Parametros!$B$3,0.25*SQRT([1]Parametros!$B$2)/[1]Parametros!$B$3)*H164*AB164,(0.85*[1]Parametros!$B$2/[1]Parametros!$B$3)*(1-SQRT(1-2*(L164*1000000/([1]Parametros!$B$5*H164*AB164^2))/(0.85*[1]Parametros!$B$2)))*H164*AB164)</f>
        <v>904.85065927416156</v>
      </c>
      <c r="Z164" s="14">
        <v>5</v>
      </c>
      <c r="AA164" s="14">
        <v>1</v>
      </c>
      <c r="AB164" s="13">
        <f>IF(AA164=1,I164-([1]Parametros!$B$7+[1]Parametros!$B$9+[1]Parametros!$B$12/2),I164-(ROUNDUP(Z164/2,0)*([1]Parametros!$B$7+[1]Parametros!$B$9+[1]Parametros!$B$12/2)+ROUNDDOWN(Z164/2,0)*([1]Parametros!$B$7+[1]Parametros!$B$9+[1]Parametros!$B$12/2+[1]Parametros!$B$12+[1]Parametros!$B$10))/Z164)</f>
        <v>489.35</v>
      </c>
      <c r="AC164" s="13">
        <f>Z164*[1]Parametros!$B$8</f>
        <v>995</v>
      </c>
      <c r="AD164" s="13">
        <f>[1]Parametros!$B$5*AC164*[1]Parametros!$B$3*(AB164-(AC164*[1]Parametros!$B$3/(0.85*[1]Parametros!$B$2*H164))/2)/1000000</f>
        <v>176.71159614705886</v>
      </c>
      <c r="AE164" s="13" t="str">
        <f t="shared" si="27"/>
        <v>CUMPLE</v>
      </c>
      <c r="AF164" s="13">
        <f>V164*1.25*[1]Parametros!$B$3*(U164-(V164*1.25*[1]Parametros!$B$3/(0.85*[1]Parametros!$B$2*H164))/2)/1000000</f>
        <v>288.40446661764707</v>
      </c>
      <c r="AG164" s="13">
        <f>AC164*1.25*[1]Parametros!$B$3*(AB164-(AC164*1.25*[1]Parametros!$B$3/(0.85*[1]Parametros!$B$2*H164))/2)/1000000</f>
        <v>242.88491397058826</v>
      </c>
      <c r="AH164" s="13">
        <f t="shared" si="28"/>
        <v>263.60365556561089</v>
      </c>
      <c r="AI164" s="13">
        <f t="shared" si="29"/>
        <v>439.483</v>
      </c>
      <c r="AJ164" s="13">
        <f>0.17*SQRT([1]Parametros!$B$2)*H164*MIN(U164,AB164)/1000</f>
        <v>198.08885582262698</v>
      </c>
      <c r="AK164" s="13">
        <f>MAX(AI164/[1]Parametros!$B$6-AJ164,0)</f>
        <v>387.88847751070637</v>
      </c>
      <c r="AL164" s="13">
        <f>0.66*SQRT([1]Parametros!$B$2)*H164*MIN(U164,AB164)/1000</f>
        <v>769.05085201725785</v>
      </c>
      <c r="AM164" s="13" t="str">
        <f t="shared" si="30"/>
        <v>CUMPLE</v>
      </c>
      <c r="AN164" s="13" t="s">
        <v>68</v>
      </c>
      <c r="AO164" s="14">
        <v>2</v>
      </c>
      <c r="AP164" s="13">
        <f>ROUNDDOWN(MIN(IF(BC164+BD164=0,1000000000,AO164*BB164/(BC164+BD164)),MIN(U164,AB164)/4,8*[1]Parametros!$B$12,24*BA164,300,IF(AV164=0,1000000000,2*((H164-2*([1]Parametros!$B$7+[1]Parametros!$B$9/2))+(I164-2*([1]Parametros!$B$7+[1]Parametros!$B$9/2)))/8))/10,0)*10</f>
        <v>120</v>
      </c>
      <c r="AQ164" s="13">
        <f>ROUNDDOWN(MIN(IF(BC164+BD164=0,1000000000,AO164*BB164/(BC164+BD164)),IF(AK164&gt;0.33*SQRT([1]Parametros!$B$2)*H164*MIN(U164,AB164)/1000,MIN(U164,AB164)/4,MIN(U164,AB164)/2),600,IF(AV164=0,1000000000,2*((H164-2*([1]Parametros!$B$7+[1]Parametros!$B$9/2))+(I164-2*([1]Parametros!$B$7+[1]Parametros!$B$9/2)))/8))/10,0)*10</f>
        <v>120</v>
      </c>
      <c r="AR164" s="13">
        <f>[1]Parametros!$B$6*(AJ164+MAX(BE164-BD164,0)*[1]Parametros!$B$4*MIN(U164,AB164)/1000)</f>
        <v>479.97892936697031</v>
      </c>
      <c r="AS164" s="13" t="str">
        <f t="shared" si="31"/>
        <v>CUMPLE</v>
      </c>
      <c r="AT164" s="13">
        <f>[1]Parametros!$B$6*0.083*SQRT([1]Parametros!$B$2)*(H164*I164)^2/(2*(H164+I164))/1000000</f>
        <v>10.08878303333792</v>
      </c>
      <c r="AU164" s="13" t="str">
        <f t="shared" si="32"/>
        <v>DESPRECIABLE</v>
      </c>
      <c r="AV164" s="13">
        <f>IF(Q164&lt;=AT164,0,Q164*1000000/([1]Parametros!$B$6*2*0.85*(H164-2*([1]Parametros!$B$7+[1]Parametros!$B$9/2))*(I164-2*([1]Parametros!$B$7+[1]Parametros!$B$9/2))*[1]Parametros!$B$4))</f>
        <v>0</v>
      </c>
      <c r="AW164" s="13">
        <f>AV164*2*((H164-2*([1]Parametros!$B$7+[1]Parametros!$B$9/2))+(I164-2*([1]Parametros!$B$7+[1]Parametros!$B$9/2)))*[1]Parametros!$B$4/[1]Parametros!$B$3</f>
        <v>0</v>
      </c>
      <c r="AX164" s="14">
        <v>0</v>
      </c>
      <c r="AY164" s="13" t="str">
        <f t="shared" si="33"/>
        <v>DESPRECIABLE</v>
      </c>
      <c r="AZ164" s="13" t="str">
        <f t="shared" si="34"/>
        <v>CUMPLE</v>
      </c>
      <c r="BA164" s="14">
        <v>12.7</v>
      </c>
      <c r="BB164" s="14">
        <v>129</v>
      </c>
      <c r="BC164" s="13">
        <f>MAX(IF(AK164=0,0,AK164*1000/([1]Parametros!$B$4*MIN(U164,AB164))),MAX(0.062*SQRT([1]Parametros!$B$2)*H164/[1]Parametros!$B$4,0.35*H164/[1]Parametros!$B$4))</f>
        <v>1.8872872056260557</v>
      </c>
      <c r="BD164" s="13">
        <f t="shared" si="35"/>
        <v>0</v>
      </c>
      <c r="BE164" s="13">
        <f t="shared" si="36"/>
        <v>2.15</v>
      </c>
      <c r="BF164" s="13">
        <f>SQRT((AI164*1000/(H164*MIN(U164,AB164)))^2+(Q164*1000000*2*((H164-2*([1]Parametros!$B$7+[1]Parametros!$B$9/2))+(I164-2*([1]Parametros!$B$7+[1]Parametros!$B$9/2)))/(1.7*((H164-2*([1]Parametros!$B$7+[1]Parametros!$B$9/2))*(I164-2*([1]Parametros!$B$7+[1]Parametros!$B$9/2)))^2))^2)</f>
        <v>2.0080455588982296</v>
      </c>
      <c r="BG164" s="13">
        <f>[1]Parametros!$B$6*(AJ164*1000/(H164*MIN(U164,AB164))+0.66*SQRT([1]Parametros!$B$2))</f>
        <v>3.2939603822754151</v>
      </c>
      <c r="BH164" s="13" t="str">
        <f t="shared" si="37"/>
        <v>CUMPLE</v>
      </c>
      <c r="BI164" s="13">
        <f>AX164*[1]Parametros!$B$8</f>
        <v>0</v>
      </c>
      <c r="BJ164" s="15" t="str">
        <f t="shared" si="38"/>
        <v>CUMPLE</v>
      </c>
    </row>
    <row r="165" spans="1:62" ht="28.8" x14ac:dyDescent="0.3">
      <c r="A165" s="22" t="s">
        <v>71</v>
      </c>
      <c r="B165" s="23">
        <v>68</v>
      </c>
      <c r="C165" s="13">
        <v>1</v>
      </c>
      <c r="D165" s="13">
        <v>3.3</v>
      </c>
      <c r="E165" s="13">
        <v>3.3</v>
      </c>
      <c r="F165" s="13">
        <v>450</v>
      </c>
      <c r="G165" s="13">
        <v>550</v>
      </c>
      <c r="H165" s="13">
        <v>450</v>
      </c>
      <c r="I165" s="13">
        <v>550</v>
      </c>
      <c r="J165" s="14">
        <v>171.1078</v>
      </c>
      <c r="K165" s="13">
        <v>68</v>
      </c>
      <c r="L165" s="14">
        <v>149.03540000000001</v>
      </c>
      <c r="M165" s="13">
        <v>68</v>
      </c>
      <c r="N165" s="14">
        <v>98.25</v>
      </c>
      <c r="O165" s="14">
        <v>424.49900000000002</v>
      </c>
      <c r="P165" s="13">
        <v>68</v>
      </c>
      <c r="Q165" s="14">
        <v>123.1367</v>
      </c>
      <c r="R165" s="13">
        <f>MAX(MAX(1.4/[1]Parametros!$B$3,0.25*SQRT([1]Parametros!$B$2)/[1]Parametros!$B$3)*H165*U165,(0.85*[1]Parametros!$B$2/[1]Parametros!$B$3)*(1-SQRT(1-2*(J165*1000000/([1]Parametros!$B$5*H165*U165^2))/(0.85*[1]Parametros!$B$2)))*H165*U165)</f>
        <v>962.12709378239492</v>
      </c>
      <c r="S165" s="14">
        <v>5</v>
      </c>
      <c r="T165" s="14">
        <v>1</v>
      </c>
      <c r="U165" s="13">
        <f>IF(T165=1,I165-([1]Parametros!$B$7+[1]Parametros!$B$9+[1]Parametros!$B$12/2),I165-(ROUNDUP(S165/2,0)*([1]Parametros!$B$7+[1]Parametros!$B$9+[1]Parametros!$B$12/2)+ROUNDDOWN(S165/2,0)*([1]Parametros!$B$7+[1]Parametros!$B$9+[1]Parametros!$B$12/2+[1]Parametros!$B$12+[1]Parametros!$B$10))/S165)</f>
        <v>489.35</v>
      </c>
      <c r="V165" s="13">
        <f>S165*[1]Parametros!$B$8</f>
        <v>995</v>
      </c>
      <c r="W165" s="13">
        <f>[1]Parametros!$B$5*V165*[1]Parametros!$B$3*(U165-(V165*[1]Parametros!$B$3/(0.85*[1]Parametros!$B$2*H165))/2)/1000000</f>
        <v>176.71159614705886</v>
      </c>
      <c r="X165" s="13" t="str">
        <f t="shared" si="26"/>
        <v>CUMPLE</v>
      </c>
      <c r="Y165" s="13">
        <f>MAX(MAX(1.4/[1]Parametros!$B$3,0.25*SQRT([1]Parametros!$B$2)/[1]Parametros!$B$3)*H165*AB165,(0.85*[1]Parametros!$B$2/[1]Parametros!$B$3)*(1-SQRT(1-2*(L165*1000000/([1]Parametros!$B$5*H165*AB165^2))/(0.85*[1]Parametros!$B$2)))*H165*AB165)</f>
        <v>833.54888700617323</v>
      </c>
      <c r="Z165" s="14">
        <v>5</v>
      </c>
      <c r="AA165" s="14">
        <v>1</v>
      </c>
      <c r="AB165" s="13">
        <f>IF(AA165=1,I165-([1]Parametros!$B$7+[1]Parametros!$B$9+[1]Parametros!$B$12/2),I165-(ROUNDUP(Z165/2,0)*([1]Parametros!$B$7+[1]Parametros!$B$9+[1]Parametros!$B$12/2)+ROUNDDOWN(Z165/2,0)*([1]Parametros!$B$7+[1]Parametros!$B$9+[1]Parametros!$B$12/2+[1]Parametros!$B$12+[1]Parametros!$B$10))/Z165)</f>
        <v>489.35</v>
      </c>
      <c r="AC165" s="13">
        <f>Z165*[1]Parametros!$B$8</f>
        <v>995</v>
      </c>
      <c r="AD165" s="13">
        <f>[1]Parametros!$B$5*AC165*[1]Parametros!$B$3*(AB165-(AC165*[1]Parametros!$B$3/(0.85*[1]Parametros!$B$2*H165))/2)/1000000</f>
        <v>176.71159614705886</v>
      </c>
      <c r="AE165" s="13" t="str">
        <f t="shared" si="27"/>
        <v>CUMPLE</v>
      </c>
      <c r="AF165" s="13">
        <f>V165*1.25*[1]Parametros!$B$3*(U165-(V165*1.25*[1]Parametros!$B$3/(0.85*[1]Parametros!$B$2*H165))/2)/1000000</f>
        <v>242.88491397058826</v>
      </c>
      <c r="AG165" s="13">
        <f>AC165*1.25*[1]Parametros!$B$3*(AB165-(AC165*1.25*[1]Parametros!$B$3/(0.85*[1]Parametros!$B$2*H165))/2)/1000000</f>
        <v>242.88491397058826</v>
      </c>
      <c r="AH165" s="13">
        <f t="shared" si="28"/>
        <v>245.4529781639929</v>
      </c>
      <c r="AI165" s="13">
        <f t="shared" si="29"/>
        <v>424.49900000000002</v>
      </c>
      <c r="AJ165" s="13">
        <f>0.17*SQRT([1]Parametros!$B$2)*H165*MIN(U165,AB165)/1000</f>
        <v>198.08885582262698</v>
      </c>
      <c r="AK165" s="13">
        <f>MAX(AI165/[1]Parametros!$B$6-AJ165,0)</f>
        <v>367.90981084403973</v>
      </c>
      <c r="AL165" s="13">
        <f>0.66*SQRT([1]Parametros!$B$2)*H165*MIN(U165,AB165)/1000</f>
        <v>769.05085201725785</v>
      </c>
      <c r="AM165" s="13" t="str">
        <f t="shared" si="30"/>
        <v>CUMPLE</v>
      </c>
      <c r="AN165" s="13" t="s">
        <v>70</v>
      </c>
      <c r="AO165" s="14">
        <v>4</v>
      </c>
      <c r="AP165" s="13">
        <f>ROUNDDOWN(MIN(IF(BC165+BD165=0,1000000000,AO165*BB165/(BC165+BD165)),MIN(U165,AB165)/4,8*[1]Parametros!$B$12,24*BA165,300,IF(AV165=0,1000000000,2*((H165-2*([1]Parametros!$B$7+[1]Parametros!$B$9/2))+(I165-2*([1]Parametros!$B$7+[1]Parametros!$B$9/2)))/8))/10,0)*10</f>
        <v>110</v>
      </c>
      <c r="AQ165" s="13">
        <f>ROUNDDOWN(MIN(IF(BC165+BD165=0,1000000000,AO165*BB165/(BC165+BD165)),IF(AK165&gt;0.33*SQRT([1]Parametros!$B$2)*H165*MIN(U165,AB165)/1000,MIN(U165,AB165)/4,MIN(U165,AB165)/2),600,IF(AV165=0,1000000000,2*((H165-2*([1]Parametros!$B$7+[1]Parametros!$B$9/2))+(I165-2*([1]Parametros!$B$7+[1]Parametros!$B$9/2)))/8))/10,0)*10</f>
        <v>110</v>
      </c>
      <c r="AR165" s="13">
        <f>[1]Parametros!$B$6*(AJ165+MAX(BE165-BD165,0)*[1]Parametros!$B$4*MIN(U165,AB165)/1000)</f>
        <v>437.78365275712895</v>
      </c>
      <c r="AS165" s="13" t="str">
        <f t="shared" si="31"/>
        <v>NO CUMPLE</v>
      </c>
      <c r="AT165" s="13">
        <f>[1]Parametros!$B$6*0.083*SQRT([1]Parametros!$B$2)*(H165*I165)^2/(2*(H165+I165))/1000000</f>
        <v>10.08878303333792</v>
      </c>
      <c r="AU165" s="13" t="str">
        <f t="shared" si="32"/>
        <v>DISEÑAR</v>
      </c>
      <c r="AV165" s="13">
        <f>IF(Q165&lt;=AT165,0,Q165*1000000/([1]Parametros!$B$6*2*0.85*(H165-2*([1]Parametros!$B$7+[1]Parametros!$B$9/2))*(I165-2*([1]Parametros!$B$7+[1]Parametros!$B$9/2))*[1]Parametros!$B$4))</f>
        <v>1.4073231048484978</v>
      </c>
      <c r="AW165" s="13">
        <f>AV165*2*((H165-2*([1]Parametros!$B$7+[1]Parametros!$B$9/2))+(I165-2*([1]Parametros!$B$7+[1]Parametros!$B$9/2)))*[1]Parametros!$B$4/[1]Parametros!$B$3</f>
        <v>2292.8108024191724</v>
      </c>
      <c r="AX165" s="14">
        <v>12</v>
      </c>
      <c r="AY165" s="13" t="str">
        <f t="shared" si="33"/>
        <v>NO CUMPLE</v>
      </c>
      <c r="AZ165" s="13" t="str">
        <f t="shared" si="34"/>
        <v>NO CUMPLE</v>
      </c>
      <c r="BA165" s="14">
        <v>12.7</v>
      </c>
      <c r="BB165" s="14">
        <v>129</v>
      </c>
      <c r="BC165" s="13">
        <f>MAX(IF(AK165=0,0,AK165*1000/([1]Parametros!$B$4*MIN(U165,AB165))),MAX(0.062*SQRT([1]Parametros!$B$2)*H165/[1]Parametros!$B$4,0.35*H165/[1]Parametros!$B$4))</f>
        <v>1.7900801882187729</v>
      </c>
      <c r="BD165" s="13">
        <f t="shared" si="35"/>
        <v>2.8146462096969955</v>
      </c>
      <c r="BE165" s="13">
        <f t="shared" si="36"/>
        <v>4.6909090909090905</v>
      </c>
      <c r="BF165" s="13">
        <f>SQRT((AI165*1000/(H165*MIN(U165,AB165)))^2+(Q165*1000000*2*((H165-2*([1]Parametros!$B$7+[1]Parametros!$B$9/2))+(I165-2*([1]Parametros!$B$7+[1]Parametros!$B$9/2)))/(1.7*((H165-2*([1]Parametros!$B$7+[1]Parametros!$B$9/2))*(I165-2*([1]Parametros!$B$7+[1]Parametros!$B$9/2)))^2))^2)</f>
        <v>4.822294061493098</v>
      </c>
      <c r="BG165" s="13">
        <f>[1]Parametros!$B$6*(AJ165*1000/(H165*MIN(U165,AB165))+0.66*SQRT([1]Parametros!$B$2))</f>
        <v>3.2939603822754151</v>
      </c>
      <c r="BH165" s="13" t="str">
        <f t="shared" si="37"/>
        <v>NO CUMPLE</v>
      </c>
      <c r="BI165" s="13">
        <f>AX165*[1]Parametros!$B$8</f>
        <v>2388</v>
      </c>
      <c r="BJ165" s="15" t="str">
        <f t="shared" si="38"/>
        <v>CUMPLE</v>
      </c>
    </row>
    <row r="166" spans="1:62" ht="28.8" x14ac:dyDescent="0.3">
      <c r="A166" s="22" t="s">
        <v>71</v>
      </c>
      <c r="B166" s="23">
        <v>69</v>
      </c>
      <c r="C166" s="13">
        <v>1</v>
      </c>
      <c r="D166" s="13">
        <v>3.3</v>
      </c>
      <c r="E166" s="13">
        <v>3.3</v>
      </c>
      <c r="F166" s="13">
        <v>450</v>
      </c>
      <c r="G166" s="13">
        <v>550</v>
      </c>
      <c r="H166" s="13">
        <v>450</v>
      </c>
      <c r="I166" s="13">
        <v>550</v>
      </c>
      <c r="J166" s="14">
        <v>171.09299999999999</v>
      </c>
      <c r="K166" s="13">
        <v>69</v>
      </c>
      <c r="L166" s="14">
        <v>149.04570000000001</v>
      </c>
      <c r="M166" s="13">
        <v>69</v>
      </c>
      <c r="N166" s="14">
        <v>98.244</v>
      </c>
      <c r="O166" s="14">
        <v>424.49400000000003</v>
      </c>
      <c r="P166" s="13">
        <v>69</v>
      </c>
      <c r="Q166" s="14">
        <v>123.1377</v>
      </c>
      <c r="R166" s="13">
        <f>MAX(MAX(1.4/[1]Parametros!$B$3,0.25*SQRT([1]Parametros!$B$2)/[1]Parametros!$B$3)*H166*U166,(0.85*[1]Parametros!$B$2/[1]Parametros!$B$3)*(1-SQRT(1-2*(J166*1000000/([1]Parametros!$B$5*H166*U166^2))/(0.85*[1]Parametros!$B$2)))*H166*U166)</f>
        <v>962.04039847905165</v>
      </c>
      <c r="S166" s="14">
        <v>5</v>
      </c>
      <c r="T166" s="14">
        <v>1</v>
      </c>
      <c r="U166" s="13">
        <f>IF(T166=1,I166-([1]Parametros!$B$7+[1]Parametros!$B$9+[1]Parametros!$B$12/2),I166-(ROUNDUP(S166/2,0)*([1]Parametros!$B$7+[1]Parametros!$B$9+[1]Parametros!$B$12/2)+ROUNDDOWN(S166/2,0)*([1]Parametros!$B$7+[1]Parametros!$B$9+[1]Parametros!$B$12/2+[1]Parametros!$B$12+[1]Parametros!$B$10))/S166)</f>
        <v>489.35</v>
      </c>
      <c r="V166" s="13">
        <f>S166*[1]Parametros!$B$8</f>
        <v>995</v>
      </c>
      <c r="W166" s="13">
        <f>[1]Parametros!$B$5*V166*[1]Parametros!$B$3*(U166-(V166*[1]Parametros!$B$3/(0.85*[1]Parametros!$B$2*H166))/2)/1000000</f>
        <v>176.71159614705886</v>
      </c>
      <c r="X166" s="13" t="str">
        <f t="shared" si="26"/>
        <v>CUMPLE</v>
      </c>
      <c r="Y166" s="13">
        <f>MAX(MAX(1.4/[1]Parametros!$B$3,0.25*SQRT([1]Parametros!$B$2)/[1]Parametros!$B$3)*H166*AB166,(0.85*[1]Parametros!$B$2/[1]Parametros!$B$3)*(1-SQRT(1-2*(L166*1000000/([1]Parametros!$B$5*H166*AB166^2))/(0.85*[1]Parametros!$B$2)))*H166*AB166)</f>
        <v>833.60855643016066</v>
      </c>
      <c r="Z166" s="14">
        <v>5</v>
      </c>
      <c r="AA166" s="14">
        <v>1</v>
      </c>
      <c r="AB166" s="13">
        <f>IF(AA166=1,I166-([1]Parametros!$B$7+[1]Parametros!$B$9+[1]Parametros!$B$12/2),I166-(ROUNDUP(Z166/2,0)*([1]Parametros!$B$7+[1]Parametros!$B$9+[1]Parametros!$B$12/2)+ROUNDDOWN(Z166/2,0)*([1]Parametros!$B$7+[1]Parametros!$B$9+[1]Parametros!$B$12/2+[1]Parametros!$B$12+[1]Parametros!$B$10))/Z166)</f>
        <v>489.35</v>
      </c>
      <c r="AC166" s="13">
        <f>Z166*[1]Parametros!$B$8</f>
        <v>995</v>
      </c>
      <c r="AD166" s="13">
        <f>[1]Parametros!$B$5*AC166*[1]Parametros!$B$3*(AB166-(AC166*[1]Parametros!$B$3/(0.85*[1]Parametros!$B$2*H166))/2)/1000000</f>
        <v>176.71159614705886</v>
      </c>
      <c r="AE166" s="13" t="str">
        <f t="shared" si="27"/>
        <v>CUMPLE</v>
      </c>
      <c r="AF166" s="13">
        <f>V166*1.25*[1]Parametros!$B$3*(U166-(V166*1.25*[1]Parametros!$B$3/(0.85*[1]Parametros!$B$2*H166))/2)/1000000</f>
        <v>242.88491397058826</v>
      </c>
      <c r="AG166" s="13">
        <f>AC166*1.25*[1]Parametros!$B$3*(AB166-(AC166*1.25*[1]Parametros!$B$3/(0.85*[1]Parametros!$B$2*H166))/2)/1000000</f>
        <v>242.88491397058826</v>
      </c>
      <c r="AH166" s="13">
        <f t="shared" si="28"/>
        <v>245.4469781639929</v>
      </c>
      <c r="AI166" s="13">
        <f t="shared" si="29"/>
        <v>424.49400000000003</v>
      </c>
      <c r="AJ166" s="13">
        <f>0.17*SQRT([1]Parametros!$B$2)*H166*MIN(U166,AB166)/1000</f>
        <v>198.08885582262698</v>
      </c>
      <c r="AK166" s="13">
        <f>MAX(AI166/[1]Parametros!$B$6-AJ166,0)</f>
        <v>367.90314417737306</v>
      </c>
      <c r="AL166" s="13">
        <f>0.66*SQRT([1]Parametros!$B$2)*H166*MIN(U166,AB166)/1000</f>
        <v>769.05085201725785</v>
      </c>
      <c r="AM166" s="13" t="str">
        <f t="shared" si="30"/>
        <v>CUMPLE</v>
      </c>
      <c r="AN166" s="13" t="s">
        <v>70</v>
      </c>
      <c r="AO166" s="14">
        <v>4</v>
      </c>
      <c r="AP166" s="13">
        <f>ROUNDDOWN(MIN(IF(BC166+BD166=0,1000000000,AO166*BB166/(BC166+BD166)),MIN(U166,AB166)/4,8*[1]Parametros!$B$12,24*BA166,300,IF(AV166=0,1000000000,2*((H166-2*([1]Parametros!$B$7+[1]Parametros!$B$9/2))+(I166-2*([1]Parametros!$B$7+[1]Parametros!$B$9/2)))/8))/10,0)*10</f>
        <v>110</v>
      </c>
      <c r="AQ166" s="13">
        <f>ROUNDDOWN(MIN(IF(BC166+BD166=0,1000000000,AO166*BB166/(BC166+BD166)),IF(AK166&gt;0.33*SQRT([1]Parametros!$B$2)*H166*MIN(U166,AB166)/1000,MIN(U166,AB166)/4,MIN(U166,AB166)/2),600,IF(AV166=0,1000000000,2*((H166-2*([1]Parametros!$B$7+[1]Parametros!$B$9/2))+(I166-2*([1]Parametros!$B$7+[1]Parametros!$B$9/2)))/8))/10,0)*10</f>
        <v>110</v>
      </c>
      <c r="AR166" s="13">
        <f>[1]Parametros!$B$6*(AJ166+MAX(BE166-BD166,0)*[1]Parametros!$B$4*MIN(U166,AB166)/1000)</f>
        <v>437.78012932062575</v>
      </c>
      <c r="AS166" s="13" t="str">
        <f t="shared" si="31"/>
        <v>NO CUMPLE</v>
      </c>
      <c r="AT166" s="13">
        <f>[1]Parametros!$B$6*0.083*SQRT([1]Parametros!$B$2)*(H166*I166)^2/(2*(H166+I166))/1000000</f>
        <v>10.08878303333792</v>
      </c>
      <c r="AU166" s="13" t="str">
        <f t="shared" si="32"/>
        <v>DISEÑAR</v>
      </c>
      <c r="AV166" s="13">
        <f>IF(Q166&lt;=AT166,0,Q166*1000000/([1]Parametros!$B$6*2*0.85*(H166-2*([1]Parametros!$B$7+[1]Parametros!$B$9/2))*(I166-2*([1]Parametros!$B$7+[1]Parametros!$B$9/2))*[1]Parametros!$B$4))</f>
        <v>1.4073345337978269</v>
      </c>
      <c r="AW166" s="13">
        <f>AV166*2*((H166-2*([1]Parametros!$B$7+[1]Parametros!$B$9/2))+(I166-2*([1]Parametros!$B$7+[1]Parametros!$B$9/2)))*[1]Parametros!$B$4/[1]Parametros!$B$3</f>
        <v>2292.8294224634196</v>
      </c>
      <c r="AX166" s="14">
        <v>12</v>
      </c>
      <c r="AY166" s="13" t="str">
        <f t="shared" si="33"/>
        <v>NO CUMPLE</v>
      </c>
      <c r="AZ166" s="13" t="str">
        <f t="shared" si="34"/>
        <v>NO CUMPLE</v>
      </c>
      <c r="BA166" s="14">
        <v>12.7</v>
      </c>
      <c r="BB166" s="14">
        <v>129</v>
      </c>
      <c r="BC166" s="13">
        <f>MAX(IF(AK166=0,0,AK166*1000/([1]Parametros!$B$4*MIN(U166,AB166))),MAX(0.062*SQRT([1]Parametros!$B$2)*H166/[1]Parametros!$B$4,0.35*H166/[1]Parametros!$B$4))</f>
        <v>1.7900477512802362</v>
      </c>
      <c r="BD166" s="13">
        <f t="shared" si="35"/>
        <v>2.8146690675956538</v>
      </c>
      <c r="BE166" s="13">
        <f t="shared" si="36"/>
        <v>4.6909090909090905</v>
      </c>
      <c r="BF166" s="13">
        <f>SQRT((AI166*1000/(H166*MIN(U166,AB166)))^2+(Q166*1000000*2*((H166-2*([1]Parametros!$B$7+[1]Parametros!$B$9/2))+(I166-2*([1]Parametros!$B$7+[1]Parametros!$B$9/2)))/(1.7*((H166-2*([1]Parametros!$B$7+[1]Parametros!$B$9/2))*(I166-2*([1]Parametros!$B$7+[1]Parametros!$B$9/2)))^2))^2)</f>
        <v>4.8223178888451876</v>
      </c>
      <c r="BG166" s="13">
        <f>[1]Parametros!$B$6*(AJ166*1000/(H166*MIN(U166,AB166))+0.66*SQRT([1]Parametros!$B$2))</f>
        <v>3.2939603822754151</v>
      </c>
      <c r="BH166" s="13" t="str">
        <f t="shared" si="37"/>
        <v>NO CUMPLE</v>
      </c>
      <c r="BI166" s="13">
        <f>AX166*[1]Parametros!$B$8</f>
        <v>2388</v>
      </c>
      <c r="BJ166" s="15" t="str">
        <f t="shared" si="38"/>
        <v>CUMPLE</v>
      </c>
    </row>
    <row r="167" spans="1:62" x14ac:dyDescent="0.3">
      <c r="A167" s="22" t="s">
        <v>71</v>
      </c>
      <c r="B167" s="23">
        <v>70</v>
      </c>
      <c r="C167" s="13">
        <v>1</v>
      </c>
      <c r="D167" s="13">
        <v>3.25</v>
      </c>
      <c r="E167" s="13">
        <v>3.25</v>
      </c>
      <c r="F167" s="13">
        <v>450</v>
      </c>
      <c r="G167" s="13">
        <v>550</v>
      </c>
      <c r="H167" s="13">
        <v>450</v>
      </c>
      <c r="I167" s="13">
        <v>550</v>
      </c>
      <c r="J167" s="14">
        <v>180.7286</v>
      </c>
      <c r="K167" s="13">
        <v>70</v>
      </c>
      <c r="L167" s="14">
        <v>161.3005</v>
      </c>
      <c r="M167" s="13">
        <v>70</v>
      </c>
      <c r="N167" s="14">
        <v>100.134</v>
      </c>
      <c r="O167" s="14">
        <v>439.488</v>
      </c>
      <c r="P167" s="13">
        <v>70</v>
      </c>
      <c r="Q167" s="14">
        <v>6.1757999999999997</v>
      </c>
      <c r="R167" s="13">
        <f>MAX(MAX(1.4/[1]Parametros!$B$3,0.25*SQRT([1]Parametros!$B$2)/[1]Parametros!$B$3)*H167*U167,(0.85*[1]Parametros!$B$2/[1]Parametros!$B$3)*(1-SQRT(1-2*(J167*1000000/([1]Parametros!$B$5*H167*U167^2))/(0.85*[1]Parametros!$B$2)))*H167*U167)</f>
        <v>1018.6225139050692</v>
      </c>
      <c r="S167" s="14">
        <v>6</v>
      </c>
      <c r="T167" s="14">
        <v>1</v>
      </c>
      <c r="U167" s="13">
        <f>IF(T167=1,I167-([1]Parametros!$B$7+[1]Parametros!$B$9+[1]Parametros!$B$12/2),I167-(ROUNDUP(S167/2,0)*([1]Parametros!$B$7+[1]Parametros!$B$9+[1]Parametros!$B$12/2)+ROUNDDOWN(S167/2,0)*([1]Parametros!$B$7+[1]Parametros!$B$9+[1]Parametros!$B$12/2+[1]Parametros!$B$12+[1]Parametros!$B$10))/S167)</f>
        <v>489.35</v>
      </c>
      <c r="V167" s="13">
        <f>S167*[1]Parametros!$B$8</f>
        <v>1194</v>
      </c>
      <c r="W167" s="13">
        <f>[1]Parametros!$B$5*V167*[1]Parametros!$B$3*(U167-(V167*[1]Parametros!$B$3/(0.85*[1]Parametros!$B$2*H167))/2)/1000000</f>
        <v>210.29283561176473</v>
      </c>
      <c r="X167" s="13" t="str">
        <f t="shared" si="26"/>
        <v>CUMPLE</v>
      </c>
      <c r="Y167" s="13">
        <f>MAX(MAX(1.4/[1]Parametros!$B$3,0.25*SQRT([1]Parametros!$B$2)/[1]Parametros!$B$3)*H167*AB167,(0.85*[1]Parametros!$B$2/[1]Parametros!$B$3)*(1-SQRT(1-2*(L167*1000000/([1]Parametros!$B$5*H167*AB167^2))/(0.85*[1]Parametros!$B$2)))*H167*AB167)</f>
        <v>904.82034943373276</v>
      </c>
      <c r="Z167" s="14">
        <v>5</v>
      </c>
      <c r="AA167" s="14">
        <v>1</v>
      </c>
      <c r="AB167" s="13">
        <f>IF(AA167=1,I167-([1]Parametros!$B$7+[1]Parametros!$B$9+[1]Parametros!$B$12/2),I167-(ROUNDUP(Z167/2,0)*([1]Parametros!$B$7+[1]Parametros!$B$9+[1]Parametros!$B$12/2)+ROUNDDOWN(Z167/2,0)*([1]Parametros!$B$7+[1]Parametros!$B$9+[1]Parametros!$B$12/2+[1]Parametros!$B$12+[1]Parametros!$B$10))/Z167)</f>
        <v>489.35</v>
      </c>
      <c r="AC167" s="13">
        <f>Z167*[1]Parametros!$B$8</f>
        <v>995</v>
      </c>
      <c r="AD167" s="13">
        <f>[1]Parametros!$B$5*AC167*[1]Parametros!$B$3*(AB167-(AC167*[1]Parametros!$B$3/(0.85*[1]Parametros!$B$2*H167))/2)/1000000</f>
        <v>176.71159614705886</v>
      </c>
      <c r="AE167" s="13" t="str">
        <f t="shared" si="27"/>
        <v>CUMPLE</v>
      </c>
      <c r="AF167" s="13">
        <f>V167*1.25*[1]Parametros!$B$3*(U167-(V167*1.25*[1]Parametros!$B$3/(0.85*[1]Parametros!$B$2*H167))/2)/1000000</f>
        <v>288.40446661764707</v>
      </c>
      <c r="AG167" s="13">
        <f>AC167*1.25*[1]Parametros!$B$3*(AB167-(AC167*1.25*[1]Parametros!$B$3/(0.85*[1]Parametros!$B$2*H167))/2)/1000000</f>
        <v>242.88491397058826</v>
      </c>
      <c r="AH167" s="13">
        <f t="shared" si="28"/>
        <v>263.60765556561086</v>
      </c>
      <c r="AI167" s="13">
        <f t="shared" si="29"/>
        <v>439.488</v>
      </c>
      <c r="AJ167" s="13">
        <f>0.17*SQRT([1]Parametros!$B$2)*H167*MIN(U167,AB167)/1000</f>
        <v>198.08885582262698</v>
      </c>
      <c r="AK167" s="13">
        <f>MAX(AI167/[1]Parametros!$B$6-AJ167,0)</f>
        <v>387.89514417737303</v>
      </c>
      <c r="AL167" s="13">
        <f>0.66*SQRT([1]Parametros!$B$2)*H167*MIN(U167,AB167)/1000</f>
        <v>769.05085201725785</v>
      </c>
      <c r="AM167" s="13" t="str">
        <f t="shared" si="30"/>
        <v>CUMPLE</v>
      </c>
      <c r="AN167" s="13" t="s">
        <v>68</v>
      </c>
      <c r="AO167" s="14">
        <v>2</v>
      </c>
      <c r="AP167" s="13">
        <f>ROUNDDOWN(MIN(IF(BC167+BD167=0,1000000000,AO167*BB167/(BC167+BD167)),MIN(U167,AB167)/4,8*[1]Parametros!$B$12,24*BA167,300,IF(AV167=0,1000000000,2*((H167-2*([1]Parametros!$B$7+[1]Parametros!$B$9/2))+(I167-2*([1]Parametros!$B$7+[1]Parametros!$B$9/2)))/8))/10,0)*10</f>
        <v>120</v>
      </c>
      <c r="AQ167" s="13">
        <f>ROUNDDOWN(MIN(IF(BC167+BD167=0,1000000000,AO167*BB167/(BC167+BD167)),IF(AK167&gt;0.33*SQRT([1]Parametros!$B$2)*H167*MIN(U167,AB167)/1000,MIN(U167,AB167)/4,MIN(U167,AB167)/2),600,IF(AV167=0,1000000000,2*((H167-2*([1]Parametros!$B$7+[1]Parametros!$B$9/2))+(I167-2*([1]Parametros!$B$7+[1]Parametros!$B$9/2)))/8))/10,0)*10</f>
        <v>120</v>
      </c>
      <c r="AR167" s="13">
        <f>[1]Parametros!$B$6*(AJ167+MAX(BE167-BD167,0)*[1]Parametros!$B$4*MIN(U167,AB167)/1000)</f>
        <v>479.97892936697031</v>
      </c>
      <c r="AS167" s="13" t="str">
        <f t="shared" si="31"/>
        <v>CUMPLE</v>
      </c>
      <c r="AT167" s="13">
        <f>[1]Parametros!$B$6*0.083*SQRT([1]Parametros!$B$2)*(H167*I167)^2/(2*(H167+I167))/1000000</f>
        <v>10.08878303333792</v>
      </c>
      <c r="AU167" s="13" t="str">
        <f t="shared" si="32"/>
        <v>DESPRECIABLE</v>
      </c>
      <c r="AV167" s="13">
        <f>IF(Q167&lt;=AT167,0,Q167*1000000/([1]Parametros!$B$6*2*0.85*(H167-2*([1]Parametros!$B$7+[1]Parametros!$B$9/2))*(I167-2*([1]Parametros!$B$7+[1]Parametros!$B$9/2))*[1]Parametros!$B$4))</f>
        <v>0</v>
      </c>
      <c r="AW167" s="13">
        <f>AV167*2*((H167-2*([1]Parametros!$B$7+[1]Parametros!$B$9/2))+(I167-2*([1]Parametros!$B$7+[1]Parametros!$B$9/2)))*[1]Parametros!$B$4/[1]Parametros!$B$3</f>
        <v>0</v>
      </c>
      <c r="AX167" s="14">
        <v>0</v>
      </c>
      <c r="AY167" s="13" t="str">
        <f t="shared" si="33"/>
        <v>DESPRECIABLE</v>
      </c>
      <c r="AZ167" s="13" t="str">
        <f t="shared" si="34"/>
        <v>CUMPLE</v>
      </c>
      <c r="BA167" s="14">
        <v>12.7</v>
      </c>
      <c r="BB167" s="14">
        <v>129</v>
      </c>
      <c r="BC167" s="13">
        <f>MAX(IF(AK167=0,0,AK167*1000/([1]Parametros!$B$4*MIN(U167,AB167))),MAX(0.062*SQRT([1]Parametros!$B$2)*H167/[1]Parametros!$B$4,0.35*H167/[1]Parametros!$B$4))</f>
        <v>1.8873196425645926</v>
      </c>
      <c r="BD167" s="13">
        <f t="shared" si="35"/>
        <v>0</v>
      </c>
      <c r="BE167" s="13">
        <f t="shared" si="36"/>
        <v>2.15</v>
      </c>
      <c r="BF167" s="13">
        <f>SQRT((AI167*1000/(H167*MIN(U167,AB167)))^2+(Q167*1000000*2*((H167-2*([1]Parametros!$B$7+[1]Parametros!$B$9/2))+(I167-2*([1]Parametros!$B$7+[1]Parametros!$B$9/2)))/(1.7*((H167-2*([1]Parametros!$B$7+[1]Parametros!$B$9/2))*(I167-2*([1]Parametros!$B$7+[1]Parametros!$B$9/2)))^2))^2)</f>
        <v>2.0080653516350102</v>
      </c>
      <c r="BG167" s="13">
        <f>[1]Parametros!$B$6*(AJ167*1000/(H167*MIN(U167,AB167))+0.66*SQRT([1]Parametros!$B$2))</f>
        <v>3.2939603822754151</v>
      </c>
      <c r="BH167" s="13" t="str">
        <f t="shared" si="37"/>
        <v>CUMPLE</v>
      </c>
      <c r="BI167" s="13">
        <f>AX167*[1]Parametros!$B$8</f>
        <v>0</v>
      </c>
      <c r="BJ167" s="15" t="str">
        <f t="shared" si="38"/>
        <v>CUMPLE</v>
      </c>
    </row>
    <row r="168" spans="1:62" x14ac:dyDescent="0.3">
      <c r="A168" s="22" t="s">
        <v>71</v>
      </c>
      <c r="B168" s="23">
        <v>79</v>
      </c>
      <c r="C168" s="13">
        <v>1</v>
      </c>
      <c r="D168" s="13">
        <v>3.25</v>
      </c>
      <c r="E168" s="13">
        <v>3.25</v>
      </c>
      <c r="F168" s="13">
        <v>450</v>
      </c>
      <c r="G168" s="13">
        <v>550</v>
      </c>
      <c r="H168" s="13">
        <v>450</v>
      </c>
      <c r="I168" s="13">
        <v>550</v>
      </c>
      <c r="J168" s="14">
        <v>180.72460000000001</v>
      </c>
      <c r="K168" s="13">
        <v>79</v>
      </c>
      <c r="L168" s="14">
        <v>161.29730000000001</v>
      </c>
      <c r="M168" s="13">
        <v>79</v>
      </c>
      <c r="N168" s="14">
        <v>100.133</v>
      </c>
      <c r="O168" s="14">
        <v>439.483</v>
      </c>
      <c r="P168" s="13">
        <v>79</v>
      </c>
      <c r="Q168" s="14">
        <v>6.1811999999999996</v>
      </c>
      <c r="R168" s="13">
        <f>MAX(MAX(1.4/[1]Parametros!$B$3,0.25*SQRT([1]Parametros!$B$2)/[1]Parametros!$B$3)*H168*U168,(0.85*[1]Parametros!$B$2/[1]Parametros!$B$3)*(1-SQRT(1-2*(J168*1000000/([1]Parametros!$B$5*H168*U168^2))/(0.85*[1]Parametros!$B$2)))*H168*U168)</f>
        <v>1018.598967164805</v>
      </c>
      <c r="S168" s="14">
        <v>6</v>
      </c>
      <c r="T168" s="14">
        <v>1</v>
      </c>
      <c r="U168" s="13">
        <f>IF(T168=1,I168-([1]Parametros!$B$7+[1]Parametros!$B$9+[1]Parametros!$B$12/2),I168-(ROUNDUP(S168/2,0)*([1]Parametros!$B$7+[1]Parametros!$B$9+[1]Parametros!$B$12/2)+ROUNDDOWN(S168/2,0)*([1]Parametros!$B$7+[1]Parametros!$B$9+[1]Parametros!$B$12/2+[1]Parametros!$B$12+[1]Parametros!$B$10))/S168)</f>
        <v>489.35</v>
      </c>
      <c r="V168" s="13">
        <f>S168*[1]Parametros!$B$8</f>
        <v>1194</v>
      </c>
      <c r="W168" s="13">
        <f>[1]Parametros!$B$5*V168*[1]Parametros!$B$3*(U168-(V168*[1]Parametros!$B$3/(0.85*[1]Parametros!$B$2*H168))/2)/1000000</f>
        <v>210.29283561176473</v>
      </c>
      <c r="X168" s="13" t="str">
        <f t="shared" si="26"/>
        <v>CUMPLE</v>
      </c>
      <c r="Y168" s="13">
        <f>MAX(MAX(1.4/[1]Parametros!$B$3,0.25*SQRT([1]Parametros!$B$2)/[1]Parametros!$B$3)*H168*AB168,(0.85*[1]Parametros!$B$2/[1]Parametros!$B$3)*(1-SQRT(1-2*(L168*1000000/([1]Parametros!$B$5*H168*AB168^2))/(0.85*[1]Parametros!$B$2)))*H168*AB168)</f>
        <v>904.80169726369274</v>
      </c>
      <c r="Z168" s="14">
        <v>5</v>
      </c>
      <c r="AA168" s="14">
        <v>1</v>
      </c>
      <c r="AB168" s="13">
        <f>IF(AA168=1,I168-([1]Parametros!$B$7+[1]Parametros!$B$9+[1]Parametros!$B$12/2),I168-(ROUNDUP(Z168/2,0)*([1]Parametros!$B$7+[1]Parametros!$B$9+[1]Parametros!$B$12/2)+ROUNDDOWN(Z168/2,0)*([1]Parametros!$B$7+[1]Parametros!$B$9+[1]Parametros!$B$12/2+[1]Parametros!$B$12+[1]Parametros!$B$10))/Z168)</f>
        <v>489.35</v>
      </c>
      <c r="AC168" s="13">
        <f>Z168*[1]Parametros!$B$8</f>
        <v>995</v>
      </c>
      <c r="AD168" s="13">
        <f>[1]Parametros!$B$5*AC168*[1]Parametros!$B$3*(AB168-(AC168*[1]Parametros!$B$3/(0.85*[1]Parametros!$B$2*H168))/2)/1000000</f>
        <v>176.71159614705886</v>
      </c>
      <c r="AE168" s="13" t="str">
        <f t="shared" si="27"/>
        <v>CUMPLE</v>
      </c>
      <c r="AF168" s="13">
        <f>V168*1.25*[1]Parametros!$B$3*(U168-(V168*1.25*[1]Parametros!$B$3/(0.85*[1]Parametros!$B$2*H168))/2)/1000000</f>
        <v>288.40446661764707</v>
      </c>
      <c r="AG168" s="13">
        <f>AC168*1.25*[1]Parametros!$B$3*(AB168-(AC168*1.25*[1]Parametros!$B$3/(0.85*[1]Parametros!$B$2*H168))/2)/1000000</f>
        <v>242.88491397058826</v>
      </c>
      <c r="AH168" s="13">
        <f t="shared" si="28"/>
        <v>263.60665556561088</v>
      </c>
      <c r="AI168" s="13">
        <f t="shared" si="29"/>
        <v>439.483</v>
      </c>
      <c r="AJ168" s="13">
        <f>0.17*SQRT([1]Parametros!$B$2)*H168*MIN(U168,AB168)/1000</f>
        <v>198.08885582262698</v>
      </c>
      <c r="AK168" s="13">
        <f>MAX(AI168/[1]Parametros!$B$6-AJ168,0)</f>
        <v>387.88847751070637</v>
      </c>
      <c r="AL168" s="13">
        <f>0.66*SQRT([1]Parametros!$B$2)*H168*MIN(U168,AB168)/1000</f>
        <v>769.05085201725785</v>
      </c>
      <c r="AM168" s="13" t="str">
        <f t="shared" si="30"/>
        <v>CUMPLE</v>
      </c>
      <c r="AN168" s="13" t="s">
        <v>68</v>
      </c>
      <c r="AO168" s="14">
        <v>2</v>
      </c>
      <c r="AP168" s="13">
        <f>ROUNDDOWN(MIN(IF(BC168+BD168=0,1000000000,AO168*BB168/(BC168+BD168)),MIN(U168,AB168)/4,8*[1]Parametros!$B$12,24*BA168,300,IF(AV168=0,1000000000,2*((H168-2*([1]Parametros!$B$7+[1]Parametros!$B$9/2))+(I168-2*([1]Parametros!$B$7+[1]Parametros!$B$9/2)))/8))/10,0)*10</f>
        <v>120</v>
      </c>
      <c r="AQ168" s="13">
        <f>ROUNDDOWN(MIN(IF(BC168+BD168=0,1000000000,AO168*BB168/(BC168+BD168)),IF(AK168&gt;0.33*SQRT([1]Parametros!$B$2)*H168*MIN(U168,AB168)/1000,MIN(U168,AB168)/4,MIN(U168,AB168)/2),600,IF(AV168=0,1000000000,2*((H168-2*([1]Parametros!$B$7+[1]Parametros!$B$9/2))+(I168-2*([1]Parametros!$B$7+[1]Parametros!$B$9/2)))/8))/10,0)*10</f>
        <v>120</v>
      </c>
      <c r="AR168" s="13">
        <f>[1]Parametros!$B$6*(AJ168+MAX(BE168-BD168,0)*[1]Parametros!$B$4*MIN(U168,AB168)/1000)</f>
        <v>479.97892936697031</v>
      </c>
      <c r="AS168" s="13" t="str">
        <f t="shared" si="31"/>
        <v>CUMPLE</v>
      </c>
      <c r="AT168" s="13">
        <f>[1]Parametros!$B$6*0.083*SQRT([1]Parametros!$B$2)*(H168*I168)^2/(2*(H168+I168))/1000000</f>
        <v>10.08878303333792</v>
      </c>
      <c r="AU168" s="13" t="str">
        <f t="shared" si="32"/>
        <v>DESPRECIABLE</v>
      </c>
      <c r="AV168" s="13">
        <f>IF(Q168&lt;=AT168,0,Q168*1000000/([1]Parametros!$B$6*2*0.85*(H168-2*([1]Parametros!$B$7+[1]Parametros!$B$9/2))*(I168-2*([1]Parametros!$B$7+[1]Parametros!$B$9/2))*[1]Parametros!$B$4))</f>
        <v>0</v>
      </c>
      <c r="AW168" s="13">
        <f>AV168*2*((H168-2*([1]Parametros!$B$7+[1]Parametros!$B$9/2))+(I168-2*([1]Parametros!$B$7+[1]Parametros!$B$9/2)))*[1]Parametros!$B$4/[1]Parametros!$B$3</f>
        <v>0</v>
      </c>
      <c r="AX168" s="14">
        <v>0</v>
      </c>
      <c r="AY168" s="13" t="str">
        <f t="shared" si="33"/>
        <v>DESPRECIABLE</v>
      </c>
      <c r="AZ168" s="13" t="str">
        <f t="shared" si="34"/>
        <v>CUMPLE</v>
      </c>
      <c r="BA168" s="14">
        <v>12.7</v>
      </c>
      <c r="BB168" s="14">
        <v>129</v>
      </c>
      <c r="BC168" s="13">
        <f>MAX(IF(AK168=0,0,AK168*1000/([1]Parametros!$B$4*MIN(U168,AB168))),MAX(0.062*SQRT([1]Parametros!$B$2)*H168/[1]Parametros!$B$4,0.35*H168/[1]Parametros!$B$4))</f>
        <v>1.8872872056260557</v>
      </c>
      <c r="BD168" s="13">
        <f t="shared" si="35"/>
        <v>0</v>
      </c>
      <c r="BE168" s="13">
        <f t="shared" si="36"/>
        <v>2.15</v>
      </c>
      <c r="BF168" s="13">
        <f>SQRT((AI168*1000/(H168*MIN(U168,AB168)))^2+(Q168*1000000*2*((H168-2*([1]Parametros!$B$7+[1]Parametros!$B$9/2))+(I168-2*([1]Parametros!$B$7+[1]Parametros!$B$9/2)))/(1.7*((H168-2*([1]Parametros!$B$7+[1]Parametros!$B$9/2))*(I168-2*([1]Parametros!$B$7+[1]Parametros!$B$9/2)))^2))^2)</f>
        <v>2.0080641945258084</v>
      </c>
      <c r="BG168" s="13">
        <f>[1]Parametros!$B$6*(AJ168*1000/(H168*MIN(U168,AB168))+0.66*SQRT([1]Parametros!$B$2))</f>
        <v>3.2939603822754151</v>
      </c>
      <c r="BH168" s="13" t="str">
        <f t="shared" si="37"/>
        <v>CUMPLE</v>
      </c>
      <c r="BI168" s="13">
        <f>AX168*[1]Parametros!$B$8</f>
        <v>0</v>
      </c>
      <c r="BJ168" s="15" t="str">
        <f t="shared" si="38"/>
        <v>CUMPLE</v>
      </c>
    </row>
    <row r="169" spans="1:62" ht="28.8" x14ac:dyDescent="0.3">
      <c r="A169" s="22" t="s">
        <v>71</v>
      </c>
      <c r="B169" s="23">
        <v>80</v>
      </c>
      <c r="C169" s="13">
        <v>1</v>
      </c>
      <c r="D169" s="13">
        <v>3.3</v>
      </c>
      <c r="E169" s="13">
        <v>3.3</v>
      </c>
      <c r="F169" s="13">
        <v>450</v>
      </c>
      <c r="G169" s="13">
        <v>550</v>
      </c>
      <c r="H169" s="13">
        <v>450</v>
      </c>
      <c r="I169" s="13">
        <v>550</v>
      </c>
      <c r="J169" s="14">
        <v>171.0736</v>
      </c>
      <c r="K169" s="13">
        <v>80</v>
      </c>
      <c r="L169" s="14">
        <v>149.0487</v>
      </c>
      <c r="M169" s="13">
        <v>80</v>
      </c>
      <c r="N169" s="14">
        <v>98.233000000000004</v>
      </c>
      <c r="O169" s="14">
        <v>424.47399999999999</v>
      </c>
      <c r="P169" s="13">
        <v>80</v>
      </c>
      <c r="Q169" s="14">
        <v>123.1427</v>
      </c>
      <c r="R169" s="13">
        <f>MAX(MAX(1.4/[1]Parametros!$B$3,0.25*SQRT([1]Parametros!$B$2)/[1]Parametros!$B$3)*H169*U169,(0.85*[1]Parametros!$B$2/[1]Parametros!$B$3)*(1-SQRT(1-2*(J169*1000000/([1]Parametros!$B$5*H169*U169^2))/(0.85*[1]Parametros!$B$2)))*H169*U169)</f>
        <v>961.92675832661132</v>
      </c>
      <c r="S169" s="14">
        <v>5</v>
      </c>
      <c r="T169" s="14">
        <v>1</v>
      </c>
      <c r="U169" s="13">
        <f>IF(T169=1,I169-([1]Parametros!$B$7+[1]Parametros!$B$9+[1]Parametros!$B$12/2),I169-(ROUNDUP(S169/2,0)*([1]Parametros!$B$7+[1]Parametros!$B$9+[1]Parametros!$B$12/2)+ROUNDDOWN(S169/2,0)*([1]Parametros!$B$7+[1]Parametros!$B$9+[1]Parametros!$B$12/2+[1]Parametros!$B$12+[1]Parametros!$B$10))/S169)</f>
        <v>489.35</v>
      </c>
      <c r="V169" s="13">
        <f>S169*[1]Parametros!$B$8</f>
        <v>995</v>
      </c>
      <c r="W169" s="13">
        <f>[1]Parametros!$B$5*V169*[1]Parametros!$B$3*(U169-(V169*[1]Parametros!$B$3/(0.85*[1]Parametros!$B$2*H169))/2)/1000000</f>
        <v>176.71159614705886</v>
      </c>
      <c r="X169" s="13" t="str">
        <f t="shared" si="26"/>
        <v>CUMPLE</v>
      </c>
      <c r="Y169" s="13">
        <f>MAX(MAX(1.4/[1]Parametros!$B$3,0.25*SQRT([1]Parametros!$B$2)/[1]Parametros!$B$3)*H169*AB169,(0.85*[1]Parametros!$B$2/[1]Parametros!$B$3)*(1-SQRT(1-2*(L169*1000000/([1]Parametros!$B$5*H169*AB169^2))/(0.85*[1]Parametros!$B$2)))*H169*AB169)</f>
        <v>833.62593593153679</v>
      </c>
      <c r="Z169" s="14">
        <v>5</v>
      </c>
      <c r="AA169" s="14">
        <v>1</v>
      </c>
      <c r="AB169" s="13">
        <f>IF(AA169=1,I169-([1]Parametros!$B$7+[1]Parametros!$B$9+[1]Parametros!$B$12/2),I169-(ROUNDUP(Z169/2,0)*([1]Parametros!$B$7+[1]Parametros!$B$9+[1]Parametros!$B$12/2)+ROUNDDOWN(Z169/2,0)*([1]Parametros!$B$7+[1]Parametros!$B$9+[1]Parametros!$B$12/2+[1]Parametros!$B$12+[1]Parametros!$B$10))/Z169)</f>
        <v>489.35</v>
      </c>
      <c r="AC169" s="13">
        <f>Z169*[1]Parametros!$B$8</f>
        <v>995</v>
      </c>
      <c r="AD169" s="13">
        <f>[1]Parametros!$B$5*AC169*[1]Parametros!$B$3*(AB169-(AC169*[1]Parametros!$B$3/(0.85*[1]Parametros!$B$2*H169))/2)/1000000</f>
        <v>176.71159614705886</v>
      </c>
      <c r="AE169" s="13" t="str">
        <f t="shared" si="27"/>
        <v>CUMPLE</v>
      </c>
      <c r="AF169" s="13">
        <f>V169*1.25*[1]Parametros!$B$3*(U169-(V169*1.25*[1]Parametros!$B$3/(0.85*[1]Parametros!$B$2*H169))/2)/1000000</f>
        <v>242.88491397058826</v>
      </c>
      <c r="AG169" s="13">
        <f>AC169*1.25*[1]Parametros!$B$3*(AB169-(AC169*1.25*[1]Parametros!$B$3/(0.85*[1]Parametros!$B$2*H169))/2)/1000000</f>
        <v>242.88491397058826</v>
      </c>
      <c r="AH169" s="13">
        <f t="shared" si="28"/>
        <v>245.4359781639929</v>
      </c>
      <c r="AI169" s="13">
        <f t="shared" si="29"/>
        <v>424.47399999999999</v>
      </c>
      <c r="AJ169" s="13">
        <f>0.17*SQRT([1]Parametros!$B$2)*H169*MIN(U169,AB169)/1000</f>
        <v>198.08885582262698</v>
      </c>
      <c r="AK169" s="13">
        <f>MAX(AI169/[1]Parametros!$B$6-AJ169,0)</f>
        <v>367.87647751070631</v>
      </c>
      <c r="AL169" s="13">
        <f>0.66*SQRT([1]Parametros!$B$2)*H169*MIN(U169,AB169)/1000</f>
        <v>769.05085201725785</v>
      </c>
      <c r="AM169" s="13" t="str">
        <f t="shared" si="30"/>
        <v>CUMPLE</v>
      </c>
      <c r="AN169" s="13" t="s">
        <v>70</v>
      </c>
      <c r="AO169" s="14">
        <v>4</v>
      </c>
      <c r="AP169" s="13">
        <f>ROUNDDOWN(MIN(IF(BC169+BD169=0,1000000000,AO169*BB169/(BC169+BD169)),MIN(U169,AB169)/4,8*[1]Parametros!$B$12,24*BA169,300,IF(AV169=0,1000000000,2*((H169-2*([1]Parametros!$B$7+[1]Parametros!$B$9/2))+(I169-2*([1]Parametros!$B$7+[1]Parametros!$B$9/2)))/8))/10,0)*10</f>
        <v>110</v>
      </c>
      <c r="AQ169" s="13">
        <f>ROUNDDOWN(MIN(IF(BC169+BD169=0,1000000000,AO169*BB169/(BC169+BD169)),IF(AK169&gt;0.33*SQRT([1]Parametros!$B$2)*H169*MIN(U169,AB169)/1000,MIN(U169,AB169)/4,MIN(U169,AB169)/2),600,IF(AV169=0,1000000000,2*((H169-2*([1]Parametros!$B$7+[1]Parametros!$B$9/2))+(I169-2*([1]Parametros!$B$7+[1]Parametros!$B$9/2)))/8))/10,0)*10</f>
        <v>110</v>
      </c>
      <c r="AR169" s="13">
        <f>[1]Parametros!$B$6*(AJ169+MAX(BE169-BD169,0)*[1]Parametros!$B$4*MIN(U169,AB169)/1000)</f>
        <v>437.76251213811008</v>
      </c>
      <c r="AS169" s="13" t="str">
        <f t="shared" si="31"/>
        <v>NO CUMPLE</v>
      </c>
      <c r="AT169" s="13">
        <f>[1]Parametros!$B$6*0.083*SQRT([1]Parametros!$B$2)*(H169*I169)^2/(2*(H169+I169))/1000000</f>
        <v>10.08878303333792</v>
      </c>
      <c r="AU169" s="13" t="str">
        <f t="shared" si="32"/>
        <v>DISEÑAR</v>
      </c>
      <c r="AV169" s="13">
        <f>IF(Q169&lt;=AT169,0,Q169*1000000/([1]Parametros!$B$6*2*0.85*(H169-2*([1]Parametros!$B$7+[1]Parametros!$B$9/2))*(I169-2*([1]Parametros!$B$7+[1]Parametros!$B$9/2))*[1]Parametros!$B$4))</f>
        <v>1.4073916785444722</v>
      </c>
      <c r="AW169" s="13">
        <f>AV169*2*((H169-2*([1]Parametros!$B$7+[1]Parametros!$B$9/2))+(I169-2*([1]Parametros!$B$7+[1]Parametros!$B$9/2)))*[1]Parametros!$B$4/[1]Parametros!$B$3</f>
        <v>2292.9225226846543</v>
      </c>
      <c r="AX169" s="14">
        <v>12</v>
      </c>
      <c r="AY169" s="13" t="str">
        <f t="shared" si="33"/>
        <v>NO CUMPLE</v>
      </c>
      <c r="AZ169" s="13" t="str">
        <f t="shared" si="34"/>
        <v>NO CUMPLE</v>
      </c>
      <c r="BA169" s="14">
        <v>12.7</v>
      </c>
      <c r="BB169" s="14">
        <v>129</v>
      </c>
      <c r="BC169" s="13">
        <f>MAX(IF(AK169=0,0,AK169*1000/([1]Parametros!$B$4*MIN(U169,AB169))),MAX(0.062*SQRT([1]Parametros!$B$2)*H169/[1]Parametros!$B$4,0.35*H169/[1]Parametros!$B$4))</f>
        <v>1.789918003526088</v>
      </c>
      <c r="BD169" s="13">
        <f t="shared" si="35"/>
        <v>2.8147833570889444</v>
      </c>
      <c r="BE169" s="13">
        <f t="shared" si="36"/>
        <v>4.6909090909090905</v>
      </c>
      <c r="BF169" s="13">
        <f>SQRT((AI169*1000/(H169*MIN(U169,AB169)))^2+(Q169*1000000*2*((H169-2*([1]Parametros!$B$7+[1]Parametros!$B$9/2))+(I169-2*([1]Parametros!$B$7+[1]Parametros!$B$9/2)))/(1.7*((H169-2*([1]Parametros!$B$7+[1]Parametros!$B$9/2))*(I169-2*([1]Parametros!$B$7+[1]Parametros!$B$9/2)))^2))^2)</f>
        <v>4.8224461053023369</v>
      </c>
      <c r="BG169" s="13">
        <f>[1]Parametros!$B$6*(AJ169*1000/(H169*MIN(U169,AB169))+0.66*SQRT([1]Parametros!$B$2))</f>
        <v>3.2939603822754151</v>
      </c>
      <c r="BH169" s="13" t="str">
        <f t="shared" si="37"/>
        <v>NO CUMPLE</v>
      </c>
      <c r="BI169" s="13">
        <f>AX169*[1]Parametros!$B$8</f>
        <v>2388</v>
      </c>
      <c r="BJ169" s="15" t="str">
        <f t="shared" si="38"/>
        <v>CUMPLE</v>
      </c>
    </row>
    <row r="170" spans="1:62" ht="28.8" x14ac:dyDescent="0.3">
      <c r="A170" s="22" t="s">
        <v>71</v>
      </c>
      <c r="B170" s="23">
        <v>81</v>
      </c>
      <c r="C170" s="13">
        <v>1</v>
      </c>
      <c r="D170" s="13">
        <v>3.3</v>
      </c>
      <c r="E170" s="13">
        <v>3.3</v>
      </c>
      <c r="F170" s="13">
        <v>450</v>
      </c>
      <c r="G170" s="13">
        <v>550</v>
      </c>
      <c r="H170" s="13">
        <v>450</v>
      </c>
      <c r="I170" s="13">
        <v>550</v>
      </c>
      <c r="J170" s="14">
        <v>171.0864</v>
      </c>
      <c r="K170" s="13">
        <v>81</v>
      </c>
      <c r="L170" s="14">
        <v>149.0401</v>
      </c>
      <c r="M170" s="13">
        <v>81</v>
      </c>
      <c r="N170" s="14">
        <v>98.239000000000004</v>
      </c>
      <c r="O170" s="14">
        <v>424.48</v>
      </c>
      <c r="P170" s="13">
        <v>81</v>
      </c>
      <c r="Q170" s="14">
        <v>123.143</v>
      </c>
      <c r="R170" s="13">
        <f>MAX(MAX(1.4/[1]Parametros!$B$3,0.25*SQRT([1]Parametros!$B$2)/[1]Parametros!$B$3)*H170*U170,(0.85*[1]Parametros!$B$2/[1]Parametros!$B$3)*(1-SQRT(1-2*(J170*1000000/([1]Parametros!$B$5*H170*U170^2))/(0.85*[1]Parametros!$B$2)))*H170*U170)</f>
        <v>962.00173727040874</v>
      </c>
      <c r="S170" s="14">
        <v>5</v>
      </c>
      <c r="T170" s="14">
        <v>1</v>
      </c>
      <c r="U170" s="13">
        <f>IF(T170=1,I170-([1]Parametros!$B$7+[1]Parametros!$B$9+[1]Parametros!$B$12/2),I170-(ROUNDUP(S170/2,0)*([1]Parametros!$B$7+[1]Parametros!$B$9+[1]Parametros!$B$12/2)+ROUNDDOWN(S170/2,0)*([1]Parametros!$B$7+[1]Parametros!$B$9+[1]Parametros!$B$12/2+[1]Parametros!$B$12+[1]Parametros!$B$10))/S170)</f>
        <v>489.35</v>
      </c>
      <c r="V170" s="13">
        <f>S170*[1]Parametros!$B$8</f>
        <v>995</v>
      </c>
      <c r="W170" s="13">
        <f>[1]Parametros!$B$5*V170*[1]Parametros!$B$3*(U170-(V170*[1]Parametros!$B$3/(0.85*[1]Parametros!$B$2*H170))/2)/1000000</f>
        <v>176.71159614705886</v>
      </c>
      <c r="X170" s="13" t="str">
        <f t="shared" si="26"/>
        <v>CUMPLE</v>
      </c>
      <c r="Y170" s="13">
        <f>MAX(MAX(1.4/[1]Parametros!$B$3,0.25*SQRT([1]Parametros!$B$2)/[1]Parametros!$B$3)*H170*AB170,(0.85*[1]Parametros!$B$2/[1]Parametros!$B$3)*(1-SQRT(1-2*(L170*1000000/([1]Parametros!$B$5*H170*AB170^2))/(0.85*[1]Parametros!$B$2)))*H170*AB170)</f>
        <v>833.57611476365832</v>
      </c>
      <c r="Z170" s="14">
        <v>5</v>
      </c>
      <c r="AA170" s="14">
        <v>1</v>
      </c>
      <c r="AB170" s="13">
        <f>IF(AA170=1,I170-([1]Parametros!$B$7+[1]Parametros!$B$9+[1]Parametros!$B$12/2),I170-(ROUNDUP(Z170/2,0)*([1]Parametros!$B$7+[1]Parametros!$B$9+[1]Parametros!$B$12/2)+ROUNDDOWN(Z170/2,0)*([1]Parametros!$B$7+[1]Parametros!$B$9+[1]Parametros!$B$12/2+[1]Parametros!$B$12+[1]Parametros!$B$10))/Z170)</f>
        <v>489.35</v>
      </c>
      <c r="AC170" s="13">
        <f>Z170*[1]Parametros!$B$8</f>
        <v>995</v>
      </c>
      <c r="AD170" s="13">
        <f>[1]Parametros!$B$5*AC170*[1]Parametros!$B$3*(AB170-(AC170*[1]Parametros!$B$3/(0.85*[1]Parametros!$B$2*H170))/2)/1000000</f>
        <v>176.71159614705886</v>
      </c>
      <c r="AE170" s="13" t="str">
        <f t="shared" si="27"/>
        <v>CUMPLE</v>
      </c>
      <c r="AF170" s="13">
        <f>V170*1.25*[1]Parametros!$B$3*(U170-(V170*1.25*[1]Parametros!$B$3/(0.85*[1]Parametros!$B$2*H170))/2)/1000000</f>
        <v>242.88491397058826</v>
      </c>
      <c r="AG170" s="13">
        <f>AC170*1.25*[1]Parametros!$B$3*(AB170-(AC170*1.25*[1]Parametros!$B$3/(0.85*[1]Parametros!$B$2*H170))/2)/1000000</f>
        <v>242.88491397058826</v>
      </c>
      <c r="AH170" s="13">
        <f t="shared" si="28"/>
        <v>245.4419781639929</v>
      </c>
      <c r="AI170" s="13">
        <f t="shared" si="29"/>
        <v>424.48</v>
      </c>
      <c r="AJ170" s="13">
        <f>0.17*SQRT([1]Parametros!$B$2)*H170*MIN(U170,AB170)/1000</f>
        <v>198.08885582262698</v>
      </c>
      <c r="AK170" s="13">
        <f>MAX(AI170/[1]Parametros!$B$6-AJ170,0)</f>
        <v>367.88447751070635</v>
      </c>
      <c r="AL170" s="13">
        <f>0.66*SQRT([1]Parametros!$B$2)*H170*MIN(U170,AB170)/1000</f>
        <v>769.05085201725785</v>
      </c>
      <c r="AM170" s="13" t="str">
        <f t="shared" si="30"/>
        <v>CUMPLE</v>
      </c>
      <c r="AN170" s="13" t="s">
        <v>70</v>
      </c>
      <c r="AO170" s="14">
        <v>4</v>
      </c>
      <c r="AP170" s="13">
        <f>ROUNDDOWN(MIN(IF(BC170+BD170=0,1000000000,AO170*BB170/(BC170+BD170)),MIN(U170,AB170)/4,8*[1]Parametros!$B$12,24*BA170,300,IF(AV170=0,1000000000,2*((H170-2*([1]Parametros!$B$7+[1]Parametros!$B$9/2))+(I170-2*([1]Parametros!$B$7+[1]Parametros!$B$9/2)))/8))/10,0)*10</f>
        <v>110</v>
      </c>
      <c r="AQ170" s="13">
        <f>ROUNDDOWN(MIN(IF(BC170+BD170=0,1000000000,AO170*BB170/(BC170+BD170)),IF(AK170&gt;0.33*SQRT([1]Parametros!$B$2)*H170*MIN(U170,AB170)/1000,MIN(U170,AB170)/4,MIN(U170,AB170)/2),600,IF(AV170=0,1000000000,2*((H170-2*([1]Parametros!$B$7+[1]Parametros!$B$9/2))+(I170-2*([1]Parametros!$B$7+[1]Parametros!$B$9/2)))/8))/10,0)*10</f>
        <v>110</v>
      </c>
      <c r="AR170" s="13">
        <f>[1]Parametros!$B$6*(AJ170+MAX(BE170-BD170,0)*[1]Parametros!$B$4*MIN(U170,AB170)/1000)</f>
        <v>437.76145510715924</v>
      </c>
      <c r="AS170" s="13" t="str">
        <f t="shared" si="31"/>
        <v>NO CUMPLE</v>
      </c>
      <c r="AT170" s="13">
        <f>[1]Parametros!$B$6*0.083*SQRT([1]Parametros!$B$2)*(H170*I170)^2/(2*(H170+I170))/1000000</f>
        <v>10.08878303333792</v>
      </c>
      <c r="AU170" s="13" t="str">
        <f t="shared" si="32"/>
        <v>DISEÑAR</v>
      </c>
      <c r="AV170" s="13">
        <f>IF(Q170&lt;=AT170,0,Q170*1000000/([1]Parametros!$B$6*2*0.85*(H170-2*([1]Parametros!$B$7+[1]Parametros!$B$9/2))*(I170-2*([1]Parametros!$B$7+[1]Parametros!$B$9/2))*[1]Parametros!$B$4))</f>
        <v>1.407395107229271</v>
      </c>
      <c r="AW170" s="13">
        <f>AV170*2*((H170-2*([1]Parametros!$B$7+[1]Parametros!$B$9/2))+(I170-2*([1]Parametros!$B$7+[1]Parametros!$B$9/2)))*[1]Parametros!$B$4/[1]Parametros!$B$3</f>
        <v>2292.9281086979281</v>
      </c>
      <c r="AX170" s="14">
        <v>12</v>
      </c>
      <c r="AY170" s="13" t="str">
        <f t="shared" si="33"/>
        <v>NO CUMPLE</v>
      </c>
      <c r="AZ170" s="13" t="str">
        <f t="shared" si="34"/>
        <v>NO CUMPLE</v>
      </c>
      <c r="BA170" s="14">
        <v>12.7</v>
      </c>
      <c r="BB170" s="14">
        <v>129</v>
      </c>
      <c r="BC170" s="13">
        <f>MAX(IF(AK170=0,0,AK170*1000/([1]Parametros!$B$4*MIN(U170,AB170))),MAX(0.062*SQRT([1]Parametros!$B$2)*H170/[1]Parametros!$B$4,0.35*H170/[1]Parametros!$B$4))</f>
        <v>1.7899569278523326</v>
      </c>
      <c r="BD170" s="13">
        <f t="shared" si="35"/>
        <v>2.8147902144585419</v>
      </c>
      <c r="BE170" s="13">
        <f t="shared" si="36"/>
        <v>4.6909090909090905</v>
      </c>
      <c r="BF170" s="13">
        <f>SQRT((AI170*1000/(H170*MIN(U170,AB170)))^2+(Q170*1000000*2*((H170-2*([1]Parametros!$B$7+[1]Parametros!$B$9/2))+(I170-2*([1]Parametros!$B$7+[1]Parametros!$B$9/2)))/(1.7*((H170-2*([1]Parametros!$B$7+[1]Parametros!$B$9/2))*(I170-2*([1]Parametros!$B$7+[1]Parametros!$B$9/2)))^2))^2)</f>
        <v>4.8224668677735156</v>
      </c>
      <c r="BG170" s="13">
        <f>[1]Parametros!$B$6*(AJ170*1000/(H170*MIN(U170,AB170))+0.66*SQRT([1]Parametros!$B$2))</f>
        <v>3.2939603822754151</v>
      </c>
      <c r="BH170" s="13" t="str">
        <f t="shared" si="37"/>
        <v>NO CUMPLE</v>
      </c>
      <c r="BI170" s="13">
        <f>AX170*[1]Parametros!$B$8</f>
        <v>2388</v>
      </c>
      <c r="BJ170" s="15" t="str">
        <f t="shared" si="38"/>
        <v>CUMPLE</v>
      </c>
    </row>
    <row r="171" spans="1:62" x14ac:dyDescent="0.3">
      <c r="A171" s="22" t="s">
        <v>71</v>
      </c>
      <c r="B171" s="23">
        <v>82</v>
      </c>
      <c r="C171" s="13">
        <v>1</v>
      </c>
      <c r="D171" s="13">
        <v>3.25</v>
      </c>
      <c r="E171" s="13">
        <v>3.25</v>
      </c>
      <c r="F171" s="13">
        <v>450</v>
      </c>
      <c r="G171" s="13">
        <v>550</v>
      </c>
      <c r="H171" s="13">
        <v>450</v>
      </c>
      <c r="I171" s="13">
        <v>550</v>
      </c>
      <c r="J171" s="14">
        <v>180.7167</v>
      </c>
      <c r="K171" s="13">
        <v>82</v>
      </c>
      <c r="L171" s="14">
        <v>161.30199999999999</v>
      </c>
      <c r="M171" s="13">
        <v>82</v>
      </c>
      <c r="N171" s="14">
        <v>100.129</v>
      </c>
      <c r="O171" s="14">
        <v>439.47899999999998</v>
      </c>
      <c r="P171" s="13">
        <v>82</v>
      </c>
      <c r="Q171" s="14">
        <v>6.1818999999999997</v>
      </c>
      <c r="R171" s="13">
        <f>MAX(MAX(1.4/[1]Parametros!$B$3,0.25*SQRT([1]Parametros!$B$2)/[1]Parametros!$B$3)*H171*U171,(0.85*[1]Parametros!$B$2/[1]Parametros!$B$3)*(1-SQRT(1-2*(J171*1000000/([1]Parametros!$B$5*H171*U171^2))/(0.85*[1]Parametros!$B$2)))*H171*U171)</f>
        <v>1018.5524624949209</v>
      </c>
      <c r="S171" s="14">
        <v>6</v>
      </c>
      <c r="T171" s="14">
        <v>1</v>
      </c>
      <c r="U171" s="13">
        <f>IF(T171=1,I171-([1]Parametros!$B$7+[1]Parametros!$B$9+[1]Parametros!$B$12/2),I171-(ROUNDUP(S171/2,0)*([1]Parametros!$B$7+[1]Parametros!$B$9+[1]Parametros!$B$12/2)+ROUNDDOWN(S171/2,0)*([1]Parametros!$B$7+[1]Parametros!$B$9+[1]Parametros!$B$12/2+[1]Parametros!$B$12+[1]Parametros!$B$10))/S171)</f>
        <v>489.35</v>
      </c>
      <c r="V171" s="13">
        <f>S171*[1]Parametros!$B$8</f>
        <v>1194</v>
      </c>
      <c r="W171" s="13">
        <f>[1]Parametros!$B$5*V171*[1]Parametros!$B$3*(U171-(V171*[1]Parametros!$B$3/(0.85*[1]Parametros!$B$2*H171))/2)/1000000</f>
        <v>210.29283561176473</v>
      </c>
      <c r="X171" s="13" t="str">
        <f t="shared" si="26"/>
        <v>CUMPLE</v>
      </c>
      <c r="Y171" s="13">
        <f>MAX(MAX(1.4/[1]Parametros!$B$3,0.25*SQRT([1]Parametros!$B$2)/[1]Parametros!$B$3)*H171*AB171,(0.85*[1]Parametros!$B$2/[1]Parametros!$B$3)*(1-SQRT(1-2*(L171*1000000/([1]Parametros!$B$5*H171*AB171^2))/(0.85*[1]Parametros!$B$2)))*H171*AB171)</f>
        <v>904.82909264878651</v>
      </c>
      <c r="Z171" s="14">
        <v>5</v>
      </c>
      <c r="AA171" s="14">
        <v>1</v>
      </c>
      <c r="AB171" s="13">
        <f>IF(AA171=1,I171-([1]Parametros!$B$7+[1]Parametros!$B$9+[1]Parametros!$B$12/2),I171-(ROUNDUP(Z171/2,0)*([1]Parametros!$B$7+[1]Parametros!$B$9+[1]Parametros!$B$12/2)+ROUNDDOWN(Z171/2,0)*([1]Parametros!$B$7+[1]Parametros!$B$9+[1]Parametros!$B$12/2+[1]Parametros!$B$12+[1]Parametros!$B$10))/Z171)</f>
        <v>489.35</v>
      </c>
      <c r="AC171" s="13">
        <f>Z171*[1]Parametros!$B$8</f>
        <v>995</v>
      </c>
      <c r="AD171" s="13">
        <f>[1]Parametros!$B$5*AC171*[1]Parametros!$B$3*(AB171-(AC171*[1]Parametros!$B$3/(0.85*[1]Parametros!$B$2*H171))/2)/1000000</f>
        <v>176.71159614705886</v>
      </c>
      <c r="AE171" s="13" t="str">
        <f t="shared" si="27"/>
        <v>CUMPLE</v>
      </c>
      <c r="AF171" s="13">
        <f>V171*1.25*[1]Parametros!$B$3*(U171-(V171*1.25*[1]Parametros!$B$3/(0.85*[1]Parametros!$B$2*H171))/2)/1000000</f>
        <v>288.40446661764707</v>
      </c>
      <c r="AG171" s="13">
        <f>AC171*1.25*[1]Parametros!$B$3*(AB171-(AC171*1.25*[1]Parametros!$B$3/(0.85*[1]Parametros!$B$2*H171))/2)/1000000</f>
        <v>242.88491397058826</v>
      </c>
      <c r="AH171" s="13">
        <f t="shared" si="28"/>
        <v>263.60265556561086</v>
      </c>
      <c r="AI171" s="13">
        <f t="shared" si="29"/>
        <v>439.47899999999998</v>
      </c>
      <c r="AJ171" s="13">
        <f>0.17*SQRT([1]Parametros!$B$2)*H171*MIN(U171,AB171)/1000</f>
        <v>198.08885582262698</v>
      </c>
      <c r="AK171" s="13">
        <f>MAX(AI171/[1]Parametros!$B$6-AJ171,0)</f>
        <v>387.88314417737297</v>
      </c>
      <c r="AL171" s="13">
        <f>0.66*SQRT([1]Parametros!$B$2)*H171*MIN(U171,AB171)/1000</f>
        <v>769.05085201725785</v>
      </c>
      <c r="AM171" s="13" t="str">
        <f t="shared" si="30"/>
        <v>CUMPLE</v>
      </c>
      <c r="AN171" s="13" t="s">
        <v>68</v>
      </c>
      <c r="AO171" s="14">
        <v>2</v>
      </c>
      <c r="AP171" s="13">
        <f>ROUNDDOWN(MIN(IF(BC171+BD171=0,1000000000,AO171*BB171/(BC171+BD171)),MIN(U171,AB171)/4,8*[1]Parametros!$B$12,24*BA171,300,IF(AV171=0,1000000000,2*((H171-2*([1]Parametros!$B$7+[1]Parametros!$B$9/2))+(I171-2*([1]Parametros!$B$7+[1]Parametros!$B$9/2)))/8))/10,0)*10</f>
        <v>120</v>
      </c>
      <c r="AQ171" s="13">
        <f>ROUNDDOWN(MIN(IF(BC171+BD171=0,1000000000,AO171*BB171/(BC171+BD171)),IF(AK171&gt;0.33*SQRT([1]Parametros!$B$2)*H171*MIN(U171,AB171)/1000,MIN(U171,AB171)/4,MIN(U171,AB171)/2),600,IF(AV171=0,1000000000,2*((H171-2*([1]Parametros!$B$7+[1]Parametros!$B$9/2))+(I171-2*([1]Parametros!$B$7+[1]Parametros!$B$9/2)))/8))/10,0)*10</f>
        <v>120</v>
      </c>
      <c r="AR171" s="13">
        <f>[1]Parametros!$B$6*(AJ171+MAX(BE171-BD171,0)*[1]Parametros!$B$4*MIN(U171,AB171)/1000)</f>
        <v>479.97892936697031</v>
      </c>
      <c r="AS171" s="13" t="str">
        <f t="shared" si="31"/>
        <v>CUMPLE</v>
      </c>
      <c r="AT171" s="13">
        <f>[1]Parametros!$B$6*0.083*SQRT([1]Parametros!$B$2)*(H171*I171)^2/(2*(H171+I171))/1000000</f>
        <v>10.08878303333792</v>
      </c>
      <c r="AU171" s="13" t="str">
        <f t="shared" si="32"/>
        <v>DESPRECIABLE</v>
      </c>
      <c r="AV171" s="13">
        <f>IF(Q171&lt;=AT171,0,Q171*1000000/([1]Parametros!$B$6*2*0.85*(H171-2*([1]Parametros!$B$7+[1]Parametros!$B$9/2))*(I171-2*([1]Parametros!$B$7+[1]Parametros!$B$9/2))*[1]Parametros!$B$4))</f>
        <v>0</v>
      </c>
      <c r="AW171" s="13">
        <f>AV171*2*((H171-2*([1]Parametros!$B$7+[1]Parametros!$B$9/2))+(I171-2*([1]Parametros!$B$7+[1]Parametros!$B$9/2)))*[1]Parametros!$B$4/[1]Parametros!$B$3</f>
        <v>0</v>
      </c>
      <c r="AX171" s="14">
        <v>0</v>
      </c>
      <c r="AY171" s="13" t="str">
        <f t="shared" si="33"/>
        <v>DESPRECIABLE</v>
      </c>
      <c r="AZ171" s="13" t="str">
        <f t="shared" si="34"/>
        <v>CUMPLE</v>
      </c>
      <c r="BA171" s="14">
        <v>12.7</v>
      </c>
      <c r="BB171" s="14">
        <v>129</v>
      </c>
      <c r="BC171" s="13">
        <f>MAX(IF(AK171=0,0,AK171*1000/([1]Parametros!$B$4*MIN(U171,AB171))),MAX(0.062*SQRT([1]Parametros!$B$2)*H171/[1]Parametros!$B$4,0.35*H171/[1]Parametros!$B$4))</f>
        <v>1.887261256075226</v>
      </c>
      <c r="BD171" s="13">
        <f t="shared" si="35"/>
        <v>0</v>
      </c>
      <c r="BE171" s="13">
        <f t="shared" si="36"/>
        <v>2.15</v>
      </c>
      <c r="BF171" s="13">
        <f>SQRT((AI171*1000/(H171*MIN(U171,AB171)))^2+(Q171*1000000*2*((H171-2*([1]Parametros!$B$7+[1]Parametros!$B$9/2))+(I171-2*([1]Parametros!$B$7+[1]Parametros!$B$9/2)))/(1.7*((H171-2*([1]Parametros!$B$7+[1]Parametros!$B$9/2))*(I171-2*([1]Parametros!$B$7+[1]Parametros!$B$9/2)))^2))^2)</f>
        <v>2.0080489178163496</v>
      </c>
      <c r="BG171" s="13">
        <f>[1]Parametros!$B$6*(AJ171*1000/(H171*MIN(U171,AB171))+0.66*SQRT([1]Parametros!$B$2))</f>
        <v>3.2939603822754151</v>
      </c>
      <c r="BH171" s="13" t="str">
        <f t="shared" si="37"/>
        <v>CUMPLE</v>
      </c>
      <c r="BI171" s="13">
        <f>AX171*[1]Parametros!$B$8</f>
        <v>0</v>
      </c>
      <c r="BJ171" s="15" t="str">
        <f t="shared" si="38"/>
        <v>CUMPLE</v>
      </c>
    </row>
    <row r="172" spans="1:62" x14ac:dyDescent="0.3">
      <c r="A172" s="22" t="s">
        <v>71</v>
      </c>
      <c r="B172" s="23">
        <v>267</v>
      </c>
      <c r="C172" s="13">
        <v>1</v>
      </c>
      <c r="D172" s="13">
        <v>3.25</v>
      </c>
      <c r="E172" s="13">
        <v>3.25</v>
      </c>
      <c r="F172" s="13">
        <v>450</v>
      </c>
      <c r="G172" s="13">
        <v>550</v>
      </c>
      <c r="H172" s="13">
        <v>450</v>
      </c>
      <c r="I172" s="13">
        <v>550</v>
      </c>
      <c r="J172" s="14">
        <v>164.3398</v>
      </c>
      <c r="K172" s="13">
        <v>267</v>
      </c>
      <c r="L172" s="14">
        <v>139.1396</v>
      </c>
      <c r="M172" s="13">
        <v>267</v>
      </c>
      <c r="N172" s="14">
        <v>92.296999999999997</v>
      </c>
      <c r="O172" s="14">
        <v>392.44799999999998</v>
      </c>
      <c r="P172" s="13">
        <v>267</v>
      </c>
      <c r="Q172" s="14">
        <v>5.9497</v>
      </c>
      <c r="R172" s="13">
        <f>MAX(MAX(1.4/[1]Parametros!$B$3,0.25*SQRT([1]Parametros!$B$2)/[1]Parametros!$B$3)*H172*U172,(0.85*[1]Parametros!$B$2/[1]Parametros!$B$3)*(1-SQRT(1-2*(J172*1000000/([1]Parametros!$B$5*H172*U172^2))/(0.85*[1]Parametros!$B$2)))*H172*U172)</f>
        <v>922.54942426386992</v>
      </c>
      <c r="S172" s="14">
        <v>5</v>
      </c>
      <c r="T172" s="14">
        <v>1</v>
      </c>
      <c r="U172" s="13">
        <f>IF(T172=1,I172-([1]Parametros!$B$7+[1]Parametros!$B$9+[1]Parametros!$B$12/2),I172-(ROUNDUP(S172/2,0)*([1]Parametros!$B$7+[1]Parametros!$B$9+[1]Parametros!$B$12/2)+ROUNDDOWN(S172/2,0)*([1]Parametros!$B$7+[1]Parametros!$B$9+[1]Parametros!$B$12/2+[1]Parametros!$B$12+[1]Parametros!$B$10))/S172)</f>
        <v>489.35</v>
      </c>
      <c r="V172" s="13">
        <f>S172*[1]Parametros!$B$8</f>
        <v>995</v>
      </c>
      <c r="W172" s="13">
        <f>[1]Parametros!$B$5*V172*[1]Parametros!$B$3*(U172-(V172*[1]Parametros!$B$3/(0.85*[1]Parametros!$B$2*H172))/2)/1000000</f>
        <v>176.71159614705886</v>
      </c>
      <c r="X172" s="13" t="str">
        <f t="shared" si="26"/>
        <v>CUMPLE</v>
      </c>
      <c r="Y172" s="13">
        <f>MAX(MAX(1.4/[1]Parametros!$B$3,0.25*SQRT([1]Parametros!$B$2)/[1]Parametros!$B$3)*H172*AB172,(0.85*[1]Parametros!$B$2/[1]Parametros!$B$3)*(1-SQRT(1-2*(L172*1000000/([1]Parametros!$B$5*H172*AB172^2))/(0.85*[1]Parametros!$B$2)))*H172*AB172)</f>
        <v>776.36162185929572</v>
      </c>
      <c r="Z172" s="14">
        <v>4</v>
      </c>
      <c r="AA172" s="14">
        <v>1</v>
      </c>
      <c r="AB172" s="13">
        <f>IF(AA172=1,I172-([1]Parametros!$B$7+[1]Parametros!$B$9+[1]Parametros!$B$12/2),I172-(ROUNDUP(Z172/2,0)*([1]Parametros!$B$7+[1]Parametros!$B$9+[1]Parametros!$B$12/2)+ROUNDDOWN(Z172/2,0)*([1]Parametros!$B$7+[1]Parametros!$B$9+[1]Parametros!$B$12/2+[1]Parametros!$B$12+[1]Parametros!$B$10))/Z172)</f>
        <v>489.35</v>
      </c>
      <c r="AC172" s="13">
        <f>Z172*[1]Parametros!$B$8</f>
        <v>796</v>
      </c>
      <c r="AD172" s="13">
        <f>[1]Parametros!$B$5*AC172*[1]Parametros!$B$3*(AB172-(AC172*[1]Parametros!$B$3/(0.85*[1]Parametros!$B$2*H172))/2)/1000000</f>
        <v>142.54333009411764</v>
      </c>
      <c r="AE172" s="13" t="str">
        <f t="shared" si="27"/>
        <v>CUMPLE</v>
      </c>
      <c r="AF172" s="13">
        <f>V172*1.25*[1]Parametros!$B$3*(U172-(V172*1.25*[1]Parametros!$B$3/(0.85*[1]Parametros!$B$2*H172))/2)/1000000</f>
        <v>242.88491397058826</v>
      </c>
      <c r="AG172" s="13">
        <f>AC172*1.25*[1]Parametros!$B$3*(AB172-(AC172*1.25*[1]Parametros!$B$3/(0.85*[1]Parametros!$B$2*H172))/2)/1000000</f>
        <v>196.34621794117646</v>
      </c>
      <c r="AH172" s="13">
        <f t="shared" si="28"/>
        <v>227.44504058823529</v>
      </c>
      <c r="AI172" s="13">
        <f t="shared" si="29"/>
        <v>392.44799999999998</v>
      </c>
      <c r="AJ172" s="13">
        <f>0.17*SQRT([1]Parametros!$B$2)*H172*MIN(U172,AB172)/1000</f>
        <v>198.08885582262698</v>
      </c>
      <c r="AK172" s="13">
        <f>MAX(AI172/[1]Parametros!$B$6-AJ172,0)</f>
        <v>325.175144177373</v>
      </c>
      <c r="AL172" s="13">
        <f>0.66*SQRT([1]Parametros!$B$2)*H172*MIN(U172,AB172)/1000</f>
        <v>769.05085201725785</v>
      </c>
      <c r="AM172" s="13" t="str">
        <f t="shared" si="30"/>
        <v>CUMPLE</v>
      </c>
      <c r="AN172" s="13" t="s">
        <v>64</v>
      </c>
      <c r="AO172" s="14">
        <v>2</v>
      </c>
      <c r="AP172" s="13">
        <f>ROUNDDOWN(MIN(IF(BC172+BD172=0,1000000000,AO172*BB172/(BC172+BD172)),MIN(U172,AB172)/4,8*[1]Parametros!$B$12,24*BA172,300,IF(AV172=0,1000000000,2*((H172-2*([1]Parametros!$B$7+[1]Parametros!$B$9/2))+(I172-2*([1]Parametros!$B$7+[1]Parametros!$B$9/2)))/8))/10,0)*10</f>
        <v>80</v>
      </c>
      <c r="AQ172" s="13">
        <f>ROUNDDOWN(MIN(IF(BC172+BD172=0,1000000000,AO172*BB172/(BC172+BD172)),IF(AK172&gt;0.33*SQRT([1]Parametros!$B$2)*H172*MIN(U172,AB172)/1000,MIN(U172,AB172)/4,MIN(U172,AB172)/2),600,IF(AV172=0,1000000000,2*((H172-2*([1]Parametros!$B$7+[1]Parametros!$B$9/2))+(I172-2*([1]Parametros!$B$7+[1]Parametros!$B$9/2)))/8))/10,0)*10</f>
        <v>80</v>
      </c>
      <c r="AR172" s="13">
        <f>[1]Parametros!$B$6*(AJ172+MAX(BE172-BD172,0)*[1]Parametros!$B$4*MIN(U172,AB172)/1000)</f>
        <v>422.17446061697024</v>
      </c>
      <c r="AS172" s="13" t="str">
        <f t="shared" si="31"/>
        <v>CUMPLE</v>
      </c>
      <c r="AT172" s="13">
        <f>[1]Parametros!$B$6*0.083*SQRT([1]Parametros!$B$2)*(H172*I172)^2/(2*(H172+I172))/1000000</f>
        <v>10.08878303333792</v>
      </c>
      <c r="AU172" s="13" t="str">
        <f t="shared" si="32"/>
        <v>DESPRECIABLE</v>
      </c>
      <c r="AV172" s="13">
        <f>IF(Q172&lt;=AT172,0,Q172*1000000/([1]Parametros!$B$6*2*0.85*(H172-2*([1]Parametros!$B$7+[1]Parametros!$B$9/2))*(I172-2*([1]Parametros!$B$7+[1]Parametros!$B$9/2))*[1]Parametros!$B$4))</f>
        <v>0</v>
      </c>
      <c r="AW172" s="13">
        <f>AV172*2*((H172-2*([1]Parametros!$B$7+[1]Parametros!$B$9/2))+(I172-2*([1]Parametros!$B$7+[1]Parametros!$B$9/2)))*[1]Parametros!$B$4/[1]Parametros!$B$3</f>
        <v>0</v>
      </c>
      <c r="AX172" s="14">
        <v>0</v>
      </c>
      <c r="AY172" s="13" t="str">
        <f t="shared" si="33"/>
        <v>DESPRECIABLE</v>
      </c>
      <c r="AZ172" s="13" t="str">
        <f t="shared" si="34"/>
        <v>CUMPLE</v>
      </c>
      <c r="BA172" s="14">
        <v>9.5</v>
      </c>
      <c r="BB172" s="14">
        <v>71</v>
      </c>
      <c r="BC172" s="13">
        <f>MAX(IF(AK172=0,0,AK172*1000/([1]Parametros!$B$4*MIN(U172,AB172))),MAX(0.062*SQRT([1]Parametros!$B$2)*H172/[1]Parametros!$B$4,0.35*H172/[1]Parametros!$B$4))</f>
        <v>1.5821529248097475</v>
      </c>
      <c r="BD172" s="13">
        <f t="shared" si="35"/>
        <v>0</v>
      </c>
      <c r="BE172" s="13">
        <f t="shared" si="36"/>
        <v>1.7749999999999999</v>
      </c>
      <c r="BF172" s="13">
        <f>SQRT((AI172*1000/(H172*MIN(U172,AB172)))^2+(Q172*1000000*2*((H172-2*([1]Parametros!$B$7+[1]Parametros!$B$9/2))+(I172-2*([1]Parametros!$B$7+[1]Parametros!$B$9/2)))/(1.7*((H172-2*([1]Parametros!$B$7+[1]Parametros!$B$9/2))*(I172-2*([1]Parametros!$B$7+[1]Parametros!$B$9/2)))^2))^2)</f>
        <v>1.7949254833435375</v>
      </c>
      <c r="BG172" s="13">
        <f>[1]Parametros!$B$6*(AJ172*1000/(H172*MIN(U172,AB172))+0.66*SQRT([1]Parametros!$B$2))</f>
        <v>3.2939603822754151</v>
      </c>
      <c r="BH172" s="13" t="str">
        <f t="shared" si="37"/>
        <v>CUMPLE</v>
      </c>
      <c r="BI172" s="13">
        <f>AX172*[1]Parametros!$B$8</f>
        <v>0</v>
      </c>
      <c r="BJ172" s="15" t="str">
        <f t="shared" si="38"/>
        <v>CUMPLE</v>
      </c>
    </row>
    <row r="173" spans="1:62" ht="28.8" x14ac:dyDescent="0.3">
      <c r="A173" s="22" t="s">
        <v>71</v>
      </c>
      <c r="B173" s="23">
        <v>268</v>
      </c>
      <c r="C173" s="13">
        <v>1</v>
      </c>
      <c r="D173" s="13">
        <v>3.3</v>
      </c>
      <c r="E173" s="13">
        <v>3.3</v>
      </c>
      <c r="F173" s="13">
        <v>450</v>
      </c>
      <c r="G173" s="13">
        <v>550</v>
      </c>
      <c r="H173" s="13">
        <v>450</v>
      </c>
      <c r="I173" s="13">
        <v>550</v>
      </c>
      <c r="J173" s="14">
        <v>162.012</v>
      </c>
      <c r="K173" s="13">
        <v>268</v>
      </c>
      <c r="L173" s="14">
        <v>138.8914</v>
      </c>
      <c r="M173" s="13">
        <v>268</v>
      </c>
      <c r="N173" s="14">
        <v>93.941000000000003</v>
      </c>
      <c r="O173" s="14">
        <v>400.60700000000003</v>
      </c>
      <c r="P173" s="13">
        <v>268</v>
      </c>
      <c r="Q173" s="14">
        <v>102.113</v>
      </c>
      <c r="R173" s="13">
        <f>MAX(MAX(1.4/[1]Parametros!$B$3,0.25*SQRT([1]Parametros!$B$2)/[1]Parametros!$B$3)*H173*U173,(0.85*[1]Parametros!$B$2/[1]Parametros!$B$3)*(1-SQRT(1-2*(J173*1000000/([1]Parametros!$B$5*H173*U173^2))/(0.85*[1]Parametros!$B$2)))*H173*U173)</f>
        <v>908.96828951168584</v>
      </c>
      <c r="S173" s="14">
        <v>5</v>
      </c>
      <c r="T173" s="14">
        <v>1</v>
      </c>
      <c r="U173" s="13">
        <f>IF(T173=1,I173-([1]Parametros!$B$7+[1]Parametros!$B$9+[1]Parametros!$B$12/2),I173-(ROUNDUP(S173/2,0)*([1]Parametros!$B$7+[1]Parametros!$B$9+[1]Parametros!$B$12/2)+ROUNDDOWN(S173/2,0)*([1]Parametros!$B$7+[1]Parametros!$B$9+[1]Parametros!$B$12/2+[1]Parametros!$B$12+[1]Parametros!$B$10))/S173)</f>
        <v>489.35</v>
      </c>
      <c r="V173" s="13">
        <f>S173*[1]Parametros!$B$8</f>
        <v>995</v>
      </c>
      <c r="W173" s="13">
        <f>[1]Parametros!$B$5*V173*[1]Parametros!$B$3*(U173-(V173*[1]Parametros!$B$3/(0.85*[1]Parametros!$B$2*H173))/2)/1000000</f>
        <v>176.71159614705886</v>
      </c>
      <c r="X173" s="13" t="str">
        <f t="shared" si="26"/>
        <v>CUMPLE</v>
      </c>
      <c r="Y173" s="13">
        <f>MAX(MAX(1.4/[1]Parametros!$B$3,0.25*SQRT([1]Parametros!$B$2)/[1]Parametros!$B$3)*H173*AB173,(0.85*[1]Parametros!$B$2/[1]Parametros!$B$3)*(1-SQRT(1-2*(L173*1000000/([1]Parametros!$B$5*H173*AB173^2))/(0.85*[1]Parametros!$B$2)))*H173*AB173)</f>
        <v>774.93088039584052</v>
      </c>
      <c r="Z173" s="14">
        <v>4</v>
      </c>
      <c r="AA173" s="14">
        <v>1</v>
      </c>
      <c r="AB173" s="13">
        <f>IF(AA173=1,I173-([1]Parametros!$B$7+[1]Parametros!$B$9+[1]Parametros!$B$12/2),I173-(ROUNDUP(Z173/2,0)*([1]Parametros!$B$7+[1]Parametros!$B$9+[1]Parametros!$B$12/2)+ROUNDDOWN(Z173/2,0)*([1]Parametros!$B$7+[1]Parametros!$B$9+[1]Parametros!$B$12/2+[1]Parametros!$B$12+[1]Parametros!$B$10))/Z173)</f>
        <v>489.35</v>
      </c>
      <c r="AC173" s="13">
        <f>Z173*[1]Parametros!$B$8</f>
        <v>796</v>
      </c>
      <c r="AD173" s="13">
        <f>[1]Parametros!$B$5*AC173*[1]Parametros!$B$3*(AB173-(AC173*[1]Parametros!$B$3/(0.85*[1]Parametros!$B$2*H173))/2)/1000000</f>
        <v>142.54333009411764</v>
      </c>
      <c r="AE173" s="13" t="str">
        <f t="shared" si="27"/>
        <v>CUMPLE</v>
      </c>
      <c r="AF173" s="13">
        <f>V173*1.25*[1]Parametros!$B$3*(U173-(V173*1.25*[1]Parametros!$B$3/(0.85*[1]Parametros!$B$2*H173))/2)/1000000</f>
        <v>242.88491397058826</v>
      </c>
      <c r="AG173" s="13">
        <f>AC173*1.25*[1]Parametros!$B$3*(AB173-(AC173*1.25*[1]Parametros!$B$3/(0.85*[1]Parametros!$B$2*H173))/2)/1000000</f>
        <v>196.34621794117646</v>
      </c>
      <c r="AH173" s="13">
        <f t="shared" si="28"/>
        <v>227.04134300356506</v>
      </c>
      <c r="AI173" s="13">
        <f t="shared" si="29"/>
        <v>400.60700000000003</v>
      </c>
      <c r="AJ173" s="13">
        <f>0.17*SQRT([1]Parametros!$B$2)*H173*MIN(U173,AB173)/1000</f>
        <v>198.08885582262698</v>
      </c>
      <c r="AK173" s="13">
        <f>MAX(AI173/[1]Parametros!$B$6-AJ173,0)</f>
        <v>336.05381084403973</v>
      </c>
      <c r="AL173" s="13">
        <f>0.66*SQRT([1]Parametros!$B$2)*H173*MIN(U173,AB173)/1000</f>
        <v>769.05085201725785</v>
      </c>
      <c r="AM173" s="13" t="str">
        <f t="shared" si="30"/>
        <v>CUMPLE</v>
      </c>
      <c r="AN173" s="13" t="s">
        <v>70</v>
      </c>
      <c r="AO173" s="14">
        <v>4</v>
      </c>
      <c r="AP173" s="13">
        <f>ROUNDDOWN(MIN(IF(BC173+BD173=0,1000000000,AO173*BB173/(BC173+BD173)),MIN(U173,AB173)/4,8*[1]Parametros!$B$12,24*BA173,300,IF(AV173=0,1000000000,2*((H173-2*([1]Parametros!$B$7+[1]Parametros!$B$9/2))+(I173-2*([1]Parametros!$B$7+[1]Parametros!$B$9/2)))/8))/10,0)*10</f>
        <v>120</v>
      </c>
      <c r="AQ173" s="13">
        <f>ROUNDDOWN(MIN(IF(BC173+BD173=0,1000000000,AO173*BB173/(BC173+BD173)),IF(AK173&gt;0.33*SQRT([1]Parametros!$B$2)*H173*MIN(U173,AB173)/1000,MIN(U173,AB173)/4,MIN(U173,AB173)/2),600,IF(AV173=0,1000000000,2*((H173-2*([1]Parametros!$B$7+[1]Parametros!$B$9/2))+(I173-2*([1]Parametros!$B$7+[1]Parametros!$B$9/2)))/8))/10,0)*10</f>
        <v>130</v>
      </c>
      <c r="AR173" s="13">
        <f>[1]Parametros!$B$6*(AJ173+MAX(BE173-BD173,0)*[1]Parametros!$B$4*MIN(U173,AB173)/1000)</f>
        <v>451.60254522258458</v>
      </c>
      <c r="AS173" s="13" t="str">
        <f t="shared" si="31"/>
        <v>NO CUMPLE</v>
      </c>
      <c r="AT173" s="13">
        <f>[1]Parametros!$B$6*0.083*SQRT([1]Parametros!$B$2)*(H173*I173)^2/(2*(H173+I173))/1000000</f>
        <v>10.08878303333792</v>
      </c>
      <c r="AU173" s="13" t="str">
        <f t="shared" si="32"/>
        <v>DISEÑAR</v>
      </c>
      <c r="AV173" s="13">
        <f>IF(Q173&lt;=AT173,0,Q173*1000000/([1]Parametros!$B$6*2*0.85*(H173-2*([1]Parametros!$B$7+[1]Parametros!$B$9/2))*(I173-2*([1]Parametros!$B$7+[1]Parametros!$B$9/2))*[1]Parametros!$B$4))</f>
        <v>1.1670443028389965</v>
      </c>
      <c r="AW173" s="13">
        <f>AV173*2*((H173-2*([1]Parametros!$B$7+[1]Parametros!$B$9/2))+(I173-2*([1]Parametros!$B$7+[1]Parametros!$B$9/2)))*[1]Parametros!$B$4/[1]Parametros!$B$3</f>
        <v>1901.3485781852933</v>
      </c>
      <c r="AX173" s="14">
        <v>12</v>
      </c>
      <c r="AY173" s="13" t="str">
        <f t="shared" si="33"/>
        <v>NO CUMPLE</v>
      </c>
      <c r="AZ173" s="13" t="str">
        <f t="shared" si="34"/>
        <v>NO CUMPLE</v>
      </c>
      <c r="BA173" s="14">
        <v>12.7</v>
      </c>
      <c r="BB173" s="14">
        <v>129</v>
      </c>
      <c r="BC173" s="13">
        <f>MAX(IF(AK173=0,0,AK173*1000/([1]Parametros!$B$4*MIN(U173,AB173))),MAX(0.062*SQRT([1]Parametros!$B$2)*H173/[1]Parametros!$B$4,0.35*H173/[1]Parametros!$B$4))</f>
        <v>1.6350835211142074</v>
      </c>
      <c r="BD173" s="13">
        <f t="shared" si="35"/>
        <v>2.334088605677993</v>
      </c>
      <c r="BE173" s="13">
        <f t="shared" si="36"/>
        <v>4.3</v>
      </c>
      <c r="BF173" s="13">
        <f>SQRT((AI173*1000/(H173*MIN(U173,AB173)))^2+(Q173*1000000*2*((H173-2*([1]Parametros!$B$7+[1]Parametros!$B$9/2))+(I173-2*([1]Parametros!$B$7+[1]Parametros!$B$9/2)))/(1.7*((H173-2*([1]Parametros!$B$7+[1]Parametros!$B$9/2))*(I173-2*([1]Parametros!$B$7+[1]Parametros!$B$9/2)))^2))^2)</f>
        <v>4.0921596419296558</v>
      </c>
      <c r="BG173" s="13">
        <f>[1]Parametros!$B$6*(AJ173*1000/(H173*MIN(U173,AB173))+0.66*SQRT([1]Parametros!$B$2))</f>
        <v>3.2939603822754151</v>
      </c>
      <c r="BH173" s="13" t="str">
        <f t="shared" si="37"/>
        <v>NO CUMPLE</v>
      </c>
      <c r="BI173" s="13">
        <f>AX173*[1]Parametros!$B$8</f>
        <v>2388</v>
      </c>
      <c r="BJ173" s="15" t="str">
        <f t="shared" si="38"/>
        <v>CUMPLE</v>
      </c>
    </row>
    <row r="174" spans="1:62" ht="28.8" x14ac:dyDescent="0.3">
      <c r="A174" s="22" t="s">
        <v>71</v>
      </c>
      <c r="B174" s="23">
        <v>269</v>
      </c>
      <c r="C174" s="13">
        <v>1</v>
      </c>
      <c r="D174" s="13">
        <v>3.3</v>
      </c>
      <c r="E174" s="13">
        <v>3.3</v>
      </c>
      <c r="F174" s="13">
        <v>450</v>
      </c>
      <c r="G174" s="13">
        <v>550</v>
      </c>
      <c r="H174" s="13">
        <v>450</v>
      </c>
      <c r="I174" s="13">
        <v>550</v>
      </c>
      <c r="J174" s="14">
        <v>162.0085</v>
      </c>
      <c r="K174" s="13">
        <v>269</v>
      </c>
      <c r="L174" s="14">
        <v>138.8937</v>
      </c>
      <c r="M174" s="13">
        <v>269</v>
      </c>
      <c r="N174" s="14">
        <v>93.938999999999993</v>
      </c>
      <c r="O174" s="14">
        <v>400.60399999999998</v>
      </c>
      <c r="P174" s="13">
        <v>269</v>
      </c>
      <c r="Q174" s="14">
        <v>102.1133</v>
      </c>
      <c r="R174" s="13">
        <f>MAX(MAX(1.4/[1]Parametros!$B$3,0.25*SQRT([1]Parametros!$B$2)/[1]Parametros!$B$3)*H174*U174,(0.85*[1]Parametros!$B$2/[1]Parametros!$B$3)*(1-SQRT(1-2*(J174*1000000/([1]Parametros!$B$5*H174*U174^2))/(0.85*[1]Parametros!$B$2)))*H174*U174)</f>
        <v>908.94788138805643</v>
      </c>
      <c r="S174" s="14">
        <v>5</v>
      </c>
      <c r="T174" s="14">
        <v>1</v>
      </c>
      <c r="U174" s="13">
        <f>IF(T174=1,I174-([1]Parametros!$B$7+[1]Parametros!$B$9+[1]Parametros!$B$12/2),I174-(ROUNDUP(S174/2,0)*([1]Parametros!$B$7+[1]Parametros!$B$9+[1]Parametros!$B$12/2)+ROUNDDOWN(S174/2,0)*([1]Parametros!$B$7+[1]Parametros!$B$9+[1]Parametros!$B$12/2+[1]Parametros!$B$12+[1]Parametros!$B$10))/S174)</f>
        <v>489.35</v>
      </c>
      <c r="V174" s="13">
        <f>S174*[1]Parametros!$B$8</f>
        <v>995</v>
      </c>
      <c r="W174" s="13">
        <f>[1]Parametros!$B$5*V174*[1]Parametros!$B$3*(U174-(V174*[1]Parametros!$B$3/(0.85*[1]Parametros!$B$2*H174))/2)/1000000</f>
        <v>176.71159614705886</v>
      </c>
      <c r="X174" s="13" t="str">
        <f t="shared" si="26"/>
        <v>CUMPLE</v>
      </c>
      <c r="Y174" s="13">
        <f>MAX(MAX(1.4/[1]Parametros!$B$3,0.25*SQRT([1]Parametros!$B$2)/[1]Parametros!$B$3)*H174*AB174,(0.85*[1]Parametros!$B$2/[1]Parametros!$B$3)*(1-SQRT(1-2*(L174*1000000/([1]Parametros!$B$5*H174*AB174^2))/(0.85*[1]Parametros!$B$2)))*H174*AB174)</f>
        <v>774.94413787403153</v>
      </c>
      <c r="Z174" s="14">
        <v>4</v>
      </c>
      <c r="AA174" s="14">
        <v>1</v>
      </c>
      <c r="AB174" s="13">
        <f>IF(AA174=1,I174-([1]Parametros!$B$7+[1]Parametros!$B$9+[1]Parametros!$B$12/2),I174-(ROUNDUP(Z174/2,0)*([1]Parametros!$B$7+[1]Parametros!$B$9+[1]Parametros!$B$12/2)+ROUNDDOWN(Z174/2,0)*([1]Parametros!$B$7+[1]Parametros!$B$9+[1]Parametros!$B$12/2+[1]Parametros!$B$12+[1]Parametros!$B$10))/Z174)</f>
        <v>489.35</v>
      </c>
      <c r="AC174" s="13">
        <f>Z174*[1]Parametros!$B$8</f>
        <v>796</v>
      </c>
      <c r="AD174" s="13">
        <f>[1]Parametros!$B$5*AC174*[1]Parametros!$B$3*(AB174-(AC174*[1]Parametros!$B$3/(0.85*[1]Parametros!$B$2*H174))/2)/1000000</f>
        <v>142.54333009411764</v>
      </c>
      <c r="AE174" s="13" t="str">
        <f t="shared" si="27"/>
        <v>CUMPLE</v>
      </c>
      <c r="AF174" s="13">
        <f>V174*1.25*[1]Parametros!$B$3*(U174-(V174*1.25*[1]Parametros!$B$3/(0.85*[1]Parametros!$B$2*H174))/2)/1000000</f>
        <v>242.88491397058826</v>
      </c>
      <c r="AG174" s="13">
        <f>AC174*1.25*[1]Parametros!$B$3*(AB174-(AC174*1.25*[1]Parametros!$B$3/(0.85*[1]Parametros!$B$2*H174))/2)/1000000</f>
        <v>196.34621794117646</v>
      </c>
      <c r="AH174" s="13">
        <f t="shared" si="28"/>
        <v>227.03934300356505</v>
      </c>
      <c r="AI174" s="13">
        <f t="shared" si="29"/>
        <v>400.60399999999998</v>
      </c>
      <c r="AJ174" s="13">
        <f>0.17*SQRT([1]Parametros!$B$2)*H174*MIN(U174,AB174)/1000</f>
        <v>198.08885582262698</v>
      </c>
      <c r="AK174" s="13">
        <f>MAX(AI174/[1]Parametros!$B$6-AJ174,0)</f>
        <v>336.0498108440396</v>
      </c>
      <c r="AL174" s="13">
        <f>0.66*SQRT([1]Parametros!$B$2)*H174*MIN(U174,AB174)/1000</f>
        <v>769.05085201725785</v>
      </c>
      <c r="AM174" s="13" t="str">
        <f t="shared" si="30"/>
        <v>CUMPLE</v>
      </c>
      <c r="AN174" s="13" t="s">
        <v>70</v>
      </c>
      <c r="AO174" s="14">
        <v>4</v>
      </c>
      <c r="AP174" s="13">
        <f>ROUNDDOWN(MIN(IF(BC174+BD174=0,1000000000,AO174*BB174/(BC174+BD174)),MIN(U174,AB174)/4,8*[1]Parametros!$B$12,24*BA174,300,IF(AV174=0,1000000000,2*((H174-2*([1]Parametros!$B$7+[1]Parametros!$B$9/2))+(I174-2*([1]Parametros!$B$7+[1]Parametros!$B$9/2)))/8))/10,0)*10</f>
        <v>120</v>
      </c>
      <c r="AQ174" s="13">
        <f>ROUNDDOWN(MIN(IF(BC174+BD174=0,1000000000,AO174*BB174/(BC174+BD174)),IF(AK174&gt;0.33*SQRT([1]Parametros!$B$2)*H174*MIN(U174,AB174)/1000,MIN(U174,AB174)/4,MIN(U174,AB174)/2),600,IF(AV174=0,1000000000,2*((H174-2*([1]Parametros!$B$7+[1]Parametros!$B$9/2))+(I174-2*([1]Parametros!$B$7+[1]Parametros!$B$9/2)))/8))/10,0)*10</f>
        <v>130</v>
      </c>
      <c r="AR174" s="13">
        <f>[1]Parametros!$B$6*(AJ174+MAX(BE174-BD174,0)*[1]Parametros!$B$4*MIN(U174,AB174)/1000)</f>
        <v>451.60148819163362</v>
      </c>
      <c r="AS174" s="13" t="str">
        <f t="shared" si="31"/>
        <v>NO CUMPLE</v>
      </c>
      <c r="AT174" s="13">
        <f>[1]Parametros!$B$6*0.083*SQRT([1]Parametros!$B$2)*(H174*I174)^2/(2*(H174+I174))/1000000</f>
        <v>10.08878303333792</v>
      </c>
      <c r="AU174" s="13" t="str">
        <f t="shared" si="32"/>
        <v>DISEÑAR</v>
      </c>
      <c r="AV174" s="13">
        <f>IF(Q174&lt;=AT174,0,Q174*1000000/([1]Parametros!$B$6*2*0.85*(H174-2*([1]Parametros!$B$7+[1]Parametros!$B$9/2))*(I174-2*([1]Parametros!$B$7+[1]Parametros!$B$9/2))*[1]Parametros!$B$4))</f>
        <v>1.1670477315237953</v>
      </c>
      <c r="AW174" s="13">
        <f>AV174*2*((H174-2*([1]Parametros!$B$7+[1]Parametros!$B$9/2))+(I174-2*([1]Parametros!$B$7+[1]Parametros!$B$9/2)))*[1]Parametros!$B$4/[1]Parametros!$B$3</f>
        <v>1901.3541641985673</v>
      </c>
      <c r="AX174" s="14">
        <v>12</v>
      </c>
      <c r="AY174" s="13" t="str">
        <f t="shared" si="33"/>
        <v>NO CUMPLE</v>
      </c>
      <c r="AZ174" s="13" t="str">
        <f t="shared" si="34"/>
        <v>NO CUMPLE</v>
      </c>
      <c r="BA174" s="14">
        <v>12.7</v>
      </c>
      <c r="BB174" s="14">
        <v>129</v>
      </c>
      <c r="BC174" s="13">
        <f>MAX(IF(AK174=0,0,AK174*1000/([1]Parametros!$B$4*MIN(U174,AB174))),MAX(0.062*SQRT([1]Parametros!$B$2)*H174/[1]Parametros!$B$4,0.35*H174/[1]Parametros!$B$4))</f>
        <v>1.6350640589510848</v>
      </c>
      <c r="BD174" s="13">
        <f t="shared" si="35"/>
        <v>2.3340954630475905</v>
      </c>
      <c r="BE174" s="13">
        <f t="shared" si="36"/>
        <v>4.3</v>
      </c>
      <c r="BF174" s="13">
        <f>SQRT((AI174*1000/(H174*MIN(U174,AB174)))^2+(Q174*1000000*2*((H174-2*([1]Parametros!$B$7+[1]Parametros!$B$9/2))+(I174-2*([1]Parametros!$B$7+[1]Parametros!$B$9/2)))/(1.7*((H174-2*([1]Parametros!$B$7+[1]Parametros!$B$9/2))*(I174-2*([1]Parametros!$B$7+[1]Parametros!$B$9/2)))^2))^2)</f>
        <v>4.0921632318146903</v>
      </c>
      <c r="BG174" s="13">
        <f>[1]Parametros!$B$6*(AJ174*1000/(H174*MIN(U174,AB174))+0.66*SQRT([1]Parametros!$B$2))</f>
        <v>3.2939603822754151</v>
      </c>
      <c r="BH174" s="13" t="str">
        <f t="shared" si="37"/>
        <v>NO CUMPLE</v>
      </c>
      <c r="BI174" s="13">
        <f>AX174*[1]Parametros!$B$8</f>
        <v>2388</v>
      </c>
      <c r="BJ174" s="15" t="str">
        <f t="shared" si="38"/>
        <v>CUMPLE</v>
      </c>
    </row>
    <row r="175" spans="1:62" x14ac:dyDescent="0.3">
      <c r="A175" s="22" t="s">
        <v>71</v>
      </c>
      <c r="B175" s="23">
        <v>270</v>
      </c>
      <c r="C175" s="13">
        <v>1</v>
      </c>
      <c r="D175" s="13">
        <v>3.25</v>
      </c>
      <c r="E175" s="13">
        <v>3.25</v>
      </c>
      <c r="F175" s="13">
        <v>450</v>
      </c>
      <c r="G175" s="13">
        <v>550</v>
      </c>
      <c r="H175" s="13">
        <v>450</v>
      </c>
      <c r="I175" s="13">
        <v>550</v>
      </c>
      <c r="J175" s="14">
        <v>164.34729999999999</v>
      </c>
      <c r="K175" s="13">
        <v>270</v>
      </c>
      <c r="L175" s="14">
        <v>139.1465</v>
      </c>
      <c r="M175" s="13">
        <v>270</v>
      </c>
      <c r="N175" s="14">
        <v>92.301000000000002</v>
      </c>
      <c r="O175" s="14">
        <v>392.452</v>
      </c>
      <c r="P175" s="13">
        <v>270</v>
      </c>
      <c r="Q175" s="14">
        <v>5.9493</v>
      </c>
      <c r="R175" s="13">
        <f>MAX(MAX(1.4/[1]Parametros!$B$3,0.25*SQRT([1]Parametros!$B$2)/[1]Parametros!$B$3)*H175*U175,(0.85*[1]Parametros!$B$2/[1]Parametros!$B$3)*(1-SQRT(1-2*(J175*1000000/([1]Parametros!$B$5*H175*U175^2))/(0.85*[1]Parametros!$B$2)))*H175*U175)</f>
        <v>922.59320747493973</v>
      </c>
      <c r="S175" s="14">
        <v>5</v>
      </c>
      <c r="T175" s="14">
        <v>1</v>
      </c>
      <c r="U175" s="13">
        <f>IF(T175=1,I175-([1]Parametros!$B$7+[1]Parametros!$B$9+[1]Parametros!$B$12/2),I175-(ROUNDUP(S175/2,0)*([1]Parametros!$B$7+[1]Parametros!$B$9+[1]Parametros!$B$12/2)+ROUNDDOWN(S175/2,0)*([1]Parametros!$B$7+[1]Parametros!$B$9+[1]Parametros!$B$12/2+[1]Parametros!$B$12+[1]Parametros!$B$10))/S175)</f>
        <v>489.35</v>
      </c>
      <c r="V175" s="13">
        <f>S175*[1]Parametros!$B$8</f>
        <v>995</v>
      </c>
      <c r="W175" s="13">
        <f>[1]Parametros!$B$5*V175*[1]Parametros!$B$3*(U175-(V175*[1]Parametros!$B$3/(0.85*[1]Parametros!$B$2*H175))/2)/1000000</f>
        <v>176.71159614705886</v>
      </c>
      <c r="X175" s="13" t="str">
        <f t="shared" si="26"/>
        <v>CUMPLE</v>
      </c>
      <c r="Y175" s="13">
        <f>MAX(MAX(1.4/[1]Parametros!$B$3,0.25*SQRT([1]Parametros!$B$2)/[1]Parametros!$B$3)*H175*AB175,(0.85*[1]Parametros!$B$2/[1]Parametros!$B$3)*(1-SQRT(1-2*(L175*1000000/([1]Parametros!$B$5*H175*AB175^2))/(0.85*[1]Parametros!$B$2)))*H175*AB175)</f>
        <v>776.40139920168065</v>
      </c>
      <c r="Z175" s="14">
        <v>4</v>
      </c>
      <c r="AA175" s="14">
        <v>1</v>
      </c>
      <c r="AB175" s="13">
        <f>IF(AA175=1,I175-([1]Parametros!$B$7+[1]Parametros!$B$9+[1]Parametros!$B$12/2),I175-(ROUNDUP(Z175/2,0)*([1]Parametros!$B$7+[1]Parametros!$B$9+[1]Parametros!$B$12/2)+ROUNDDOWN(Z175/2,0)*([1]Parametros!$B$7+[1]Parametros!$B$9+[1]Parametros!$B$12/2+[1]Parametros!$B$12+[1]Parametros!$B$10))/Z175)</f>
        <v>489.35</v>
      </c>
      <c r="AC175" s="13">
        <f>Z175*[1]Parametros!$B$8</f>
        <v>796</v>
      </c>
      <c r="AD175" s="13">
        <f>[1]Parametros!$B$5*AC175*[1]Parametros!$B$3*(AB175-(AC175*[1]Parametros!$B$3/(0.85*[1]Parametros!$B$2*H175))/2)/1000000</f>
        <v>142.54333009411764</v>
      </c>
      <c r="AE175" s="13" t="str">
        <f t="shared" si="27"/>
        <v>CUMPLE</v>
      </c>
      <c r="AF175" s="13">
        <f>V175*1.25*[1]Parametros!$B$3*(U175-(V175*1.25*[1]Parametros!$B$3/(0.85*[1]Parametros!$B$2*H175))/2)/1000000</f>
        <v>242.88491397058826</v>
      </c>
      <c r="AG175" s="13">
        <f>AC175*1.25*[1]Parametros!$B$3*(AB175-(AC175*1.25*[1]Parametros!$B$3/(0.85*[1]Parametros!$B$2*H175))/2)/1000000</f>
        <v>196.34621794117646</v>
      </c>
      <c r="AH175" s="13">
        <f t="shared" si="28"/>
        <v>227.44904058823528</v>
      </c>
      <c r="AI175" s="13">
        <f t="shared" si="29"/>
        <v>392.452</v>
      </c>
      <c r="AJ175" s="13">
        <f>0.17*SQRT([1]Parametros!$B$2)*H175*MIN(U175,AB175)/1000</f>
        <v>198.08885582262698</v>
      </c>
      <c r="AK175" s="13">
        <f>MAX(AI175/[1]Parametros!$B$6-AJ175,0)</f>
        <v>325.18047751070628</v>
      </c>
      <c r="AL175" s="13">
        <f>0.66*SQRT([1]Parametros!$B$2)*H175*MIN(U175,AB175)/1000</f>
        <v>769.05085201725785</v>
      </c>
      <c r="AM175" s="13" t="str">
        <f t="shared" si="30"/>
        <v>CUMPLE</v>
      </c>
      <c r="AN175" s="13" t="s">
        <v>64</v>
      </c>
      <c r="AO175" s="14">
        <v>2</v>
      </c>
      <c r="AP175" s="13">
        <f>ROUNDDOWN(MIN(IF(BC175+BD175=0,1000000000,AO175*BB175/(BC175+BD175)),MIN(U175,AB175)/4,8*[1]Parametros!$B$12,24*BA175,300,IF(AV175=0,1000000000,2*((H175-2*([1]Parametros!$B$7+[1]Parametros!$B$9/2))+(I175-2*([1]Parametros!$B$7+[1]Parametros!$B$9/2)))/8))/10,0)*10</f>
        <v>80</v>
      </c>
      <c r="AQ175" s="13">
        <f>ROUNDDOWN(MIN(IF(BC175+BD175=0,1000000000,AO175*BB175/(BC175+BD175)),IF(AK175&gt;0.33*SQRT([1]Parametros!$B$2)*H175*MIN(U175,AB175)/1000,MIN(U175,AB175)/4,MIN(U175,AB175)/2),600,IF(AV175=0,1000000000,2*((H175-2*([1]Parametros!$B$7+[1]Parametros!$B$9/2))+(I175-2*([1]Parametros!$B$7+[1]Parametros!$B$9/2)))/8))/10,0)*10</f>
        <v>80</v>
      </c>
      <c r="AR175" s="13">
        <f>[1]Parametros!$B$6*(AJ175+MAX(BE175-BD175,0)*[1]Parametros!$B$4*MIN(U175,AB175)/1000)</f>
        <v>422.17446061697024</v>
      </c>
      <c r="AS175" s="13" t="str">
        <f t="shared" si="31"/>
        <v>CUMPLE</v>
      </c>
      <c r="AT175" s="13">
        <f>[1]Parametros!$B$6*0.083*SQRT([1]Parametros!$B$2)*(H175*I175)^2/(2*(H175+I175))/1000000</f>
        <v>10.08878303333792</v>
      </c>
      <c r="AU175" s="13" t="str">
        <f t="shared" si="32"/>
        <v>DESPRECIABLE</v>
      </c>
      <c r="AV175" s="13">
        <f>IF(Q175&lt;=AT175,0,Q175*1000000/([1]Parametros!$B$6*2*0.85*(H175-2*([1]Parametros!$B$7+[1]Parametros!$B$9/2))*(I175-2*([1]Parametros!$B$7+[1]Parametros!$B$9/2))*[1]Parametros!$B$4))</f>
        <v>0</v>
      </c>
      <c r="AW175" s="13">
        <f>AV175*2*((H175-2*([1]Parametros!$B$7+[1]Parametros!$B$9/2))+(I175-2*([1]Parametros!$B$7+[1]Parametros!$B$9/2)))*[1]Parametros!$B$4/[1]Parametros!$B$3</f>
        <v>0</v>
      </c>
      <c r="AX175" s="14">
        <v>0</v>
      </c>
      <c r="AY175" s="13" t="str">
        <f t="shared" si="33"/>
        <v>DESPRECIABLE</v>
      </c>
      <c r="AZ175" s="13" t="str">
        <f t="shared" si="34"/>
        <v>CUMPLE</v>
      </c>
      <c r="BA175" s="14">
        <v>9.5</v>
      </c>
      <c r="BB175" s="14">
        <v>71</v>
      </c>
      <c r="BC175" s="13">
        <f>MAX(IF(AK175=0,0,AK175*1000/([1]Parametros!$B$4*MIN(U175,AB175))),MAX(0.062*SQRT([1]Parametros!$B$2)*H175/[1]Parametros!$B$4,0.35*H175/[1]Parametros!$B$4))</f>
        <v>1.5821788743605769</v>
      </c>
      <c r="BD175" s="13">
        <f t="shared" si="35"/>
        <v>0</v>
      </c>
      <c r="BE175" s="13">
        <f t="shared" si="36"/>
        <v>1.7749999999999999</v>
      </c>
      <c r="BF175" s="13">
        <f>SQRT((AI175*1000/(H175*MIN(U175,AB175)))^2+(Q175*1000000*2*((H175-2*([1]Parametros!$B$7+[1]Parametros!$B$9/2))+(I175-2*([1]Parametros!$B$7+[1]Parametros!$B$9/2)))/(1.7*((H175-2*([1]Parametros!$B$7+[1]Parametros!$B$9/2))*(I175-2*([1]Parametros!$B$7+[1]Parametros!$B$9/2)))^2))^2)</f>
        <v>1.7949418105247263</v>
      </c>
      <c r="BG175" s="13">
        <f>[1]Parametros!$B$6*(AJ175*1000/(H175*MIN(U175,AB175))+0.66*SQRT([1]Parametros!$B$2))</f>
        <v>3.2939603822754151</v>
      </c>
      <c r="BH175" s="13" t="str">
        <f t="shared" si="37"/>
        <v>CUMPLE</v>
      </c>
      <c r="BI175" s="13">
        <f>AX175*[1]Parametros!$B$8</f>
        <v>0</v>
      </c>
      <c r="BJ175" s="15" t="str">
        <f t="shared" si="38"/>
        <v>CUMPLE</v>
      </c>
    </row>
    <row r="176" spans="1:62" x14ac:dyDescent="0.3">
      <c r="A176" s="22" t="s">
        <v>71</v>
      </c>
      <c r="B176" s="23">
        <v>279</v>
      </c>
      <c r="C176" s="13">
        <v>1</v>
      </c>
      <c r="D176" s="13">
        <v>3.25</v>
      </c>
      <c r="E176" s="13">
        <v>3.25</v>
      </c>
      <c r="F176" s="13">
        <v>450</v>
      </c>
      <c r="G176" s="13">
        <v>550</v>
      </c>
      <c r="H176" s="13">
        <v>450</v>
      </c>
      <c r="I176" s="13">
        <v>550</v>
      </c>
      <c r="J176" s="14">
        <v>164.352</v>
      </c>
      <c r="K176" s="13">
        <v>279</v>
      </c>
      <c r="L176" s="14">
        <v>139.14859999999999</v>
      </c>
      <c r="M176" s="13">
        <v>279</v>
      </c>
      <c r="N176" s="14">
        <v>92.302999999999997</v>
      </c>
      <c r="O176" s="14">
        <v>392.47699999999998</v>
      </c>
      <c r="P176" s="13">
        <v>279</v>
      </c>
      <c r="Q176" s="14">
        <v>5.9390999999999998</v>
      </c>
      <c r="R176" s="13">
        <f>MAX(MAX(1.4/[1]Parametros!$B$3,0.25*SQRT([1]Parametros!$B$2)/[1]Parametros!$B$3)*H176*U176,(0.85*[1]Parametros!$B$2/[1]Parametros!$B$3)*(1-SQRT(1-2*(J176*1000000/([1]Parametros!$B$5*H176*U176^2))/(0.85*[1]Parametros!$B$2)))*H176*U176)</f>
        <v>922.62064503842817</v>
      </c>
      <c r="S176" s="14">
        <v>5</v>
      </c>
      <c r="T176" s="14">
        <v>1</v>
      </c>
      <c r="U176" s="13">
        <f>IF(T176=1,I176-([1]Parametros!$B$7+[1]Parametros!$B$9+[1]Parametros!$B$12/2),I176-(ROUNDUP(S176/2,0)*([1]Parametros!$B$7+[1]Parametros!$B$9+[1]Parametros!$B$12/2)+ROUNDDOWN(S176/2,0)*([1]Parametros!$B$7+[1]Parametros!$B$9+[1]Parametros!$B$12/2+[1]Parametros!$B$12+[1]Parametros!$B$10))/S176)</f>
        <v>489.35</v>
      </c>
      <c r="V176" s="13">
        <f>S176*[1]Parametros!$B$8</f>
        <v>995</v>
      </c>
      <c r="W176" s="13">
        <f>[1]Parametros!$B$5*V176*[1]Parametros!$B$3*(U176-(V176*[1]Parametros!$B$3/(0.85*[1]Parametros!$B$2*H176))/2)/1000000</f>
        <v>176.71159614705886</v>
      </c>
      <c r="X176" s="13" t="str">
        <f t="shared" si="26"/>
        <v>CUMPLE</v>
      </c>
      <c r="Y176" s="13">
        <f>MAX(MAX(1.4/[1]Parametros!$B$3,0.25*SQRT([1]Parametros!$B$2)/[1]Parametros!$B$3)*H176*AB176,(0.85*[1]Parametros!$B$2/[1]Parametros!$B$3)*(1-SQRT(1-2*(L176*1000000/([1]Parametros!$B$5*H176*AB176^2))/(0.85*[1]Parametros!$B$2)))*H176*AB176)</f>
        <v>776.41350537620008</v>
      </c>
      <c r="Z176" s="14">
        <v>4</v>
      </c>
      <c r="AA176" s="14">
        <v>1</v>
      </c>
      <c r="AB176" s="13">
        <f>IF(AA176=1,I176-([1]Parametros!$B$7+[1]Parametros!$B$9+[1]Parametros!$B$12/2),I176-(ROUNDUP(Z176/2,0)*([1]Parametros!$B$7+[1]Parametros!$B$9+[1]Parametros!$B$12/2)+ROUNDDOWN(Z176/2,0)*([1]Parametros!$B$7+[1]Parametros!$B$9+[1]Parametros!$B$12/2+[1]Parametros!$B$12+[1]Parametros!$B$10))/Z176)</f>
        <v>489.35</v>
      </c>
      <c r="AC176" s="13">
        <f>Z176*[1]Parametros!$B$8</f>
        <v>796</v>
      </c>
      <c r="AD176" s="13">
        <f>[1]Parametros!$B$5*AC176*[1]Parametros!$B$3*(AB176-(AC176*[1]Parametros!$B$3/(0.85*[1]Parametros!$B$2*H176))/2)/1000000</f>
        <v>142.54333009411764</v>
      </c>
      <c r="AE176" s="13" t="str">
        <f t="shared" si="27"/>
        <v>CUMPLE</v>
      </c>
      <c r="AF176" s="13">
        <f>V176*1.25*[1]Parametros!$B$3*(U176-(V176*1.25*[1]Parametros!$B$3/(0.85*[1]Parametros!$B$2*H176))/2)/1000000</f>
        <v>242.88491397058826</v>
      </c>
      <c r="AG176" s="13">
        <f>AC176*1.25*[1]Parametros!$B$3*(AB176-(AC176*1.25*[1]Parametros!$B$3/(0.85*[1]Parametros!$B$2*H176))/2)/1000000</f>
        <v>196.34621794117646</v>
      </c>
      <c r="AH176" s="13">
        <f t="shared" si="28"/>
        <v>227.45104058823529</v>
      </c>
      <c r="AI176" s="13">
        <f t="shared" si="29"/>
        <v>392.47699999999998</v>
      </c>
      <c r="AJ176" s="13">
        <f>0.17*SQRT([1]Parametros!$B$2)*H176*MIN(U176,AB176)/1000</f>
        <v>198.08885582262698</v>
      </c>
      <c r="AK176" s="13">
        <f>MAX(AI176/[1]Parametros!$B$6-AJ176,0)</f>
        <v>325.21381084403959</v>
      </c>
      <c r="AL176" s="13">
        <f>0.66*SQRT([1]Parametros!$B$2)*H176*MIN(U176,AB176)/1000</f>
        <v>769.05085201725785</v>
      </c>
      <c r="AM176" s="13" t="str">
        <f t="shared" si="30"/>
        <v>CUMPLE</v>
      </c>
      <c r="AN176" s="13" t="s">
        <v>64</v>
      </c>
      <c r="AO176" s="14">
        <v>2</v>
      </c>
      <c r="AP176" s="13">
        <f>ROUNDDOWN(MIN(IF(BC176+BD176=0,1000000000,AO176*BB176/(BC176+BD176)),MIN(U176,AB176)/4,8*[1]Parametros!$B$12,24*BA176,300,IF(AV176=0,1000000000,2*((H176-2*([1]Parametros!$B$7+[1]Parametros!$B$9/2))+(I176-2*([1]Parametros!$B$7+[1]Parametros!$B$9/2)))/8))/10,0)*10</f>
        <v>80</v>
      </c>
      <c r="AQ176" s="13">
        <f>ROUNDDOWN(MIN(IF(BC176+BD176=0,1000000000,AO176*BB176/(BC176+BD176)),IF(AK176&gt;0.33*SQRT([1]Parametros!$B$2)*H176*MIN(U176,AB176)/1000,MIN(U176,AB176)/4,MIN(U176,AB176)/2),600,IF(AV176=0,1000000000,2*((H176-2*([1]Parametros!$B$7+[1]Parametros!$B$9/2))+(I176-2*([1]Parametros!$B$7+[1]Parametros!$B$9/2)))/8))/10,0)*10</f>
        <v>80</v>
      </c>
      <c r="AR176" s="13">
        <f>[1]Parametros!$B$6*(AJ176+MAX(BE176-BD176,0)*[1]Parametros!$B$4*MIN(U176,AB176)/1000)</f>
        <v>422.17446061697024</v>
      </c>
      <c r="AS176" s="13" t="str">
        <f t="shared" si="31"/>
        <v>CUMPLE</v>
      </c>
      <c r="AT176" s="13">
        <f>[1]Parametros!$B$6*0.083*SQRT([1]Parametros!$B$2)*(H176*I176)^2/(2*(H176+I176))/1000000</f>
        <v>10.08878303333792</v>
      </c>
      <c r="AU176" s="13" t="str">
        <f t="shared" si="32"/>
        <v>DESPRECIABLE</v>
      </c>
      <c r="AV176" s="13">
        <f>IF(Q176&lt;=AT176,0,Q176*1000000/([1]Parametros!$B$6*2*0.85*(H176-2*([1]Parametros!$B$7+[1]Parametros!$B$9/2))*(I176-2*([1]Parametros!$B$7+[1]Parametros!$B$9/2))*[1]Parametros!$B$4))</f>
        <v>0</v>
      </c>
      <c r="AW176" s="13">
        <f>AV176*2*((H176-2*([1]Parametros!$B$7+[1]Parametros!$B$9/2))+(I176-2*([1]Parametros!$B$7+[1]Parametros!$B$9/2)))*[1]Parametros!$B$4/[1]Parametros!$B$3</f>
        <v>0</v>
      </c>
      <c r="AX176" s="14">
        <v>0</v>
      </c>
      <c r="AY176" s="13" t="str">
        <f t="shared" si="33"/>
        <v>DESPRECIABLE</v>
      </c>
      <c r="AZ176" s="13" t="str">
        <f t="shared" si="34"/>
        <v>CUMPLE</v>
      </c>
      <c r="BA176" s="14">
        <v>9.5</v>
      </c>
      <c r="BB176" s="14">
        <v>71</v>
      </c>
      <c r="BC176" s="13">
        <f>MAX(IF(AK176=0,0,AK176*1000/([1]Parametros!$B$4*MIN(U176,AB176))),MAX(0.062*SQRT([1]Parametros!$B$2)*H176/[1]Parametros!$B$4,0.35*H176/[1]Parametros!$B$4))</f>
        <v>1.5823410590532612</v>
      </c>
      <c r="BD176" s="13">
        <f t="shared" si="35"/>
        <v>0</v>
      </c>
      <c r="BE176" s="13">
        <f t="shared" si="36"/>
        <v>1.7749999999999999</v>
      </c>
      <c r="BF176" s="13">
        <f>SQRT((AI176*1000/(H176*MIN(U176,AB176)))^2+(Q176*1000000*2*((H176-2*([1]Parametros!$B$7+[1]Parametros!$B$9/2))+(I176-2*([1]Parametros!$B$7+[1]Parametros!$B$9/2)))/(1.7*((H176-2*([1]Parametros!$B$7+[1]Parametros!$B$9/2))*(I176-2*([1]Parametros!$B$7+[1]Parametros!$B$9/2)))^2))^2)</f>
        <v>1.7950110087770337</v>
      </c>
      <c r="BG176" s="13">
        <f>[1]Parametros!$B$6*(AJ176*1000/(H176*MIN(U176,AB176))+0.66*SQRT([1]Parametros!$B$2))</f>
        <v>3.2939603822754151</v>
      </c>
      <c r="BH176" s="13" t="str">
        <f t="shared" si="37"/>
        <v>CUMPLE</v>
      </c>
      <c r="BI176" s="13">
        <f>AX176*[1]Parametros!$B$8</f>
        <v>0</v>
      </c>
      <c r="BJ176" s="15" t="str">
        <f t="shared" si="38"/>
        <v>CUMPLE</v>
      </c>
    </row>
    <row r="177" spans="1:62" ht="28.8" x14ac:dyDescent="0.3">
      <c r="A177" s="22" t="s">
        <v>71</v>
      </c>
      <c r="B177" s="23">
        <v>280</v>
      </c>
      <c r="C177" s="13">
        <v>1</v>
      </c>
      <c r="D177" s="13">
        <v>3.3</v>
      </c>
      <c r="E177" s="13">
        <v>3.3</v>
      </c>
      <c r="F177" s="13">
        <v>450</v>
      </c>
      <c r="G177" s="13">
        <v>550</v>
      </c>
      <c r="H177" s="13">
        <v>450</v>
      </c>
      <c r="I177" s="13">
        <v>550</v>
      </c>
      <c r="J177" s="14">
        <v>161.9743</v>
      </c>
      <c r="K177" s="13">
        <v>280</v>
      </c>
      <c r="L177" s="14">
        <v>138.91309999999999</v>
      </c>
      <c r="M177" s="13">
        <v>280</v>
      </c>
      <c r="N177" s="14">
        <v>93.92</v>
      </c>
      <c r="O177" s="14">
        <v>400.58699999999999</v>
      </c>
      <c r="P177" s="13">
        <v>280</v>
      </c>
      <c r="Q177" s="14">
        <v>102.0279</v>
      </c>
      <c r="R177" s="13">
        <f>MAX(MAX(1.4/[1]Parametros!$B$3,0.25*SQRT([1]Parametros!$B$2)/[1]Parametros!$B$3)*H177*U177,(0.85*[1]Parametros!$B$2/[1]Parametros!$B$3)*(1-SQRT(1-2*(J177*1000000/([1]Parametros!$B$5*H177*U177^2))/(0.85*[1]Parametros!$B$2)))*H177*U177)</f>
        <v>908.74846676020525</v>
      </c>
      <c r="S177" s="14">
        <v>5</v>
      </c>
      <c r="T177" s="14">
        <v>1</v>
      </c>
      <c r="U177" s="13">
        <f>IF(T177=1,I177-([1]Parametros!$B$7+[1]Parametros!$B$9+[1]Parametros!$B$12/2),I177-(ROUNDUP(S177/2,0)*([1]Parametros!$B$7+[1]Parametros!$B$9+[1]Parametros!$B$12/2)+ROUNDDOWN(S177/2,0)*([1]Parametros!$B$7+[1]Parametros!$B$9+[1]Parametros!$B$12/2+[1]Parametros!$B$12+[1]Parametros!$B$10))/S177)</f>
        <v>489.35</v>
      </c>
      <c r="V177" s="13">
        <f>S177*[1]Parametros!$B$8</f>
        <v>995</v>
      </c>
      <c r="W177" s="13">
        <f>[1]Parametros!$B$5*V177*[1]Parametros!$B$3*(U177-(V177*[1]Parametros!$B$3/(0.85*[1]Parametros!$B$2*H177))/2)/1000000</f>
        <v>176.71159614705886</v>
      </c>
      <c r="X177" s="13" t="str">
        <f t="shared" si="26"/>
        <v>CUMPLE</v>
      </c>
      <c r="Y177" s="13">
        <f>MAX(MAX(1.4/[1]Parametros!$B$3,0.25*SQRT([1]Parametros!$B$2)/[1]Parametros!$B$3)*H177*AB177,(0.85*[1]Parametros!$B$2/[1]Parametros!$B$3)*(1-SQRT(1-2*(L177*1000000/([1]Parametros!$B$5*H177*AB177^2))/(0.85*[1]Parametros!$B$2)))*H177*AB177)</f>
        <v>775.05596241807211</v>
      </c>
      <c r="Z177" s="14">
        <v>4</v>
      </c>
      <c r="AA177" s="14">
        <v>1</v>
      </c>
      <c r="AB177" s="13">
        <f>IF(AA177=1,I177-([1]Parametros!$B$7+[1]Parametros!$B$9+[1]Parametros!$B$12/2),I177-(ROUNDUP(Z177/2,0)*([1]Parametros!$B$7+[1]Parametros!$B$9+[1]Parametros!$B$12/2)+ROUNDDOWN(Z177/2,0)*([1]Parametros!$B$7+[1]Parametros!$B$9+[1]Parametros!$B$12/2+[1]Parametros!$B$12+[1]Parametros!$B$10))/Z177)</f>
        <v>489.35</v>
      </c>
      <c r="AC177" s="13">
        <f>Z177*[1]Parametros!$B$8</f>
        <v>796</v>
      </c>
      <c r="AD177" s="13">
        <f>[1]Parametros!$B$5*AC177*[1]Parametros!$B$3*(AB177-(AC177*[1]Parametros!$B$3/(0.85*[1]Parametros!$B$2*H177))/2)/1000000</f>
        <v>142.54333009411764</v>
      </c>
      <c r="AE177" s="13" t="str">
        <f t="shared" si="27"/>
        <v>CUMPLE</v>
      </c>
      <c r="AF177" s="13">
        <f>V177*1.25*[1]Parametros!$B$3*(U177-(V177*1.25*[1]Parametros!$B$3/(0.85*[1]Parametros!$B$2*H177))/2)/1000000</f>
        <v>242.88491397058826</v>
      </c>
      <c r="AG177" s="13">
        <f>AC177*1.25*[1]Parametros!$B$3*(AB177-(AC177*1.25*[1]Parametros!$B$3/(0.85*[1]Parametros!$B$2*H177))/2)/1000000</f>
        <v>196.34621794117646</v>
      </c>
      <c r="AH177" s="13">
        <f t="shared" si="28"/>
        <v>227.02034300356507</v>
      </c>
      <c r="AI177" s="13">
        <f t="shared" si="29"/>
        <v>400.58699999999999</v>
      </c>
      <c r="AJ177" s="13">
        <f>0.17*SQRT([1]Parametros!$B$2)*H177*MIN(U177,AB177)/1000</f>
        <v>198.08885582262698</v>
      </c>
      <c r="AK177" s="13">
        <f>MAX(AI177/[1]Parametros!$B$6-AJ177,0)</f>
        <v>336.02714417737297</v>
      </c>
      <c r="AL177" s="13">
        <f>0.66*SQRT([1]Parametros!$B$2)*H177*MIN(U177,AB177)/1000</f>
        <v>769.05085201725785</v>
      </c>
      <c r="AM177" s="13" t="str">
        <f t="shared" si="30"/>
        <v>CUMPLE</v>
      </c>
      <c r="AN177" s="13" t="s">
        <v>70</v>
      </c>
      <c r="AO177" s="14">
        <v>4</v>
      </c>
      <c r="AP177" s="13">
        <f>ROUNDDOWN(MIN(IF(BC177+BD177=0,1000000000,AO177*BB177/(BC177+BD177)),MIN(U177,AB177)/4,8*[1]Parametros!$B$12,24*BA177,300,IF(AV177=0,1000000000,2*((H177-2*([1]Parametros!$B$7+[1]Parametros!$B$9/2))+(I177-2*([1]Parametros!$B$7+[1]Parametros!$B$9/2)))/8))/10,0)*10</f>
        <v>120</v>
      </c>
      <c r="AQ177" s="13">
        <f>ROUNDDOWN(MIN(IF(BC177+BD177=0,1000000000,AO177*BB177/(BC177+BD177)),IF(AK177&gt;0.33*SQRT([1]Parametros!$B$2)*H177*MIN(U177,AB177)/1000,MIN(U177,AB177)/4,MIN(U177,AB177)/2),600,IF(AV177=0,1000000000,2*((H177-2*([1]Parametros!$B$7+[1]Parametros!$B$9/2))+(I177-2*([1]Parametros!$B$7+[1]Parametros!$B$9/2)))/8))/10,0)*10</f>
        <v>130</v>
      </c>
      <c r="AR177" s="13">
        <f>[1]Parametros!$B$6*(AJ177+MAX(BE177-BD177,0)*[1]Parametros!$B$4*MIN(U177,AB177)/1000)</f>
        <v>451.9023896690012</v>
      </c>
      <c r="AS177" s="13" t="str">
        <f t="shared" si="31"/>
        <v>NO CUMPLE</v>
      </c>
      <c r="AT177" s="13">
        <f>[1]Parametros!$B$6*0.083*SQRT([1]Parametros!$B$2)*(H177*I177)^2/(2*(H177+I177))/1000000</f>
        <v>10.08878303333792</v>
      </c>
      <c r="AU177" s="13" t="str">
        <f t="shared" si="32"/>
        <v>DISEÑAR</v>
      </c>
      <c r="AV177" s="13">
        <f>IF(Q177&lt;=AT177,0,Q177*1000000/([1]Parametros!$B$6*2*0.85*(H177-2*([1]Parametros!$B$7+[1]Parametros!$B$9/2))*(I177-2*([1]Parametros!$B$7+[1]Parametros!$B$9/2))*[1]Parametros!$B$4))</f>
        <v>1.1660716992510929</v>
      </c>
      <c r="AW177" s="13">
        <f>AV177*2*((H177-2*([1]Parametros!$B$7+[1]Parametros!$B$9/2))+(I177-2*([1]Parametros!$B$7+[1]Parametros!$B$9/2)))*[1]Parametros!$B$4/[1]Parametros!$B$3</f>
        <v>1899.7640124198806</v>
      </c>
      <c r="AX177" s="14">
        <v>12</v>
      </c>
      <c r="AY177" s="13" t="str">
        <f t="shared" si="33"/>
        <v>NO CUMPLE</v>
      </c>
      <c r="AZ177" s="13" t="str">
        <f t="shared" si="34"/>
        <v>NO CUMPLE</v>
      </c>
      <c r="BA177" s="14">
        <v>12.7</v>
      </c>
      <c r="BB177" s="14">
        <v>129</v>
      </c>
      <c r="BC177" s="13">
        <f>MAX(IF(AK177=0,0,AK177*1000/([1]Parametros!$B$4*MIN(U177,AB177))),MAX(0.062*SQRT([1]Parametros!$B$2)*H177/[1]Parametros!$B$4,0.35*H177/[1]Parametros!$B$4))</f>
        <v>1.6349537733600596</v>
      </c>
      <c r="BD177" s="13">
        <f t="shared" si="35"/>
        <v>2.3321433985021858</v>
      </c>
      <c r="BE177" s="13">
        <f t="shared" si="36"/>
        <v>4.3</v>
      </c>
      <c r="BF177" s="13">
        <f>SQRT((AI177*1000/(H177*MIN(U177,AB177)))^2+(Q177*1000000*2*((H177-2*([1]Parametros!$B$7+[1]Parametros!$B$9/2))+(I177-2*([1]Parametros!$B$7+[1]Parametros!$B$9/2)))/(1.7*((H177-2*([1]Parametros!$B$7+[1]Parametros!$B$9/2))*(I177-2*([1]Parametros!$B$7+[1]Parametros!$B$9/2)))^2))^2)</f>
        <v>4.0893831114687416</v>
      </c>
      <c r="BG177" s="13">
        <f>[1]Parametros!$B$6*(AJ177*1000/(H177*MIN(U177,AB177))+0.66*SQRT([1]Parametros!$B$2))</f>
        <v>3.2939603822754151</v>
      </c>
      <c r="BH177" s="13" t="str">
        <f t="shared" si="37"/>
        <v>NO CUMPLE</v>
      </c>
      <c r="BI177" s="13">
        <f>AX177*[1]Parametros!$B$8</f>
        <v>2388</v>
      </c>
      <c r="BJ177" s="15" t="str">
        <f t="shared" si="38"/>
        <v>CUMPLE</v>
      </c>
    </row>
    <row r="178" spans="1:62" ht="28.8" x14ac:dyDescent="0.3">
      <c r="A178" s="22" t="s">
        <v>71</v>
      </c>
      <c r="B178" s="23">
        <v>281</v>
      </c>
      <c r="C178" s="13">
        <v>1</v>
      </c>
      <c r="D178" s="13">
        <v>3.3</v>
      </c>
      <c r="E178" s="13">
        <v>3.3</v>
      </c>
      <c r="F178" s="13">
        <v>450</v>
      </c>
      <c r="G178" s="13">
        <v>550</v>
      </c>
      <c r="H178" s="13">
        <v>450</v>
      </c>
      <c r="I178" s="13">
        <v>550</v>
      </c>
      <c r="J178" s="14">
        <v>161.99090000000001</v>
      </c>
      <c r="K178" s="13">
        <v>281</v>
      </c>
      <c r="L178" s="14">
        <v>138.90289999999999</v>
      </c>
      <c r="M178" s="13">
        <v>281</v>
      </c>
      <c r="N178" s="14">
        <v>93.929000000000002</v>
      </c>
      <c r="O178" s="14">
        <v>400.59500000000003</v>
      </c>
      <c r="P178" s="13">
        <v>281</v>
      </c>
      <c r="Q178" s="14">
        <v>102.0283</v>
      </c>
      <c r="R178" s="13">
        <f>MAX(MAX(1.4/[1]Parametros!$B$3,0.25*SQRT([1]Parametros!$B$2)/[1]Parametros!$B$3)*H178*U178,(0.85*[1]Parametros!$B$2/[1]Parametros!$B$3)*(1-SQRT(1-2*(J178*1000000/([1]Parametros!$B$5*H178*U178^2))/(0.85*[1]Parametros!$B$2)))*H178*U178)</f>
        <v>908.84525822632054</v>
      </c>
      <c r="S178" s="14">
        <v>5</v>
      </c>
      <c r="T178" s="14">
        <v>1</v>
      </c>
      <c r="U178" s="13">
        <f>IF(T178=1,I178-([1]Parametros!$B$7+[1]Parametros!$B$9+[1]Parametros!$B$12/2),I178-(ROUNDUP(S178/2,0)*([1]Parametros!$B$7+[1]Parametros!$B$9+[1]Parametros!$B$12/2)+ROUNDDOWN(S178/2,0)*([1]Parametros!$B$7+[1]Parametros!$B$9+[1]Parametros!$B$12/2+[1]Parametros!$B$12+[1]Parametros!$B$10))/S178)</f>
        <v>489.35</v>
      </c>
      <c r="V178" s="13">
        <f>S178*[1]Parametros!$B$8</f>
        <v>995</v>
      </c>
      <c r="W178" s="13">
        <f>[1]Parametros!$B$5*V178*[1]Parametros!$B$3*(U178-(V178*[1]Parametros!$B$3/(0.85*[1]Parametros!$B$2*H178))/2)/1000000</f>
        <v>176.71159614705886</v>
      </c>
      <c r="X178" s="13" t="str">
        <f t="shared" si="26"/>
        <v>CUMPLE</v>
      </c>
      <c r="Y178" s="13">
        <f>MAX(MAX(1.4/[1]Parametros!$B$3,0.25*SQRT([1]Parametros!$B$2)/[1]Parametros!$B$3)*H178*AB178,(0.85*[1]Parametros!$B$2/[1]Parametros!$B$3)*(1-SQRT(1-2*(L178*1000000/([1]Parametros!$B$5*H178*AB178^2))/(0.85*[1]Parametros!$B$2)))*H178*AB178)</f>
        <v>774.9971679369703</v>
      </c>
      <c r="Z178" s="14">
        <v>4</v>
      </c>
      <c r="AA178" s="14">
        <v>1</v>
      </c>
      <c r="AB178" s="13">
        <f>IF(AA178=1,I178-([1]Parametros!$B$7+[1]Parametros!$B$9+[1]Parametros!$B$12/2),I178-(ROUNDUP(Z178/2,0)*([1]Parametros!$B$7+[1]Parametros!$B$9+[1]Parametros!$B$12/2)+ROUNDDOWN(Z178/2,0)*([1]Parametros!$B$7+[1]Parametros!$B$9+[1]Parametros!$B$12/2+[1]Parametros!$B$12+[1]Parametros!$B$10))/Z178)</f>
        <v>489.35</v>
      </c>
      <c r="AC178" s="13">
        <f>Z178*[1]Parametros!$B$8</f>
        <v>796</v>
      </c>
      <c r="AD178" s="13">
        <f>[1]Parametros!$B$5*AC178*[1]Parametros!$B$3*(AB178-(AC178*[1]Parametros!$B$3/(0.85*[1]Parametros!$B$2*H178))/2)/1000000</f>
        <v>142.54333009411764</v>
      </c>
      <c r="AE178" s="13" t="str">
        <f t="shared" si="27"/>
        <v>CUMPLE</v>
      </c>
      <c r="AF178" s="13">
        <f>V178*1.25*[1]Parametros!$B$3*(U178-(V178*1.25*[1]Parametros!$B$3/(0.85*[1]Parametros!$B$2*H178))/2)/1000000</f>
        <v>242.88491397058826</v>
      </c>
      <c r="AG178" s="13">
        <f>AC178*1.25*[1]Parametros!$B$3*(AB178-(AC178*1.25*[1]Parametros!$B$3/(0.85*[1]Parametros!$B$2*H178))/2)/1000000</f>
        <v>196.34621794117646</v>
      </c>
      <c r="AH178" s="13">
        <f t="shared" si="28"/>
        <v>227.02934300356506</v>
      </c>
      <c r="AI178" s="13">
        <f t="shared" si="29"/>
        <v>400.59500000000003</v>
      </c>
      <c r="AJ178" s="13">
        <f>0.17*SQRT([1]Parametros!$B$2)*H178*MIN(U178,AB178)/1000</f>
        <v>198.08885582262698</v>
      </c>
      <c r="AK178" s="13">
        <f>MAX(AI178/[1]Parametros!$B$6-AJ178,0)</f>
        <v>336.03781084403965</v>
      </c>
      <c r="AL178" s="13">
        <f>0.66*SQRT([1]Parametros!$B$2)*H178*MIN(U178,AB178)/1000</f>
        <v>769.05085201725785</v>
      </c>
      <c r="AM178" s="13" t="str">
        <f t="shared" si="30"/>
        <v>CUMPLE</v>
      </c>
      <c r="AN178" s="13" t="s">
        <v>70</v>
      </c>
      <c r="AO178" s="14">
        <v>4</v>
      </c>
      <c r="AP178" s="13">
        <f>ROUNDDOWN(MIN(IF(BC178+BD178=0,1000000000,AO178*BB178/(BC178+BD178)),MIN(U178,AB178)/4,8*[1]Parametros!$B$12,24*BA178,300,IF(AV178=0,1000000000,2*((H178-2*([1]Parametros!$B$7+[1]Parametros!$B$9/2))+(I178-2*([1]Parametros!$B$7+[1]Parametros!$B$9/2)))/8))/10,0)*10</f>
        <v>120</v>
      </c>
      <c r="AQ178" s="13">
        <f>ROUNDDOWN(MIN(IF(BC178+BD178=0,1000000000,AO178*BB178/(BC178+BD178)),IF(AK178&gt;0.33*SQRT([1]Parametros!$B$2)*H178*MIN(U178,AB178)/1000,MIN(U178,AB178)/4,MIN(U178,AB178)/2),600,IF(AV178=0,1000000000,2*((H178-2*([1]Parametros!$B$7+[1]Parametros!$B$9/2))+(I178-2*([1]Parametros!$B$7+[1]Parametros!$B$9/2)))/8))/10,0)*10</f>
        <v>130</v>
      </c>
      <c r="AR178" s="13">
        <f>[1]Parametros!$B$6*(AJ178+MAX(BE178-BD178,0)*[1]Parametros!$B$4*MIN(U178,AB178)/1000)</f>
        <v>451.90098029439991</v>
      </c>
      <c r="AS178" s="13" t="str">
        <f t="shared" si="31"/>
        <v>NO CUMPLE</v>
      </c>
      <c r="AT178" s="13">
        <f>[1]Parametros!$B$6*0.083*SQRT([1]Parametros!$B$2)*(H178*I178)^2/(2*(H178+I178))/1000000</f>
        <v>10.08878303333792</v>
      </c>
      <c r="AU178" s="13" t="str">
        <f t="shared" si="32"/>
        <v>DISEÑAR</v>
      </c>
      <c r="AV178" s="13">
        <f>IF(Q178&lt;=AT178,0,Q178*1000000/([1]Parametros!$B$6*2*0.85*(H178-2*([1]Parametros!$B$7+[1]Parametros!$B$9/2))*(I178-2*([1]Parametros!$B$7+[1]Parametros!$B$9/2))*[1]Parametros!$B$4))</f>
        <v>1.1660762708308245</v>
      </c>
      <c r="AW178" s="13">
        <f>AV178*2*((H178-2*([1]Parametros!$B$7+[1]Parametros!$B$9/2))+(I178-2*([1]Parametros!$B$7+[1]Parametros!$B$9/2)))*[1]Parametros!$B$4/[1]Parametros!$B$3</f>
        <v>1899.7714604375794</v>
      </c>
      <c r="AX178" s="14">
        <v>12</v>
      </c>
      <c r="AY178" s="13" t="str">
        <f t="shared" si="33"/>
        <v>NO CUMPLE</v>
      </c>
      <c r="AZ178" s="13" t="str">
        <f t="shared" si="34"/>
        <v>NO CUMPLE</v>
      </c>
      <c r="BA178" s="14">
        <v>12.7</v>
      </c>
      <c r="BB178" s="14">
        <v>129</v>
      </c>
      <c r="BC178" s="13">
        <f>MAX(IF(AK178=0,0,AK178*1000/([1]Parametros!$B$4*MIN(U178,AB178))),MAX(0.062*SQRT([1]Parametros!$B$2)*H178/[1]Parametros!$B$4,0.35*H178/[1]Parametros!$B$4))</f>
        <v>1.6350056724617188</v>
      </c>
      <c r="BD178" s="13">
        <f t="shared" si="35"/>
        <v>2.3321525416616491</v>
      </c>
      <c r="BE178" s="13">
        <f t="shared" si="36"/>
        <v>4.3</v>
      </c>
      <c r="BF178" s="13">
        <f>SQRT((AI178*1000/(H178*MIN(U178,AB178)))^2+(Q178*1000000*2*((H178-2*([1]Parametros!$B$7+[1]Parametros!$B$9/2))+(I178-2*([1]Parametros!$B$7+[1]Parametros!$B$9/2)))/(1.7*((H178-2*([1]Parametros!$B$7+[1]Parametros!$B$9/2))*(I178-2*([1]Parametros!$B$7+[1]Parametros!$B$9/2)))^2))^2)</f>
        <v>4.0894121322557497</v>
      </c>
      <c r="BG178" s="13">
        <f>[1]Parametros!$B$6*(AJ178*1000/(H178*MIN(U178,AB178))+0.66*SQRT([1]Parametros!$B$2))</f>
        <v>3.2939603822754151</v>
      </c>
      <c r="BH178" s="13" t="str">
        <f t="shared" si="37"/>
        <v>NO CUMPLE</v>
      </c>
      <c r="BI178" s="13">
        <f>AX178*[1]Parametros!$B$8</f>
        <v>2388</v>
      </c>
      <c r="BJ178" s="15" t="str">
        <f t="shared" si="38"/>
        <v>CUMPLE</v>
      </c>
    </row>
    <row r="179" spans="1:62" x14ac:dyDescent="0.3">
      <c r="A179" s="22" t="s">
        <v>71</v>
      </c>
      <c r="B179" s="23">
        <v>282</v>
      </c>
      <c r="C179" s="13">
        <v>1</v>
      </c>
      <c r="D179" s="13">
        <v>3.25</v>
      </c>
      <c r="E179" s="13">
        <v>3.25</v>
      </c>
      <c r="F179" s="13">
        <v>450</v>
      </c>
      <c r="G179" s="13">
        <v>550</v>
      </c>
      <c r="H179" s="13">
        <v>450</v>
      </c>
      <c r="I179" s="13">
        <v>550</v>
      </c>
      <c r="J179" s="14">
        <v>164.3398</v>
      </c>
      <c r="K179" s="13">
        <v>282</v>
      </c>
      <c r="L179" s="14">
        <v>139.13659999999999</v>
      </c>
      <c r="M179" s="13">
        <v>282</v>
      </c>
      <c r="N179" s="14">
        <v>92.296999999999997</v>
      </c>
      <c r="O179" s="14">
        <v>392.47</v>
      </c>
      <c r="P179" s="13">
        <v>282</v>
      </c>
      <c r="Q179" s="14">
        <v>5.9396000000000004</v>
      </c>
      <c r="R179" s="13">
        <f>MAX(MAX(1.4/[1]Parametros!$B$3,0.25*SQRT([1]Parametros!$B$2)/[1]Parametros!$B$3)*H179*U179,(0.85*[1]Parametros!$B$2/[1]Parametros!$B$3)*(1-SQRT(1-2*(J179*1000000/([1]Parametros!$B$5*H179*U179^2))/(0.85*[1]Parametros!$B$2)))*H179*U179)</f>
        <v>922.54942426386992</v>
      </c>
      <c r="S179" s="14">
        <v>5</v>
      </c>
      <c r="T179" s="14">
        <v>1</v>
      </c>
      <c r="U179" s="13">
        <f>IF(T179=1,I179-([1]Parametros!$B$7+[1]Parametros!$B$9+[1]Parametros!$B$12/2),I179-(ROUNDUP(S179/2,0)*([1]Parametros!$B$7+[1]Parametros!$B$9+[1]Parametros!$B$12/2)+ROUNDDOWN(S179/2,0)*([1]Parametros!$B$7+[1]Parametros!$B$9+[1]Parametros!$B$12/2+[1]Parametros!$B$12+[1]Parametros!$B$10))/S179)</f>
        <v>489.35</v>
      </c>
      <c r="V179" s="13">
        <f>S179*[1]Parametros!$B$8</f>
        <v>995</v>
      </c>
      <c r="W179" s="13">
        <f>[1]Parametros!$B$5*V179*[1]Parametros!$B$3*(U179-(V179*[1]Parametros!$B$3/(0.85*[1]Parametros!$B$2*H179))/2)/1000000</f>
        <v>176.71159614705886</v>
      </c>
      <c r="X179" s="13" t="str">
        <f t="shared" si="26"/>
        <v>CUMPLE</v>
      </c>
      <c r="Y179" s="13">
        <f>MAX(MAX(1.4/[1]Parametros!$B$3,0.25*SQRT([1]Parametros!$B$2)/[1]Parametros!$B$3)*H179*AB179,(0.85*[1]Parametros!$B$2/[1]Parametros!$B$3)*(1-SQRT(1-2*(L179*1000000/([1]Parametros!$B$5*H179*AB179^2))/(0.85*[1]Parametros!$B$2)))*H179*AB179)</f>
        <v>776.34432740478121</v>
      </c>
      <c r="Z179" s="14">
        <v>4</v>
      </c>
      <c r="AA179" s="14">
        <v>1</v>
      </c>
      <c r="AB179" s="13">
        <f>IF(AA179=1,I179-([1]Parametros!$B$7+[1]Parametros!$B$9+[1]Parametros!$B$12/2),I179-(ROUNDUP(Z179/2,0)*([1]Parametros!$B$7+[1]Parametros!$B$9+[1]Parametros!$B$12/2)+ROUNDDOWN(Z179/2,0)*([1]Parametros!$B$7+[1]Parametros!$B$9+[1]Parametros!$B$12/2+[1]Parametros!$B$12+[1]Parametros!$B$10))/Z179)</f>
        <v>489.35</v>
      </c>
      <c r="AC179" s="13">
        <f>Z179*[1]Parametros!$B$8</f>
        <v>796</v>
      </c>
      <c r="AD179" s="13">
        <f>[1]Parametros!$B$5*AC179*[1]Parametros!$B$3*(AB179-(AC179*[1]Parametros!$B$3/(0.85*[1]Parametros!$B$2*H179))/2)/1000000</f>
        <v>142.54333009411764</v>
      </c>
      <c r="AE179" s="13" t="str">
        <f t="shared" si="27"/>
        <v>CUMPLE</v>
      </c>
      <c r="AF179" s="13">
        <f>V179*1.25*[1]Parametros!$B$3*(U179-(V179*1.25*[1]Parametros!$B$3/(0.85*[1]Parametros!$B$2*H179))/2)/1000000</f>
        <v>242.88491397058826</v>
      </c>
      <c r="AG179" s="13">
        <f>AC179*1.25*[1]Parametros!$B$3*(AB179-(AC179*1.25*[1]Parametros!$B$3/(0.85*[1]Parametros!$B$2*H179))/2)/1000000</f>
        <v>196.34621794117646</v>
      </c>
      <c r="AH179" s="13">
        <f t="shared" si="28"/>
        <v>227.44504058823529</v>
      </c>
      <c r="AI179" s="13">
        <f t="shared" si="29"/>
        <v>392.47</v>
      </c>
      <c r="AJ179" s="13">
        <f>0.17*SQRT([1]Parametros!$B$2)*H179*MIN(U179,AB179)/1000</f>
        <v>198.08885582262698</v>
      </c>
      <c r="AK179" s="13">
        <f>MAX(AI179/[1]Parametros!$B$6-AJ179,0)</f>
        <v>325.2044775107064</v>
      </c>
      <c r="AL179" s="13">
        <f>0.66*SQRT([1]Parametros!$B$2)*H179*MIN(U179,AB179)/1000</f>
        <v>769.05085201725785</v>
      </c>
      <c r="AM179" s="13" t="str">
        <f t="shared" si="30"/>
        <v>CUMPLE</v>
      </c>
      <c r="AN179" s="13" t="s">
        <v>64</v>
      </c>
      <c r="AO179" s="14">
        <v>2</v>
      </c>
      <c r="AP179" s="13">
        <f>ROUNDDOWN(MIN(IF(BC179+BD179=0,1000000000,AO179*BB179/(BC179+BD179)),MIN(U179,AB179)/4,8*[1]Parametros!$B$12,24*BA179,300,IF(AV179=0,1000000000,2*((H179-2*([1]Parametros!$B$7+[1]Parametros!$B$9/2))+(I179-2*([1]Parametros!$B$7+[1]Parametros!$B$9/2)))/8))/10,0)*10</f>
        <v>80</v>
      </c>
      <c r="AQ179" s="13">
        <f>ROUNDDOWN(MIN(IF(BC179+BD179=0,1000000000,AO179*BB179/(BC179+BD179)),IF(AK179&gt;0.33*SQRT([1]Parametros!$B$2)*H179*MIN(U179,AB179)/1000,MIN(U179,AB179)/4,MIN(U179,AB179)/2),600,IF(AV179=0,1000000000,2*((H179-2*([1]Parametros!$B$7+[1]Parametros!$B$9/2))+(I179-2*([1]Parametros!$B$7+[1]Parametros!$B$9/2)))/8))/10,0)*10</f>
        <v>80</v>
      </c>
      <c r="AR179" s="13">
        <f>[1]Parametros!$B$6*(AJ179+MAX(BE179-BD179,0)*[1]Parametros!$B$4*MIN(U179,AB179)/1000)</f>
        <v>422.17446061697024</v>
      </c>
      <c r="AS179" s="13" t="str">
        <f t="shared" si="31"/>
        <v>CUMPLE</v>
      </c>
      <c r="AT179" s="13">
        <f>[1]Parametros!$B$6*0.083*SQRT([1]Parametros!$B$2)*(H179*I179)^2/(2*(H179+I179))/1000000</f>
        <v>10.08878303333792</v>
      </c>
      <c r="AU179" s="13" t="str">
        <f t="shared" si="32"/>
        <v>DESPRECIABLE</v>
      </c>
      <c r="AV179" s="13">
        <f>IF(Q179&lt;=AT179,0,Q179*1000000/([1]Parametros!$B$6*2*0.85*(H179-2*([1]Parametros!$B$7+[1]Parametros!$B$9/2))*(I179-2*([1]Parametros!$B$7+[1]Parametros!$B$9/2))*[1]Parametros!$B$4))</f>
        <v>0</v>
      </c>
      <c r="AW179" s="13">
        <f>AV179*2*((H179-2*([1]Parametros!$B$7+[1]Parametros!$B$9/2))+(I179-2*([1]Parametros!$B$7+[1]Parametros!$B$9/2)))*[1]Parametros!$B$4/[1]Parametros!$B$3</f>
        <v>0</v>
      </c>
      <c r="AX179" s="14">
        <v>0</v>
      </c>
      <c r="AY179" s="13" t="str">
        <f t="shared" si="33"/>
        <v>DESPRECIABLE</v>
      </c>
      <c r="AZ179" s="13" t="str">
        <f t="shared" si="34"/>
        <v>CUMPLE</v>
      </c>
      <c r="BA179" s="14">
        <v>9.5</v>
      </c>
      <c r="BB179" s="14">
        <v>71</v>
      </c>
      <c r="BC179" s="13">
        <f>MAX(IF(AK179=0,0,AK179*1000/([1]Parametros!$B$4*MIN(U179,AB179))),MAX(0.062*SQRT([1]Parametros!$B$2)*H179/[1]Parametros!$B$4,0.35*H179/[1]Parametros!$B$4))</f>
        <v>1.5822956473393102</v>
      </c>
      <c r="BD179" s="13">
        <f t="shared" si="35"/>
        <v>0</v>
      </c>
      <c r="BE179" s="13">
        <f t="shared" si="36"/>
        <v>1.7749999999999999</v>
      </c>
      <c r="BF179" s="13">
        <f>SQRT((AI179*1000/(H179*MIN(U179,AB179)))^2+(Q179*1000000*2*((H179-2*([1]Parametros!$B$7+[1]Parametros!$B$9/2))+(I179-2*([1]Parametros!$B$7+[1]Parametros!$B$9/2)))/(1.7*((H179-2*([1]Parametros!$B$7+[1]Parametros!$B$9/2))*(I179-2*([1]Parametros!$B$7+[1]Parametros!$B$9/2)))^2))^2)</f>
        <v>1.794981577471207</v>
      </c>
      <c r="BG179" s="13">
        <f>[1]Parametros!$B$6*(AJ179*1000/(H179*MIN(U179,AB179))+0.66*SQRT([1]Parametros!$B$2))</f>
        <v>3.2939603822754151</v>
      </c>
      <c r="BH179" s="13" t="str">
        <f t="shared" si="37"/>
        <v>CUMPLE</v>
      </c>
      <c r="BI179" s="13">
        <f>AX179*[1]Parametros!$B$8</f>
        <v>0</v>
      </c>
      <c r="BJ179" s="15" t="str">
        <f t="shared" si="38"/>
        <v>CUMPLE</v>
      </c>
    </row>
    <row r="180" spans="1:62" x14ac:dyDescent="0.3">
      <c r="A180" s="22" t="s">
        <v>71</v>
      </c>
      <c r="B180" s="23">
        <v>825</v>
      </c>
      <c r="C180" s="13">
        <v>1</v>
      </c>
      <c r="D180" s="13">
        <v>3.25</v>
      </c>
      <c r="E180" s="13">
        <v>3.25</v>
      </c>
      <c r="F180" s="13">
        <v>450</v>
      </c>
      <c r="G180" s="13">
        <v>550</v>
      </c>
      <c r="H180" s="13">
        <v>450</v>
      </c>
      <c r="I180" s="13">
        <v>550</v>
      </c>
      <c r="J180" s="14">
        <v>129.63239999999999</v>
      </c>
      <c r="K180" s="13">
        <v>825</v>
      </c>
      <c r="L180" s="14">
        <v>106.1259</v>
      </c>
      <c r="M180" s="13">
        <v>825</v>
      </c>
      <c r="N180" s="14">
        <v>74.707999999999998</v>
      </c>
      <c r="O180" s="14">
        <v>299.59399999999999</v>
      </c>
      <c r="P180" s="13">
        <v>825</v>
      </c>
      <c r="Q180" s="14">
        <v>5.2882999999999996</v>
      </c>
      <c r="R180" s="13">
        <f>MAX(MAX(1.4/[1]Parametros!$B$3,0.25*SQRT([1]Parametros!$B$2)/[1]Parametros!$B$3)*H180*U180,(0.85*[1]Parametros!$B$2/[1]Parametros!$B$3)*(1-SQRT(1-2*(J180*1000000/([1]Parametros!$B$5*H180*U180^2))/(0.85*[1]Parametros!$B$2)))*H180*U180)</f>
        <v>734.02500000000009</v>
      </c>
      <c r="S180" s="14">
        <v>4</v>
      </c>
      <c r="T180" s="14">
        <v>1</v>
      </c>
      <c r="U180" s="13">
        <f>IF(T180=1,I180-([1]Parametros!$B$7+[1]Parametros!$B$9+[1]Parametros!$B$12/2),I180-(ROUNDUP(S180/2,0)*([1]Parametros!$B$7+[1]Parametros!$B$9+[1]Parametros!$B$12/2)+ROUNDDOWN(S180/2,0)*([1]Parametros!$B$7+[1]Parametros!$B$9+[1]Parametros!$B$12/2+[1]Parametros!$B$12+[1]Parametros!$B$10))/S180)</f>
        <v>489.35</v>
      </c>
      <c r="V180" s="13">
        <f>S180*[1]Parametros!$B$8</f>
        <v>796</v>
      </c>
      <c r="W180" s="13">
        <f>[1]Parametros!$B$5*V180*[1]Parametros!$B$3*(U180-(V180*[1]Parametros!$B$3/(0.85*[1]Parametros!$B$2*H180))/2)/1000000</f>
        <v>142.54333009411764</v>
      </c>
      <c r="X180" s="13" t="str">
        <f t="shared" si="26"/>
        <v>CUMPLE</v>
      </c>
      <c r="Y180" s="13">
        <f>MAX(MAX(1.4/[1]Parametros!$B$3,0.25*SQRT([1]Parametros!$B$2)/[1]Parametros!$B$3)*H180*AB180,(0.85*[1]Parametros!$B$2/[1]Parametros!$B$3)*(1-SQRT(1-2*(L180*1000000/([1]Parametros!$B$5*H180*AB180^2))/(0.85*[1]Parametros!$B$2)))*H180*AB180)</f>
        <v>734.02500000000009</v>
      </c>
      <c r="Z180" s="14">
        <v>4</v>
      </c>
      <c r="AA180" s="14">
        <v>1</v>
      </c>
      <c r="AB180" s="13">
        <f>IF(AA180=1,I180-([1]Parametros!$B$7+[1]Parametros!$B$9+[1]Parametros!$B$12/2),I180-(ROUNDUP(Z180/2,0)*([1]Parametros!$B$7+[1]Parametros!$B$9+[1]Parametros!$B$12/2)+ROUNDDOWN(Z180/2,0)*([1]Parametros!$B$7+[1]Parametros!$B$9+[1]Parametros!$B$12/2+[1]Parametros!$B$12+[1]Parametros!$B$10))/Z180)</f>
        <v>489.35</v>
      </c>
      <c r="AC180" s="13">
        <f>Z180*[1]Parametros!$B$8</f>
        <v>796</v>
      </c>
      <c r="AD180" s="13">
        <f>[1]Parametros!$B$5*AC180*[1]Parametros!$B$3*(AB180-(AC180*[1]Parametros!$B$3/(0.85*[1]Parametros!$B$2*H180))/2)/1000000</f>
        <v>142.54333009411764</v>
      </c>
      <c r="AE180" s="13" t="str">
        <f t="shared" si="27"/>
        <v>CUMPLE</v>
      </c>
      <c r="AF180" s="13">
        <f>V180*1.25*[1]Parametros!$B$3*(U180-(V180*1.25*[1]Parametros!$B$3/(0.85*[1]Parametros!$B$2*H180))/2)/1000000</f>
        <v>196.34621794117646</v>
      </c>
      <c r="AG180" s="13">
        <f>AC180*1.25*[1]Parametros!$B$3*(AB180-(AC180*1.25*[1]Parametros!$B$3/(0.85*[1]Parametros!$B$2*H180))/2)/1000000</f>
        <v>196.34621794117646</v>
      </c>
      <c r="AH180" s="13">
        <f t="shared" si="28"/>
        <v>195.53644180995474</v>
      </c>
      <c r="AI180" s="13">
        <f t="shared" si="29"/>
        <v>299.59399999999999</v>
      </c>
      <c r="AJ180" s="13">
        <f>0.17*SQRT([1]Parametros!$B$2)*H180*MIN(U180,AB180)/1000</f>
        <v>198.08885582262698</v>
      </c>
      <c r="AK180" s="13">
        <f>MAX(AI180/[1]Parametros!$B$6-AJ180,0)</f>
        <v>201.36981084403968</v>
      </c>
      <c r="AL180" s="13">
        <f>0.66*SQRT([1]Parametros!$B$2)*H180*MIN(U180,AB180)/1000</f>
        <v>769.05085201725785</v>
      </c>
      <c r="AM180" s="13" t="str">
        <f t="shared" si="30"/>
        <v>CUMPLE</v>
      </c>
      <c r="AN180" s="13" t="s">
        <v>64</v>
      </c>
      <c r="AO180" s="14">
        <v>2</v>
      </c>
      <c r="AP180" s="13">
        <f>ROUNDDOWN(MIN(IF(BC180+BD180=0,1000000000,AO180*BB180/(BC180+BD180)),MIN(U180,AB180)/4,8*[1]Parametros!$B$12,24*BA180,300,IF(AV180=0,1000000000,2*((H180-2*([1]Parametros!$B$7+[1]Parametros!$B$9/2))+(I180-2*([1]Parametros!$B$7+[1]Parametros!$B$9/2)))/8))/10,0)*10</f>
        <v>120</v>
      </c>
      <c r="AQ180" s="13">
        <f>ROUNDDOWN(MIN(IF(BC180+BD180=0,1000000000,AO180*BB180/(BC180+BD180)),IF(AK180&gt;0.33*SQRT([1]Parametros!$B$2)*H180*MIN(U180,AB180)/1000,MIN(U180,AB180)/4,MIN(U180,AB180)/2),600,IF(AV180=0,1000000000,2*((H180-2*([1]Parametros!$B$7+[1]Parametros!$B$9/2))+(I180-2*([1]Parametros!$B$7+[1]Parametros!$B$9/2)))/8))/10,0)*10</f>
        <v>140</v>
      </c>
      <c r="AR180" s="13">
        <f>[1]Parametros!$B$6*(AJ180+MAX(BE180-BD180,0)*[1]Parametros!$B$4*MIN(U180,AB180)/1000)</f>
        <v>330.97185436697026</v>
      </c>
      <c r="AS180" s="13" t="str">
        <f t="shared" si="31"/>
        <v>CUMPLE</v>
      </c>
      <c r="AT180" s="13">
        <f>[1]Parametros!$B$6*0.083*SQRT([1]Parametros!$B$2)*(H180*I180)^2/(2*(H180+I180))/1000000</f>
        <v>10.08878303333792</v>
      </c>
      <c r="AU180" s="13" t="str">
        <f t="shared" si="32"/>
        <v>DESPRECIABLE</v>
      </c>
      <c r="AV180" s="13">
        <f>IF(Q180&lt;=AT180,0,Q180*1000000/([1]Parametros!$B$6*2*0.85*(H180-2*([1]Parametros!$B$7+[1]Parametros!$B$9/2))*(I180-2*([1]Parametros!$B$7+[1]Parametros!$B$9/2))*[1]Parametros!$B$4))</f>
        <v>0</v>
      </c>
      <c r="AW180" s="13">
        <f>AV180*2*((H180-2*([1]Parametros!$B$7+[1]Parametros!$B$9/2))+(I180-2*([1]Parametros!$B$7+[1]Parametros!$B$9/2)))*[1]Parametros!$B$4/[1]Parametros!$B$3</f>
        <v>0</v>
      </c>
      <c r="AX180" s="14">
        <v>0</v>
      </c>
      <c r="AY180" s="13" t="str">
        <f t="shared" si="33"/>
        <v>DESPRECIABLE</v>
      </c>
      <c r="AZ180" s="13" t="str">
        <f t="shared" si="34"/>
        <v>CUMPLE</v>
      </c>
      <c r="BA180" s="14">
        <v>9.5</v>
      </c>
      <c r="BB180" s="14">
        <v>71</v>
      </c>
      <c r="BC180" s="13">
        <f>MAX(IF(AK180=0,0,AK180*1000/([1]Parametros!$B$4*MIN(U180,AB180))),MAX(0.062*SQRT([1]Parametros!$B$2)*H180/[1]Parametros!$B$4,0.35*H180/[1]Parametros!$B$4))</f>
        <v>0.97977302662929777</v>
      </c>
      <c r="BD180" s="13">
        <f t="shared" si="35"/>
        <v>0</v>
      </c>
      <c r="BE180" s="13">
        <f t="shared" si="36"/>
        <v>1.1833333333333333</v>
      </c>
      <c r="BF180" s="13">
        <f>SQRT((AI180*1000/(H180*MIN(U180,AB180)))^2+(Q180*1000000*2*((H180-2*([1]Parametros!$B$7+[1]Parametros!$B$9/2))+(I180-2*([1]Parametros!$B$7+[1]Parametros!$B$9/2)))/(1.7*((H180-2*([1]Parametros!$B$7+[1]Parametros!$B$9/2))*(I180-2*([1]Parametros!$B$7+[1]Parametros!$B$9/2)))^2))^2)</f>
        <v>1.3736877421881042</v>
      </c>
      <c r="BG180" s="13">
        <f>[1]Parametros!$B$6*(AJ180*1000/(H180*MIN(U180,AB180))+0.66*SQRT([1]Parametros!$B$2))</f>
        <v>3.2939603822754151</v>
      </c>
      <c r="BH180" s="13" t="str">
        <f t="shared" si="37"/>
        <v>CUMPLE</v>
      </c>
      <c r="BI180" s="13">
        <f>AX180*[1]Parametros!$B$8</f>
        <v>0</v>
      </c>
      <c r="BJ180" s="15" t="str">
        <f t="shared" si="38"/>
        <v>CUMPLE</v>
      </c>
    </row>
    <row r="181" spans="1:62" x14ac:dyDescent="0.3">
      <c r="A181" s="22" t="s">
        <v>71</v>
      </c>
      <c r="B181" s="23">
        <v>826</v>
      </c>
      <c r="C181" s="13">
        <v>1</v>
      </c>
      <c r="D181" s="13">
        <v>3.3</v>
      </c>
      <c r="E181" s="13">
        <v>3.3</v>
      </c>
      <c r="F181" s="13">
        <v>450</v>
      </c>
      <c r="G181" s="13">
        <v>550</v>
      </c>
      <c r="H181" s="13">
        <v>450</v>
      </c>
      <c r="I181" s="13">
        <v>550</v>
      </c>
      <c r="J181" s="14">
        <v>130.8903</v>
      </c>
      <c r="K181" s="13">
        <v>826</v>
      </c>
      <c r="L181" s="14">
        <v>107.527</v>
      </c>
      <c r="M181" s="13">
        <v>826</v>
      </c>
      <c r="N181" s="14">
        <v>78.090999999999994</v>
      </c>
      <c r="O181" s="14">
        <v>320.53500000000003</v>
      </c>
      <c r="P181" s="13">
        <v>826</v>
      </c>
      <c r="Q181" s="14">
        <v>73.665599999999998</v>
      </c>
      <c r="R181" s="13">
        <f>MAX(MAX(1.4/[1]Parametros!$B$3,0.25*SQRT([1]Parametros!$B$2)/[1]Parametros!$B$3)*H181*U181,(0.85*[1]Parametros!$B$2/[1]Parametros!$B$3)*(1-SQRT(1-2*(J181*1000000/([1]Parametros!$B$5*H181*U181^2))/(0.85*[1]Parametros!$B$2)))*H181*U181)</f>
        <v>734.02500000000009</v>
      </c>
      <c r="S181" s="14">
        <v>4</v>
      </c>
      <c r="T181" s="14">
        <v>1</v>
      </c>
      <c r="U181" s="13">
        <f>IF(T181=1,I181-([1]Parametros!$B$7+[1]Parametros!$B$9+[1]Parametros!$B$12/2),I181-(ROUNDUP(S181/2,0)*([1]Parametros!$B$7+[1]Parametros!$B$9+[1]Parametros!$B$12/2)+ROUNDDOWN(S181/2,0)*([1]Parametros!$B$7+[1]Parametros!$B$9+[1]Parametros!$B$12/2+[1]Parametros!$B$12+[1]Parametros!$B$10))/S181)</f>
        <v>489.35</v>
      </c>
      <c r="V181" s="13">
        <f>S181*[1]Parametros!$B$8</f>
        <v>796</v>
      </c>
      <c r="W181" s="13">
        <f>[1]Parametros!$B$5*V181*[1]Parametros!$B$3*(U181-(V181*[1]Parametros!$B$3/(0.85*[1]Parametros!$B$2*H181))/2)/1000000</f>
        <v>142.54333009411764</v>
      </c>
      <c r="X181" s="13" t="str">
        <f t="shared" si="26"/>
        <v>CUMPLE</v>
      </c>
      <c r="Y181" s="13">
        <f>MAX(MAX(1.4/[1]Parametros!$B$3,0.25*SQRT([1]Parametros!$B$2)/[1]Parametros!$B$3)*H181*AB181,(0.85*[1]Parametros!$B$2/[1]Parametros!$B$3)*(1-SQRT(1-2*(L181*1000000/([1]Parametros!$B$5*H181*AB181^2))/(0.85*[1]Parametros!$B$2)))*H181*AB181)</f>
        <v>734.02500000000009</v>
      </c>
      <c r="Z181" s="14">
        <v>4</v>
      </c>
      <c r="AA181" s="14">
        <v>1</v>
      </c>
      <c r="AB181" s="13">
        <f>IF(AA181=1,I181-([1]Parametros!$B$7+[1]Parametros!$B$9+[1]Parametros!$B$12/2),I181-(ROUNDUP(Z181/2,0)*([1]Parametros!$B$7+[1]Parametros!$B$9+[1]Parametros!$B$12/2)+ROUNDDOWN(Z181/2,0)*([1]Parametros!$B$7+[1]Parametros!$B$9+[1]Parametros!$B$12/2+[1]Parametros!$B$12+[1]Parametros!$B$10))/Z181)</f>
        <v>489.35</v>
      </c>
      <c r="AC181" s="13">
        <f>Z181*[1]Parametros!$B$8</f>
        <v>796</v>
      </c>
      <c r="AD181" s="13">
        <f>[1]Parametros!$B$5*AC181*[1]Parametros!$B$3*(AB181-(AC181*[1]Parametros!$B$3/(0.85*[1]Parametros!$B$2*H181))/2)/1000000</f>
        <v>142.54333009411764</v>
      </c>
      <c r="AE181" s="13" t="str">
        <f t="shared" si="27"/>
        <v>CUMPLE</v>
      </c>
      <c r="AF181" s="13">
        <f>V181*1.25*[1]Parametros!$B$3*(U181-(V181*1.25*[1]Parametros!$B$3/(0.85*[1]Parametros!$B$2*H181))/2)/1000000</f>
        <v>196.34621794117646</v>
      </c>
      <c r="AG181" s="13">
        <f>AC181*1.25*[1]Parametros!$B$3*(AB181-(AC181*1.25*[1]Parametros!$B$3/(0.85*[1]Parametros!$B$2*H181))/2)/1000000</f>
        <v>196.34621794117646</v>
      </c>
      <c r="AH181" s="13">
        <f t="shared" si="28"/>
        <v>197.08870784313726</v>
      </c>
      <c r="AI181" s="13">
        <f t="shared" si="29"/>
        <v>320.53500000000003</v>
      </c>
      <c r="AJ181" s="13">
        <f>0.17*SQRT([1]Parametros!$B$2)*H181*MIN(U181,AB181)/1000</f>
        <v>198.08885582262698</v>
      </c>
      <c r="AK181" s="13">
        <f>MAX(AI181/[1]Parametros!$B$6-AJ181,0)</f>
        <v>229.29114417737307</v>
      </c>
      <c r="AL181" s="13">
        <f>0.66*SQRT([1]Parametros!$B$2)*H181*MIN(U181,AB181)/1000</f>
        <v>769.05085201725785</v>
      </c>
      <c r="AM181" s="13" t="str">
        <f t="shared" si="30"/>
        <v>CUMPLE</v>
      </c>
      <c r="AN181" s="13" t="s">
        <v>68</v>
      </c>
      <c r="AO181" s="14">
        <v>2</v>
      </c>
      <c r="AP181" s="13">
        <f>ROUNDDOWN(MIN(IF(BC181+BD181=0,1000000000,AO181*BB181/(BC181+BD181)),MIN(U181,AB181)/4,8*[1]Parametros!$B$12,24*BA181,300,IF(AV181=0,1000000000,2*((H181-2*([1]Parametros!$B$7+[1]Parametros!$B$9/2))+(I181-2*([1]Parametros!$B$7+[1]Parametros!$B$9/2)))/8))/10,0)*10</f>
        <v>90</v>
      </c>
      <c r="AQ181" s="13">
        <f>ROUNDDOWN(MIN(IF(BC181+BD181=0,1000000000,AO181*BB181/(BC181+BD181)),IF(AK181&gt;0.33*SQRT([1]Parametros!$B$2)*H181*MIN(U181,AB181)/1000,MIN(U181,AB181)/4,MIN(U181,AB181)/2),600,IF(AV181=0,1000000000,2*((H181-2*([1]Parametros!$B$7+[1]Parametros!$B$9/2))+(I181-2*([1]Parametros!$B$7+[1]Parametros!$B$9/2)))/8))/10,0)*10</f>
        <v>90</v>
      </c>
      <c r="AR181" s="13">
        <f>[1]Parametros!$B$6*(AJ181+MAX(BE181-BD181,0)*[1]Parametros!$B$4*MIN(U181,AB181)/1000)</f>
        <v>330.89362780180073</v>
      </c>
      <c r="AS181" s="13" t="str">
        <f t="shared" si="31"/>
        <v>CUMPLE</v>
      </c>
      <c r="AT181" s="13">
        <f>[1]Parametros!$B$6*0.083*SQRT([1]Parametros!$B$2)*(H181*I181)^2/(2*(H181+I181))/1000000</f>
        <v>10.08878303333792</v>
      </c>
      <c r="AU181" s="13" t="str">
        <f t="shared" si="32"/>
        <v>DISEÑAR</v>
      </c>
      <c r="AV181" s="13">
        <f>IF(Q181&lt;=AT181,0,Q181*1000000/([1]Parametros!$B$6*2*0.85*(H181-2*([1]Parametros!$B$7+[1]Parametros!$B$9/2))*(I181-2*([1]Parametros!$B$7+[1]Parametros!$B$9/2))*[1]Parametros!$B$4))</f>
        <v>0.84192040969530202</v>
      </c>
      <c r="AW181" s="13">
        <f>AV181*2*((H181-2*([1]Parametros!$B$7+[1]Parametros!$B$9/2))+(I181-2*([1]Parametros!$B$7+[1]Parametros!$B$9/2)))*[1]Parametros!$B$4/[1]Parametros!$B$3</f>
        <v>1371.6567314755862</v>
      </c>
      <c r="AX181" s="14">
        <v>8</v>
      </c>
      <c r="AY181" s="13" t="str">
        <f t="shared" si="33"/>
        <v>CUMPLE</v>
      </c>
      <c r="AZ181" s="13" t="str">
        <f t="shared" si="34"/>
        <v>CUMPLE</v>
      </c>
      <c r="BA181" s="14">
        <v>12.7</v>
      </c>
      <c r="BB181" s="14">
        <v>129</v>
      </c>
      <c r="BC181" s="13">
        <f>MAX(IF(AK181=0,0,AK181*1000/([1]Parametros!$B$4*MIN(U181,AB181))),MAX(0.062*SQRT([1]Parametros!$B$2)*H181/[1]Parametros!$B$4,0.35*H181/[1]Parametros!$B$4))</f>
        <v>1.1156254126094045</v>
      </c>
      <c r="BD181" s="13">
        <f t="shared" si="35"/>
        <v>1.683840819390604</v>
      </c>
      <c r="BE181" s="13">
        <f t="shared" si="36"/>
        <v>2.8666666666666667</v>
      </c>
      <c r="BF181" s="13">
        <f>SQRT((AI181*1000/(H181*MIN(U181,AB181)))^2+(Q181*1000000*2*((H181-2*([1]Parametros!$B$7+[1]Parametros!$B$9/2))+(I181-2*([1]Parametros!$B$7+[1]Parametros!$B$9/2)))/(1.7*((H181-2*([1]Parametros!$B$7+[1]Parametros!$B$9/2))*(I181-2*([1]Parametros!$B$7+[1]Parametros!$B$9/2)))^2))^2)</f>
        <v>3.018519905686134</v>
      </c>
      <c r="BG181" s="13">
        <f>[1]Parametros!$B$6*(AJ181*1000/(H181*MIN(U181,AB181))+0.66*SQRT([1]Parametros!$B$2))</f>
        <v>3.2939603822754151</v>
      </c>
      <c r="BH181" s="13" t="str">
        <f t="shared" si="37"/>
        <v>CUMPLE</v>
      </c>
      <c r="BI181" s="13">
        <f>AX181*[1]Parametros!$B$8</f>
        <v>1592</v>
      </c>
      <c r="BJ181" s="15" t="str">
        <f t="shared" si="38"/>
        <v>CUMPLE</v>
      </c>
    </row>
    <row r="182" spans="1:62" x14ac:dyDescent="0.3">
      <c r="A182" s="22" t="s">
        <v>71</v>
      </c>
      <c r="B182" s="23">
        <v>827</v>
      </c>
      <c r="C182" s="13">
        <v>1</v>
      </c>
      <c r="D182" s="13">
        <v>3.3</v>
      </c>
      <c r="E182" s="13">
        <v>3.3</v>
      </c>
      <c r="F182" s="13">
        <v>450</v>
      </c>
      <c r="G182" s="13">
        <v>550</v>
      </c>
      <c r="H182" s="13">
        <v>450</v>
      </c>
      <c r="I182" s="13">
        <v>550</v>
      </c>
      <c r="J182" s="14">
        <v>130.86969999999999</v>
      </c>
      <c r="K182" s="13">
        <v>827</v>
      </c>
      <c r="L182" s="14">
        <v>107.5395</v>
      </c>
      <c r="M182" s="13">
        <v>827</v>
      </c>
      <c r="N182" s="14">
        <v>78.081000000000003</v>
      </c>
      <c r="O182" s="14">
        <v>320.52699999999999</v>
      </c>
      <c r="P182" s="13">
        <v>827</v>
      </c>
      <c r="Q182" s="14">
        <v>73.666399999999996</v>
      </c>
      <c r="R182" s="13">
        <f>MAX(MAX(1.4/[1]Parametros!$B$3,0.25*SQRT([1]Parametros!$B$2)/[1]Parametros!$B$3)*H182*U182,(0.85*[1]Parametros!$B$2/[1]Parametros!$B$3)*(1-SQRT(1-2*(J182*1000000/([1]Parametros!$B$5*H182*U182^2))/(0.85*[1]Parametros!$B$2)))*H182*U182)</f>
        <v>734.02500000000009</v>
      </c>
      <c r="S182" s="14">
        <v>4</v>
      </c>
      <c r="T182" s="14">
        <v>1</v>
      </c>
      <c r="U182" s="13">
        <f>IF(T182=1,I182-([1]Parametros!$B$7+[1]Parametros!$B$9+[1]Parametros!$B$12/2),I182-(ROUNDUP(S182/2,0)*([1]Parametros!$B$7+[1]Parametros!$B$9+[1]Parametros!$B$12/2)+ROUNDDOWN(S182/2,0)*([1]Parametros!$B$7+[1]Parametros!$B$9+[1]Parametros!$B$12/2+[1]Parametros!$B$12+[1]Parametros!$B$10))/S182)</f>
        <v>489.35</v>
      </c>
      <c r="V182" s="13">
        <f>S182*[1]Parametros!$B$8</f>
        <v>796</v>
      </c>
      <c r="W182" s="13">
        <f>[1]Parametros!$B$5*V182*[1]Parametros!$B$3*(U182-(V182*[1]Parametros!$B$3/(0.85*[1]Parametros!$B$2*H182))/2)/1000000</f>
        <v>142.54333009411764</v>
      </c>
      <c r="X182" s="13" t="str">
        <f t="shared" si="26"/>
        <v>CUMPLE</v>
      </c>
      <c r="Y182" s="13">
        <f>MAX(MAX(1.4/[1]Parametros!$B$3,0.25*SQRT([1]Parametros!$B$2)/[1]Parametros!$B$3)*H182*AB182,(0.85*[1]Parametros!$B$2/[1]Parametros!$B$3)*(1-SQRT(1-2*(L182*1000000/([1]Parametros!$B$5*H182*AB182^2))/(0.85*[1]Parametros!$B$2)))*H182*AB182)</f>
        <v>734.02500000000009</v>
      </c>
      <c r="Z182" s="14">
        <v>4</v>
      </c>
      <c r="AA182" s="14">
        <v>1</v>
      </c>
      <c r="AB182" s="13">
        <f>IF(AA182=1,I182-([1]Parametros!$B$7+[1]Parametros!$B$9+[1]Parametros!$B$12/2),I182-(ROUNDUP(Z182/2,0)*([1]Parametros!$B$7+[1]Parametros!$B$9+[1]Parametros!$B$12/2)+ROUNDDOWN(Z182/2,0)*([1]Parametros!$B$7+[1]Parametros!$B$9+[1]Parametros!$B$12/2+[1]Parametros!$B$12+[1]Parametros!$B$10))/Z182)</f>
        <v>489.35</v>
      </c>
      <c r="AC182" s="13">
        <f>Z182*[1]Parametros!$B$8</f>
        <v>796</v>
      </c>
      <c r="AD182" s="13">
        <f>[1]Parametros!$B$5*AC182*[1]Parametros!$B$3*(AB182-(AC182*[1]Parametros!$B$3/(0.85*[1]Parametros!$B$2*H182))/2)/1000000</f>
        <v>142.54333009411764</v>
      </c>
      <c r="AE182" s="13" t="str">
        <f t="shared" si="27"/>
        <v>CUMPLE</v>
      </c>
      <c r="AF182" s="13">
        <f>V182*1.25*[1]Parametros!$B$3*(U182-(V182*1.25*[1]Parametros!$B$3/(0.85*[1]Parametros!$B$2*H182))/2)/1000000</f>
        <v>196.34621794117646</v>
      </c>
      <c r="AG182" s="13">
        <f>AC182*1.25*[1]Parametros!$B$3*(AB182-(AC182*1.25*[1]Parametros!$B$3/(0.85*[1]Parametros!$B$2*H182))/2)/1000000</f>
        <v>196.34621794117646</v>
      </c>
      <c r="AH182" s="13">
        <f t="shared" si="28"/>
        <v>197.07870784313727</v>
      </c>
      <c r="AI182" s="13">
        <f t="shared" si="29"/>
        <v>320.52699999999999</v>
      </c>
      <c r="AJ182" s="13">
        <f>0.17*SQRT([1]Parametros!$B$2)*H182*MIN(U182,AB182)/1000</f>
        <v>198.08885582262698</v>
      </c>
      <c r="AK182" s="13">
        <f>MAX(AI182/[1]Parametros!$B$6-AJ182,0)</f>
        <v>229.28047751070633</v>
      </c>
      <c r="AL182" s="13">
        <f>0.66*SQRT([1]Parametros!$B$2)*H182*MIN(U182,AB182)/1000</f>
        <v>769.05085201725785</v>
      </c>
      <c r="AM182" s="13" t="str">
        <f t="shared" si="30"/>
        <v>CUMPLE</v>
      </c>
      <c r="AN182" s="13" t="s">
        <v>68</v>
      </c>
      <c r="AO182" s="14">
        <v>2</v>
      </c>
      <c r="AP182" s="13">
        <f>ROUNDDOWN(MIN(IF(BC182+BD182=0,1000000000,AO182*BB182/(BC182+BD182)),MIN(U182,AB182)/4,8*[1]Parametros!$B$12,24*BA182,300,IF(AV182=0,1000000000,2*((H182-2*([1]Parametros!$B$7+[1]Parametros!$B$9/2))+(I182-2*([1]Parametros!$B$7+[1]Parametros!$B$9/2)))/8))/10,0)*10</f>
        <v>90</v>
      </c>
      <c r="AQ182" s="13">
        <f>ROUNDDOWN(MIN(IF(BC182+BD182=0,1000000000,AO182*BB182/(BC182+BD182)),IF(AK182&gt;0.33*SQRT([1]Parametros!$B$2)*H182*MIN(U182,AB182)/1000,MIN(U182,AB182)/4,MIN(U182,AB182)/2),600,IF(AV182=0,1000000000,2*((H182-2*([1]Parametros!$B$7+[1]Parametros!$B$9/2))+(I182-2*([1]Parametros!$B$7+[1]Parametros!$B$9/2)))/8))/10,0)*10</f>
        <v>90</v>
      </c>
      <c r="AR182" s="13">
        <f>[1]Parametros!$B$6*(AJ182+MAX(BE182-BD182,0)*[1]Parametros!$B$4*MIN(U182,AB182)/1000)</f>
        <v>330.89080905259823</v>
      </c>
      <c r="AS182" s="13" t="str">
        <f t="shared" si="31"/>
        <v>CUMPLE</v>
      </c>
      <c r="AT182" s="13">
        <f>[1]Parametros!$B$6*0.083*SQRT([1]Parametros!$B$2)*(H182*I182)^2/(2*(H182+I182))/1000000</f>
        <v>10.08878303333792</v>
      </c>
      <c r="AU182" s="13" t="str">
        <f t="shared" si="32"/>
        <v>DISEÑAR</v>
      </c>
      <c r="AV182" s="13">
        <f>IF(Q182&lt;=AT182,0,Q182*1000000/([1]Parametros!$B$6*2*0.85*(H182-2*([1]Parametros!$B$7+[1]Parametros!$B$9/2))*(I182-2*([1]Parametros!$B$7+[1]Parametros!$B$9/2))*[1]Parametros!$B$4))</f>
        <v>0.84192955285476534</v>
      </c>
      <c r="AW182" s="13">
        <f>AV182*2*((H182-2*([1]Parametros!$B$7+[1]Parametros!$B$9/2))+(I182-2*([1]Parametros!$B$7+[1]Parametros!$B$9/2)))*[1]Parametros!$B$4/[1]Parametros!$B$3</f>
        <v>1371.6716275109839</v>
      </c>
      <c r="AX182" s="14">
        <v>8</v>
      </c>
      <c r="AY182" s="13" t="str">
        <f t="shared" si="33"/>
        <v>CUMPLE</v>
      </c>
      <c r="AZ182" s="13" t="str">
        <f t="shared" si="34"/>
        <v>CUMPLE</v>
      </c>
      <c r="BA182" s="14">
        <v>12.7</v>
      </c>
      <c r="BB182" s="14">
        <v>129</v>
      </c>
      <c r="BC182" s="13">
        <f>MAX(IF(AK182=0,0,AK182*1000/([1]Parametros!$B$4*MIN(U182,AB182))),MAX(0.062*SQRT([1]Parametros!$B$2)*H182/[1]Parametros!$B$4,0.35*H182/[1]Parametros!$B$4))</f>
        <v>1.1155735135077451</v>
      </c>
      <c r="BD182" s="13">
        <f t="shared" si="35"/>
        <v>1.6838591057095307</v>
      </c>
      <c r="BE182" s="13">
        <f t="shared" si="36"/>
        <v>2.8666666666666667</v>
      </c>
      <c r="BF182" s="13">
        <f>SQRT((AI182*1000/(H182*MIN(U182,AB182)))^2+(Q182*1000000*2*((H182-2*([1]Parametros!$B$7+[1]Parametros!$B$9/2))+(I182-2*([1]Parametros!$B$7+[1]Parametros!$B$9/2)))/(1.7*((H182-2*([1]Parametros!$B$7+[1]Parametros!$B$9/2))*(I182-2*([1]Parametros!$B$7+[1]Parametros!$B$9/2)))^2))^2)</f>
        <v>3.0185275450392082</v>
      </c>
      <c r="BG182" s="13">
        <f>[1]Parametros!$B$6*(AJ182*1000/(H182*MIN(U182,AB182))+0.66*SQRT([1]Parametros!$B$2))</f>
        <v>3.2939603822754151</v>
      </c>
      <c r="BH182" s="13" t="str">
        <f t="shared" si="37"/>
        <v>CUMPLE</v>
      </c>
      <c r="BI182" s="13">
        <f>AX182*[1]Parametros!$B$8</f>
        <v>1592</v>
      </c>
      <c r="BJ182" s="15" t="str">
        <f t="shared" si="38"/>
        <v>CUMPLE</v>
      </c>
    </row>
    <row r="183" spans="1:62" x14ac:dyDescent="0.3">
      <c r="A183" s="22" t="s">
        <v>71</v>
      </c>
      <c r="B183" s="23">
        <v>828</v>
      </c>
      <c r="C183" s="13">
        <v>1</v>
      </c>
      <c r="D183" s="13">
        <v>3.25</v>
      </c>
      <c r="E183" s="13">
        <v>3.25</v>
      </c>
      <c r="F183" s="13">
        <v>450</v>
      </c>
      <c r="G183" s="13">
        <v>550</v>
      </c>
      <c r="H183" s="13">
        <v>450</v>
      </c>
      <c r="I183" s="13">
        <v>550</v>
      </c>
      <c r="J183" s="14">
        <v>129.64750000000001</v>
      </c>
      <c r="K183" s="13">
        <v>828</v>
      </c>
      <c r="L183" s="14">
        <v>106.1403</v>
      </c>
      <c r="M183" s="13">
        <v>828</v>
      </c>
      <c r="N183" s="14">
        <v>74.715000000000003</v>
      </c>
      <c r="O183" s="14">
        <v>299.60199999999998</v>
      </c>
      <c r="P183" s="13">
        <v>828</v>
      </c>
      <c r="Q183" s="14">
        <v>5.2872000000000003</v>
      </c>
      <c r="R183" s="13">
        <f>MAX(MAX(1.4/[1]Parametros!$B$3,0.25*SQRT([1]Parametros!$B$2)/[1]Parametros!$B$3)*H183*U183,(0.85*[1]Parametros!$B$2/[1]Parametros!$B$3)*(1-SQRT(1-2*(J183*1000000/([1]Parametros!$B$5*H183*U183^2))/(0.85*[1]Parametros!$B$2)))*H183*U183)</f>
        <v>734.02500000000009</v>
      </c>
      <c r="S183" s="14">
        <v>4</v>
      </c>
      <c r="T183" s="14">
        <v>1</v>
      </c>
      <c r="U183" s="13">
        <f>IF(T183=1,I183-([1]Parametros!$B$7+[1]Parametros!$B$9+[1]Parametros!$B$12/2),I183-(ROUNDUP(S183/2,0)*([1]Parametros!$B$7+[1]Parametros!$B$9+[1]Parametros!$B$12/2)+ROUNDDOWN(S183/2,0)*([1]Parametros!$B$7+[1]Parametros!$B$9+[1]Parametros!$B$12/2+[1]Parametros!$B$12+[1]Parametros!$B$10))/S183)</f>
        <v>489.35</v>
      </c>
      <c r="V183" s="13">
        <f>S183*[1]Parametros!$B$8</f>
        <v>796</v>
      </c>
      <c r="W183" s="13">
        <f>[1]Parametros!$B$5*V183*[1]Parametros!$B$3*(U183-(V183*[1]Parametros!$B$3/(0.85*[1]Parametros!$B$2*H183))/2)/1000000</f>
        <v>142.54333009411764</v>
      </c>
      <c r="X183" s="13" t="str">
        <f t="shared" si="26"/>
        <v>CUMPLE</v>
      </c>
      <c r="Y183" s="13">
        <f>MAX(MAX(1.4/[1]Parametros!$B$3,0.25*SQRT([1]Parametros!$B$2)/[1]Parametros!$B$3)*H183*AB183,(0.85*[1]Parametros!$B$2/[1]Parametros!$B$3)*(1-SQRT(1-2*(L183*1000000/([1]Parametros!$B$5*H183*AB183^2))/(0.85*[1]Parametros!$B$2)))*H183*AB183)</f>
        <v>734.02500000000009</v>
      </c>
      <c r="Z183" s="14">
        <v>4</v>
      </c>
      <c r="AA183" s="14">
        <v>1</v>
      </c>
      <c r="AB183" s="13">
        <f>IF(AA183=1,I183-([1]Parametros!$B$7+[1]Parametros!$B$9+[1]Parametros!$B$12/2),I183-(ROUNDUP(Z183/2,0)*([1]Parametros!$B$7+[1]Parametros!$B$9+[1]Parametros!$B$12/2)+ROUNDDOWN(Z183/2,0)*([1]Parametros!$B$7+[1]Parametros!$B$9+[1]Parametros!$B$12/2+[1]Parametros!$B$12+[1]Parametros!$B$10))/Z183)</f>
        <v>489.35</v>
      </c>
      <c r="AC183" s="13">
        <f>Z183*[1]Parametros!$B$8</f>
        <v>796</v>
      </c>
      <c r="AD183" s="13">
        <f>[1]Parametros!$B$5*AC183*[1]Parametros!$B$3*(AB183-(AC183*[1]Parametros!$B$3/(0.85*[1]Parametros!$B$2*H183))/2)/1000000</f>
        <v>142.54333009411764</v>
      </c>
      <c r="AE183" s="13" t="str">
        <f t="shared" si="27"/>
        <v>CUMPLE</v>
      </c>
      <c r="AF183" s="13">
        <f>V183*1.25*[1]Parametros!$B$3*(U183-(V183*1.25*[1]Parametros!$B$3/(0.85*[1]Parametros!$B$2*H183))/2)/1000000</f>
        <v>196.34621794117646</v>
      </c>
      <c r="AG183" s="13">
        <f>AC183*1.25*[1]Parametros!$B$3*(AB183-(AC183*1.25*[1]Parametros!$B$3/(0.85*[1]Parametros!$B$2*H183))/2)/1000000</f>
        <v>196.34621794117646</v>
      </c>
      <c r="AH183" s="13">
        <f t="shared" si="28"/>
        <v>195.54344180995474</v>
      </c>
      <c r="AI183" s="13">
        <f t="shared" si="29"/>
        <v>299.60199999999998</v>
      </c>
      <c r="AJ183" s="13">
        <f>0.17*SQRT([1]Parametros!$B$2)*H183*MIN(U183,AB183)/1000</f>
        <v>198.08885582262698</v>
      </c>
      <c r="AK183" s="13">
        <f>MAX(AI183/[1]Parametros!$B$6-AJ183,0)</f>
        <v>201.3804775107063</v>
      </c>
      <c r="AL183" s="13">
        <f>0.66*SQRT([1]Parametros!$B$2)*H183*MIN(U183,AB183)/1000</f>
        <v>769.05085201725785</v>
      </c>
      <c r="AM183" s="13" t="str">
        <f t="shared" si="30"/>
        <v>CUMPLE</v>
      </c>
      <c r="AN183" s="13" t="s">
        <v>64</v>
      </c>
      <c r="AO183" s="14">
        <v>2</v>
      </c>
      <c r="AP183" s="13">
        <f>ROUNDDOWN(MIN(IF(BC183+BD183=0,1000000000,AO183*BB183/(BC183+BD183)),MIN(U183,AB183)/4,8*[1]Parametros!$B$12,24*BA183,300,IF(AV183=0,1000000000,2*((H183-2*([1]Parametros!$B$7+[1]Parametros!$B$9/2))+(I183-2*([1]Parametros!$B$7+[1]Parametros!$B$9/2)))/8))/10,0)*10</f>
        <v>120</v>
      </c>
      <c r="AQ183" s="13">
        <f>ROUNDDOWN(MIN(IF(BC183+BD183=0,1000000000,AO183*BB183/(BC183+BD183)),IF(AK183&gt;0.33*SQRT([1]Parametros!$B$2)*H183*MIN(U183,AB183)/1000,MIN(U183,AB183)/4,MIN(U183,AB183)/2),600,IF(AV183=0,1000000000,2*((H183-2*([1]Parametros!$B$7+[1]Parametros!$B$9/2))+(I183-2*([1]Parametros!$B$7+[1]Parametros!$B$9/2)))/8))/10,0)*10</f>
        <v>140</v>
      </c>
      <c r="AR183" s="13">
        <f>[1]Parametros!$B$6*(AJ183+MAX(BE183-BD183,0)*[1]Parametros!$B$4*MIN(U183,AB183)/1000)</f>
        <v>330.97185436697026</v>
      </c>
      <c r="AS183" s="13" t="str">
        <f t="shared" si="31"/>
        <v>CUMPLE</v>
      </c>
      <c r="AT183" s="13">
        <f>[1]Parametros!$B$6*0.083*SQRT([1]Parametros!$B$2)*(H183*I183)^2/(2*(H183+I183))/1000000</f>
        <v>10.08878303333792</v>
      </c>
      <c r="AU183" s="13" t="str">
        <f t="shared" si="32"/>
        <v>DESPRECIABLE</v>
      </c>
      <c r="AV183" s="13">
        <f>IF(Q183&lt;=AT183,0,Q183*1000000/([1]Parametros!$B$6*2*0.85*(H183-2*([1]Parametros!$B$7+[1]Parametros!$B$9/2))*(I183-2*([1]Parametros!$B$7+[1]Parametros!$B$9/2))*[1]Parametros!$B$4))</f>
        <v>0</v>
      </c>
      <c r="AW183" s="13">
        <f>AV183*2*((H183-2*([1]Parametros!$B$7+[1]Parametros!$B$9/2))+(I183-2*([1]Parametros!$B$7+[1]Parametros!$B$9/2)))*[1]Parametros!$B$4/[1]Parametros!$B$3</f>
        <v>0</v>
      </c>
      <c r="AX183" s="14">
        <v>0</v>
      </c>
      <c r="AY183" s="13" t="str">
        <f t="shared" si="33"/>
        <v>DESPRECIABLE</v>
      </c>
      <c r="AZ183" s="13" t="str">
        <f t="shared" si="34"/>
        <v>CUMPLE</v>
      </c>
      <c r="BA183" s="14">
        <v>9.5</v>
      </c>
      <c r="BB183" s="14">
        <v>71</v>
      </c>
      <c r="BC183" s="13">
        <f>MAX(IF(AK183=0,0,AK183*1000/([1]Parametros!$B$4*MIN(U183,AB183))),MAX(0.062*SQRT([1]Parametros!$B$2)*H183/[1]Parametros!$B$4,0.35*H183/[1]Parametros!$B$4))</f>
        <v>0.97982492573095648</v>
      </c>
      <c r="BD183" s="13">
        <f t="shared" si="35"/>
        <v>0</v>
      </c>
      <c r="BE183" s="13">
        <f t="shared" si="36"/>
        <v>1.1833333333333333</v>
      </c>
      <c r="BF183" s="13">
        <f>SQRT((AI183*1000/(H183*MIN(U183,AB183)))^2+(Q183*1000000*2*((H183-2*([1]Parametros!$B$7+[1]Parametros!$B$9/2))+(I183-2*([1]Parametros!$B$7+[1]Parametros!$B$9/2)))/(1.7*((H183-2*([1]Parametros!$B$7+[1]Parametros!$B$9/2))*(I183-2*([1]Parametros!$B$7+[1]Parametros!$B$9/2)))^2))^2)</f>
        <v>1.3737182669410108</v>
      </c>
      <c r="BG183" s="13">
        <f>[1]Parametros!$B$6*(AJ183*1000/(H183*MIN(U183,AB183))+0.66*SQRT([1]Parametros!$B$2))</f>
        <v>3.2939603822754151</v>
      </c>
      <c r="BH183" s="13" t="str">
        <f t="shared" si="37"/>
        <v>CUMPLE</v>
      </c>
      <c r="BI183" s="13">
        <f>AX183*[1]Parametros!$B$8</f>
        <v>0</v>
      </c>
      <c r="BJ183" s="15" t="str">
        <f t="shared" si="38"/>
        <v>CUMPLE</v>
      </c>
    </row>
    <row r="184" spans="1:62" x14ac:dyDescent="0.3">
      <c r="A184" s="22" t="s">
        <v>71</v>
      </c>
      <c r="B184" s="23">
        <v>837</v>
      </c>
      <c r="C184" s="13">
        <v>1</v>
      </c>
      <c r="D184" s="13">
        <v>3.25</v>
      </c>
      <c r="E184" s="13">
        <v>3.25</v>
      </c>
      <c r="F184" s="13">
        <v>450</v>
      </c>
      <c r="G184" s="13">
        <v>550</v>
      </c>
      <c r="H184" s="13">
        <v>450</v>
      </c>
      <c r="I184" s="13">
        <v>550</v>
      </c>
      <c r="J184" s="14">
        <v>129.6447</v>
      </c>
      <c r="K184" s="13">
        <v>837</v>
      </c>
      <c r="L184" s="14">
        <v>106.13160000000001</v>
      </c>
      <c r="M184" s="13">
        <v>837</v>
      </c>
      <c r="N184" s="14">
        <v>74.712000000000003</v>
      </c>
      <c r="O184" s="14">
        <v>299.62799999999999</v>
      </c>
      <c r="P184" s="13">
        <v>837</v>
      </c>
      <c r="Q184" s="14">
        <v>5.2701000000000002</v>
      </c>
      <c r="R184" s="13">
        <f>MAX(MAX(1.4/[1]Parametros!$B$3,0.25*SQRT([1]Parametros!$B$2)/[1]Parametros!$B$3)*H184*U184,(0.85*[1]Parametros!$B$2/[1]Parametros!$B$3)*(1-SQRT(1-2*(J184*1000000/([1]Parametros!$B$5*H184*U184^2))/(0.85*[1]Parametros!$B$2)))*H184*U184)</f>
        <v>734.02500000000009</v>
      </c>
      <c r="S184" s="14">
        <v>4</v>
      </c>
      <c r="T184" s="14">
        <v>1</v>
      </c>
      <c r="U184" s="13">
        <f>IF(T184=1,I184-([1]Parametros!$B$7+[1]Parametros!$B$9+[1]Parametros!$B$12/2),I184-(ROUNDUP(S184/2,0)*([1]Parametros!$B$7+[1]Parametros!$B$9+[1]Parametros!$B$12/2)+ROUNDDOWN(S184/2,0)*([1]Parametros!$B$7+[1]Parametros!$B$9+[1]Parametros!$B$12/2+[1]Parametros!$B$12+[1]Parametros!$B$10))/S184)</f>
        <v>489.35</v>
      </c>
      <c r="V184" s="13">
        <f>S184*[1]Parametros!$B$8</f>
        <v>796</v>
      </c>
      <c r="W184" s="13">
        <f>[1]Parametros!$B$5*V184*[1]Parametros!$B$3*(U184-(V184*[1]Parametros!$B$3/(0.85*[1]Parametros!$B$2*H184))/2)/1000000</f>
        <v>142.54333009411764</v>
      </c>
      <c r="X184" s="13" t="str">
        <f t="shared" si="26"/>
        <v>CUMPLE</v>
      </c>
      <c r="Y184" s="13">
        <f>MAX(MAX(1.4/[1]Parametros!$B$3,0.25*SQRT([1]Parametros!$B$2)/[1]Parametros!$B$3)*H184*AB184,(0.85*[1]Parametros!$B$2/[1]Parametros!$B$3)*(1-SQRT(1-2*(L184*1000000/([1]Parametros!$B$5*H184*AB184^2))/(0.85*[1]Parametros!$B$2)))*H184*AB184)</f>
        <v>734.02500000000009</v>
      </c>
      <c r="Z184" s="14">
        <v>4</v>
      </c>
      <c r="AA184" s="14">
        <v>1</v>
      </c>
      <c r="AB184" s="13">
        <f>IF(AA184=1,I184-([1]Parametros!$B$7+[1]Parametros!$B$9+[1]Parametros!$B$12/2),I184-(ROUNDUP(Z184/2,0)*([1]Parametros!$B$7+[1]Parametros!$B$9+[1]Parametros!$B$12/2)+ROUNDDOWN(Z184/2,0)*([1]Parametros!$B$7+[1]Parametros!$B$9+[1]Parametros!$B$12/2+[1]Parametros!$B$12+[1]Parametros!$B$10))/Z184)</f>
        <v>489.35</v>
      </c>
      <c r="AC184" s="13">
        <f>Z184*[1]Parametros!$B$8</f>
        <v>796</v>
      </c>
      <c r="AD184" s="13">
        <f>[1]Parametros!$B$5*AC184*[1]Parametros!$B$3*(AB184-(AC184*[1]Parametros!$B$3/(0.85*[1]Parametros!$B$2*H184))/2)/1000000</f>
        <v>142.54333009411764</v>
      </c>
      <c r="AE184" s="13" t="str">
        <f t="shared" si="27"/>
        <v>CUMPLE</v>
      </c>
      <c r="AF184" s="13">
        <f>V184*1.25*[1]Parametros!$B$3*(U184-(V184*1.25*[1]Parametros!$B$3/(0.85*[1]Parametros!$B$2*H184))/2)/1000000</f>
        <v>196.34621794117646</v>
      </c>
      <c r="AG184" s="13">
        <f>AC184*1.25*[1]Parametros!$B$3*(AB184-(AC184*1.25*[1]Parametros!$B$3/(0.85*[1]Parametros!$B$2*H184))/2)/1000000</f>
        <v>196.34621794117646</v>
      </c>
      <c r="AH184" s="13">
        <f t="shared" si="28"/>
        <v>195.54044180995476</v>
      </c>
      <c r="AI184" s="13">
        <f t="shared" si="29"/>
        <v>299.62799999999999</v>
      </c>
      <c r="AJ184" s="13">
        <f>0.17*SQRT([1]Parametros!$B$2)*H184*MIN(U184,AB184)/1000</f>
        <v>198.08885582262698</v>
      </c>
      <c r="AK184" s="13">
        <f>MAX(AI184/[1]Parametros!$B$6-AJ184,0)</f>
        <v>201.41514417737298</v>
      </c>
      <c r="AL184" s="13">
        <f>0.66*SQRT([1]Parametros!$B$2)*H184*MIN(U184,AB184)/1000</f>
        <v>769.05085201725785</v>
      </c>
      <c r="AM184" s="13" t="str">
        <f t="shared" si="30"/>
        <v>CUMPLE</v>
      </c>
      <c r="AN184" s="13" t="s">
        <v>64</v>
      </c>
      <c r="AO184" s="14">
        <v>2</v>
      </c>
      <c r="AP184" s="13">
        <f>ROUNDDOWN(MIN(IF(BC184+BD184=0,1000000000,AO184*BB184/(BC184+BD184)),MIN(U184,AB184)/4,8*[1]Parametros!$B$12,24*BA184,300,IF(AV184=0,1000000000,2*((H184-2*([1]Parametros!$B$7+[1]Parametros!$B$9/2))+(I184-2*([1]Parametros!$B$7+[1]Parametros!$B$9/2)))/8))/10,0)*10</f>
        <v>120</v>
      </c>
      <c r="AQ184" s="13">
        <f>ROUNDDOWN(MIN(IF(BC184+BD184=0,1000000000,AO184*BB184/(BC184+BD184)),IF(AK184&gt;0.33*SQRT([1]Parametros!$B$2)*H184*MIN(U184,AB184)/1000,MIN(U184,AB184)/4,MIN(U184,AB184)/2),600,IF(AV184=0,1000000000,2*((H184-2*([1]Parametros!$B$7+[1]Parametros!$B$9/2))+(I184-2*([1]Parametros!$B$7+[1]Parametros!$B$9/2)))/8))/10,0)*10</f>
        <v>140</v>
      </c>
      <c r="AR184" s="13">
        <f>[1]Parametros!$B$6*(AJ184+MAX(BE184-BD184,0)*[1]Parametros!$B$4*MIN(U184,AB184)/1000)</f>
        <v>330.97185436697026</v>
      </c>
      <c r="AS184" s="13" t="str">
        <f t="shared" si="31"/>
        <v>CUMPLE</v>
      </c>
      <c r="AT184" s="13">
        <f>[1]Parametros!$B$6*0.083*SQRT([1]Parametros!$B$2)*(H184*I184)^2/(2*(H184+I184))/1000000</f>
        <v>10.08878303333792</v>
      </c>
      <c r="AU184" s="13" t="str">
        <f t="shared" si="32"/>
        <v>DESPRECIABLE</v>
      </c>
      <c r="AV184" s="13">
        <f>IF(Q184&lt;=AT184,0,Q184*1000000/([1]Parametros!$B$6*2*0.85*(H184-2*([1]Parametros!$B$7+[1]Parametros!$B$9/2))*(I184-2*([1]Parametros!$B$7+[1]Parametros!$B$9/2))*[1]Parametros!$B$4))</f>
        <v>0</v>
      </c>
      <c r="AW184" s="13">
        <f>AV184*2*((H184-2*([1]Parametros!$B$7+[1]Parametros!$B$9/2))+(I184-2*([1]Parametros!$B$7+[1]Parametros!$B$9/2)))*[1]Parametros!$B$4/[1]Parametros!$B$3</f>
        <v>0</v>
      </c>
      <c r="AX184" s="14">
        <v>0</v>
      </c>
      <c r="AY184" s="13" t="str">
        <f t="shared" si="33"/>
        <v>DESPRECIABLE</v>
      </c>
      <c r="AZ184" s="13" t="str">
        <f t="shared" si="34"/>
        <v>CUMPLE</v>
      </c>
      <c r="BA184" s="14">
        <v>9.5</v>
      </c>
      <c r="BB184" s="14">
        <v>71</v>
      </c>
      <c r="BC184" s="13">
        <f>MAX(IF(AK184=0,0,AK184*1000/([1]Parametros!$B$4*MIN(U184,AB184))),MAX(0.062*SQRT([1]Parametros!$B$2)*H184/[1]Parametros!$B$4,0.35*H184/[1]Parametros!$B$4))</f>
        <v>0.97999359781134832</v>
      </c>
      <c r="BD184" s="13">
        <f t="shared" si="35"/>
        <v>0</v>
      </c>
      <c r="BE184" s="13">
        <f t="shared" si="36"/>
        <v>1.1833333333333333</v>
      </c>
      <c r="BF184" s="13">
        <f>SQRT((AI184*1000/(H184*MIN(U184,AB184)))^2+(Q184*1000000*2*((H184-2*([1]Parametros!$B$7+[1]Parametros!$B$9/2))+(I184-2*([1]Parametros!$B$7+[1]Parametros!$B$9/2)))/(1.7*((H184-2*([1]Parametros!$B$7+[1]Parametros!$B$9/2))*(I184-2*([1]Parametros!$B$7+[1]Parametros!$B$9/2)))^2))^2)</f>
        <v>1.3737505386353916</v>
      </c>
      <c r="BG184" s="13">
        <f>[1]Parametros!$B$6*(AJ184*1000/(H184*MIN(U184,AB184))+0.66*SQRT([1]Parametros!$B$2))</f>
        <v>3.2939603822754151</v>
      </c>
      <c r="BH184" s="13" t="str">
        <f t="shared" si="37"/>
        <v>CUMPLE</v>
      </c>
      <c r="BI184" s="13">
        <f>AX184*[1]Parametros!$B$8</f>
        <v>0</v>
      </c>
      <c r="BJ184" s="15" t="str">
        <f t="shared" si="38"/>
        <v>CUMPLE</v>
      </c>
    </row>
    <row r="185" spans="1:62" x14ac:dyDescent="0.3">
      <c r="A185" s="22" t="s">
        <v>71</v>
      </c>
      <c r="B185" s="23">
        <v>838</v>
      </c>
      <c r="C185" s="13">
        <v>1</v>
      </c>
      <c r="D185" s="13">
        <v>3.3</v>
      </c>
      <c r="E185" s="13">
        <v>3.3</v>
      </c>
      <c r="F185" s="13">
        <v>450</v>
      </c>
      <c r="G185" s="13">
        <v>550</v>
      </c>
      <c r="H185" s="13">
        <v>450</v>
      </c>
      <c r="I185" s="13">
        <v>550</v>
      </c>
      <c r="J185" s="14">
        <v>130.83590000000001</v>
      </c>
      <c r="K185" s="13">
        <v>838</v>
      </c>
      <c r="L185" s="14">
        <v>107.55240000000001</v>
      </c>
      <c r="M185" s="13">
        <v>838</v>
      </c>
      <c r="N185" s="14">
        <v>78.063000000000002</v>
      </c>
      <c r="O185" s="14">
        <v>320.50299999999999</v>
      </c>
      <c r="P185" s="13">
        <v>838</v>
      </c>
      <c r="Q185" s="14">
        <v>73.568399999999997</v>
      </c>
      <c r="R185" s="13">
        <f>MAX(MAX(1.4/[1]Parametros!$B$3,0.25*SQRT([1]Parametros!$B$2)/[1]Parametros!$B$3)*H185*U185,(0.85*[1]Parametros!$B$2/[1]Parametros!$B$3)*(1-SQRT(1-2*(J185*1000000/([1]Parametros!$B$5*H185*U185^2))/(0.85*[1]Parametros!$B$2)))*H185*U185)</f>
        <v>734.02500000000009</v>
      </c>
      <c r="S185" s="14">
        <v>4</v>
      </c>
      <c r="T185" s="14">
        <v>1</v>
      </c>
      <c r="U185" s="13">
        <f>IF(T185=1,I185-([1]Parametros!$B$7+[1]Parametros!$B$9+[1]Parametros!$B$12/2),I185-(ROUNDUP(S185/2,0)*([1]Parametros!$B$7+[1]Parametros!$B$9+[1]Parametros!$B$12/2)+ROUNDDOWN(S185/2,0)*([1]Parametros!$B$7+[1]Parametros!$B$9+[1]Parametros!$B$12/2+[1]Parametros!$B$12+[1]Parametros!$B$10))/S185)</f>
        <v>489.35</v>
      </c>
      <c r="V185" s="13">
        <f>S185*[1]Parametros!$B$8</f>
        <v>796</v>
      </c>
      <c r="W185" s="13">
        <f>[1]Parametros!$B$5*V185*[1]Parametros!$B$3*(U185-(V185*[1]Parametros!$B$3/(0.85*[1]Parametros!$B$2*H185))/2)/1000000</f>
        <v>142.54333009411764</v>
      </c>
      <c r="X185" s="13" t="str">
        <f t="shared" si="26"/>
        <v>CUMPLE</v>
      </c>
      <c r="Y185" s="13">
        <f>MAX(MAX(1.4/[1]Parametros!$B$3,0.25*SQRT([1]Parametros!$B$2)/[1]Parametros!$B$3)*H185*AB185,(0.85*[1]Parametros!$B$2/[1]Parametros!$B$3)*(1-SQRT(1-2*(L185*1000000/([1]Parametros!$B$5*H185*AB185^2))/(0.85*[1]Parametros!$B$2)))*H185*AB185)</f>
        <v>734.02500000000009</v>
      </c>
      <c r="Z185" s="14">
        <v>4</v>
      </c>
      <c r="AA185" s="14">
        <v>1</v>
      </c>
      <c r="AB185" s="13">
        <f>IF(AA185=1,I185-([1]Parametros!$B$7+[1]Parametros!$B$9+[1]Parametros!$B$12/2),I185-(ROUNDUP(Z185/2,0)*([1]Parametros!$B$7+[1]Parametros!$B$9+[1]Parametros!$B$12/2)+ROUNDDOWN(Z185/2,0)*([1]Parametros!$B$7+[1]Parametros!$B$9+[1]Parametros!$B$12/2+[1]Parametros!$B$12+[1]Parametros!$B$10))/Z185)</f>
        <v>489.35</v>
      </c>
      <c r="AC185" s="13">
        <f>Z185*[1]Parametros!$B$8</f>
        <v>796</v>
      </c>
      <c r="AD185" s="13">
        <f>[1]Parametros!$B$5*AC185*[1]Parametros!$B$3*(AB185-(AC185*[1]Parametros!$B$3/(0.85*[1]Parametros!$B$2*H185))/2)/1000000</f>
        <v>142.54333009411764</v>
      </c>
      <c r="AE185" s="13" t="str">
        <f t="shared" si="27"/>
        <v>CUMPLE</v>
      </c>
      <c r="AF185" s="13">
        <f>V185*1.25*[1]Parametros!$B$3*(U185-(V185*1.25*[1]Parametros!$B$3/(0.85*[1]Parametros!$B$2*H185))/2)/1000000</f>
        <v>196.34621794117646</v>
      </c>
      <c r="AG185" s="13">
        <f>AC185*1.25*[1]Parametros!$B$3*(AB185-(AC185*1.25*[1]Parametros!$B$3/(0.85*[1]Parametros!$B$2*H185))/2)/1000000</f>
        <v>196.34621794117646</v>
      </c>
      <c r="AH185" s="13">
        <f t="shared" si="28"/>
        <v>197.06070784313727</v>
      </c>
      <c r="AI185" s="13">
        <f t="shared" si="29"/>
        <v>320.50299999999999</v>
      </c>
      <c r="AJ185" s="13">
        <f>0.17*SQRT([1]Parametros!$B$2)*H185*MIN(U185,AB185)/1000</f>
        <v>198.08885582262698</v>
      </c>
      <c r="AK185" s="13">
        <f>MAX(AI185/[1]Parametros!$B$6-AJ185,0)</f>
        <v>229.24847751070635</v>
      </c>
      <c r="AL185" s="13">
        <f>0.66*SQRT([1]Parametros!$B$2)*H185*MIN(U185,AB185)/1000</f>
        <v>769.05085201725785</v>
      </c>
      <c r="AM185" s="13" t="str">
        <f t="shared" si="30"/>
        <v>CUMPLE</v>
      </c>
      <c r="AN185" s="13" t="s">
        <v>68</v>
      </c>
      <c r="AO185" s="14">
        <v>2</v>
      </c>
      <c r="AP185" s="13">
        <f>ROUNDDOWN(MIN(IF(BC185+BD185=0,1000000000,AO185*BB185/(BC185+BD185)),MIN(U185,AB185)/4,8*[1]Parametros!$B$12,24*BA185,300,IF(AV185=0,1000000000,2*((H185-2*([1]Parametros!$B$7+[1]Parametros!$B$9/2))+(I185-2*([1]Parametros!$B$7+[1]Parametros!$B$9/2)))/8))/10,0)*10</f>
        <v>90</v>
      </c>
      <c r="AQ185" s="13">
        <f>ROUNDDOWN(MIN(IF(BC185+BD185=0,1000000000,AO185*BB185/(BC185+BD185)),IF(AK185&gt;0.33*SQRT([1]Parametros!$B$2)*H185*MIN(U185,AB185)/1000,MIN(U185,AB185)/4,MIN(U185,AB185)/2),600,IF(AV185=0,1000000000,2*((H185-2*([1]Parametros!$B$7+[1]Parametros!$B$9/2))+(I185-2*([1]Parametros!$B$7+[1]Parametros!$B$9/2)))/8))/10,0)*10</f>
        <v>90</v>
      </c>
      <c r="AR185" s="13">
        <f>[1]Parametros!$B$6*(AJ185+MAX(BE185-BD185,0)*[1]Parametros!$B$4*MIN(U185,AB185)/1000)</f>
        <v>331.23610582990523</v>
      </c>
      <c r="AS185" s="13" t="str">
        <f t="shared" si="31"/>
        <v>CUMPLE</v>
      </c>
      <c r="AT185" s="13">
        <f>[1]Parametros!$B$6*0.083*SQRT([1]Parametros!$B$2)*(H185*I185)^2/(2*(H185+I185))/1000000</f>
        <v>10.08878303333792</v>
      </c>
      <c r="AU185" s="13" t="str">
        <f t="shared" si="32"/>
        <v>DISEÑAR</v>
      </c>
      <c r="AV185" s="13">
        <f>IF(Q185&lt;=AT185,0,Q185*1000000/([1]Parametros!$B$6*2*0.85*(H185-2*([1]Parametros!$B$7+[1]Parametros!$B$9/2))*(I185-2*([1]Parametros!$B$7+[1]Parametros!$B$9/2))*[1]Parametros!$B$4))</f>
        <v>0.84080951582051677</v>
      </c>
      <c r="AW185" s="13">
        <f>AV185*2*((H185-2*([1]Parametros!$B$7+[1]Parametros!$B$9/2))+(I185-2*([1]Parametros!$B$7+[1]Parametros!$B$9/2)))*[1]Parametros!$B$4/[1]Parametros!$B$3</f>
        <v>1369.846863174786</v>
      </c>
      <c r="AX185" s="14">
        <v>8</v>
      </c>
      <c r="AY185" s="13" t="str">
        <f t="shared" si="33"/>
        <v>CUMPLE</v>
      </c>
      <c r="AZ185" s="13" t="str">
        <f t="shared" si="34"/>
        <v>CUMPLE</v>
      </c>
      <c r="BA185" s="14">
        <v>12.7</v>
      </c>
      <c r="BB185" s="14">
        <v>129</v>
      </c>
      <c r="BC185" s="13">
        <f>MAX(IF(AK185=0,0,AK185*1000/([1]Parametros!$B$4*MIN(U185,AB185))),MAX(0.062*SQRT([1]Parametros!$B$2)*H185/[1]Parametros!$B$4,0.35*H185/[1]Parametros!$B$4))</f>
        <v>1.1154178162027681</v>
      </c>
      <c r="BD185" s="13">
        <f t="shared" si="35"/>
        <v>1.6816190316410335</v>
      </c>
      <c r="BE185" s="13">
        <f t="shared" si="36"/>
        <v>2.8666666666666667</v>
      </c>
      <c r="BF185" s="13">
        <f>SQRT((AI185*1000/(H185*MIN(U185,AB185)))^2+(Q185*1000000*2*((H185-2*([1]Parametros!$B$7+[1]Parametros!$B$9/2))+(I185-2*([1]Parametros!$B$7+[1]Parametros!$B$9/2)))/(1.7*((H185-2*([1]Parametros!$B$7+[1]Parametros!$B$9/2))*(I185-2*([1]Parametros!$B$7+[1]Parametros!$B$9/2)))^2))^2)</f>
        <v>3.0153935436111672</v>
      </c>
      <c r="BG185" s="13">
        <f>[1]Parametros!$B$6*(AJ185*1000/(H185*MIN(U185,AB185))+0.66*SQRT([1]Parametros!$B$2))</f>
        <v>3.2939603822754151</v>
      </c>
      <c r="BH185" s="13" t="str">
        <f t="shared" si="37"/>
        <v>CUMPLE</v>
      </c>
      <c r="BI185" s="13">
        <f>AX185*[1]Parametros!$B$8</f>
        <v>1592</v>
      </c>
      <c r="BJ185" s="15" t="str">
        <f t="shared" si="38"/>
        <v>CUMPLE</v>
      </c>
    </row>
    <row r="186" spans="1:62" x14ac:dyDescent="0.3">
      <c r="A186" s="22" t="s">
        <v>71</v>
      </c>
      <c r="B186" s="23">
        <v>839</v>
      </c>
      <c r="C186" s="13">
        <v>1</v>
      </c>
      <c r="D186" s="13">
        <v>3.3</v>
      </c>
      <c r="E186" s="13">
        <v>3.3</v>
      </c>
      <c r="F186" s="13">
        <v>450</v>
      </c>
      <c r="G186" s="13">
        <v>550</v>
      </c>
      <c r="H186" s="13">
        <v>450</v>
      </c>
      <c r="I186" s="13">
        <v>550</v>
      </c>
      <c r="J186" s="14">
        <v>130.85079999999999</v>
      </c>
      <c r="K186" s="13">
        <v>839</v>
      </c>
      <c r="L186" s="14">
        <v>107.5433</v>
      </c>
      <c r="M186" s="13">
        <v>839</v>
      </c>
      <c r="N186" s="14">
        <v>78.070999999999998</v>
      </c>
      <c r="O186" s="14">
        <v>320.51</v>
      </c>
      <c r="P186" s="13">
        <v>839</v>
      </c>
      <c r="Q186" s="14">
        <v>73.568399999999997</v>
      </c>
      <c r="R186" s="13">
        <f>MAX(MAX(1.4/[1]Parametros!$B$3,0.25*SQRT([1]Parametros!$B$2)/[1]Parametros!$B$3)*H186*U186,(0.85*[1]Parametros!$B$2/[1]Parametros!$B$3)*(1-SQRT(1-2*(J186*1000000/([1]Parametros!$B$5*H186*U186^2))/(0.85*[1]Parametros!$B$2)))*H186*U186)</f>
        <v>734.02500000000009</v>
      </c>
      <c r="S186" s="14">
        <v>4</v>
      </c>
      <c r="T186" s="14">
        <v>1</v>
      </c>
      <c r="U186" s="13">
        <f>IF(T186=1,I186-([1]Parametros!$B$7+[1]Parametros!$B$9+[1]Parametros!$B$12/2),I186-(ROUNDUP(S186/2,0)*([1]Parametros!$B$7+[1]Parametros!$B$9+[1]Parametros!$B$12/2)+ROUNDDOWN(S186/2,0)*([1]Parametros!$B$7+[1]Parametros!$B$9+[1]Parametros!$B$12/2+[1]Parametros!$B$12+[1]Parametros!$B$10))/S186)</f>
        <v>489.35</v>
      </c>
      <c r="V186" s="13">
        <f>S186*[1]Parametros!$B$8</f>
        <v>796</v>
      </c>
      <c r="W186" s="13">
        <f>[1]Parametros!$B$5*V186*[1]Parametros!$B$3*(U186-(V186*[1]Parametros!$B$3/(0.85*[1]Parametros!$B$2*H186))/2)/1000000</f>
        <v>142.54333009411764</v>
      </c>
      <c r="X186" s="13" t="str">
        <f t="shared" si="26"/>
        <v>CUMPLE</v>
      </c>
      <c r="Y186" s="13">
        <f>MAX(MAX(1.4/[1]Parametros!$B$3,0.25*SQRT([1]Parametros!$B$2)/[1]Parametros!$B$3)*H186*AB186,(0.85*[1]Parametros!$B$2/[1]Parametros!$B$3)*(1-SQRT(1-2*(L186*1000000/([1]Parametros!$B$5*H186*AB186^2))/(0.85*[1]Parametros!$B$2)))*H186*AB186)</f>
        <v>734.02500000000009</v>
      </c>
      <c r="Z186" s="14">
        <v>4</v>
      </c>
      <c r="AA186" s="14">
        <v>1</v>
      </c>
      <c r="AB186" s="13">
        <f>IF(AA186=1,I186-([1]Parametros!$B$7+[1]Parametros!$B$9+[1]Parametros!$B$12/2),I186-(ROUNDUP(Z186/2,0)*([1]Parametros!$B$7+[1]Parametros!$B$9+[1]Parametros!$B$12/2)+ROUNDDOWN(Z186/2,0)*([1]Parametros!$B$7+[1]Parametros!$B$9+[1]Parametros!$B$12/2+[1]Parametros!$B$12+[1]Parametros!$B$10))/Z186)</f>
        <v>489.35</v>
      </c>
      <c r="AC186" s="13">
        <f>Z186*[1]Parametros!$B$8</f>
        <v>796</v>
      </c>
      <c r="AD186" s="13">
        <f>[1]Parametros!$B$5*AC186*[1]Parametros!$B$3*(AB186-(AC186*[1]Parametros!$B$3/(0.85*[1]Parametros!$B$2*H186))/2)/1000000</f>
        <v>142.54333009411764</v>
      </c>
      <c r="AE186" s="13" t="str">
        <f t="shared" si="27"/>
        <v>CUMPLE</v>
      </c>
      <c r="AF186" s="13">
        <f>V186*1.25*[1]Parametros!$B$3*(U186-(V186*1.25*[1]Parametros!$B$3/(0.85*[1]Parametros!$B$2*H186))/2)/1000000</f>
        <v>196.34621794117646</v>
      </c>
      <c r="AG186" s="13">
        <f>AC186*1.25*[1]Parametros!$B$3*(AB186-(AC186*1.25*[1]Parametros!$B$3/(0.85*[1]Parametros!$B$2*H186))/2)/1000000</f>
        <v>196.34621794117646</v>
      </c>
      <c r="AH186" s="13">
        <f t="shared" si="28"/>
        <v>197.06870784313725</v>
      </c>
      <c r="AI186" s="13">
        <f t="shared" si="29"/>
        <v>320.51</v>
      </c>
      <c r="AJ186" s="13">
        <f>0.17*SQRT([1]Parametros!$B$2)*H186*MIN(U186,AB186)/1000</f>
        <v>198.08885582262698</v>
      </c>
      <c r="AK186" s="13">
        <f>MAX(AI186/[1]Parametros!$B$6-AJ186,0)</f>
        <v>229.25781084403965</v>
      </c>
      <c r="AL186" s="13">
        <f>0.66*SQRT([1]Parametros!$B$2)*H186*MIN(U186,AB186)/1000</f>
        <v>769.05085201725785</v>
      </c>
      <c r="AM186" s="13" t="str">
        <f t="shared" si="30"/>
        <v>CUMPLE</v>
      </c>
      <c r="AN186" s="13" t="s">
        <v>68</v>
      </c>
      <c r="AO186" s="14">
        <v>2</v>
      </c>
      <c r="AP186" s="13">
        <f>ROUNDDOWN(MIN(IF(BC186+BD186=0,1000000000,AO186*BB186/(BC186+BD186)),MIN(U186,AB186)/4,8*[1]Parametros!$B$12,24*BA186,300,IF(AV186=0,1000000000,2*((H186-2*([1]Parametros!$B$7+[1]Parametros!$B$9/2))+(I186-2*([1]Parametros!$B$7+[1]Parametros!$B$9/2)))/8))/10,0)*10</f>
        <v>90</v>
      </c>
      <c r="AQ186" s="13">
        <f>ROUNDDOWN(MIN(IF(BC186+BD186=0,1000000000,AO186*BB186/(BC186+BD186)),IF(AK186&gt;0.33*SQRT([1]Parametros!$B$2)*H186*MIN(U186,AB186)/1000,MIN(U186,AB186)/4,MIN(U186,AB186)/2),600,IF(AV186=0,1000000000,2*((H186-2*([1]Parametros!$B$7+[1]Parametros!$B$9/2))+(I186-2*([1]Parametros!$B$7+[1]Parametros!$B$9/2)))/8))/10,0)*10</f>
        <v>90</v>
      </c>
      <c r="AR186" s="13">
        <f>[1]Parametros!$B$6*(AJ186+MAX(BE186-BD186,0)*[1]Parametros!$B$4*MIN(U186,AB186)/1000)</f>
        <v>331.23610582990523</v>
      </c>
      <c r="AS186" s="13" t="str">
        <f t="shared" si="31"/>
        <v>CUMPLE</v>
      </c>
      <c r="AT186" s="13">
        <f>[1]Parametros!$B$6*0.083*SQRT([1]Parametros!$B$2)*(H186*I186)^2/(2*(H186+I186))/1000000</f>
        <v>10.08878303333792</v>
      </c>
      <c r="AU186" s="13" t="str">
        <f t="shared" si="32"/>
        <v>DISEÑAR</v>
      </c>
      <c r="AV186" s="13">
        <f>IF(Q186&lt;=AT186,0,Q186*1000000/([1]Parametros!$B$6*2*0.85*(H186-2*([1]Parametros!$B$7+[1]Parametros!$B$9/2))*(I186-2*([1]Parametros!$B$7+[1]Parametros!$B$9/2))*[1]Parametros!$B$4))</f>
        <v>0.84080951582051677</v>
      </c>
      <c r="AW186" s="13">
        <f>AV186*2*((H186-2*([1]Parametros!$B$7+[1]Parametros!$B$9/2))+(I186-2*([1]Parametros!$B$7+[1]Parametros!$B$9/2)))*[1]Parametros!$B$4/[1]Parametros!$B$3</f>
        <v>1369.846863174786</v>
      </c>
      <c r="AX186" s="14">
        <v>8</v>
      </c>
      <c r="AY186" s="13" t="str">
        <f t="shared" si="33"/>
        <v>CUMPLE</v>
      </c>
      <c r="AZ186" s="13" t="str">
        <f t="shared" si="34"/>
        <v>CUMPLE</v>
      </c>
      <c r="BA186" s="14">
        <v>12.7</v>
      </c>
      <c r="BB186" s="14">
        <v>129</v>
      </c>
      <c r="BC186" s="13">
        <f>MAX(IF(AK186=0,0,AK186*1000/([1]Parametros!$B$4*MIN(U186,AB186))),MAX(0.062*SQRT([1]Parametros!$B$2)*H186/[1]Parametros!$B$4,0.35*H186/[1]Parametros!$B$4))</f>
        <v>1.1154632279167198</v>
      </c>
      <c r="BD186" s="13">
        <f t="shared" si="35"/>
        <v>1.6816190316410335</v>
      </c>
      <c r="BE186" s="13">
        <f t="shared" si="36"/>
        <v>2.8666666666666667</v>
      </c>
      <c r="BF186" s="13">
        <f>SQRT((AI186*1000/(H186*MIN(U186,AB186)))^2+(Q186*1000000*2*((H186-2*([1]Parametros!$B$7+[1]Parametros!$B$9/2))+(I186-2*([1]Parametros!$B$7+[1]Parametros!$B$9/2)))/(1.7*((H186-2*([1]Parametros!$B$7+[1]Parametros!$B$9/2))*(I186-2*([1]Parametros!$B$7+[1]Parametros!$B$9/2)))^2))^2)</f>
        <v>3.0154088871509326</v>
      </c>
      <c r="BG186" s="13">
        <f>[1]Parametros!$B$6*(AJ186*1000/(H186*MIN(U186,AB186))+0.66*SQRT([1]Parametros!$B$2))</f>
        <v>3.2939603822754151</v>
      </c>
      <c r="BH186" s="13" t="str">
        <f t="shared" si="37"/>
        <v>CUMPLE</v>
      </c>
      <c r="BI186" s="13">
        <f>AX186*[1]Parametros!$B$8</f>
        <v>1592</v>
      </c>
      <c r="BJ186" s="15" t="str">
        <f t="shared" si="38"/>
        <v>CUMPLE</v>
      </c>
    </row>
    <row r="187" spans="1:62" x14ac:dyDescent="0.3">
      <c r="A187" s="22" t="s">
        <v>71</v>
      </c>
      <c r="B187" s="23">
        <v>840</v>
      </c>
      <c r="C187" s="13">
        <v>1</v>
      </c>
      <c r="D187" s="13">
        <v>3.25</v>
      </c>
      <c r="E187" s="13">
        <v>3.25</v>
      </c>
      <c r="F187" s="13">
        <v>450</v>
      </c>
      <c r="G187" s="13">
        <v>550</v>
      </c>
      <c r="H187" s="13">
        <v>450</v>
      </c>
      <c r="I187" s="13">
        <v>550</v>
      </c>
      <c r="J187" s="14">
        <v>129.63499999999999</v>
      </c>
      <c r="K187" s="13">
        <v>840</v>
      </c>
      <c r="L187" s="14">
        <v>106.122</v>
      </c>
      <c r="M187" s="13">
        <v>840</v>
      </c>
      <c r="N187" s="14">
        <v>74.706999999999994</v>
      </c>
      <c r="O187" s="14">
        <v>299.62299999999999</v>
      </c>
      <c r="P187" s="13">
        <v>840</v>
      </c>
      <c r="Q187" s="14">
        <v>5.2710999999999997</v>
      </c>
      <c r="R187" s="13">
        <f>MAX(MAX(1.4/[1]Parametros!$B$3,0.25*SQRT([1]Parametros!$B$2)/[1]Parametros!$B$3)*H187*U187,(0.85*[1]Parametros!$B$2/[1]Parametros!$B$3)*(1-SQRT(1-2*(J187*1000000/([1]Parametros!$B$5*H187*U187^2))/(0.85*[1]Parametros!$B$2)))*H187*U187)</f>
        <v>734.02500000000009</v>
      </c>
      <c r="S187" s="14">
        <v>4</v>
      </c>
      <c r="T187" s="14">
        <v>1</v>
      </c>
      <c r="U187" s="13">
        <f>IF(T187=1,I187-([1]Parametros!$B$7+[1]Parametros!$B$9+[1]Parametros!$B$12/2),I187-(ROUNDUP(S187/2,0)*([1]Parametros!$B$7+[1]Parametros!$B$9+[1]Parametros!$B$12/2)+ROUNDDOWN(S187/2,0)*([1]Parametros!$B$7+[1]Parametros!$B$9+[1]Parametros!$B$12/2+[1]Parametros!$B$12+[1]Parametros!$B$10))/S187)</f>
        <v>489.35</v>
      </c>
      <c r="V187" s="13">
        <f>S187*[1]Parametros!$B$8</f>
        <v>796</v>
      </c>
      <c r="W187" s="13">
        <f>[1]Parametros!$B$5*V187*[1]Parametros!$B$3*(U187-(V187*[1]Parametros!$B$3/(0.85*[1]Parametros!$B$2*H187))/2)/1000000</f>
        <v>142.54333009411764</v>
      </c>
      <c r="X187" s="13" t="str">
        <f t="shared" si="26"/>
        <v>CUMPLE</v>
      </c>
      <c r="Y187" s="13">
        <f>MAX(MAX(1.4/[1]Parametros!$B$3,0.25*SQRT([1]Parametros!$B$2)/[1]Parametros!$B$3)*H187*AB187,(0.85*[1]Parametros!$B$2/[1]Parametros!$B$3)*(1-SQRT(1-2*(L187*1000000/([1]Parametros!$B$5*H187*AB187^2))/(0.85*[1]Parametros!$B$2)))*H187*AB187)</f>
        <v>734.02500000000009</v>
      </c>
      <c r="Z187" s="14">
        <v>4</v>
      </c>
      <c r="AA187" s="14">
        <v>1</v>
      </c>
      <c r="AB187" s="13">
        <f>IF(AA187=1,I187-([1]Parametros!$B$7+[1]Parametros!$B$9+[1]Parametros!$B$12/2),I187-(ROUNDUP(Z187/2,0)*([1]Parametros!$B$7+[1]Parametros!$B$9+[1]Parametros!$B$12/2)+ROUNDDOWN(Z187/2,0)*([1]Parametros!$B$7+[1]Parametros!$B$9+[1]Parametros!$B$12/2+[1]Parametros!$B$12+[1]Parametros!$B$10))/Z187)</f>
        <v>489.35</v>
      </c>
      <c r="AC187" s="13">
        <f>Z187*[1]Parametros!$B$8</f>
        <v>796</v>
      </c>
      <c r="AD187" s="13">
        <f>[1]Parametros!$B$5*AC187*[1]Parametros!$B$3*(AB187-(AC187*[1]Parametros!$B$3/(0.85*[1]Parametros!$B$2*H187))/2)/1000000</f>
        <v>142.54333009411764</v>
      </c>
      <c r="AE187" s="13" t="str">
        <f t="shared" si="27"/>
        <v>CUMPLE</v>
      </c>
      <c r="AF187" s="13">
        <f>V187*1.25*[1]Parametros!$B$3*(U187-(V187*1.25*[1]Parametros!$B$3/(0.85*[1]Parametros!$B$2*H187))/2)/1000000</f>
        <v>196.34621794117646</v>
      </c>
      <c r="AG187" s="13">
        <f>AC187*1.25*[1]Parametros!$B$3*(AB187-(AC187*1.25*[1]Parametros!$B$3/(0.85*[1]Parametros!$B$2*H187))/2)/1000000</f>
        <v>196.34621794117646</v>
      </c>
      <c r="AH187" s="13">
        <f t="shared" si="28"/>
        <v>195.53544180995473</v>
      </c>
      <c r="AI187" s="13">
        <f t="shared" si="29"/>
        <v>299.62299999999999</v>
      </c>
      <c r="AJ187" s="13">
        <f>0.17*SQRT([1]Parametros!$B$2)*H187*MIN(U187,AB187)/1000</f>
        <v>198.08885582262698</v>
      </c>
      <c r="AK187" s="13">
        <f>MAX(AI187/[1]Parametros!$B$6-AJ187,0)</f>
        <v>201.40847751070632</v>
      </c>
      <c r="AL187" s="13">
        <f>0.66*SQRT([1]Parametros!$B$2)*H187*MIN(U187,AB187)/1000</f>
        <v>769.05085201725785</v>
      </c>
      <c r="AM187" s="13" t="str">
        <f t="shared" si="30"/>
        <v>CUMPLE</v>
      </c>
      <c r="AN187" s="13" t="s">
        <v>64</v>
      </c>
      <c r="AO187" s="14">
        <v>2</v>
      </c>
      <c r="AP187" s="13">
        <f>ROUNDDOWN(MIN(IF(BC187+BD187=0,1000000000,AO187*BB187/(BC187+BD187)),MIN(U187,AB187)/4,8*[1]Parametros!$B$12,24*BA187,300,IF(AV187=0,1000000000,2*((H187-2*([1]Parametros!$B$7+[1]Parametros!$B$9/2))+(I187-2*([1]Parametros!$B$7+[1]Parametros!$B$9/2)))/8))/10,0)*10</f>
        <v>120</v>
      </c>
      <c r="AQ187" s="13">
        <f>ROUNDDOWN(MIN(IF(BC187+BD187=0,1000000000,AO187*BB187/(BC187+BD187)),IF(AK187&gt;0.33*SQRT([1]Parametros!$B$2)*H187*MIN(U187,AB187)/1000,MIN(U187,AB187)/4,MIN(U187,AB187)/2),600,IF(AV187=0,1000000000,2*((H187-2*([1]Parametros!$B$7+[1]Parametros!$B$9/2))+(I187-2*([1]Parametros!$B$7+[1]Parametros!$B$9/2)))/8))/10,0)*10</f>
        <v>140</v>
      </c>
      <c r="AR187" s="13">
        <f>[1]Parametros!$B$6*(AJ187+MAX(BE187-BD187,0)*[1]Parametros!$B$4*MIN(U187,AB187)/1000)</f>
        <v>330.97185436697026</v>
      </c>
      <c r="AS187" s="13" t="str">
        <f t="shared" si="31"/>
        <v>CUMPLE</v>
      </c>
      <c r="AT187" s="13">
        <f>[1]Parametros!$B$6*0.083*SQRT([1]Parametros!$B$2)*(H187*I187)^2/(2*(H187+I187))/1000000</f>
        <v>10.08878303333792</v>
      </c>
      <c r="AU187" s="13" t="str">
        <f t="shared" si="32"/>
        <v>DESPRECIABLE</v>
      </c>
      <c r="AV187" s="13">
        <f>IF(Q187&lt;=AT187,0,Q187*1000000/([1]Parametros!$B$6*2*0.85*(H187-2*([1]Parametros!$B$7+[1]Parametros!$B$9/2))*(I187-2*([1]Parametros!$B$7+[1]Parametros!$B$9/2))*[1]Parametros!$B$4))</f>
        <v>0</v>
      </c>
      <c r="AW187" s="13">
        <f>AV187*2*((H187-2*([1]Parametros!$B$7+[1]Parametros!$B$9/2))+(I187-2*([1]Parametros!$B$7+[1]Parametros!$B$9/2)))*[1]Parametros!$B$4/[1]Parametros!$B$3</f>
        <v>0</v>
      </c>
      <c r="AX187" s="14">
        <v>0</v>
      </c>
      <c r="AY187" s="13" t="str">
        <f t="shared" si="33"/>
        <v>DESPRECIABLE</v>
      </c>
      <c r="AZ187" s="13" t="str">
        <f t="shared" si="34"/>
        <v>CUMPLE</v>
      </c>
      <c r="BA187" s="14">
        <v>9.5</v>
      </c>
      <c r="BB187" s="14">
        <v>71</v>
      </c>
      <c r="BC187" s="13">
        <f>MAX(IF(AK187=0,0,AK187*1000/([1]Parametros!$B$4*MIN(U187,AB187))),MAX(0.062*SQRT([1]Parametros!$B$2)*H187/[1]Parametros!$B$4,0.35*H187/[1]Parametros!$B$4))</f>
        <v>0.97996116087281149</v>
      </c>
      <c r="BD187" s="13">
        <f t="shared" si="35"/>
        <v>0</v>
      </c>
      <c r="BE187" s="13">
        <f t="shared" si="36"/>
        <v>1.1833333333333333</v>
      </c>
      <c r="BF187" s="13">
        <f>SQRT((AI187*1000/(H187*MIN(U187,AB187)))^2+(Q187*1000000*2*((H187-2*([1]Parametros!$B$7+[1]Parametros!$B$9/2))+(I187-2*([1]Parametros!$B$7+[1]Parametros!$B$9/2)))/(1.7*((H187-2*([1]Parametros!$B$7+[1]Parametros!$B$9/2))*(I187-2*([1]Parametros!$B$7+[1]Parametros!$B$9/2)))^2))^2)</f>
        <v>1.3737329930457503</v>
      </c>
      <c r="BG187" s="13">
        <f>[1]Parametros!$B$6*(AJ187*1000/(H187*MIN(U187,AB187))+0.66*SQRT([1]Parametros!$B$2))</f>
        <v>3.2939603822754151</v>
      </c>
      <c r="BH187" s="13" t="str">
        <f t="shared" si="37"/>
        <v>CUMPLE</v>
      </c>
      <c r="BI187" s="13">
        <f>AX187*[1]Parametros!$B$8</f>
        <v>0</v>
      </c>
      <c r="BJ187" s="15" t="str">
        <f t="shared" si="38"/>
        <v>CUMPLE</v>
      </c>
    </row>
    <row r="188" spans="1:62" x14ac:dyDescent="0.3">
      <c r="A188" s="22" t="s">
        <v>71</v>
      </c>
      <c r="B188" s="23">
        <v>919</v>
      </c>
      <c r="C188" s="13">
        <v>1</v>
      </c>
      <c r="D188" s="13">
        <v>3.25</v>
      </c>
      <c r="E188" s="13">
        <v>3.25</v>
      </c>
      <c r="F188" s="13">
        <v>450</v>
      </c>
      <c r="G188" s="13">
        <v>550</v>
      </c>
      <c r="H188" s="13">
        <v>450</v>
      </c>
      <c r="I188" s="13">
        <v>550</v>
      </c>
      <c r="J188" s="14">
        <v>85.007000000000005</v>
      </c>
      <c r="K188" s="13">
        <v>919</v>
      </c>
      <c r="L188" s="14">
        <v>64.166899999999998</v>
      </c>
      <c r="M188" s="13">
        <v>919</v>
      </c>
      <c r="N188" s="14">
        <v>52.192999999999998</v>
      </c>
      <c r="O188" s="14">
        <v>181.61099999999999</v>
      </c>
      <c r="P188" s="13">
        <v>919</v>
      </c>
      <c r="Q188" s="14">
        <v>3.8660999999999999</v>
      </c>
      <c r="R188" s="13">
        <f>MAX(MAX(1.4/[1]Parametros!$B$3,0.25*SQRT([1]Parametros!$B$2)/[1]Parametros!$B$3)*H188*U188,(0.85*[1]Parametros!$B$2/[1]Parametros!$B$3)*(1-SQRT(1-2*(J188*1000000/([1]Parametros!$B$5*H188*U188^2))/(0.85*[1]Parametros!$B$2)))*H188*U188)</f>
        <v>734.02500000000009</v>
      </c>
      <c r="S188" s="14">
        <v>4</v>
      </c>
      <c r="T188" s="14">
        <v>1</v>
      </c>
      <c r="U188" s="13">
        <f>IF(T188=1,I188-([1]Parametros!$B$7+[1]Parametros!$B$9+[1]Parametros!$B$12/2),I188-(ROUNDUP(S188/2,0)*([1]Parametros!$B$7+[1]Parametros!$B$9+[1]Parametros!$B$12/2)+ROUNDDOWN(S188/2,0)*([1]Parametros!$B$7+[1]Parametros!$B$9+[1]Parametros!$B$12/2+[1]Parametros!$B$12+[1]Parametros!$B$10))/S188)</f>
        <v>489.35</v>
      </c>
      <c r="V188" s="13">
        <f>S188*[1]Parametros!$B$8</f>
        <v>796</v>
      </c>
      <c r="W188" s="13">
        <f>[1]Parametros!$B$5*V188*[1]Parametros!$B$3*(U188-(V188*[1]Parametros!$B$3/(0.85*[1]Parametros!$B$2*H188))/2)/1000000</f>
        <v>142.54333009411764</v>
      </c>
      <c r="X188" s="13" t="str">
        <f t="shared" si="26"/>
        <v>CUMPLE</v>
      </c>
      <c r="Y188" s="13">
        <f>MAX(MAX(1.4/[1]Parametros!$B$3,0.25*SQRT([1]Parametros!$B$2)/[1]Parametros!$B$3)*H188*AB188,(0.85*[1]Parametros!$B$2/[1]Parametros!$B$3)*(1-SQRT(1-2*(L188*1000000/([1]Parametros!$B$5*H188*AB188^2))/(0.85*[1]Parametros!$B$2)))*H188*AB188)</f>
        <v>734.02500000000009</v>
      </c>
      <c r="Z188" s="14">
        <v>4</v>
      </c>
      <c r="AA188" s="14">
        <v>1</v>
      </c>
      <c r="AB188" s="13">
        <f>IF(AA188=1,I188-([1]Parametros!$B$7+[1]Parametros!$B$9+[1]Parametros!$B$12/2),I188-(ROUNDUP(Z188/2,0)*([1]Parametros!$B$7+[1]Parametros!$B$9+[1]Parametros!$B$12/2)+ROUNDDOWN(Z188/2,0)*([1]Parametros!$B$7+[1]Parametros!$B$9+[1]Parametros!$B$12/2+[1]Parametros!$B$12+[1]Parametros!$B$10))/Z188)</f>
        <v>489.35</v>
      </c>
      <c r="AC188" s="13">
        <f>Z188*[1]Parametros!$B$8</f>
        <v>796</v>
      </c>
      <c r="AD188" s="13">
        <f>[1]Parametros!$B$5*AC188*[1]Parametros!$B$3*(AB188-(AC188*[1]Parametros!$B$3/(0.85*[1]Parametros!$B$2*H188))/2)/1000000</f>
        <v>142.54333009411764</v>
      </c>
      <c r="AE188" s="13" t="str">
        <f t="shared" si="27"/>
        <v>CUMPLE</v>
      </c>
      <c r="AF188" s="13">
        <f>V188*1.25*[1]Parametros!$B$3*(U188-(V188*1.25*[1]Parametros!$B$3/(0.85*[1]Parametros!$B$2*H188))/2)/1000000</f>
        <v>196.34621794117646</v>
      </c>
      <c r="AG188" s="13">
        <f>AC188*1.25*[1]Parametros!$B$3*(AB188-(AC188*1.25*[1]Parametros!$B$3/(0.85*[1]Parametros!$B$2*H188))/2)/1000000</f>
        <v>196.34621794117646</v>
      </c>
      <c r="AH188" s="13">
        <f t="shared" si="28"/>
        <v>173.02144180995475</v>
      </c>
      <c r="AI188" s="13">
        <f t="shared" si="29"/>
        <v>181.61099999999999</v>
      </c>
      <c r="AJ188" s="13">
        <f>0.17*SQRT([1]Parametros!$B$2)*H188*MIN(U188,AB188)/1000</f>
        <v>198.08885582262698</v>
      </c>
      <c r="AK188" s="13">
        <f>MAX(AI188/[1]Parametros!$B$6-AJ188,0)</f>
        <v>44.059144177373014</v>
      </c>
      <c r="AL188" s="13">
        <f>0.66*SQRT([1]Parametros!$B$2)*H188*MIN(U188,AB188)/1000</f>
        <v>769.05085201725785</v>
      </c>
      <c r="AM188" s="13" t="str">
        <f t="shared" si="30"/>
        <v>CUMPLE</v>
      </c>
      <c r="AN188" s="13" t="s">
        <v>64</v>
      </c>
      <c r="AO188" s="14">
        <v>2</v>
      </c>
      <c r="AP188" s="13">
        <f>ROUNDDOWN(MIN(IF(BC188+BD188=0,1000000000,AO188*BB188/(BC188+BD188)),MIN(U188,AB188)/4,8*[1]Parametros!$B$12,24*BA188,300,IF(AV188=0,1000000000,2*((H188-2*([1]Parametros!$B$7+[1]Parametros!$B$9/2))+(I188-2*([1]Parametros!$B$7+[1]Parametros!$B$9/2)))/8))/10,0)*10</f>
        <v>120</v>
      </c>
      <c r="AQ188" s="13">
        <f>ROUNDDOWN(MIN(IF(BC188+BD188=0,1000000000,AO188*BB188/(BC188+BD188)),IF(AK188&gt;0.33*SQRT([1]Parametros!$B$2)*H188*MIN(U188,AB188)/1000,MIN(U188,AB188)/4,MIN(U188,AB188)/2),600,IF(AV188=0,1000000000,2*((H188-2*([1]Parametros!$B$7+[1]Parametros!$B$9/2))+(I188-2*([1]Parametros!$B$7+[1]Parametros!$B$9/2)))/8))/10,0)*10</f>
        <v>240</v>
      </c>
      <c r="AR188" s="13">
        <f>[1]Parametros!$B$6*(AJ188+MAX(BE188-BD188,0)*[1]Parametros!$B$4*MIN(U188,AB188)/1000)</f>
        <v>330.97185436697026</v>
      </c>
      <c r="AS188" s="13" t="str">
        <f t="shared" si="31"/>
        <v>CUMPLE</v>
      </c>
      <c r="AT188" s="13">
        <f>[1]Parametros!$B$6*0.083*SQRT([1]Parametros!$B$2)*(H188*I188)^2/(2*(H188+I188))/1000000</f>
        <v>10.08878303333792</v>
      </c>
      <c r="AU188" s="13" t="str">
        <f t="shared" si="32"/>
        <v>DESPRECIABLE</v>
      </c>
      <c r="AV188" s="13">
        <f>IF(Q188&lt;=AT188,0,Q188*1000000/([1]Parametros!$B$6*2*0.85*(H188-2*([1]Parametros!$B$7+[1]Parametros!$B$9/2))*(I188-2*([1]Parametros!$B$7+[1]Parametros!$B$9/2))*[1]Parametros!$B$4))</f>
        <v>0</v>
      </c>
      <c r="AW188" s="13">
        <f>AV188*2*((H188-2*([1]Parametros!$B$7+[1]Parametros!$B$9/2))+(I188-2*([1]Parametros!$B$7+[1]Parametros!$B$9/2)))*[1]Parametros!$B$4/[1]Parametros!$B$3</f>
        <v>0</v>
      </c>
      <c r="AX188" s="14">
        <v>0</v>
      </c>
      <c r="AY188" s="13" t="str">
        <f t="shared" si="33"/>
        <v>DESPRECIABLE</v>
      </c>
      <c r="AZ188" s="13" t="str">
        <f t="shared" si="34"/>
        <v>CUMPLE</v>
      </c>
      <c r="BA188" s="14">
        <v>9.5</v>
      </c>
      <c r="BB188" s="14">
        <v>71</v>
      </c>
      <c r="BC188" s="13">
        <f>MAX(IF(AK188=0,0,AK188*1000/([1]Parametros!$B$4*MIN(U188,AB188))),MAX(0.062*SQRT([1]Parametros!$B$2)*H188/[1]Parametros!$B$4,0.35*H188/[1]Parametros!$B$4))</f>
        <v>0.375</v>
      </c>
      <c r="BD188" s="13">
        <f t="shared" si="35"/>
        <v>0</v>
      </c>
      <c r="BE188" s="13">
        <f t="shared" si="36"/>
        <v>1.1833333333333333</v>
      </c>
      <c r="BF188" s="13">
        <f>SQRT((AI188*1000/(H188*MIN(U188,AB188)))^2+(Q188*1000000*2*((H188-2*([1]Parametros!$B$7+[1]Parametros!$B$9/2))+(I188-2*([1]Parametros!$B$7+[1]Parametros!$B$9/2)))/(1.7*((H188-2*([1]Parametros!$B$7+[1]Parametros!$B$9/2))*(I188-2*([1]Parametros!$B$7+[1]Parametros!$B$9/2)))^2))^2)</f>
        <v>0.8363218698714231</v>
      </c>
      <c r="BG188" s="13">
        <f>[1]Parametros!$B$6*(AJ188*1000/(H188*MIN(U188,AB188))+0.66*SQRT([1]Parametros!$B$2))</f>
        <v>3.2939603822754151</v>
      </c>
      <c r="BH188" s="13" t="str">
        <f t="shared" si="37"/>
        <v>CUMPLE</v>
      </c>
      <c r="BI188" s="13">
        <f>AX188*[1]Parametros!$B$8</f>
        <v>0</v>
      </c>
      <c r="BJ188" s="15" t="str">
        <f t="shared" si="38"/>
        <v>CUMPLE</v>
      </c>
    </row>
    <row r="189" spans="1:62" x14ac:dyDescent="0.3">
      <c r="A189" s="22" t="s">
        <v>71</v>
      </c>
      <c r="B189" s="23">
        <v>920</v>
      </c>
      <c r="C189" s="13">
        <v>1</v>
      </c>
      <c r="D189" s="13">
        <v>3.3</v>
      </c>
      <c r="E189" s="13">
        <v>3.3</v>
      </c>
      <c r="F189" s="13">
        <v>450</v>
      </c>
      <c r="G189" s="13">
        <v>550</v>
      </c>
      <c r="H189" s="13">
        <v>450</v>
      </c>
      <c r="I189" s="13">
        <v>550</v>
      </c>
      <c r="J189" s="14">
        <v>90.284700000000001</v>
      </c>
      <c r="K189" s="13">
        <v>920</v>
      </c>
      <c r="L189" s="14">
        <v>67.1096</v>
      </c>
      <c r="M189" s="13">
        <v>920</v>
      </c>
      <c r="N189" s="14">
        <v>57.234999999999999</v>
      </c>
      <c r="O189" s="14">
        <v>216.16900000000001</v>
      </c>
      <c r="P189" s="13">
        <v>920</v>
      </c>
      <c r="Q189" s="14">
        <v>38.831499999999998</v>
      </c>
      <c r="R189" s="13">
        <f>MAX(MAX(1.4/[1]Parametros!$B$3,0.25*SQRT([1]Parametros!$B$2)/[1]Parametros!$B$3)*H189*U189,(0.85*[1]Parametros!$B$2/[1]Parametros!$B$3)*(1-SQRT(1-2*(J189*1000000/([1]Parametros!$B$5*H189*U189^2))/(0.85*[1]Parametros!$B$2)))*H189*U189)</f>
        <v>734.02500000000009</v>
      </c>
      <c r="S189" s="14">
        <v>4</v>
      </c>
      <c r="T189" s="14">
        <v>1</v>
      </c>
      <c r="U189" s="13">
        <f>IF(T189=1,I189-([1]Parametros!$B$7+[1]Parametros!$B$9+[1]Parametros!$B$12/2),I189-(ROUNDUP(S189/2,0)*([1]Parametros!$B$7+[1]Parametros!$B$9+[1]Parametros!$B$12/2)+ROUNDDOWN(S189/2,0)*([1]Parametros!$B$7+[1]Parametros!$B$9+[1]Parametros!$B$12/2+[1]Parametros!$B$12+[1]Parametros!$B$10))/S189)</f>
        <v>489.35</v>
      </c>
      <c r="V189" s="13">
        <f>S189*[1]Parametros!$B$8</f>
        <v>796</v>
      </c>
      <c r="W189" s="13">
        <f>[1]Parametros!$B$5*V189*[1]Parametros!$B$3*(U189-(V189*[1]Parametros!$B$3/(0.85*[1]Parametros!$B$2*H189))/2)/1000000</f>
        <v>142.54333009411764</v>
      </c>
      <c r="X189" s="13" t="str">
        <f t="shared" si="26"/>
        <v>CUMPLE</v>
      </c>
      <c r="Y189" s="13">
        <f>MAX(MAX(1.4/[1]Parametros!$B$3,0.25*SQRT([1]Parametros!$B$2)/[1]Parametros!$B$3)*H189*AB189,(0.85*[1]Parametros!$B$2/[1]Parametros!$B$3)*(1-SQRT(1-2*(L189*1000000/([1]Parametros!$B$5*H189*AB189^2))/(0.85*[1]Parametros!$B$2)))*H189*AB189)</f>
        <v>734.02500000000009</v>
      </c>
      <c r="Z189" s="14">
        <v>4</v>
      </c>
      <c r="AA189" s="14">
        <v>1</v>
      </c>
      <c r="AB189" s="13">
        <f>IF(AA189=1,I189-([1]Parametros!$B$7+[1]Parametros!$B$9+[1]Parametros!$B$12/2),I189-(ROUNDUP(Z189/2,0)*([1]Parametros!$B$7+[1]Parametros!$B$9+[1]Parametros!$B$12/2)+ROUNDDOWN(Z189/2,0)*([1]Parametros!$B$7+[1]Parametros!$B$9+[1]Parametros!$B$12/2+[1]Parametros!$B$12+[1]Parametros!$B$10))/Z189)</f>
        <v>489.35</v>
      </c>
      <c r="AC189" s="13">
        <f>Z189*[1]Parametros!$B$8</f>
        <v>796</v>
      </c>
      <c r="AD189" s="13">
        <f>[1]Parametros!$B$5*AC189*[1]Parametros!$B$3*(AB189-(AC189*[1]Parametros!$B$3/(0.85*[1]Parametros!$B$2*H189))/2)/1000000</f>
        <v>142.54333009411764</v>
      </c>
      <c r="AE189" s="13" t="str">
        <f t="shared" si="27"/>
        <v>CUMPLE</v>
      </c>
      <c r="AF189" s="13">
        <f>V189*1.25*[1]Parametros!$B$3*(U189-(V189*1.25*[1]Parametros!$B$3/(0.85*[1]Parametros!$B$2*H189))/2)/1000000</f>
        <v>196.34621794117646</v>
      </c>
      <c r="AG189" s="13">
        <f>AC189*1.25*[1]Parametros!$B$3*(AB189-(AC189*1.25*[1]Parametros!$B$3/(0.85*[1]Parametros!$B$2*H189))/2)/1000000</f>
        <v>196.34621794117646</v>
      </c>
      <c r="AH189" s="13">
        <f t="shared" si="28"/>
        <v>176.23270784313726</v>
      </c>
      <c r="AI189" s="13">
        <f t="shared" si="29"/>
        <v>216.16900000000001</v>
      </c>
      <c r="AJ189" s="13">
        <f>0.17*SQRT([1]Parametros!$B$2)*H189*MIN(U189,AB189)/1000</f>
        <v>198.08885582262698</v>
      </c>
      <c r="AK189" s="13">
        <f>MAX(AI189/[1]Parametros!$B$6-AJ189,0)</f>
        <v>90.136477510706385</v>
      </c>
      <c r="AL189" s="13">
        <f>0.66*SQRT([1]Parametros!$B$2)*H189*MIN(U189,AB189)/1000</f>
        <v>769.05085201725785</v>
      </c>
      <c r="AM189" s="13" t="str">
        <f t="shared" si="30"/>
        <v>CUMPLE</v>
      </c>
      <c r="AN189" s="13" t="s">
        <v>64</v>
      </c>
      <c r="AO189" s="14">
        <v>2</v>
      </c>
      <c r="AP189" s="13">
        <f>ROUNDDOWN(MIN(IF(BC189+BD189=0,1000000000,AO189*BB189/(BC189+BD189)),MIN(U189,AB189)/4,8*[1]Parametros!$B$12,24*BA189,300,IF(AV189=0,1000000000,2*((H189-2*([1]Parametros!$B$7+[1]Parametros!$B$9/2))+(I189-2*([1]Parametros!$B$7+[1]Parametros!$B$9/2)))/8))/10,0)*10</f>
        <v>100</v>
      </c>
      <c r="AQ189" s="13">
        <f>ROUNDDOWN(MIN(IF(BC189+BD189=0,1000000000,AO189*BB189/(BC189+BD189)),IF(AK189&gt;0.33*SQRT([1]Parametros!$B$2)*H189*MIN(U189,AB189)/1000,MIN(U189,AB189)/4,MIN(U189,AB189)/2),600,IF(AV189=0,1000000000,2*((H189-2*([1]Parametros!$B$7+[1]Parametros!$B$9/2))+(I189-2*([1]Parametros!$B$7+[1]Parametros!$B$9/2)))/8))/10,0)*10</f>
        <v>100</v>
      </c>
      <c r="AR189" s="13">
        <f>[1]Parametros!$B$6*(AJ189+MAX(BE189-BD189,0)*[1]Parametros!$B$4*MIN(U189,AB189)/1000)</f>
        <v>230.63257229557419</v>
      </c>
      <c r="AS189" s="13" t="str">
        <f t="shared" si="31"/>
        <v>CUMPLE</v>
      </c>
      <c r="AT189" s="13">
        <f>[1]Parametros!$B$6*0.083*SQRT([1]Parametros!$B$2)*(H189*I189)^2/(2*(H189+I189))/1000000</f>
        <v>10.08878303333792</v>
      </c>
      <c r="AU189" s="13" t="str">
        <f t="shared" si="32"/>
        <v>DISEÑAR</v>
      </c>
      <c r="AV189" s="13">
        <f>IF(Q189&lt;=AT189,0,Q189*1000000/([1]Parametros!$B$6*2*0.85*(H189-2*([1]Parametros!$B$7+[1]Parametros!$B$9/2))*(I189-2*([1]Parametros!$B$7+[1]Parametros!$B$9/2))*[1]Parametros!$B$4))</f>
        <v>0.44380324587165682</v>
      </c>
      <c r="AW189" s="13">
        <f>AV189*2*((H189-2*([1]Parametros!$B$7+[1]Parametros!$B$9/2))+(I189-2*([1]Parametros!$B$7+[1]Parametros!$B$9/2)))*[1]Parametros!$B$4/[1]Parametros!$B$3</f>
        <v>723.04424817410336</v>
      </c>
      <c r="AX189" s="14">
        <v>8</v>
      </c>
      <c r="AY189" s="13" t="str">
        <f t="shared" si="33"/>
        <v>CUMPLE</v>
      </c>
      <c r="AZ189" s="13" t="str">
        <f t="shared" si="34"/>
        <v>CUMPLE</v>
      </c>
      <c r="BA189" s="14">
        <v>9.5</v>
      </c>
      <c r="BB189" s="14">
        <v>71</v>
      </c>
      <c r="BC189" s="13">
        <f>MAX(IF(AK189=0,0,AK189*1000/([1]Parametros!$B$4*MIN(U189,AB189))),MAX(0.062*SQRT([1]Parametros!$B$2)*H189/[1]Parametros!$B$4,0.35*H189/[1]Parametros!$B$4))</f>
        <v>0.43856270714167184</v>
      </c>
      <c r="BD189" s="13">
        <f t="shared" si="35"/>
        <v>0.88760649174331363</v>
      </c>
      <c r="BE189" s="13">
        <f t="shared" si="36"/>
        <v>1.42</v>
      </c>
      <c r="BF189" s="13">
        <f>SQRT((AI189*1000/(H189*MIN(U189,AB189)))^2+(Q189*1000000*2*((H189-2*([1]Parametros!$B$7+[1]Parametros!$B$9/2))+(I189-2*([1]Parametros!$B$7+[1]Parametros!$B$9/2)))/(1.7*((H189-2*([1]Parametros!$B$7+[1]Parametros!$B$9/2))*(I189-2*([1]Parametros!$B$7+[1]Parametros!$B$9/2)))^2))^2)</f>
        <v>1.7049047921184013</v>
      </c>
      <c r="BG189" s="13">
        <f>[1]Parametros!$B$6*(AJ189*1000/(H189*MIN(U189,AB189))+0.66*SQRT([1]Parametros!$B$2))</f>
        <v>3.2939603822754151</v>
      </c>
      <c r="BH189" s="13" t="str">
        <f t="shared" si="37"/>
        <v>CUMPLE</v>
      </c>
      <c r="BI189" s="13">
        <f>AX189*[1]Parametros!$B$8</f>
        <v>1592</v>
      </c>
      <c r="BJ189" s="15" t="str">
        <f t="shared" si="38"/>
        <v>CUMPLE</v>
      </c>
    </row>
    <row r="190" spans="1:62" x14ac:dyDescent="0.3">
      <c r="A190" s="22" t="s">
        <v>71</v>
      </c>
      <c r="B190" s="23">
        <v>921</v>
      </c>
      <c r="C190" s="13">
        <v>1</v>
      </c>
      <c r="D190" s="13">
        <v>3.3</v>
      </c>
      <c r="E190" s="13">
        <v>3.3</v>
      </c>
      <c r="F190" s="13">
        <v>450</v>
      </c>
      <c r="G190" s="13">
        <v>550</v>
      </c>
      <c r="H190" s="13">
        <v>450</v>
      </c>
      <c r="I190" s="13">
        <v>550</v>
      </c>
      <c r="J190" s="14">
        <v>90.260599999999997</v>
      </c>
      <c r="K190" s="13">
        <v>921</v>
      </c>
      <c r="L190" s="14">
        <v>67.123699999999999</v>
      </c>
      <c r="M190" s="13">
        <v>921</v>
      </c>
      <c r="N190" s="14">
        <v>57.222999999999999</v>
      </c>
      <c r="O190" s="14">
        <v>216.15799999999999</v>
      </c>
      <c r="P190" s="13">
        <v>921</v>
      </c>
      <c r="Q190" s="14">
        <v>38.831899999999997</v>
      </c>
      <c r="R190" s="13">
        <f>MAX(MAX(1.4/[1]Parametros!$B$3,0.25*SQRT([1]Parametros!$B$2)/[1]Parametros!$B$3)*H190*U190,(0.85*[1]Parametros!$B$2/[1]Parametros!$B$3)*(1-SQRT(1-2*(J190*1000000/([1]Parametros!$B$5*H190*U190^2))/(0.85*[1]Parametros!$B$2)))*H190*U190)</f>
        <v>734.02500000000009</v>
      </c>
      <c r="S190" s="14">
        <v>4</v>
      </c>
      <c r="T190" s="14">
        <v>1</v>
      </c>
      <c r="U190" s="13">
        <f>IF(T190=1,I190-([1]Parametros!$B$7+[1]Parametros!$B$9+[1]Parametros!$B$12/2),I190-(ROUNDUP(S190/2,0)*([1]Parametros!$B$7+[1]Parametros!$B$9+[1]Parametros!$B$12/2)+ROUNDDOWN(S190/2,0)*([1]Parametros!$B$7+[1]Parametros!$B$9+[1]Parametros!$B$12/2+[1]Parametros!$B$12+[1]Parametros!$B$10))/S190)</f>
        <v>489.35</v>
      </c>
      <c r="V190" s="13">
        <f>S190*[1]Parametros!$B$8</f>
        <v>796</v>
      </c>
      <c r="W190" s="13">
        <f>[1]Parametros!$B$5*V190*[1]Parametros!$B$3*(U190-(V190*[1]Parametros!$B$3/(0.85*[1]Parametros!$B$2*H190))/2)/1000000</f>
        <v>142.54333009411764</v>
      </c>
      <c r="X190" s="13" t="str">
        <f t="shared" si="26"/>
        <v>CUMPLE</v>
      </c>
      <c r="Y190" s="13">
        <f>MAX(MAX(1.4/[1]Parametros!$B$3,0.25*SQRT([1]Parametros!$B$2)/[1]Parametros!$B$3)*H190*AB190,(0.85*[1]Parametros!$B$2/[1]Parametros!$B$3)*(1-SQRT(1-2*(L190*1000000/([1]Parametros!$B$5*H190*AB190^2))/(0.85*[1]Parametros!$B$2)))*H190*AB190)</f>
        <v>734.02500000000009</v>
      </c>
      <c r="Z190" s="14">
        <v>4</v>
      </c>
      <c r="AA190" s="14">
        <v>1</v>
      </c>
      <c r="AB190" s="13">
        <f>IF(AA190=1,I190-([1]Parametros!$B$7+[1]Parametros!$B$9+[1]Parametros!$B$12/2),I190-(ROUNDUP(Z190/2,0)*([1]Parametros!$B$7+[1]Parametros!$B$9+[1]Parametros!$B$12/2)+ROUNDDOWN(Z190/2,0)*([1]Parametros!$B$7+[1]Parametros!$B$9+[1]Parametros!$B$12/2+[1]Parametros!$B$12+[1]Parametros!$B$10))/Z190)</f>
        <v>489.35</v>
      </c>
      <c r="AC190" s="13">
        <f>Z190*[1]Parametros!$B$8</f>
        <v>796</v>
      </c>
      <c r="AD190" s="13">
        <f>[1]Parametros!$B$5*AC190*[1]Parametros!$B$3*(AB190-(AC190*[1]Parametros!$B$3/(0.85*[1]Parametros!$B$2*H190))/2)/1000000</f>
        <v>142.54333009411764</v>
      </c>
      <c r="AE190" s="13" t="str">
        <f t="shared" si="27"/>
        <v>CUMPLE</v>
      </c>
      <c r="AF190" s="13">
        <f>V190*1.25*[1]Parametros!$B$3*(U190-(V190*1.25*[1]Parametros!$B$3/(0.85*[1]Parametros!$B$2*H190))/2)/1000000</f>
        <v>196.34621794117646</v>
      </c>
      <c r="AG190" s="13">
        <f>AC190*1.25*[1]Parametros!$B$3*(AB190-(AC190*1.25*[1]Parametros!$B$3/(0.85*[1]Parametros!$B$2*H190))/2)/1000000</f>
        <v>196.34621794117646</v>
      </c>
      <c r="AH190" s="13">
        <f t="shared" si="28"/>
        <v>176.22070784313726</v>
      </c>
      <c r="AI190" s="13">
        <f t="shared" si="29"/>
        <v>216.15799999999999</v>
      </c>
      <c r="AJ190" s="13">
        <f>0.17*SQRT([1]Parametros!$B$2)*H190*MIN(U190,AB190)/1000</f>
        <v>198.08885582262698</v>
      </c>
      <c r="AK190" s="13">
        <f>MAX(AI190/[1]Parametros!$B$6-AJ190,0)</f>
        <v>90.121810844039686</v>
      </c>
      <c r="AL190" s="13">
        <f>0.66*SQRT([1]Parametros!$B$2)*H190*MIN(U190,AB190)/1000</f>
        <v>769.05085201725785</v>
      </c>
      <c r="AM190" s="13" t="str">
        <f t="shared" si="30"/>
        <v>CUMPLE</v>
      </c>
      <c r="AN190" s="13" t="s">
        <v>64</v>
      </c>
      <c r="AO190" s="14">
        <v>2</v>
      </c>
      <c r="AP190" s="13">
        <f>ROUNDDOWN(MIN(IF(BC190+BD190=0,1000000000,AO190*BB190/(BC190+BD190)),MIN(U190,AB190)/4,8*[1]Parametros!$B$12,24*BA190,300,IF(AV190=0,1000000000,2*((H190-2*([1]Parametros!$B$7+[1]Parametros!$B$9/2))+(I190-2*([1]Parametros!$B$7+[1]Parametros!$B$9/2)))/8))/10,0)*10</f>
        <v>100</v>
      </c>
      <c r="AQ190" s="13">
        <f>ROUNDDOWN(MIN(IF(BC190+BD190=0,1000000000,AO190*BB190/(BC190+BD190)),IF(AK190&gt;0.33*SQRT([1]Parametros!$B$2)*H190*MIN(U190,AB190)/1000,MIN(U190,AB190)/4,MIN(U190,AB190)/2),600,IF(AV190=0,1000000000,2*((H190-2*([1]Parametros!$B$7+[1]Parametros!$B$9/2))+(I190-2*([1]Parametros!$B$7+[1]Parametros!$B$9/2)))/8))/10,0)*10</f>
        <v>100</v>
      </c>
      <c r="AR190" s="13">
        <f>[1]Parametros!$B$6*(AJ190+MAX(BE190-BD190,0)*[1]Parametros!$B$4*MIN(U190,AB190)/1000)</f>
        <v>230.63116292097294</v>
      </c>
      <c r="AS190" s="13" t="str">
        <f t="shared" si="31"/>
        <v>CUMPLE</v>
      </c>
      <c r="AT190" s="13">
        <f>[1]Parametros!$B$6*0.083*SQRT([1]Parametros!$B$2)*(H190*I190)^2/(2*(H190+I190))/1000000</f>
        <v>10.08878303333792</v>
      </c>
      <c r="AU190" s="13" t="str">
        <f t="shared" si="32"/>
        <v>DISEÑAR</v>
      </c>
      <c r="AV190" s="13">
        <f>IF(Q190&lt;=AT190,0,Q190*1000000/([1]Parametros!$B$6*2*0.85*(H190-2*([1]Parametros!$B$7+[1]Parametros!$B$9/2))*(I190-2*([1]Parametros!$B$7+[1]Parametros!$B$9/2))*[1]Parametros!$B$4))</f>
        <v>0.44380781745138842</v>
      </c>
      <c r="AW190" s="13">
        <f>AV190*2*((H190-2*([1]Parametros!$B$7+[1]Parametros!$B$9/2))+(I190-2*([1]Parametros!$B$7+[1]Parametros!$B$9/2)))*[1]Parametros!$B$4/[1]Parametros!$B$3</f>
        <v>723.05169619180208</v>
      </c>
      <c r="AX190" s="14">
        <v>8</v>
      </c>
      <c r="AY190" s="13" t="str">
        <f t="shared" si="33"/>
        <v>CUMPLE</v>
      </c>
      <c r="AZ190" s="13" t="str">
        <f t="shared" si="34"/>
        <v>CUMPLE</v>
      </c>
      <c r="BA190" s="14">
        <v>9.5</v>
      </c>
      <c r="BB190" s="14">
        <v>71</v>
      </c>
      <c r="BC190" s="13">
        <f>MAX(IF(AK190=0,0,AK190*1000/([1]Parametros!$B$4*MIN(U190,AB190))),MAX(0.062*SQRT([1]Parametros!$B$2)*H190/[1]Parametros!$B$4,0.35*H190/[1]Parametros!$B$4))</f>
        <v>0.43849134587689059</v>
      </c>
      <c r="BD190" s="13">
        <f t="shared" si="35"/>
        <v>0.88761563490277684</v>
      </c>
      <c r="BE190" s="13">
        <f t="shared" si="36"/>
        <v>1.42</v>
      </c>
      <c r="BF190" s="13">
        <f>SQRT((AI190*1000/(H190*MIN(U190,AB190)))^2+(Q190*1000000*2*((H190-2*([1]Parametros!$B$7+[1]Parametros!$B$9/2))+(I190-2*([1]Parametros!$B$7+[1]Parametros!$B$9/2)))/(1.7*((H190-2*([1]Parametros!$B$7+[1]Parametros!$B$9/2))*(I190-2*([1]Parametros!$B$7+[1]Parametros!$B$9/2)))^2))^2)</f>
        <v>1.7048877703789183</v>
      </c>
      <c r="BG190" s="13">
        <f>[1]Parametros!$B$6*(AJ190*1000/(H190*MIN(U190,AB190))+0.66*SQRT([1]Parametros!$B$2))</f>
        <v>3.2939603822754151</v>
      </c>
      <c r="BH190" s="13" t="str">
        <f t="shared" si="37"/>
        <v>CUMPLE</v>
      </c>
      <c r="BI190" s="13">
        <f>AX190*[1]Parametros!$B$8</f>
        <v>1592</v>
      </c>
      <c r="BJ190" s="15" t="str">
        <f t="shared" si="38"/>
        <v>CUMPLE</v>
      </c>
    </row>
    <row r="191" spans="1:62" x14ac:dyDescent="0.3">
      <c r="A191" s="22" t="s">
        <v>71</v>
      </c>
      <c r="B191" s="23">
        <v>922</v>
      </c>
      <c r="C191" s="13">
        <v>1</v>
      </c>
      <c r="D191" s="13">
        <v>3.25</v>
      </c>
      <c r="E191" s="13">
        <v>3.25</v>
      </c>
      <c r="F191" s="13">
        <v>450</v>
      </c>
      <c r="G191" s="13">
        <v>550</v>
      </c>
      <c r="H191" s="13">
        <v>450</v>
      </c>
      <c r="I191" s="13">
        <v>550</v>
      </c>
      <c r="J191" s="14">
        <v>85.030299999999997</v>
      </c>
      <c r="K191" s="13">
        <v>922</v>
      </c>
      <c r="L191" s="14">
        <v>64.189099999999996</v>
      </c>
      <c r="M191" s="13">
        <v>922</v>
      </c>
      <c r="N191" s="14">
        <v>52.204000000000001</v>
      </c>
      <c r="O191" s="14">
        <v>181.62299999999999</v>
      </c>
      <c r="P191" s="13">
        <v>922</v>
      </c>
      <c r="Q191" s="14">
        <v>3.8649</v>
      </c>
      <c r="R191" s="13">
        <f>MAX(MAX(1.4/[1]Parametros!$B$3,0.25*SQRT([1]Parametros!$B$2)/[1]Parametros!$B$3)*H191*U191,(0.85*[1]Parametros!$B$2/[1]Parametros!$B$3)*(1-SQRT(1-2*(J191*1000000/([1]Parametros!$B$5*H191*U191^2))/(0.85*[1]Parametros!$B$2)))*H191*U191)</f>
        <v>734.02500000000009</v>
      </c>
      <c r="S191" s="14">
        <v>4</v>
      </c>
      <c r="T191" s="14">
        <v>1</v>
      </c>
      <c r="U191" s="13">
        <f>IF(T191=1,I191-([1]Parametros!$B$7+[1]Parametros!$B$9+[1]Parametros!$B$12/2),I191-(ROUNDUP(S191/2,0)*([1]Parametros!$B$7+[1]Parametros!$B$9+[1]Parametros!$B$12/2)+ROUNDDOWN(S191/2,0)*([1]Parametros!$B$7+[1]Parametros!$B$9+[1]Parametros!$B$12/2+[1]Parametros!$B$12+[1]Parametros!$B$10))/S191)</f>
        <v>489.35</v>
      </c>
      <c r="V191" s="13">
        <f>S191*[1]Parametros!$B$8</f>
        <v>796</v>
      </c>
      <c r="W191" s="13">
        <f>[1]Parametros!$B$5*V191*[1]Parametros!$B$3*(U191-(V191*[1]Parametros!$B$3/(0.85*[1]Parametros!$B$2*H191))/2)/1000000</f>
        <v>142.54333009411764</v>
      </c>
      <c r="X191" s="13" t="str">
        <f t="shared" si="26"/>
        <v>CUMPLE</v>
      </c>
      <c r="Y191" s="13">
        <f>MAX(MAX(1.4/[1]Parametros!$B$3,0.25*SQRT([1]Parametros!$B$2)/[1]Parametros!$B$3)*H191*AB191,(0.85*[1]Parametros!$B$2/[1]Parametros!$B$3)*(1-SQRT(1-2*(L191*1000000/([1]Parametros!$B$5*H191*AB191^2))/(0.85*[1]Parametros!$B$2)))*H191*AB191)</f>
        <v>734.02500000000009</v>
      </c>
      <c r="Z191" s="14">
        <v>4</v>
      </c>
      <c r="AA191" s="14">
        <v>1</v>
      </c>
      <c r="AB191" s="13">
        <f>IF(AA191=1,I191-([1]Parametros!$B$7+[1]Parametros!$B$9+[1]Parametros!$B$12/2),I191-(ROUNDUP(Z191/2,0)*([1]Parametros!$B$7+[1]Parametros!$B$9+[1]Parametros!$B$12/2)+ROUNDDOWN(Z191/2,0)*([1]Parametros!$B$7+[1]Parametros!$B$9+[1]Parametros!$B$12/2+[1]Parametros!$B$12+[1]Parametros!$B$10))/Z191)</f>
        <v>489.35</v>
      </c>
      <c r="AC191" s="13">
        <f>Z191*[1]Parametros!$B$8</f>
        <v>796</v>
      </c>
      <c r="AD191" s="13">
        <f>[1]Parametros!$B$5*AC191*[1]Parametros!$B$3*(AB191-(AC191*[1]Parametros!$B$3/(0.85*[1]Parametros!$B$2*H191))/2)/1000000</f>
        <v>142.54333009411764</v>
      </c>
      <c r="AE191" s="13" t="str">
        <f t="shared" si="27"/>
        <v>CUMPLE</v>
      </c>
      <c r="AF191" s="13">
        <f>V191*1.25*[1]Parametros!$B$3*(U191-(V191*1.25*[1]Parametros!$B$3/(0.85*[1]Parametros!$B$2*H191))/2)/1000000</f>
        <v>196.34621794117646</v>
      </c>
      <c r="AG191" s="13">
        <f>AC191*1.25*[1]Parametros!$B$3*(AB191-(AC191*1.25*[1]Parametros!$B$3/(0.85*[1]Parametros!$B$2*H191))/2)/1000000</f>
        <v>196.34621794117646</v>
      </c>
      <c r="AH191" s="13">
        <f t="shared" si="28"/>
        <v>173.03244180995475</v>
      </c>
      <c r="AI191" s="13">
        <f t="shared" si="29"/>
        <v>181.62299999999999</v>
      </c>
      <c r="AJ191" s="13">
        <f>0.17*SQRT([1]Parametros!$B$2)*H191*MIN(U191,AB191)/1000</f>
        <v>198.08885582262698</v>
      </c>
      <c r="AK191" s="13">
        <f>MAX(AI191/[1]Parametros!$B$6-AJ191,0)</f>
        <v>44.075144177373005</v>
      </c>
      <c r="AL191" s="13">
        <f>0.66*SQRT([1]Parametros!$B$2)*H191*MIN(U191,AB191)/1000</f>
        <v>769.05085201725785</v>
      </c>
      <c r="AM191" s="13" t="str">
        <f t="shared" si="30"/>
        <v>CUMPLE</v>
      </c>
      <c r="AN191" s="13" t="s">
        <v>64</v>
      </c>
      <c r="AO191" s="14">
        <v>2</v>
      </c>
      <c r="AP191" s="13">
        <f>ROUNDDOWN(MIN(IF(BC191+BD191=0,1000000000,AO191*BB191/(BC191+BD191)),MIN(U191,AB191)/4,8*[1]Parametros!$B$12,24*BA191,300,IF(AV191=0,1000000000,2*((H191-2*([1]Parametros!$B$7+[1]Parametros!$B$9/2))+(I191-2*([1]Parametros!$B$7+[1]Parametros!$B$9/2)))/8))/10,0)*10</f>
        <v>120</v>
      </c>
      <c r="AQ191" s="13">
        <f>ROUNDDOWN(MIN(IF(BC191+BD191=0,1000000000,AO191*BB191/(BC191+BD191)),IF(AK191&gt;0.33*SQRT([1]Parametros!$B$2)*H191*MIN(U191,AB191)/1000,MIN(U191,AB191)/4,MIN(U191,AB191)/2),600,IF(AV191=0,1000000000,2*((H191-2*([1]Parametros!$B$7+[1]Parametros!$B$9/2))+(I191-2*([1]Parametros!$B$7+[1]Parametros!$B$9/2)))/8))/10,0)*10</f>
        <v>240</v>
      </c>
      <c r="AR191" s="13">
        <f>[1]Parametros!$B$6*(AJ191+MAX(BE191-BD191,0)*[1]Parametros!$B$4*MIN(U191,AB191)/1000)</f>
        <v>330.97185436697026</v>
      </c>
      <c r="AS191" s="13" t="str">
        <f t="shared" si="31"/>
        <v>CUMPLE</v>
      </c>
      <c r="AT191" s="13">
        <f>[1]Parametros!$B$6*0.083*SQRT([1]Parametros!$B$2)*(H191*I191)^2/(2*(H191+I191))/1000000</f>
        <v>10.08878303333792</v>
      </c>
      <c r="AU191" s="13" t="str">
        <f t="shared" si="32"/>
        <v>DESPRECIABLE</v>
      </c>
      <c r="AV191" s="13">
        <f>IF(Q191&lt;=AT191,0,Q191*1000000/([1]Parametros!$B$6*2*0.85*(H191-2*([1]Parametros!$B$7+[1]Parametros!$B$9/2))*(I191-2*([1]Parametros!$B$7+[1]Parametros!$B$9/2))*[1]Parametros!$B$4))</f>
        <v>0</v>
      </c>
      <c r="AW191" s="13">
        <f>AV191*2*((H191-2*([1]Parametros!$B$7+[1]Parametros!$B$9/2))+(I191-2*([1]Parametros!$B$7+[1]Parametros!$B$9/2)))*[1]Parametros!$B$4/[1]Parametros!$B$3</f>
        <v>0</v>
      </c>
      <c r="AX191" s="14">
        <v>0</v>
      </c>
      <c r="AY191" s="13" t="str">
        <f t="shared" si="33"/>
        <v>DESPRECIABLE</v>
      </c>
      <c r="AZ191" s="13" t="str">
        <f t="shared" si="34"/>
        <v>CUMPLE</v>
      </c>
      <c r="BA191" s="14">
        <v>9.5</v>
      </c>
      <c r="BB191" s="14">
        <v>71</v>
      </c>
      <c r="BC191" s="13">
        <f>MAX(IF(AK191=0,0,AK191*1000/([1]Parametros!$B$4*MIN(U191,AB191))),MAX(0.062*SQRT([1]Parametros!$B$2)*H191/[1]Parametros!$B$4,0.35*H191/[1]Parametros!$B$4))</f>
        <v>0.375</v>
      </c>
      <c r="BD191" s="13">
        <f t="shared" si="35"/>
        <v>0</v>
      </c>
      <c r="BE191" s="13">
        <f t="shared" si="36"/>
        <v>1.1833333333333333</v>
      </c>
      <c r="BF191" s="13">
        <f>SQRT((AI191*1000/(H191*MIN(U191,AB191)))^2+(Q191*1000000*2*((H191-2*([1]Parametros!$B$7+[1]Parametros!$B$9/2))+(I191-2*([1]Parametros!$B$7+[1]Parametros!$B$9/2)))/(1.7*((H191-2*([1]Parametros!$B$7+[1]Parametros!$B$9/2))*(I191-2*([1]Parametros!$B$7+[1]Parametros!$B$9/2)))^2))^2)</f>
        <v>0.83636846181025326</v>
      </c>
      <c r="BG191" s="13">
        <f>[1]Parametros!$B$6*(AJ191*1000/(H191*MIN(U191,AB191))+0.66*SQRT([1]Parametros!$B$2))</f>
        <v>3.2939603822754151</v>
      </c>
      <c r="BH191" s="13" t="str">
        <f t="shared" si="37"/>
        <v>CUMPLE</v>
      </c>
      <c r="BI191" s="13">
        <f>AX191*[1]Parametros!$B$8</f>
        <v>0</v>
      </c>
      <c r="BJ191" s="15" t="str">
        <f t="shared" si="38"/>
        <v>CUMPLE</v>
      </c>
    </row>
    <row r="192" spans="1:62" x14ac:dyDescent="0.3">
      <c r="A192" s="22" t="s">
        <v>71</v>
      </c>
      <c r="B192" s="23">
        <v>931</v>
      </c>
      <c r="C192" s="13">
        <v>1</v>
      </c>
      <c r="D192" s="13">
        <v>3.25</v>
      </c>
      <c r="E192" s="13">
        <v>3.25</v>
      </c>
      <c r="F192" s="13">
        <v>450</v>
      </c>
      <c r="G192" s="13">
        <v>550</v>
      </c>
      <c r="H192" s="13">
        <v>450</v>
      </c>
      <c r="I192" s="13">
        <v>550</v>
      </c>
      <c r="J192" s="14">
        <v>84.995900000000006</v>
      </c>
      <c r="K192" s="13">
        <v>931</v>
      </c>
      <c r="L192" s="14">
        <v>64.169499999999999</v>
      </c>
      <c r="M192" s="13">
        <v>931</v>
      </c>
      <c r="N192" s="14">
        <v>52.195999999999998</v>
      </c>
      <c r="O192" s="14">
        <v>181.649</v>
      </c>
      <c r="P192" s="13">
        <v>931</v>
      </c>
      <c r="Q192" s="14">
        <v>3.8452000000000002</v>
      </c>
      <c r="R192" s="13">
        <f>MAX(MAX(1.4/[1]Parametros!$B$3,0.25*SQRT([1]Parametros!$B$2)/[1]Parametros!$B$3)*H192*U192,(0.85*[1]Parametros!$B$2/[1]Parametros!$B$3)*(1-SQRT(1-2*(J192*1000000/([1]Parametros!$B$5*H192*U192^2))/(0.85*[1]Parametros!$B$2)))*H192*U192)</f>
        <v>734.02500000000009</v>
      </c>
      <c r="S192" s="14">
        <v>4</v>
      </c>
      <c r="T192" s="14">
        <v>1</v>
      </c>
      <c r="U192" s="13">
        <f>IF(T192=1,I192-([1]Parametros!$B$7+[1]Parametros!$B$9+[1]Parametros!$B$12/2),I192-(ROUNDUP(S192/2,0)*([1]Parametros!$B$7+[1]Parametros!$B$9+[1]Parametros!$B$12/2)+ROUNDDOWN(S192/2,0)*([1]Parametros!$B$7+[1]Parametros!$B$9+[1]Parametros!$B$12/2+[1]Parametros!$B$12+[1]Parametros!$B$10))/S192)</f>
        <v>489.35</v>
      </c>
      <c r="V192" s="13">
        <f>S192*[1]Parametros!$B$8</f>
        <v>796</v>
      </c>
      <c r="W192" s="13">
        <f>[1]Parametros!$B$5*V192*[1]Parametros!$B$3*(U192-(V192*[1]Parametros!$B$3/(0.85*[1]Parametros!$B$2*H192))/2)/1000000</f>
        <v>142.54333009411764</v>
      </c>
      <c r="X192" s="13" t="str">
        <f t="shared" si="26"/>
        <v>CUMPLE</v>
      </c>
      <c r="Y192" s="13">
        <f>MAX(MAX(1.4/[1]Parametros!$B$3,0.25*SQRT([1]Parametros!$B$2)/[1]Parametros!$B$3)*H192*AB192,(0.85*[1]Parametros!$B$2/[1]Parametros!$B$3)*(1-SQRT(1-2*(L192*1000000/([1]Parametros!$B$5*H192*AB192^2))/(0.85*[1]Parametros!$B$2)))*H192*AB192)</f>
        <v>734.02500000000009</v>
      </c>
      <c r="Z192" s="14">
        <v>4</v>
      </c>
      <c r="AA192" s="14">
        <v>1</v>
      </c>
      <c r="AB192" s="13">
        <f>IF(AA192=1,I192-([1]Parametros!$B$7+[1]Parametros!$B$9+[1]Parametros!$B$12/2),I192-(ROUNDUP(Z192/2,0)*([1]Parametros!$B$7+[1]Parametros!$B$9+[1]Parametros!$B$12/2)+ROUNDDOWN(Z192/2,0)*([1]Parametros!$B$7+[1]Parametros!$B$9+[1]Parametros!$B$12/2+[1]Parametros!$B$12+[1]Parametros!$B$10))/Z192)</f>
        <v>489.35</v>
      </c>
      <c r="AC192" s="13">
        <f>Z192*[1]Parametros!$B$8</f>
        <v>796</v>
      </c>
      <c r="AD192" s="13">
        <f>[1]Parametros!$B$5*AC192*[1]Parametros!$B$3*(AB192-(AC192*[1]Parametros!$B$3/(0.85*[1]Parametros!$B$2*H192))/2)/1000000</f>
        <v>142.54333009411764</v>
      </c>
      <c r="AE192" s="13" t="str">
        <f t="shared" si="27"/>
        <v>CUMPLE</v>
      </c>
      <c r="AF192" s="13">
        <f>V192*1.25*[1]Parametros!$B$3*(U192-(V192*1.25*[1]Parametros!$B$3/(0.85*[1]Parametros!$B$2*H192))/2)/1000000</f>
        <v>196.34621794117646</v>
      </c>
      <c r="AG192" s="13">
        <f>AC192*1.25*[1]Parametros!$B$3*(AB192-(AC192*1.25*[1]Parametros!$B$3/(0.85*[1]Parametros!$B$2*H192))/2)/1000000</f>
        <v>196.34621794117646</v>
      </c>
      <c r="AH192" s="13">
        <f t="shared" si="28"/>
        <v>173.02444180995474</v>
      </c>
      <c r="AI192" s="13">
        <f t="shared" si="29"/>
        <v>181.649</v>
      </c>
      <c r="AJ192" s="13">
        <f>0.17*SQRT([1]Parametros!$B$2)*H192*MIN(U192,AB192)/1000</f>
        <v>198.08885582262698</v>
      </c>
      <c r="AK192" s="13">
        <f>MAX(AI192/[1]Parametros!$B$6-AJ192,0)</f>
        <v>44.109810844039686</v>
      </c>
      <c r="AL192" s="13">
        <f>0.66*SQRT([1]Parametros!$B$2)*H192*MIN(U192,AB192)/1000</f>
        <v>769.05085201725785</v>
      </c>
      <c r="AM192" s="13" t="str">
        <f t="shared" si="30"/>
        <v>CUMPLE</v>
      </c>
      <c r="AN192" s="13" t="s">
        <v>64</v>
      </c>
      <c r="AO192" s="14">
        <v>2</v>
      </c>
      <c r="AP192" s="13">
        <f>ROUNDDOWN(MIN(IF(BC192+BD192=0,1000000000,AO192*BB192/(BC192+BD192)),MIN(U192,AB192)/4,8*[1]Parametros!$B$12,24*BA192,300,IF(AV192=0,1000000000,2*((H192-2*([1]Parametros!$B$7+[1]Parametros!$B$9/2))+(I192-2*([1]Parametros!$B$7+[1]Parametros!$B$9/2)))/8))/10,0)*10</f>
        <v>120</v>
      </c>
      <c r="AQ192" s="13">
        <f>ROUNDDOWN(MIN(IF(BC192+BD192=0,1000000000,AO192*BB192/(BC192+BD192)),IF(AK192&gt;0.33*SQRT([1]Parametros!$B$2)*H192*MIN(U192,AB192)/1000,MIN(U192,AB192)/4,MIN(U192,AB192)/2),600,IF(AV192=0,1000000000,2*((H192-2*([1]Parametros!$B$7+[1]Parametros!$B$9/2))+(I192-2*([1]Parametros!$B$7+[1]Parametros!$B$9/2)))/8))/10,0)*10</f>
        <v>240</v>
      </c>
      <c r="AR192" s="13">
        <f>[1]Parametros!$B$6*(AJ192+MAX(BE192-BD192,0)*[1]Parametros!$B$4*MIN(U192,AB192)/1000)</f>
        <v>330.97185436697026</v>
      </c>
      <c r="AS192" s="13" t="str">
        <f t="shared" si="31"/>
        <v>CUMPLE</v>
      </c>
      <c r="AT192" s="13">
        <f>[1]Parametros!$B$6*0.083*SQRT([1]Parametros!$B$2)*(H192*I192)^2/(2*(H192+I192))/1000000</f>
        <v>10.08878303333792</v>
      </c>
      <c r="AU192" s="13" t="str">
        <f t="shared" si="32"/>
        <v>DESPRECIABLE</v>
      </c>
      <c r="AV192" s="13">
        <f>IF(Q192&lt;=AT192,0,Q192*1000000/([1]Parametros!$B$6*2*0.85*(H192-2*([1]Parametros!$B$7+[1]Parametros!$B$9/2))*(I192-2*([1]Parametros!$B$7+[1]Parametros!$B$9/2))*[1]Parametros!$B$4))</f>
        <v>0</v>
      </c>
      <c r="AW192" s="13">
        <f>AV192*2*((H192-2*([1]Parametros!$B$7+[1]Parametros!$B$9/2))+(I192-2*([1]Parametros!$B$7+[1]Parametros!$B$9/2)))*[1]Parametros!$B$4/[1]Parametros!$B$3</f>
        <v>0</v>
      </c>
      <c r="AX192" s="14">
        <v>0</v>
      </c>
      <c r="AY192" s="13" t="str">
        <f t="shared" si="33"/>
        <v>DESPRECIABLE</v>
      </c>
      <c r="AZ192" s="13" t="str">
        <f t="shared" si="34"/>
        <v>CUMPLE</v>
      </c>
      <c r="BA192" s="14">
        <v>9.5</v>
      </c>
      <c r="BB192" s="14">
        <v>71</v>
      </c>
      <c r="BC192" s="13">
        <f>MAX(IF(AK192=0,0,AK192*1000/([1]Parametros!$B$4*MIN(U192,AB192))),MAX(0.062*SQRT([1]Parametros!$B$2)*H192/[1]Parametros!$B$4,0.35*H192/[1]Parametros!$B$4))</f>
        <v>0.375</v>
      </c>
      <c r="BD192" s="13">
        <f t="shared" si="35"/>
        <v>0</v>
      </c>
      <c r="BE192" s="13">
        <f t="shared" si="36"/>
        <v>1.1833333333333333</v>
      </c>
      <c r="BF192" s="13">
        <f>SQRT((AI192*1000/(H192*MIN(U192,AB192)))^2+(Q192*1000000*2*((H192-2*([1]Parametros!$B$7+[1]Parametros!$B$9/2))+(I192-2*([1]Parametros!$B$7+[1]Parametros!$B$9/2)))/(1.7*((H192-2*([1]Parametros!$B$7+[1]Parametros!$B$9/2))*(I192-2*([1]Parametros!$B$7+[1]Parametros!$B$9/2)))^2))^2)</f>
        <v>0.83636789759225849</v>
      </c>
      <c r="BG192" s="13">
        <f>[1]Parametros!$B$6*(AJ192*1000/(H192*MIN(U192,AB192))+0.66*SQRT([1]Parametros!$B$2))</f>
        <v>3.2939603822754151</v>
      </c>
      <c r="BH192" s="13" t="str">
        <f t="shared" si="37"/>
        <v>CUMPLE</v>
      </c>
      <c r="BI192" s="13">
        <f>AX192*[1]Parametros!$B$8</f>
        <v>0</v>
      </c>
      <c r="BJ192" s="15" t="str">
        <f t="shared" si="38"/>
        <v>CUMPLE</v>
      </c>
    </row>
    <row r="193" spans="1:62" x14ac:dyDescent="0.3">
      <c r="A193" s="22" t="s">
        <v>71</v>
      </c>
      <c r="B193" s="23">
        <v>932</v>
      </c>
      <c r="C193" s="13">
        <v>1</v>
      </c>
      <c r="D193" s="13">
        <v>3.3</v>
      </c>
      <c r="E193" s="13">
        <v>3.3</v>
      </c>
      <c r="F193" s="13">
        <v>450</v>
      </c>
      <c r="G193" s="13">
        <v>550</v>
      </c>
      <c r="H193" s="13">
        <v>450</v>
      </c>
      <c r="I193" s="13">
        <v>550</v>
      </c>
      <c r="J193" s="14">
        <v>90.22</v>
      </c>
      <c r="K193" s="13">
        <v>932</v>
      </c>
      <c r="L193" s="14">
        <v>67.135499999999993</v>
      </c>
      <c r="M193" s="13">
        <v>932</v>
      </c>
      <c r="N193" s="14">
        <v>57.201000000000001</v>
      </c>
      <c r="O193" s="14">
        <v>216.12200000000001</v>
      </c>
      <c r="P193" s="13">
        <v>932</v>
      </c>
      <c r="Q193" s="14">
        <v>38.7483</v>
      </c>
      <c r="R193" s="13">
        <f>MAX(MAX(1.4/[1]Parametros!$B$3,0.25*SQRT([1]Parametros!$B$2)/[1]Parametros!$B$3)*H193*U193,(0.85*[1]Parametros!$B$2/[1]Parametros!$B$3)*(1-SQRT(1-2*(J193*1000000/([1]Parametros!$B$5*H193*U193^2))/(0.85*[1]Parametros!$B$2)))*H193*U193)</f>
        <v>734.02500000000009</v>
      </c>
      <c r="S193" s="14">
        <v>4</v>
      </c>
      <c r="T193" s="14">
        <v>1</v>
      </c>
      <c r="U193" s="13">
        <f>IF(T193=1,I193-([1]Parametros!$B$7+[1]Parametros!$B$9+[1]Parametros!$B$12/2),I193-(ROUNDUP(S193/2,0)*([1]Parametros!$B$7+[1]Parametros!$B$9+[1]Parametros!$B$12/2)+ROUNDDOWN(S193/2,0)*([1]Parametros!$B$7+[1]Parametros!$B$9+[1]Parametros!$B$12/2+[1]Parametros!$B$12+[1]Parametros!$B$10))/S193)</f>
        <v>489.35</v>
      </c>
      <c r="V193" s="13">
        <f>S193*[1]Parametros!$B$8</f>
        <v>796</v>
      </c>
      <c r="W193" s="13">
        <f>[1]Parametros!$B$5*V193*[1]Parametros!$B$3*(U193-(V193*[1]Parametros!$B$3/(0.85*[1]Parametros!$B$2*H193))/2)/1000000</f>
        <v>142.54333009411764</v>
      </c>
      <c r="X193" s="13" t="str">
        <f t="shared" si="26"/>
        <v>CUMPLE</v>
      </c>
      <c r="Y193" s="13">
        <f>MAX(MAX(1.4/[1]Parametros!$B$3,0.25*SQRT([1]Parametros!$B$2)/[1]Parametros!$B$3)*H193*AB193,(0.85*[1]Parametros!$B$2/[1]Parametros!$B$3)*(1-SQRT(1-2*(L193*1000000/([1]Parametros!$B$5*H193*AB193^2))/(0.85*[1]Parametros!$B$2)))*H193*AB193)</f>
        <v>734.02500000000009</v>
      </c>
      <c r="Z193" s="14">
        <v>4</v>
      </c>
      <c r="AA193" s="14">
        <v>1</v>
      </c>
      <c r="AB193" s="13">
        <f>IF(AA193=1,I193-([1]Parametros!$B$7+[1]Parametros!$B$9+[1]Parametros!$B$12/2),I193-(ROUNDUP(Z193/2,0)*([1]Parametros!$B$7+[1]Parametros!$B$9+[1]Parametros!$B$12/2)+ROUNDDOWN(Z193/2,0)*([1]Parametros!$B$7+[1]Parametros!$B$9+[1]Parametros!$B$12/2+[1]Parametros!$B$12+[1]Parametros!$B$10))/Z193)</f>
        <v>489.35</v>
      </c>
      <c r="AC193" s="13">
        <f>Z193*[1]Parametros!$B$8</f>
        <v>796</v>
      </c>
      <c r="AD193" s="13">
        <f>[1]Parametros!$B$5*AC193*[1]Parametros!$B$3*(AB193-(AC193*[1]Parametros!$B$3/(0.85*[1]Parametros!$B$2*H193))/2)/1000000</f>
        <v>142.54333009411764</v>
      </c>
      <c r="AE193" s="13" t="str">
        <f t="shared" si="27"/>
        <v>CUMPLE</v>
      </c>
      <c r="AF193" s="13">
        <f>V193*1.25*[1]Parametros!$B$3*(U193-(V193*1.25*[1]Parametros!$B$3/(0.85*[1]Parametros!$B$2*H193))/2)/1000000</f>
        <v>196.34621794117646</v>
      </c>
      <c r="AG193" s="13">
        <f>AC193*1.25*[1]Parametros!$B$3*(AB193-(AC193*1.25*[1]Parametros!$B$3/(0.85*[1]Parametros!$B$2*H193))/2)/1000000</f>
        <v>196.34621794117646</v>
      </c>
      <c r="AH193" s="13">
        <f t="shared" si="28"/>
        <v>176.19870784313727</v>
      </c>
      <c r="AI193" s="13">
        <f t="shared" si="29"/>
        <v>216.12200000000001</v>
      </c>
      <c r="AJ193" s="13">
        <f>0.17*SQRT([1]Parametros!$B$2)*H193*MIN(U193,AB193)/1000</f>
        <v>198.08885582262698</v>
      </c>
      <c r="AK193" s="13">
        <f>MAX(AI193/[1]Parametros!$B$6-AJ193,0)</f>
        <v>90.073810844039684</v>
      </c>
      <c r="AL193" s="13">
        <f>0.66*SQRT([1]Parametros!$B$2)*H193*MIN(U193,AB193)/1000</f>
        <v>769.05085201725785</v>
      </c>
      <c r="AM193" s="13" t="str">
        <f t="shared" si="30"/>
        <v>CUMPLE</v>
      </c>
      <c r="AN193" s="13" t="s">
        <v>64</v>
      </c>
      <c r="AO193" s="14">
        <v>2</v>
      </c>
      <c r="AP193" s="13">
        <f>ROUNDDOWN(MIN(IF(BC193+BD193=0,1000000000,AO193*BB193/(BC193+BD193)),MIN(U193,AB193)/4,8*[1]Parametros!$B$12,24*BA193,300,IF(AV193=0,1000000000,2*((H193-2*([1]Parametros!$B$7+[1]Parametros!$B$9/2))+(I193-2*([1]Parametros!$B$7+[1]Parametros!$B$9/2)))/8))/10,0)*10</f>
        <v>100</v>
      </c>
      <c r="AQ193" s="13">
        <f>ROUNDDOWN(MIN(IF(BC193+BD193=0,1000000000,AO193*BB193/(BC193+BD193)),IF(AK193&gt;0.33*SQRT([1]Parametros!$B$2)*H193*MIN(U193,AB193)/1000,MIN(U193,AB193)/4,MIN(U193,AB193)/2),600,IF(AV193=0,1000000000,2*((H193-2*([1]Parametros!$B$7+[1]Parametros!$B$9/2))+(I193-2*([1]Parametros!$B$7+[1]Parametros!$B$9/2)))/8))/10,0)*10</f>
        <v>100</v>
      </c>
      <c r="AR193" s="13">
        <f>[1]Parametros!$B$6*(AJ193+MAX(BE193-BD193,0)*[1]Parametros!$B$4*MIN(U193,AB193)/1000)</f>
        <v>230.92572221263487</v>
      </c>
      <c r="AS193" s="13" t="str">
        <f t="shared" si="31"/>
        <v>CUMPLE</v>
      </c>
      <c r="AT193" s="13">
        <f>[1]Parametros!$B$6*0.083*SQRT([1]Parametros!$B$2)*(H193*I193)^2/(2*(H193+I193))/1000000</f>
        <v>10.08878303333792</v>
      </c>
      <c r="AU193" s="13" t="str">
        <f t="shared" si="32"/>
        <v>DISEÑAR</v>
      </c>
      <c r="AV193" s="13">
        <f>IF(Q193&lt;=AT193,0,Q193*1000000/([1]Parametros!$B$6*2*0.85*(H193-2*([1]Parametros!$B$7+[1]Parametros!$B$9/2))*(I193-2*([1]Parametros!$B$7+[1]Parametros!$B$9/2))*[1]Parametros!$B$4))</f>
        <v>0.44285235728747846</v>
      </c>
      <c r="AW193" s="13">
        <f>AV193*2*((H193-2*([1]Parametros!$B$7+[1]Parametros!$B$9/2))+(I193-2*([1]Parametros!$B$7+[1]Parametros!$B$9/2)))*[1]Parametros!$B$4/[1]Parametros!$B$3</f>
        <v>721.49506049275988</v>
      </c>
      <c r="AX193" s="14">
        <v>8</v>
      </c>
      <c r="AY193" s="13" t="str">
        <f t="shared" si="33"/>
        <v>CUMPLE</v>
      </c>
      <c r="AZ193" s="13" t="str">
        <f t="shared" si="34"/>
        <v>CUMPLE</v>
      </c>
      <c r="BA193" s="14">
        <v>9.5</v>
      </c>
      <c r="BB193" s="14">
        <v>71</v>
      </c>
      <c r="BC193" s="13">
        <f>MAX(IF(AK193=0,0,AK193*1000/([1]Parametros!$B$4*MIN(U193,AB193))),MAX(0.062*SQRT([1]Parametros!$B$2)*H193/[1]Parametros!$B$4,0.35*H193/[1]Parametros!$B$4))</f>
        <v>0.43825779991942515</v>
      </c>
      <c r="BD193" s="13">
        <f t="shared" si="35"/>
        <v>0.88570471457495692</v>
      </c>
      <c r="BE193" s="13">
        <f t="shared" si="36"/>
        <v>1.42</v>
      </c>
      <c r="BF193" s="13">
        <f>SQRT((AI193*1000/(H193*MIN(U193,AB193)))^2+(Q193*1000000*2*((H193-2*([1]Parametros!$B$7+[1]Parametros!$B$9/2))+(I193-2*([1]Parametros!$B$7+[1]Parametros!$B$9/2)))/(1.7*((H193-2*([1]Parametros!$B$7+[1]Parametros!$B$9/2))*(I193-2*([1]Parametros!$B$7+[1]Parametros!$B$9/2)))^2))^2)</f>
        <v>1.7023407365347223</v>
      </c>
      <c r="BG193" s="13">
        <f>[1]Parametros!$B$6*(AJ193*1000/(H193*MIN(U193,AB193))+0.66*SQRT([1]Parametros!$B$2))</f>
        <v>3.2939603822754151</v>
      </c>
      <c r="BH193" s="13" t="str">
        <f t="shared" si="37"/>
        <v>CUMPLE</v>
      </c>
      <c r="BI193" s="13">
        <f>AX193*[1]Parametros!$B$8</f>
        <v>1592</v>
      </c>
      <c r="BJ193" s="15" t="str">
        <f t="shared" si="38"/>
        <v>CUMPLE</v>
      </c>
    </row>
    <row r="194" spans="1:62" x14ac:dyDescent="0.3">
      <c r="A194" s="22" t="s">
        <v>71</v>
      </c>
      <c r="B194" s="23">
        <v>933</v>
      </c>
      <c r="C194" s="13">
        <v>1</v>
      </c>
      <c r="D194" s="13">
        <v>3.3</v>
      </c>
      <c r="E194" s="13">
        <v>3.3</v>
      </c>
      <c r="F194" s="13">
        <v>450</v>
      </c>
      <c r="G194" s="13">
        <v>550</v>
      </c>
      <c r="H194" s="13">
        <v>450</v>
      </c>
      <c r="I194" s="13">
        <v>550</v>
      </c>
      <c r="J194" s="14">
        <v>90.232100000000003</v>
      </c>
      <c r="K194" s="13">
        <v>933</v>
      </c>
      <c r="L194" s="14">
        <v>67.128</v>
      </c>
      <c r="M194" s="13">
        <v>933</v>
      </c>
      <c r="N194" s="14">
        <v>57.207999999999998</v>
      </c>
      <c r="O194" s="14">
        <v>216.12799999999999</v>
      </c>
      <c r="P194" s="13">
        <v>933</v>
      </c>
      <c r="Q194" s="14">
        <v>38.747900000000001</v>
      </c>
      <c r="R194" s="13">
        <f>MAX(MAX(1.4/[1]Parametros!$B$3,0.25*SQRT([1]Parametros!$B$2)/[1]Parametros!$B$3)*H194*U194,(0.85*[1]Parametros!$B$2/[1]Parametros!$B$3)*(1-SQRT(1-2*(J194*1000000/([1]Parametros!$B$5*H194*U194^2))/(0.85*[1]Parametros!$B$2)))*H194*U194)</f>
        <v>734.02500000000009</v>
      </c>
      <c r="S194" s="14">
        <v>4</v>
      </c>
      <c r="T194" s="14">
        <v>1</v>
      </c>
      <c r="U194" s="13">
        <f>IF(T194=1,I194-([1]Parametros!$B$7+[1]Parametros!$B$9+[1]Parametros!$B$12/2),I194-(ROUNDUP(S194/2,0)*([1]Parametros!$B$7+[1]Parametros!$B$9+[1]Parametros!$B$12/2)+ROUNDDOWN(S194/2,0)*([1]Parametros!$B$7+[1]Parametros!$B$9+[1]Parametros!$B$12/2+[1]Parametros!$B$12+[1]Parametros!$B$10))/S194)</f>
        <v>489.35</v>
      </c>
      <c r="V194" s="13">
        <f>S194*[1]Parametros!$B$8</f>
        <v>796</v>
      </c>
      <c r="W194" s="13">
        <f>[1]Parametros!$B$5*V194*[1]Parametros!$B$3*(U194-(V194*[1]Parametros!$B$3/(0.85*[1]Parametros!$B$2*H194))/2)/1000000</f>
        <v>142.54333009411764</v>
      </c>
      <c r="X194" s="13" t="str">
        <f t="shared" si="26"/>
        <v>CUMPLE</v>
      </c>
      <c r="Y194" s="13">
        <f>MAX(MAX(1.4/[1]Parametros!$B$3,0.25*SQRT([1]Parametros!$B$2)/[1]Parametros!$B$3)*H194*AB194,(0.85*[1]Parametros!$B$2/[1]Parametros!$B$3)*(1-SQRT(1-2*(L194*1000000/([1]Parametros!$B$5*H194*AB194^2))/(0.85*[1]Parametros!$B$2)))*H194*AB194)</f>
        <v>734.02500000000009</v>
      </c>
      <c r="Z194" s="14">
        <v>4</v>
      </c>
      <c r="AA194" s="14">
        <v>1</v>
      </c>
      <c r="AB194" s="13">
        <f>IF(AA194=1,I194-([1]Parametros!$B$7+[1]Parametros!$B$9+[1]Parametros!$B$12/2),I194-(ROUNDUP(Z194/2,0)*([1]Parametros!$B$7+[1]Parametros!$B$9+[1]Parametros!$B$12/2)+ROUNDDOWN(Z194/2,0)*([1]Parametros!$B$7+[1]Parametros!$B$9+[1]Parametros!$B$12/2+[1]Parametros!$B$12+[1]Parametros!$B$10))/Z194)</f>
        <v>489.35</v>
      </c>
      <c r="AC194" s="13">
        <f>Z194*[1]Parametros!$B$8</f>
        <v>796</v>
      </c>
      <c r="AD194" s="13">
        <f>[1]Parametros!$B$5*AC194*[1]Parametros!$B$3*(AB194-(AC194*[1]Parametros!$B$3/(0.85*[1]Parametros!$B$2*H194))/2)/1000000</f>
        <v>142.54333009411764</v>
      </c>
      <c r="AE194" s="13" t="str">
        <f t="shared" si="27"/>
        <v>CUMPLE</v>
      </c>
      <c r="AF194" s="13">
        <f>V194*1.25*[1]Parametros!$B$3*(U194-(V194*1.25*[1]Parametros!$B$3/(0.85*[1]Parametros!$B$2*H194))/2)/1000000</f>
        <v>196.34621794117646</v>
      </c>
      <c r="AG194" s="13">
        <f>AC194*1.25*[1]Parametros!$B$3*(AB194-(AC194*1.25*[1]Parametros!$B$3/(0.85*[1]Parametros!$B$2*H194))/2)/1000000</f>
        <v>196.34621794117646</v>
      </c>
      <c r="AH194" s="13">
        <f t="shared" si="28"/>
        <v>176.20570784313725</v>
      </c>
      <c r="AI194" s="13">
        <f t="shared" si="29"/>
        <v>216.12799999999999</v>
      </c>
      <c r="AJ194" s="13">
        <f>0.17*SQRT([1]Parametros!$B$2)*H194*MIN(U194,AB194)/1000</f>
        <v>198.08885582262698</v>
      </c>
      <c r="AK194" s="13">
        <f>MAX(AI194/[1]Parametros!$B$6-AJ194,0)</f>
        <v>90.081810844039666</v>
      </c>
      <c r="AL194" s="13">
        <f>0.66*SQRT([1]Parametros!$B$2)*H194*MIN(U194,AB194)/1000</f>
        <v>769.05085201725785</v>
      </c>
      <c r="AM194" s="13" t="str">
        <f t="shared" si="30"/>
        <v>CUMPLE</v>
      </c>
      <c r="AN194" s="13" t="s">
        <v>64</v>
      </c>
      <c r="AO194" s="14">
        <v>2</v>
      </c>
      <c r="AP194" s="13">
        <f>ROUNDDOWN(MIN(IF(BC194+BD194=0,1000000000,AO194*BB194/(BC194+BD194)),MIN(U194,AB194)/4,8*[1]Parametros!$B$12,24*BA194,300,IF(AV194=0,1000000000,2*((H194-2*([1]Parametros!$B$7+[1]Parametros!$B$9/2))+(I194-2*([1]Parametros!$B$7+[1]Parametros!$B$9/2)))/8))/10,0)*10</f>
        <v>100</v>
      </c>
      <c r="AQ194" s="13">
        <f>ROUNDDOWN(MIN(IF(BC194+BD194=0,1000000000,AO194*BB194/(BC194+BD194)),IF(AK194&gt;0.33*SQRT([1]Parametros!$B$2)*H194*MIN(U194,AB194)/1000,MIN(U194,AB194)/4,MIN(U194,AB194)/2),600,IF(AV194=0,1000000000,2*((H194-2*([1]Parametros!$B$7+[1]Parametros!$B$9/2))+(I194-2*([1]Parametros!$B$7+[1]Parametros!$B$9/2)))/8))/10,0)*10</f>
        <v>100</v>
      </c>
      <c r="AR194" s="13">
        <f>[1]Parametros!$B$6*(AJ194+MAX(BE194-BD194,0)*[1]Parametros!$B$4*MIN(U194,AB194)/1000)</f>
        <v>230.92713158723609</v>
      </c>
      <c r="AS194" s="13" t="str">
        <f t="shared" si="31"/>
        <v>CUMPLE</v>
      </c>
      <c r="AT194" s="13">
        <f>[1]Parametros!$B$6*0.083*SQRT([1]Parametros!$B$2)*(H194*I194)^2/(2*(H194+I194))/1000000</f>
        <v>10.08878303333792</v>
      </c>
      <c r="AU194" s="13" t="str">
        <f t="shared" si="32"/>
        <v>DISEÑAR</v>
      </c>
      <c r="AV194" s="13">
        <f>IF(Q194&lt;=AT194,0,Q194*1000000/([1]Parametros!$B$6*2*0.85*(H194-2*([1]Parametros!$B$7+[1]Parametros!$B$9/2))*(I194-2*([1]Parametros!$B$7+[1]Parametros!$B$9/2))*[1]Parametros!$B$4))</f>
        <v>0.44284778570774685</v>
      </c>
      <c r="AW194" s="13">
        <f>AV194*2*((H194-2*([1]Parametros!$B$7+[1]Parametros!$B$9/2))+(I194-2*([1]Parametros!$B$7+[1]Parametros!$B$9/2)))*[1]Parametros!$B$4/[1]Parametros!$B$3</f>
        <v>721.48761247506127</v>
      </c>
      <c r="AX194" s="14">
        <v>8</v>
      </c>
      <c r="AY194" s="13" t="str">
        <f t="shared" si="33"/>
        <v>CUMPLE</v>
      </c>
      <c r="AZ194" s="13" t="str">
        <f t="shared" si="34"/>
        <v>CUMPLE</v>
      </c>
      <c r="BA194" s="14">
        <v>9.5</v>
      </c>
      <c r="BB194" s="14">
        <v>71</v>
      </c>
      <c r="BC194" s="13">
        <f>MAX(IF(AK194=0,0,AK194*1000/([1]Parametros!$B$4*MIN(U194,AB194))),MAX(0.062*SQRT([1]Parametros!$B$2)*H194/[1]Parametros!$B$4,0.35*H194/[1]Parametros!$B$4))</f>
        <v>0.43829672424566923</v>
      </c>
      <c r="BD194" s="13">
        <f t="shared" si="35"/>
        <v>0.88569557141549371</v>
      </c>
      <c r="BE194" s="13">
        <f t="shared" si="36"/>
        <v>1.42</v>
      </c>
      <c r="BF194" s="13">
        <f>SQRT((AI194*1000/(H194*MIN(U194,AB194)))^2+(Q194*1000000*2*((H194-2*([1]Parametros!$B$7+[1]Parametros!$B$9/2))+(I194-2*([1]Parametros!$B$7+[1]Parametros!$B$9/2)))/(1.7*((H194-2*([1]Parametros!$B$7+[1]Parametros!$B$9/2))*(I194-2*([1]Parametros!$B$7+[1]Parametros!$B$9/2)))^2))^2)</f>
        <v>1.7023447132613603</v>
      </c>
      <c r="BG194" s="13">
        <f>[1]Parametros!$B$6*(AJ194*1000/(H194*MIN(U194,AB194))+0.66*SQRT([1]Parametros!$B$2))</f>
        <v>3.2939603822754151</v>
      </c>
      <c r="BH194" s="13" t="str">
        <f t="shared" si="37"/>
        <v>CUMPLE</v>
      </c>
      <c r="BI194" s="13">
        <f>AX194*[1]Parametros!$B$8</f>
        <v>1592</v>
      </c>
      <c r="BJ194" s="15" t="str">
        <f t="shared" si="38"/>
        <v>CUMPLE</v>
      </c>
    </row>
    <row r="195" spans="1:62" x14ac:dyDescent="0.3">
      <c r="A195" s="22" t="s">
        <v>71</v>
      </c>
      <c r="B195" s="23">
        <v>934</v>
      </c>
      <c r="C195" s="13">
        <v>1</v>
      </c>
      <c r="D195" s="13">
        <v>3.25</v>
      </c>
      <c r="E195" s="13">
        <v>3.25</v>
      </c>
      <c r="F195" s="13">
        <v>450</v>
      </c>
      <c r="G195" s="13">
        <v>550</v>
      </c>
      <c r="H195" s="13">
        <v>450</v>
      </c>
      <c r="I195" s="13">
        <v>550</v>
      </c>
      <c r="J195" s="14">
        <v>84.988100000000003</v>
      </c>
      <c r="K195" s="13">
        <v>934</v>
      </c>
      <c r="L195" s="14">
        <v>64.161600000000007</v>
      </c>
      <c r="M195" s="13">
        <v>934</v>
      </c>
      <c r="N195" s="14">
        <v>52.192</v>
      </c>
      <c r="O195" s="14">
        <v>181.64500000000001</v>
      </c>
      <c r="P195" s="13">
        <v>934</v>
      </c>
      <c r="Q195" s="14">
        <v>3.8462999999999998</v>
      </c>
      <c r="R195" s="13">
        <f>MAX(MAX(1.4/[1]Parametros!$B$3,0.25*SQRT([1]Parametros!$B$2)/[1]Parametros!$B$3)*H195*U195,(0.85*[1]Parametros!$B$2/[1]Parametros!$B$3)*(1-SQRT(1-2*(J195*1000000/([1]Parametros!$B$5*H195*U195^2))/(0.85*[1]Parametros!$B$2)))*H195*U195)</f>
        <v>734.02500000000009</v>
      </c>
      <c r="S195" s="14">
        <v>4</v>
      </c>
      <c r="T195" s="14">
        <v>1</v>
      </c>
      <c r="U195" s="13">
        <f>IF(T195=1,I195-([1]Parametros!$B$7+[1]Parametros!$B$9+[1]Parametros!$B$12/2),I195-(ROUNDUP(S195/2,0)*([1]Parametros!$B$7+[1]Parametros!$B$9+[1]Parametros!$B$12/2)+ROUNDDOWN(S195/2,0)*([1]Parametros!$B$7+[1]Parametros!$B$9+[1]Parametros!$B$12/2+[1]Parametros!$B$12+[1]Parametros!$B$10))/S195)</f>
        <v>489.35</v>
      </c>
      <c r="V195" s="13">
        <f>S195*[1]Parametros!$B$8</f>
        <v>796</v>
      </c>
      <c r="W195" s="13">
        <f>[1]Parametros!$B$5*V195*[1]Parametros!$B$3*(U195-(V195*[1]Parametros!$B$3/(0.85*[1]Parametros!$B$2*H195))/2)/1000000</f>
        <v>142.54333009411764</v>
      </c>
      <c r="X195" s="13" t="str">
        <f t="shared" si="26"/>
        <v>CUMPLE</v>
      </c>
      <c r="Y195" s="13">
        <f>MAX(MAX(1.4/[1]Parametros!$B$3,0.25*SQRT([1]Parametros!$B$2)/[1]Parametros!$B$3)*H195*AB195,(0.85*[1]Parametros!$B$2/[1]Parametros!$B$3)*(1-SQRT(1-2*(L195*1000000/([1]Parametros!$B$5*H195*AB195^2))/(0.85*[1]Parametros!$B$2)))*H195*AB195)</f>
        <v>734.02500000000009</v>
      </c>
      <c r="Z195" s="14">
        <v>4</v>
      </c>
      <c r="AA195" s="14">
        <v>1</v>
      </c>
      <c r="AB195" s="13">
        <f>IF(AA195=1,I195-([1]Parametros!$B$7+[1]Parametros!$B$9+[1]Parametros!$B$12/2),I195-(ROUNDUP(Z195/2,0)*([1]Parametros!$B$7+[1]Parametros!$B$9+[1]Parametros!$B$12/2)+ROUNDDOWN(Z195/2,0)*([1]Parametros!$B$7+[1]Parametros!$B$9+[1]Parametros!$B$12/2+[1]Parametros!$B$12+[1]Parametros!$B$10))/Z195)</f>
        <v>489.35</v>
      </c>
      <c r="AC195" s="13">
        <f>Z195*[1]Parametros!$B$8</f>
        <v>796</v>
      </c>
      <c r="AD195" s="13">
        <f>[1]Parametros!$B$5*AC195*[1]Parametros!$B$3*(AB195-(AC195*[1]Parametros!$B$3/(0.85*[1]Parametros!$B$2*H195))/2)/1000000</f>
        <v>142.54333009411764</v>
      </c>
      <c r="AE195" s="13" t="str">
        <f t="shared" si="27"/>
        <v>CUMPLE</v>
      </c>
      <c r="AF195" s="13">
        <f>V195*1.25*[1]Parametros!$B$3*(U195-(V195*1.25*[1]Parametros!$B$3/(0.85*[1]Parametros!$B$2*H195))/2)/1000000</f>
        <v>196.34621794117646</v>
      </c>
      <c r="AG195" s="13">
        <f>AC195*1.25*[1]Parametros!$B$3*(AB195-(AC195*1.25*[1]Parametros!$B$3/(0.85*[1]Parametros!$B$2*H195))/2)/1000000</f>
        <v>196.34621794117646</v>
      </c>
      <c r="AH195" s="13">
        <f t="shared" si="28"/>
        <v>173.02044180995475</v>
      </c>
      <c r="AI195" s="13">
        <f t="shared" si="29"/>
        <v>181.64500000000001</v>
      </c>
      <c r="AJ195" s="13">
        <f>0.17*SQRT([1]Parametros!$B$2)*H195*MIN(U195,AB195)/1000</f>
        <v>198.08885582262698</v>
      </c>
      <c r="AK195" s="13">
        <f>MAX(AI195/[1]Parametros!$B$6-AJ195,0)</f>
        <v>44.104477510706374</v>
      </c>
      <c r="AL195" s="13">
        <f>0.66*SQRT([1]Parametros!$B$2)*H195*MIN(U195,AB195)/1000</f>
        <v>769.05085201725785</v>
      </c>
      <c r="AM195" s="13" t="str">
        <f t="shared" si="30"/>
        <v>CUMPLE</v>
      </c>
      <c r="AN195" s="13" t="s">
        <v>64</v>
      </c>
      <c r="AO195" s="14">
        <v>2</v>
      </c>
      <c r="AP195" s="13">
        <f>ROUNDDOWN(MIN(IF(BC195+BD195=0,1000000000,AO195*BB195/(BC195+BD195)),MIN(U195,AB195)/4,8*[1]Parametros!$B$12,24*BA195,300,IF(AV195=0,1000000000,2*((H195-2*([1]Parametros!$B$7+[1]Parametros!$B$9/2))+(I195-2*([1]Parametros!$B$7+[1]Parametros!$B$9/2)))/8))/10,0)*10</f>
        <v>120</v>
      </c>
      <c r="AQ195" s="13">
        <f>ROUNDDOWN(MIN(IF(BC195+BD195=0,1000000000,AO195*BB195/(BC195+BD195)),IF(AK195&gt;0.33*SQRT([1]Parametros!$B$2)*H195*MIN(U195,AB195)/1000,MIN(U195,AB195)/4,MIN(U195,AB195)/2),600,IF(AV195=0,1000000000,2*((H195-2*([1]Parametros!$B$7+[1]Parametros!$B$9/2))+(I195-2*([1]Parametros!$B$7+[1]Parametros!$B$9/2)))/8))/10,0)*10</f>
        <v>240</v>
      </c>
      <c r="AR195" s="13">
        <f>[1]Parametros!$B$6*(AJ195+MAX(BE195-BD195,0)*[1]Parametros!$B$4*MIN(U195,AB195)/1000)</f>
        <v>330.97185436697026</v>
      </c>
      <c r="AS195" s="13" t="str">
        <f t="shared" si="31"/>
        <v>CUMPLE</v>
      </c>
      <c r="AT195" s="13">
        <f>[1]Parametros!$B$6*0.083*SQRT([1]Parametros!$B$2)*(H195*I195)^2/(2*(H195+I195))/1000000</f>
        <v>10.08878303333792</v>
      </c>
      <c r="AU195" s="13" t="str">
        <f t="shared" si="32"/>
        <v>DESPRECIABLE</v>
      </c>
      <c r="AV195" s="13">
        <f>IF(Q195&lt;=AT195,0,Q195*1000000/([1]Parametros!$B$6*2*0.85*(H195-2*([1]Parametros!$B$7+[1]Parametros!$B$9/2))*(I195-2*([1]Parametros!$B$7+[1]Parametros!$B$9/2))*[1]Parametros!$B$4))</f>
        <v>0</v>
      </c>
      <c r="AW195" s="13">
        <f>AV195*2*((H195-2*([1]Parametros!$B$7+[1]Parametros!$B$9/2))+(I195-2*([1]Parametros!$B$7+[1]Parametros!$B$9/2)))*[1]Parametros!$B$4/[1]Parametros!$B$3</f>
        <v>0</v>
      </c>
      <c r="AX195" s="14">
        <v>0</v>
      </c>
      <c r="AY195" s="13" t="str">
        <f t="shared" si="33"/>
        <v>DESPRECIABLE</v>
      </c>
      <c r="AZ195" s="13" t="str">
        <f t="shared" si="34"/>
        <v>CUMPLE</v>
      </c>
      <c r="BA195" s="14">
        <v>9.5</v>
      </c>
      <c r="BB195" s="14">
        <v>71</v>
      </c>
      <c r="BC195" s="13">
        <f>MAX(IF(AK195=0,0,AK195*1000/([1]Parametros!$B$4*MIN(U195,AB195))),MAX(0.062*SQRT([1]Parametros!$B$2)*H195/[1]Parametros!$B$4,0.35*H195/[1]Parametros!$B$4))</f>
        <v>0.375</v>
      </c>
      <c r="BD195" s="13">
        <f t="shared" si="35"/>
        <v>0</v>
      </c>
      <c r="BE195" s="13">
        <f t="shared" si="36"/>
        <v>1.1833333333333333</v>
      </c>
      <c r="BF195" s="13">
        <f>SQRT((AI195*1000/(H195*MIN(U195,AB195)))^2+(Q195*1000000*2*((H195-2*([1]Parametros!$B$7+[1]Parametros!$B$9/2))+(I195-2*([1]Parametros!$B$7+[1]Parametros!$B$9/2)))/(1.7*((H195-2*([1]Parametros!$B$7+[1]Parametros!$B$9/2))*(I195-2*([1]Parametros!$B$7+[1]Parametros!$B$9/2)))^2))^2)</f>
        <v>0.83635649975015414</v>
      </c>
      <c r="BG195" s="13">
        <f>[1]Parametros!$B$6*(AJ195*1000/(H195*MIN(U195,AB195))+0.66*SQRT([1]Parametros!$B$2))</f>
        <v>3.2939603822754151</v>
      </c>
      <c r="BH195" s="13" t="str">
        <f t="shared" si="37"/>
        <v>CUMPLE</v>
      </c>
      <c r="BI195" s="13">
        <f>AX195*[1]Parametros!$B$8</f>
        <v>0</v>
      </c>
      <c r="BJ195" s="15" t="str">
        <f t="shared" si="38"/>
        <v>CUMPLE</v>
      </c>
    </row>
    <row r="196" spans="1:62" x14ac:dyDescent="0.3">
      <c r="A196" s="22" t="s">
        <v>71</v>
      </c>
      <c r="B196" s="23">
        <v>1013</v>
      </c>
      <c r="C196" s="13">
        <v>1</v>
      </c>
      <c r="D196" s="13">
        <v>3.25</v>
      </c>
      <c r="E196" s="13">
        <v>3.25</v>
      </c>
      <c r="F196" s="13">
        <v>450</v>
      </c>
      <c r="G196" s="13">
        <v>550</v>
      </c>
      <c r="H196" s="13">
        <v>450</v>
      </c>
      <c r="I196" s="13">
        <v>550</v>
      </c>
      <c r="J196" s="14">
        <v>40.072800000000001</v>
      </c>
      <c r="K196" s="13">
        <v>1013</v>
      </c>
      <c r="L196" s="14">
        <v>20.900200000000002</v>
      </c>
      <c r="M196" s="13">
        <v>1013</v>
      </c>
      <c r="N196" s="14">
        <v>29.27</v>
      </c>
      <c r="O196" s="14">
        <v>76.305000000000007</v>
      </c>
      <c r="P196" s="13">
        <v>1013</v>
      </c>
      <c r="Q196" s="14">
        <v>4.3045999999999998</v>
      </c>
      <c r="R196" s="13">
        <f>MAX(MAX(1.4/[1]Parametros!$B$3,0.25*SQRT([1]Parametros!$B$2)/[1]Parametros!$B$3)*H196*U196,(0.85*[1]Parametros!$B$2/[1]Parametros!$B$3)*(1-SQRT(1-2*(J196*1000000/([1]Parametros!$B$5*H196*U196^2))/(0.85*[1]Parametros!$B$2)))*H196*U196)</f>
        <v>734.02500000000009</v>
      </c>
      <c r="S196" s="14">
        <v>4</v>
      </c>
      <c r="T196" s="14">
        <v>1</v>
      </c>
      <c r="U196" s="13">
        <f>IF(T196=1,I196-([1]Parametros!$B$7+[1]Parametros!$B$9+[1]Parametros!$B$12/2),I196-(ROUNDUP(S196/2,0)*([1]Parametros!$B$7+[1]Parametros!$B$9+[1]Parametros!$B$12/2)+ROUNDDOWN(S196/2,0)*([1]Parametros!$B$7+[1]Parametros!$B$9+[1]Parametros!$B$12/2+[1]Parametros!$B$12+[1]Parametros!$B$10))/S196)</f>
        <v>489.35</v>
      </c>
      <c r="V196" s="13">
        <f>S196*[1]Parametros!$B$8</f>
        <v>796</v>
      </c>
      <c r="W196" s="13">
        <f>[1]Parametros!$B$5*V196*[1]Parametros!$B$3*(U196-(V196*[1]Parametros!$B$3/(0.85*[1]Parametros!$B$2*H196))/2)/1000000</f>
        <v>142.54333009411764</v>
      </c>
      <c r="X196" s="13" t="str">
        <f t="shared" ref="X196:X259" si="39">IF(W196&gt;=J196,"CUMPLE","NO CUMPLE")</f>
        <v>CUMPLE</v>
      </c>
      <c r="Y196" s="13">
        <f>MAX(MAX(1.4/[1]Parametros!$B$3,0.25*SQRT([1]Parametros!$B$2)/[1]Parametros!$B$3)*H196*AB196,(0.85*[1]Parametros!$B$2/[1]Parametros!$B$3)*(1-SQRT(1-2*(L196*1000000/([1]Parametros!$B$5*H196*AB196^2))/(0.85*[1]Parametros!$B$2)))*H196*AB196)</f>
        <v>734.02500000000009</v>
      </c>
      <c r="Z196" s="14">
        <v>4</v>
      </c>
      <c r="AA196" s="14">
        <v>1</v>
      </c>
      <c r="AB196" s="13">
        <f>IF(AA196=1,I196-([1]Parametros!$B$7+[1]Parametros!$B$9+[1]Parametros!$B$12/2),I196-(ROUNDUP(Z196/2,0)*([1]Parametros!$B$7+[1]Parametros!$B$9+[1]Parametros!$B$12/2)+ROUNDDOWN(Z196/2,0)*([1]Parametros!$B$7+[1]Parametros!$B$9+[1]Parametros!$B$12/2+[1]Parametros!$B$12+[1]Parametros!$B$10))/Z196)</f>
        <v>489.35</v>
      </c>
      <c r="AC196" s="13">
        <f>Z196*[1]Parametros!$B$8</f>
        <v>796</v>
      </c>
      <c r="AD196" s="13">
        <f>[1]Parametros!$B$5*AC196*[1]Parametros!$B$3*(AB196-(AC196*[1]Parametros!$B$3/(0.85*[1]Parametros!$B$2*H196))/2)/1000000</f>
        <v>142.54333009411764</v>
      </c>
      <c r="AE196" s="13" t="str">
        <f t="shared" ref="AE196:AE259" si="40">IF(AD196&gt;=L196,"CUMPLE","NO CUMPLE")</f>
        <v>CUMPLE</v>
      </c>
      <c r="AF196" s="13">
        <f>V196*1.25*[1]Parametros!$B$3*(U196-(V196*1.25*[1]Parametros!$B$3/(0.85*[1]Parametros!$B$2*H196))/2)/1000000</f>
        <v>196.34621794117646</v>
      </c>
      <c r="AG196" s="13">
        <f>AC196*1.25*[1]Parametros!$B$3*(AB196-(AC196*1.25*[1]Parametros!$B$3/(0.85*[1]Parametros!$B$2*H196))/2)/1000000</f>
        <v>196.34621794117646</v>
      </c>
      <c r="AH196" s="13">
        <f t="shared" ref="AH196:AH259" si="41">N196+(AF196+AG196)/D196</f>
        <v>150.09844180995475</v>
      </c>
      <c r="AI196" s="13">
        <f t="shared" ref="AI196:AI259" si="42">MAX(O196,AH196)</f>
        <v>150.09844180995475</v>
      </c>
      <c r="AJ196" s="13">
        <f>0.17*SQRT([1]Parametros!$B$2)*H196*MIN(U196,AB196)/1000</f>
        <v>198.08885582262698</v>
      </c>
      <c r="AK196" s="13">
        <f>MAX(AI196/[1]Parametros!$B$6-AJ196,0)</f>
        <v>2.0423999239793602</v>
      </c>
      <c r="AL196" s="13">
        <f>0.66*SQRT([1]Parametros!$B$2)*H196*MIN(U196,AB196)/1000</f>
        <v>769.05085201725785</v>
      </c>
      <c r="AM196" s="13" t="str">
        <f t="shared" ref="AM196:AM259" si="43">IF(AK196&lt;=AL196,"CUMPLE","NO CUMPLE")</f>
        <v>CUMPLE</v>
      </c>
      <c r="AN196" s="13" t="s">
        <v>64</v>
      </c>
      <c r="AO196" s="14">
        <v>2</v>
      </c>
      <c r="AP196" s="13">
        <f>ROUNDDOWN(MIN(IF(BC196+BD196=0,1000000000,AO196*BB196/(BC196+BD196)),MIN(U196,AB196)/4,8*[1]Parametros!$B$12,24*BA196,300,IF(AV196=0,1000000000,2*((H196-2*([1]Parametros!$B$7+[1]Parametros!$B$9/2))+(I196-2*([1]Parametros!$B$7+[1]Parametros!$B$9/2)))/8))/10,0)*10</f>
        <v>120</v>
      </c>
      <c r="AQ196" s="13">
        <f>ROUNDDOWN(MIN(IF(BC196+BD196=0,1000000000,AO196*BB196/(BC196+BD196)),IF(AK196&gt;0.33*SQRT([1]Parametros!$B$2)*H196*MIN(U196,AB196)/1000,MIN(U196,AB196)/4,MIN(U196,AB196)/2),600,IF(AV196=0,1000000000,2*((H196-2*([1]Parametros!$B$7+[1]Parametros!$B$9/2))+(I196-2*([1]Parametros!$B$7+[1]Parametros!$B$9/2)))/8))/10,0)*10</f>
        <v>240</v>
      </c>
      <c r="AR196" s="13">
        <f>[1]Parametros!$B$6*(AJ196+MAX(BE196-BD196,0)*[1]Parametros!$B$4*MIN(U196,AB196)/1000)</f>
        <v>330.97185436697026</v>
      </c>
      <c r="AS196" s="13" t="str">
        <f t="shared" ref="AS196:AS259" si="44">IF(AND(ISERROR(SEARCH("referencia",AN196)),AM196="CUMPLE",AR196&gt;=AI196),"CUMPLE","NO CUMPLE")</f>
        <v>CUMPLE</v>
      </c>
      <c r="AT196" s="13">
        <f>[1]Parametros!$B$6*0.083*SQRT([1]Parametros!$B$2)*(H196*I196)^2/(2*(H196+I196))/1000000</f>
        <v>10.08878303333792</v>
      </c>
      <c r="AU196" s="13" t="str">
        <f t="shared" ref="AU196:AU259" si="45">IF(Q196&lt;=AT196,"DESPRECIABLE","DISEÑAR")</f>
        <v>DESPRECIABLE</v>
      </c>
      <c r="AV196" s="13">
        <f>IF(Q196&lt;=AT196,0,Q196*1000000/([1]Parametros!$B$6*2*0.85*(H196-2*([1]Parametros!$B$7+[1]Parametros!$B$9/2))*(I196-2*([1]Parametros!$B$7+[1]Parametros!$B$9/2))*[1]Parametros!$B$4))</f>
        <v>0</v>
      </c>
      <c r="AW196" s="13">
        <f>AV196*2*((H196-2*([1]Parametros!$B$7+[1]Parametros!$B$9/2))+(I196-2*([1]Parametros!$B$7+[1]Parametros!$B$9/2)))*[1]Parametros!$B$4/[1]Parametros!$B$3</f>
        <v>0</v>
      </c>
      <c r="AX196" s="14">
        <v>0</v>
      </c>
      <c r="AY196" s="13" t="str">
        <f t="shared" ref="AY196:AY259" si="46">IF(AV196=0,"DESPRECIABLE",IF(AND(ISERROR(SEARCH("referencia",AN196)),BB196/AP196&gt;=AV196,BI196&gt;=AW196,BH196="CUMPLE"),"CUMPLE","NO CUMPLE"))</f>
        <v>DESPRECIABLE</v>
      </c>
      <c r="AZ196" s="13" t="str">
        <f t="shared" ref="AZ196:AZ259" si="47">IF(AND(X196="CUMPLE",AE196="CUMPLE",AS196="CUMPLE",OR(AY196="CUMPLE",AY196="DESPRECIABLE"),BH196="CUMPLE",BJ196="CUMPLE"),"CUMPLE","NO CUMPLE")</f>
        <v>CUMPLE</v>
      </c>
      <c r="BA196" s="14">
        <v>9.5</v>
      </c>
      <c r="BB196" s="14">
        <v>71</v>
      </c>
      <c r="BC196" s="13">
        <f>MAX(IF(AK196=0,0,AK196*1000/([1]Parametros!$B$4*MIN(U196,AB196))),MAX(0.062*SQRT([1]Parametros!$B$2)*H196/[1]Parametros!$B$4,0.35*H196/[1]Parametros!$B$4))</f>
        <v>0.375</v>
      </c>
      <c r="BD196" s="13">
        <f t="shared" ref="BD196:BD259" si="48">2*AV196</f>
        <v>0</v>
      </c>
      <c r="BE196" s="13">
        <f t="shared" ref="BE196:BE259" si="49">AO196*BB196/AP196</f>
        <v>1.1833333333333333</v>
      </c>
      <c r="BF196" s="13">
        <f>SQRT((AI196*1000/(H196*MIN(U196,AB196)))^2+(Q196*1000000*2*((H196-2*([1]Parametros!$B$7+[1]Parametros!$B$9/2))+(I196-2*([1]Parametros!$B$7+[1]Parametros!$B$9/2)))/(1.7*((H196-2*([1]Parametros!$B$7+[1]Parametros!$B$9/2))*(I196-2*([1]Parametros!$B$7+[1]Parametros!$B$9/2)))^2))^2)</f>
        <v>0.6989181426947797</v>
      </c>
      <c r="BG196" s="13">
        <f>[1]Parametros!$B$6*(AJ196*1000/(H196*MIN(U196,AB196))+0.66*SQRT([1]Parametros!$B$2))</f>
        <v>3.2939603822754151</v>
      </c>
      <c r="BH196" s="13" t="str">
        <f t="shared" ref="BH196:BH259" si="50">IF(BF196&lt;=BG196,"CUMPLE","NO CUMPLE")</f>
        <v>CUMPLE</v>
      </c>
      <c r="BI196" s="13">
        <f>AX196*[1]Parametros!$B$8</f>
        <v>0</v>
      </c>
      <c r="BJ196" s="15" t="str">
        <f t="shared" ref="BJ196:BJ259" si="51">IF(BI196&gt;=AW196,"CUMPLE","NO CUMPLE")</f>
        <v>CUMPLE</v>
      </c>
    </row>
    <row r="197" spans="1:62" x14ac:dyDescent="0.3">
      <c r="A197" s="22" t="s">
        <v>71</v>
      </c>
      <c r="B197" s="23">
        <v>1014</v>
      </c>
      <c r="C197" s="13">
        <v>1</v>
      </c>
      <c r="D197" s="13">
        <v>3.3</v>
      </c>
      <c r="E197" s="13">
        <v>3.3</v>
      </c>
      <c r="F197" s="13">
        <v>450</v>
      </c>
      <c r="G197" s="13">
        <v>550</v>
      </c>
      <c r="H197" s="13">
        <v>450</v>
      </c>
      <c r="I197" s="13">
        <v>550</v>
      </c>
      <c r="J197" s="14">
        <v>48.866999999999997</v>
      </c>
      <c r="K197" s="13">
        <v>1014</v>
      </c>
      <c r="L197" s="14">
        <v>29.207599999999999</v>
      </c>
      <c r="M197" s="13">
        <v>1014</v>
      </c>
      <c r="N197" s="14">
        <v>36.567999999999998</v>
      </c>
      <c r="O197" s="14">
        <v>109.42100000000001</v>
      </c>
      <c r="P197" s="13">
        <v>1014</v>
      </c>
      <c r="Q197" s="14">
        <v>7.7313000000000001</v>
      </c>
      <c r="R197" s="13">
        <f>MAX(MAX(1.4/[1]Parametros!$B$3,0.25*SQRT([1]Parametros!$B$2)/[1]Parametros!$B$3)*H197*U197,(0.85*[1]Parametros!$B$2/[1]Parametros!$B$3)*(1-SQRT(1-2*(J197*1000000/([1]Parametros!$B$5*H197*U197^2))/(0.85*[1]Parametros!$B$2)))*H197*U197)</f>
        <v>734.02500000000009</v>
      </c>
      <c r="S197" s="14">
        <v>4</v>
      </c>
      <c r="T197" s="14">
        <v>1</v>
      </c>
      <c r="U197" s="13">
        <f>IF(T197=1,I197-([1]Parametros!$B$7+[1]Parametros!$B$9+[1]Parametros!$B$12/2),I197-(ROUNDUP(S197/2,0)*([1]Parametros!$B$7+[1]Parametros!$B$9+[1]Parametros!$B$12/2)+ROUNDDOWN(S197/2,0)*([1]Parametros!$B$7+[1]Parametros!$B$9+[1]Parametros!$B$12/2+[1]Parametros!$B$12+[1]Parametros!$B$10))/S197)</f>
        <v>489.35</v>
      </c>
      <c r="V197" s="13">
        <f>S197*[1]Parametros!$B$8</f>
        <v>796</v>
      </c>
      <c r="W197" s="13">
        <f>[1]Parametros!$B$5*V197*[1]Parametros!$B$3*(U197-(V197*[1]Parametros!$B$3/(0.85*[1]Parametros!$B$2*H197))/2)/1000000</f>
        <v>142.54333009411764</v>
      </c>
      <c r="X197" s="13" t="str">
        <f t="shared" si="39"/>
        <v>CUMPLE</v>
      </c>
      <c r="Y197" s="13">
        <f>MAX(MAX(1.4/[1]Parametros!$B$3,0.25*SQRT([1]Parametros!$B$2)/[1]Parametros!$B$3)*H197*AB197,(0.85*[1]Parametros!$B$2/[1]Parametros!$B$3)*(1-SQRT(1-2*(L197*1000000/([1]Parametros!$B$5*H197*AB197^2))/(0.85*[1]Parametros!$B$2)))*H197*AB197)</f>
        <v>734.02500000000009</v>
      </c>
      <c r="Z197" s="14">
        <v>4</v>
      </c>
      <c r="AA197" s="14">
        <v>1</v>
      </c>
      <c r="AB197" s="13">
        <f>IF(AA197=1,I197-([1]Parametros!$B$7+[1]Parametros!$B$9+[1]Parametros!$B$12/2),I197-(ROUNDUP(Z197/2,0)*([1]Parametros!$B$7+[1]Parametros!$B$9+[1]Parametros!$B$12/2)+ROUNDDOWN(Z197/2,0)*([1]Parametros!$B$7+[1]Parametros!$B$9+[1]Parametros!$B$12/2+[1]Parametros!$B$12+[1]Parametros!$B$10))/Z197)</f>
        <v>489.35</v>
      </c>
      <c r="AC197" s="13">
        <f>Z197*[1]Parametros!$B$8</f>
        <v>796</v>
      </c>
      <c r="AD197" s="13">
        <f>[1]Parametros!$B$5*AC197*[1]Parametros!$B$3*(AB197-(AC197*[1]Parametros!$B$3/(0.85*[1]Parametros!$B$2*H197))/2)/1000000</f>
        <v>142.54333009411764</v>
      </c>
      <c r="AE197" s="13" t="str">
        <f t="shared" si="40"/>
        <v>CUMPLE</v>
      </c>
      <c r="AF197" s="13">
        <f>V197*1.25*[1]Parametros!$B$3*(U197-(V197*1.25*[1]Parametros!$B$3/(0.85*[1]Parametros!$B$2*H197))/2)/1000000</f>
        <v>196.34621794117646</v>
      </c>
      <c r="AG197" s="13">
        <f>AC197*1.25*[1]Parametros!$B$3*(AB197-(AC197*1.25*[1]Parametros!$B$3/(0.85*[1]Parametros!$B$2*H197))/2)/1000000</f>
        <v>196.34621794117646</v>
      </c>
      <c r="AH197" s="13">
        <f t="shared" si="41"/>
        <v>155.56570784313726</v>
      </c>
      <c r="AI197" s="13">
        <f t="shared" si="42"/>
        <v>155.56570784313726</v>
      </c>
      <c r="AJ197" s="13">
        <f>0.17*SQRT([1]Parametros!$B$2)*H197*MIN(U197,AB197)/1000</f>
        <v>198.08885582262698</v>
      </c>
      <c r="AK197" s="13">
        <f>MAX(AI197/[1]Parametros!$B$6-AJ197,0)</f>
        <v>9.3320879682227087</v>
      </c>
      <c r="AL197" s="13">
        <f>0.66*SQRT([1]Parametros!$B$2)*H197*MIN(U197,AB197)/1000</f>
        <v>769.05085201725785</v>
      </c>
      <c r="AM197" s="13" t="str">
        <f t="shared" si="43"/>
        <v>CUMPLE</v>
      </c>
      <c r="AN197" s="13" t="s">
        <v>64</v>
      </c>
      <c r="AO197" s="14">
        <v>2</v>
      </c>
      <c r="AP197" s="13">
        <f>ROUNDDOWN(MIN(IF(BC197+BD197=0,1000000000,AO197*BB197/(BC197+BD197)),MIN(U197,AB197)/4,8*[1]Parametros!$B$12,24*BA197,300,IF(AV197=0,1000000000,2*((H197-2*([1]Parametros!$B$7+[1]Parametros!$B$9/2))+(I197-2*([1]Parametros!$B$7+[1]Parametros!$B$9/2)))/8))/10,0)*10</f>
        <v>120</v>
      </c>
      <c r="AQ197" s="13">
        <f>ROUNDDOWN(MIN(IF(BC197+BD197=0,1000000000,AO197*BB197/(BC197+BD197)),IF(AK197&gt;0.33*SQRT([1]Parametros!$B$2)*H197*MIN(U197,AB197)/1000,MIN(U197,AB197)/4,MIN(U197,AB197)/2),600,IF(AV197=0,1000000000,2*((H197-2*([1]Parametros!$B$7+[1]Parametros!$B$9/2))+(I197-2*([1]Parametros!$B$7+[1]Parametros!$B$9/2)))/8))/10,0)*10</f>
        <v>240</v>
      </c>
      <c r="AR197" s="13">
        <f>[1]Parametros!$B$6*(AJ197+MAX(BE197-BD197,0)*[1]Parametros!$B$4*MIN(U197,AB197)/1000)</f>
        <v>330.97185436697026</v>
      </c>
      <c r="AS197" s="13" t="str">
        <f t="shared" si="44"/>
        <v>CUMPLE</v>
      </c>
      <c r="AT197" s="13">
        <f>[1]Parametros!$B$6*0.083*SQRT([1]Parametros!$B$2)*(H197*I197)^2/(2*(H197+I197))/1000000</f>
        <v>10.08878303333792</v>
      </c>
      <c r="AU197" s="13" t="str">
        <f t="shared" si="45"/>
        <v>DESPRECIABLE</v>
      </c>
      <c r="AV197" s="13">
        <f>IF(Q197&lt;=AT197,0,Q197*1000000/([1]Parametros!$B$6*2*0.85*(H197-2*([1]Parametros!$B$7+[1]Parametros!$B$9/2))*(I197-2*([1]Parametros!$B$7+[1]Parametros!$B$9/2))*[1]Parametros!$B$4))</f>
        <v>0</v>
      </c>
      <c r="AW197" s="13">
        <f>AV197*2*((H197-2*([1]Parametros!$B$7+[1]Parametros!$B$9/2))+(I197-2*([1]Parametros!$B$7+[1]Parametros!$B$9/2)))*[1]Parametros!$B$4/[1]Parametros!$B$3</f>
        <v>0</v>
      </c>
      <c r="AX197" s="14">
        <v>0</v>
      </c>
      <c r="AY197" s="13" t="str">
        <f t="shared" si="46"/>
        <v>DESPRECIABLE</v>
      </c>
      <c r="AZ197" s="13" t="str">
        <f t="shared" si="47"/>
        <v>CUMPLE</v>
      </c>
      <c r="BA197" s="14">
        <v>9.5</v>
      </c>
      <c r="BB197" s="14">
        <v>71</v>
      </c>
      <c r="BC197" s="13">
        <f>MAX(IF(AK197=0,0,AK197*1000/([1]Parametros!$B$4*MIN(U197,AB197))),MAX(0.062*SQRT([1]Parametros!$B$2)*H197/[1]Parametros!$B$4,0.35*H197/[1]Parametros!$B$4))</f>
        <v>0.375</v>
      </c>
      <c r="BD197" s="13">
        <f t="shared" si="48"/>
        <v>0</v>
      </c>
      <c r="BE197" s="13">
        <f t="shared" si="49"/>
        <v>1.1833333333333333</v>
      </c>
      <c r="BF197" s="13">
        <f>SQRT((AI197*1000/(H197*MIN(U197,AB197)))^2+(Q197*1000000*2*((H197-2*([1]Parametros!$B$7+[1]Parametros!$B$9/2))+(I197-2*([1]Parametros!$B$7+[1]Parametros!$B$9/2)))/(1.7*((H197-2*([1]Parametros!$B$7+[1]Parametros!$B$9/2))*(I197-2*([1]Parametros!$B$7+[1]Parametros!$B$9/2)))^2))^2)</f>
        <v>0.75900931510449365</v>
      </c>
      <c r="BG197" s="13">
        <f>[1]Parametros!$B$6*(AJ197*1000/(H197*MIN(U197,AB197))+0.66*SQRT([1]Parametros!$B$2))</f>
        <v>3.2939603822754151</v>
      </c>
      <c r="BH197" s="13" t="str">
        <f t="shared" si="50"/>
        <v>CUMPLE</v>
      </c>
      <c r="BI197" s="13">
        <f>AX197*[1]Parametros!$B$8</f>
        <v>0</v>
      </c>
      <c r="BJ197" s="15" t="str">
        <f t="shared" si="51"/>
        <v>CUMPLE</v>
      </c>
    </row>
    <row r="198" spans="1:62" x14ac:dyDescent="0.3">
      <c r="A198" s="22" t="s">
        <v>71</v>
      </c>
      <c r="B198" s="23">
        <v>1015</v>
      </c>
      <c r="C198" s="13">
        <v>1</v>
      </c>
      <c r="D198" s="13">
        <v>3.3</v>
      </c>
      <c r="E198" s="13">
        <v>3.3</v>
      </c>
      <c r="F198" s="13">
        <v>450</v>
      </c>
      <c r="G198" s="13">
        <v>550</v>
      </c>
      <c r="H198" s="13">
        <v>450</v>
      </c>
      <c r="I198" s="13">
        <v>550</v>
      </c>
      <c r="J198" s="14">
        <v>48.843699999999998</v>
      </c>
      <c r="K198" s="13">
        <v>1015</v>
      </c>
      <c r="L198" s="14">
        <v>29.201599999999999</v>
      </c>
      <c r="M198" s="13">
        <v>1015</v>
      </c>
      <c r="N198" s="14">
        <v>36.558</v>
      </c>
      <c r="O198" s="14">
        <v>109.41200000000001</v>
      </c>
      <c r="P198" s="13">
        <v>1015</v>
      </c>
      <c r="Q198" s="14">
        <v>7.7313000000000001</v>
      </c>
      <c r="R198" s="13">
        <f>MAX(MAX(1.4/[1]Parametros!$B$3,0.25*SQRT([1]Parametros!$B$2)/[1]Parametros!$B$3)*H198*U198,(0.85*[1]Parametros!$B$2/[1]Parametros!$B$3)*(1-SQRT(1-2*(J198*1000000/([1]Parametros!$B$5*H198*U198^2))/(0.85*[1]Parametros!$B$2)))*H198*U198)</f>
        <v>734.02500000000009</v>
      </c>
      <c r="S198" s="14">
        <v>4</v>
      </c>
      <c r="T198" s="14">
        <v>1</v>
      </c>
      <c r="U198" s="13">
        <f>IF(T198=1,I198-([1]Parametros!$B$7+[1]Parametros!$B$9+[1]Parametros!$B$12/2),I198-(ROUNDUP(S198/2,0)*([1]Parametros!$B$7+[1]Parametros!$B$9+[1]Parametros!$B$12/2)+ROUNDDOWN(S198/2,0)*([1]Parametros!$B$7+[1]Parametros!$B$9+[1]Parametros!$B$12/2+[1]Parametros!$B$12+[1]Parametros!$B$10))/S198)</f>
        <v>489.35</v>
      </c>
      <c r="V198" s="13">
        <f>S198*[1]Parametros!$B$8</f>
        <v>796</v>
      </c>
      <c r="W198" s="13">
        <f>[1]Parametros!$B$5*V198*[1]Parametros!$B$3*(U198-(V198*[1]Parametros!$B$3/(0.85*[1]Parametros!$B$2*H198))/2)/1000000</f>
        <v>142.54333009411764</v>
      </c>
      <c r="X198" s="13" t="str">
        <f t="shared" si="39"/>
        <v>CUMPLE</v>
      </c>
      <c r="Y198" s="13">
        <f>MAX(MAX(1.4/[1]Parametros!$B$3,0.25*SQRT([1]Parametros!$B$2)/[1]Parametros!$B$3)*H198*AB198,(0.85*[1]Parametros!$B$2/[1]Parametros!$B$3)*(1-SQRT(1-2*(L198*1000000/([1]Parametros!$B$5*H198*AB198^2))/(0.85*[1]Parametros!$B$2)))*H198*AB198)</f>
        <v>734.02500000000009</v>
      </c>
      <c r="Z198" s="14">
        <v>4</v>
      </c>
      <c r="AA198" s="14">
        <v>1</v>
      </c>
      <c r="AB198" s="13">
        <f>IF(AA198=1,I198-([1]Parametros!$B$7+[1]Parametros!$B$9+[1]Parametros!$B$12/2),I198-(ROUNDUP(Z198/2,0)*([1]Parametros!$B$7+[1]Parametros!$B$9+[1]Parametros!$B$12/2)+ROUNDDOWN(Z198/2,0)*([1]Parametros!$B$7+[1]Parametros!$B$9+[1]Parametros!$B$12/2+[1]Parametros!$B$12+[1]Parametros!$B$10))/Z198)</f>
        <v>489.35</v>
      </c>
      <c r="AC198" s="13">
        <f>Z198*[1]Parametros!$B$8</f>
        <v>796</v>
      </c>
      <c r="AD198" s="13">
        <f>[1]Parametros!$B$5*AC198*[1]Parametros!$B$3*(AB198-(AC198*[1]Parametros!$B$3/(0.85*[1]Parametros!$B$2*H198))/2)/1000000</f>
        <v>142.54333009411764</v>
      </c>
      <c r="AE198" s="13" t="str">
        <f t="shared" si="40"/>
        <v>CUMPLE</v>
      </c>
      <c r="AF198" s="13">
        <f>V198*1.25*[1]Parametros!$B$3*(U198-(V198*1.25*[1]Parametros!$B$3/(0.85*[1]Parametros!$B$2*H198))/2)/1000000</f>
        <v>196.34621794117646</v>
      </c>
      <c r="AG198" s="13">
        <f>AC198*1.25*[1]Parametros!$B$3*(AB198-(AC198*1.25*[1]Parametros!$B$3/(0.85*[1]Parametros!$B$2*H198))/2)/1000000</f>
        <v>196.34621794117646</v>
      </c>
      <c r="AH198" s="13">
        <f t="shared" si="41"/>
        <v>155.55570784313727</v>
      </c>
      <c r="AI198" s="13">
        <f t="shared" si="42"/>
        <v>155.55570784313727</v>
      </c>
      <c r="AJ198" s="13">
        <f>0.17*SQRT([1]Parametros!$B$2)*H198*MIN(U198,AB198)/1000</f>
        <v>198.08885582262698</v>
      </c>
      <c r="AK198" s="13">
        <f>MAX(AI198/[1]Parametros!$B$6-AJ198,0)</f>
        <v>9.3187546348893875</v>
      </c>
      <c r="AL198" s="13">
        <f>0.66*SQRT([1]Parametros!$B$2)*H198*MIN(U198,AB198)/1000</f>
        <v>769.05085201725785</v>
      </c>
      <c r="AM198" s="13" t="str">
        <f t="shared" si="43"/>
        <v>CUMPLE</v>
      </c>
      <c r="AN198" s="13" t="s">
        <v>64</v>
      </c>
      <c r="AO198" s="14">
        <v>2</v>
      </c>
      <c r="AP198" s="13">
        <f>ROUNDDOWN(MIN(IF(BC198+BD198=0,1000000000,AO198*BB198/(BC198+BD198)),MIN(U198,AB198)/4,8*[1]Parametros!$B$12,24*BA198,300,IF(AV198=0,1000000000,2*((H198-2*([1]Parametros!$B$7+[1]Parametros!$B$9/2))+(I198-2*([1]Parametros!$B$7+[1]Parametros!$B$9/2)))/8))/10,0)*10</f>
        <v>120</v>
      </c>
      <c r="AQ198" s="13">
        <f>ROUNDDOWN(MIN(IF(BC198+BD198=0,1000000000,AO198*BB198/(BC198+BD198)),IF(AK198&gt;0.33*SQRT([1]Parametros!$B$2)*H198*MIN(U198,AB198)/1000,MIN(U198,AB198)/4,MIN(U198,AB198)/2),600,IF(AV198=0,1000000000,2*((H198-2*([1]Parametros!$B$7+[1]Parametros!$B$9/2))+(I198-2*([1]Parametros!$B$7+[1]Parametros!$B$9/2)))/8))/10,0)*10</f>
        <v>240</v>
      </c>
      <c r="AR198" s="13">
        <f>[1]Parametros!$B$6*(AJ198+MAX(BE198-BD198,0)*[1]Parametros!$B$4*MIN(U198,AB198)/1000)</f>
        <v>330.97185436697026</v>
      </c>
      <c r="AS198" s="13" t="str">
        <f t="shared" si="44"/>
        <v>CUMPLE</v>
      </c>
      <c r="AT198" s="13">
        <f>[1]Parametros!$B$6*0.083*SQRT([1]Parametros!$B$2)*(H198*I198)^2/(2*(H198+I198))/1000000</f>
        <v>10.08878303333792</v>
      </c>
      <c r="AU198" s="13" t="str">
        <f t="shared" si="45"/>
        <v>DESPRECIABLE</v>
      </c>
      <c r="AV198" s="13">
        <f>IF(Q198&lt;=AT198,0,Q198*1000000/([1]Parametros!$B$6*2*0.85*(H198-2*([1]Parametros!$B$7+[1]Parametros!$B$9/2))*(I198-2*([1]Parametros!$B$7+[1]Parametros!$B$9/2))*[1]Parametros!$B$4))</f>
        <v>0</v>
      </c>
      <c r="AW198" s="13">
        <f>AV198*2*((H198-2*([1]Parametros!$B$7+[1]Parametros!$B$9/2))+(I198-2*([1]Parametros!$B$7+[1]Parametros!$B$9/2)))*[1]Parametros!$B$4/[1]Parametros!$B$3</f>
        <v>0</v>
      </c>
      <c r="AX198" s="14">
        <v>0</v>
      </c>
      <c r="AY198" s="13" t="str">
        <f t="shared" si="46"/>
        <v>DESPRECIABLE</v>
      </c>
      <c r="AZ198" s="13" t="str">
        <f t="shared" si="47"/>
        <v>CUMPLE</v>
      </c>
      <c r="BA198" s="14">
        <v>9.5</v>
      </c>
      <c r="BB198" s="14">
        <v>71</v>
      </c>
      <c r="BC198" s="13">
        <f>MAX(IF(AK198=0,0,AK198*1000/([1]Parametros!$B$4*MIN(U198,AB198))),MAX(0.062*SQRT([1]Parametros!$B$2)*H198/[1]Parametros!$B$4,0.35*H198/[1]Parametros!$B$4))</f>
        <v>0.375</v>
      </c>
      <c r="BD198" s="13">
        <f t="shared" si="48"/>
        <v>0</v>
      </c>
      <c r="BE198" s="13">
        <f t="shared" si="49"/>
        <v>1.1833333333333333</v>
      </c>
      <c r="BF198" s="13">
        <f>SQRT((AI198*1000/(H198*MIN(U198,AB198)))^2+(Q198*1000000*2*((H198-2*([1]Parametros!$B$7+[1]Parametros!$B$9/2))+(I198-2*([1]Parametros!$B$7+[1]Parametros!$B$9/2)))/(1.7*((H198-2*([1]Parametros!$B$7+[1]Parametros!$B$9/2))*(I198-2*([1]Parametros!$B$7+[1]Parametros!$B$9/2)))^2))^2)</f>
        <v>0.75896704817646732</v>
      </c>
      <c r="BG198" s="13">
        <f>[1]Parametros!$B$6*(AJ198*1000/(H198*MIN(U198,AB198))+0.66*SQRT([1]Parametros!$B$2))</f>
        <v>3.2939603822754151</v>
      </c>
      <c r="BH198" s="13" t="str">
        <f t="shared" si="50"/>
        <v>CUMPLE</v>
      </c>
      <c r="BI198" s="13">
        <f>AX198*[1]Parametros!$B$8</f>
        <v>0</v>
      </c>
      <c r="BJ198" s="15" t="str">
        <f t="shared" si="51"/>
        <v>CUMPLE</v>
      </c>
    </row>
    <row r="199" spans="1:62" x14ac:dyDescent="0.3">
      <c r="A199" s="22" t="s">
        <v>71</v>
      </c>
      <c r="B199" s="23">
        <v>1016</v>
      </c>
      <c r="C199" s="13">
        <v>1</v>
      </c>
      <c r="D199" s="13">
        <v>3.25</v>
      </c>
      <c r="E199" s="13">
        <v>3.25</v>
      </c>
      <c r="F199" s="13">
        <v>450</v>
      </c>
      <c r="G199" s="13">
        <v>550</v>
      </c>
      <c r="H199" s="13">
        <v>450</v>
      </c>
      <c r="I199" s="13">
        <v>550</v>
      </c>
      <c r="J199" s="14">
        <v>40.088200000000001</v>
      </c>
      <c r="K199" s="13">
        <v>1016</v>
      </c>
      <c r="L199" s="14">
        <v>20.913499999999999</v>
      </c>
      <c r="M199" s="13">
        <v>1016</v>
      </c>
      <c r="N199" s="14">
        <v>29.277000000000001</v>
      </c>
      <c r="O199" s="14">
        <v>76.311999999999998</v>
      </c>
      <c r="P199" s="13">
        <v>1016</v>
      </c>
      <c r="Q199" s="14">
        <v>4.3030999999999997</v>
      </c>
      <c r="R199" s="13">
        <f>MAX(MAX(1.4/[1]Parametros!$B$3,0.25*SQRT([1]Parametros!$B$2)/[1]Parametros!$B$3)*H199*U199,(0.85*[1]Parametros!$B$2/[1]Parametros!$B$3)*(1-SQRT(1-2*(J199*1000000/([1]Parametros!$B$5*H199*U199^2))/(0.85*[1]Parametros!$B$2)))*H199*U199)</f>
        <v>734.02500000000009</v>
      </c>
      <c r="S199" s="14">
        <v>4</v>
      </c>
      <c r="T199" s="14">
        <v>1</v>
      </c>
      <c r="U199" s="13">
        <f>IF(T199=1,I199-([1]Parametros!$B$7+[1]Parametros!$B$9+[1]Parametros!$B$12/2),I199-(ROUNDUP(S199/2,0)*([1]Parametros!$B$7+[1]Parametros!$B$9+[1]Parametros!$B$12/2)+ROUNDDOWN(S199/2,0)*([1]Parametros!$B$7+[1]Parametros!$B$9+[1]Parametros!$B$12/2+[1]Parametros!$B$12+[1]Parametros!$B$10))/S199)</f>
        <v>489.35</v>
      </c>
      <c r="V199" s="13">
        <f>S199*[1]Parametros!$B$8</f>
        <v>796</v>
      </c>
      <c r="W199" s="13">
        <f>[1]Parametros!$B$5*V199*[1]Parametros!$B$3*(U199-(V199*[1]Parametros!$B$3/(0.85*[1]Parametros!$B$2*H199))/2)/1000000</f>
        <v>142.54333009411764</v>
      </c>
      <c r="X199" s="13" t="str">
        <f t="shared" si="39"/>
        <v>CUMPLE</v>
      </c>
      <c r="Y199" s="13">
        <f>MAX(MAX(1.4/[1]Parametros!$B$3,0.25*SQRT([1]Parametros!$B$2)/[1]Parametros!$B$3)*H199*AB199,(0.85*[1]Parametros!$B$2/[1]Parametros!$B$3)*(1-SQRT(1-2*(L199*1000000/([1]Parametros!$B$5*H199*AB199^2))/(0.85*[1]Parametros!$B$2)))*H199*AB199)</f>
        <v>734.02500000000009</v>
      </c>
      <c r="Z199" s="14">
        <v>4</v>
      </c>
      <c r="AA199" s="14">
        <v>1</v>
      </c>
      <c r="AB199" s="13">
        <f>IF(AA199=1,I199-([1]Parametros!$B$7+[1]Parametros!$B$9+[1]Parametros!$B$12/2),I199-(ROUNDUP(Z199/2,0)*([1]Parametros!$B$7+[1]Parametros!$B$9+[1]Parametros!$B$12/2)+ROUNDDOWN(Z199/2,0)*([1]Parametros!$B$7+[1]Parametros!$B$9+[1]Parametros!$B$12/2+[1]Parametros!$B$12+[1]Parametros!$B$10))/Z199)</f>
        <v>489.35</v>
      </c>
      <c r="AC199" s="13">
        <f>Z199*[1]Parametros!$B$8</f>
        <v>796</v>
      </c>
      <c r="AD199" s="13">
        <f>[1]Parametros!$B$5*AC199*[1]Parametros!$B$3*(AB199-(AC199*[1]Parametros!$B$3/(0.85*[1]Parametros!$B$2*H199))/2)/1000000</f>
        <v>142.54333009411764</v>
      </c>
      <c r="AE199" s="13" t="str">
        <f t="shared" si="40"/>
        <v>CUMPLE</v>
      </c>
      <c r="AF199" s="13">
        <f>V199*1.25*[1]Parametros!$B$3*(U199-(V199*1.25*[1]Parametros!$B$3/(0.85*[1]Parametros!$B$2*H199))/2)/1000000</f>
        <v>196.34621794117646</v>
      </c>
      <c r="AG199" s="13">
        <f>AC199*1.25*[1]Parametros!$B$3*(AB199-(AC199*1.25*[1]Parametros!$B$3/(0.85*[1]Parametros!$B$2*H199))/2)/1000000</f>
        <v>196.34621794117646</v>
      </c>
      <c r="AH199" s="13">
        <f t="shared" si="41"/>
        <v>150.10544180995475</v>
      </c>
      <c r="AI199" s="13">
        <f t="shared" si="42"/>
        <v>150.10544180995475</v>
      </c>
      <c r="AJ199" s="13">
        <f>0.17*SQRT([1]Parametros!$B$2)*H199*MIN(U199,AB199)/1000</f>
        <v>198.08885582262698</v>
      </c>
      <c r="AK199" s="13">
        <f>MAX(AI199/[1]Parametros!$B$6-AJ199,0)</f>
        <v>2.0517332573126907</v>
      </c>
      <c r="AL199" s="13">
        <f>0.66*SQRT([1]Parametros!$B$2)*H199*MIN(U199,AB199)/1000</f>
        <v>769.05085201725785</v>
      </c>
      <c r="AM199" s="13" t="str">
        <f t="shared" si="43"/>
        <v>CUMPLE</v>
      </c>
      <c r="AN199" s="13" t="s">
        <v>64</v>
      </c>
      <c r="AO199" s="14">
        <v>2</v>
      </c>
      <c r="AP199" s="13">
        <f>ROUNDDOWN(MIN(IF(BC199+BD199=0,1000000000,AO199*BB199/(BC199+BD199)),MIN(U199,AB199)/4,8*[1]Parametros!$B$12,24*BA199,300,IF(AV199=0,1000000000,2*((H199-2*([1]Parametros!$B$7+[1]Parametros!$B$9/2))+(I199-2*([1]Parametros!$B$7+[1]Parametros!$B$9/2)))/8))/10,0)*10</f>
        <v>120</v>
      </c>
      <c r="AQ199" s="13">
        <f>ROUNDDOWN(MIN(IF(BC199+BD199=0,1000000000,AO199*BB199/(BC199+BD199)),IF(AK199&gt;0.33*SQRT([1]Parametros!$B$2)*H199*MIN(U199,AB199)/1000,MIN(U199,AB199)/4,MIN(U199,AB199)/2),600,IF(AV199=0,1000000000,2*((H199-2*([1]Parametros!$B$7+[1]Parametros!$B$9/2))+(I199-2*([1]Parametros!$B$7+[1]Parametros!$B$9/2)))/8))/10,0)*10</f>
        <v>240</v>
      </c>
      <c r="AR199" s="13">
        <f>[1]Parametros!$B$6*(AJ199+MAX(BE199-BD199,0)*[1]Parametros!$B$4*MIN(U199,AB199)/1000)</f>
        <v>330.97185436697026</v>
      </c>
      <c r="AS199" s="13" t="str">
        <f t="shared" si="44"/>
        <v>CUMPLE</v>
      </c>
      <c r="AT199" s="13">
        <f>[1]Parametros!$B$6*0.083*SQRT([1]Parametros!$B$2)*(H199*I199)^2/(2*(H199+I199))/1000000</f>
        <v>10.08878303333792</v>
      </c>
      <c r="AU199" s="13" t="str">
        <f t="shared" si="45"/>
        <v>DESPRECIABLE</v>
      </c>
      <c r="AV199" s="13">
        <f>IF(Q199&lt;=AT199,0,Q199*1000000/([1]Parametros!$B$6*2*0.85*(H199-2*([1]Parametros!$B$7+[1]Parametros!$B$9/2))*(I199-2*([1]Parametros!$B$7+[1]Parametros!$B$9/2))*[1]Parametros!$B$4))</f>
        <v>0</v>
      </c>
      <c r="AW199" s="13">
        <f>AV199*2*((H199-2*([1]Parametros!$B$7+[1]Parametros!$B$9/2))+(I199-2*([1]Parametros!$B$7+[1]Parametros!$B$9/2)))*[1]Parametros!$B$4/[1]Parametros!$B$3</f>
        <v>0</v>
      </c>
      <c r="AX199" s="14">
        <v>0</v>
      </c>
      <c r="AY199" s="13" t="str">
        <f t="shared" si="46"/>
        <v>DESPRECIABLE</v>
      </c>
      <c r="AZ199" s="13" t="str">
        <f t="shared" si="47"/>
        <v>CUMPLE</v>
      </c>
      <c r="BA199" s="14">
        <v>9.5</v>
      </c>
      <c r="BB199" s="14">
        <v>71</v>
      </c>
      <c r="BC199" s="13">
        <f>MAX(IF(AK199=0,0,AK199*1000/([1]Parametros!$B$4*MIN(U199,AB199))),MAX(0.062*SQRT([1]Parametros!$B$2)*H199/[1]Parametros!$B$4,0.35*H199/[1]Parametros!$B$4))</f>
        <v>0.375</v>
      </c>
      <c r="BD199" s="13">
        <f t="shared" si="48"/>
        <v>0</v>
      </c>
      <c r="BE199" s="13">
        <f t="shared" si="49"/>
        <v>1.1833333333333333</v>
      </c>
      <c r="BF199" s="13">
        <f>SQRT((AI199*1000/(H199*MIN(U199,AB199)))^2+(Q199*1000000*2*((H199-2*([1]Parametros!$B$7+[1]Parametros!$B$9/2))+(I199-2*([1]Parametros!$B$7+[1]Parametros!$B$9/2)))/(1.7*((H199-2*([1]Parametros!$B$7+[1]Parametros!$B$9/2))*(I199-2*([1]Parametros!$B$7+[1]Parametros!$B$9/2)))^2))^2)</f>
        <v>0.69893724228292298</v>
      </c>
      <c r="BG199" s="13">
        <f>[1]Parametros!$B$6*(AJ199*1000/(H199*MIN(U199,AB199))+0.66*SQRT([1]Parametros!$B$2))</f>
        <v>3.2939603822754151</v>
      </c>
      <c r="BH199" s="13" t="str">
        <f t="shared" si="50"/>
        <v>CUMPLE</v>
      </c>
      <c r="BI199" s="13">
        <f>AX199*[1]Parametros!$B$8</f>
        <v>0</v>
      </c>
      <c r="BJ199" s="15" t="str">
        <f t="shared" si="51"/>
        <v>CUMPLE</v>
      </c>
    </row>
    <row r="200" spans="1:62" x14ac:dyDescent="0.3">
      <c r="A200" s="22" t="s">
        <v>71</v>
      </c>
      <c r="B200" s="23">
        <v>1025</v>
      </c>
      <c r="C200" s="13">
        <v>1</v>
      </c>
      <c r="D200" s="13">
        <v>3.25</v>
      </c>
      <c r="E200" s="13">
        <v>3.25</v>
      </c>
      <c r="F200" s="13">
        <v>450</v>
      </c>
      <c r="G200" s="13">
        <v>550</v>
      </c>
      <c r="H200" s="13">
        <v>450</v>
      </c>
      <c r="I200" s="13">
        <v>550</v>
      </c>
      <c r="J200" s="14">
        <v>40.083300000000001</v>
      </c>
      <c r="K200" s="13">
        <v>1025</v>
      </c>
      <c r="L200" s="14">
        <v>20.911899999999999</v>
      </c>
      <c r="M200" s="13">
        <v>1025</v>
      </c>
      <c r="N200" s="14">
        <v>29.263999999999999</v>
      </c>
      <c r="O200" s="14">
        <v>76.272999999999996</v>
      </c>
      <c r="P200" s="13">
        <v>1025</v>
      </c>
      <c r="Q200" s="14">
        <v>4.2634999999999996</v>
      </c>
      <c r="R200" s="13">
        <f>MAX(MAX(1.4/[1]Parametros!$B$3,0.25*SQRT([1]Parametros!$B$2)/[1]Parametros!$B$3)*H200*U200,(0.85*[1]Parametros!$B$2/[1]Parametros!$B$3)*(1-SQRT(1-2*(J200*1000000/([1]Parametros!$B$5*H200*U200^2))/(0.85*[1]Parametros!$B$2)))*H200*U200)</f>
        <v>734.02500000000009</v>
      </c>
      <c r="S200" s="14">
        <v>4</v>
      </c>
      <c r="T200" s="14">
        <v>1</v>
      </c>
      <c r="U200" s="13">
        <f>IF(T200=1,I200-([1]Parametros!$B$7+[1]Parametros!$B$9+[1]Parametros!$B$12/2),I200-(ROUNDUP(S200/2,0)*([1]Parametros!$B$7+[1]Parametros!$B$9+[1]Parametros!$B$12/2)+ROUNDDOWN(S200/2,0)*([1]Parametros!$B$7+[1]Parametros!$B$9+[1]Parametros!$B$12/2+[1]Parametros!$B$12+[1]Parametros!$B$10))/S200)</f>
        <v>489.35</v>
      </c>
      <c r="V200" s="13">
        <f>S200*[1]Parametros!$B$8</f>
        <v>796</v>
      </c>
      <c r="W200" s="13">
        <f>[1]Parametros!$B$5*V200*[1]Parametros!$B$3*(U200-(V200*[1]Parametros!$B$3/(0.85*[1]Parametros!$B$2*H200))/2)/1000000</f>
        <v>142.54333009411764</v>
      </c>
      <c r="X200" s="13" t="str">
        <f t="shared" si="39"/>
        <v>CUMPLE</v>
      </c>
      <c r="Y200" s="13">
        <f>MAX(MAX(1.4/[1]Parametros!$B$3,0.25*SQRT([1]Parametros!$B$2)/[1]Parametros!$B$3)*H200*AB200,(0.85*[1]Parametros!$B$2/[1]Parametros!$B$3)*(1-SQRT(1-2*(L200*1000000/([1]Parametros!$B$5*H200*AB200^2))/(0.85*[1]Parametros!$B$2)))*H200*AB200)</f>
        <v>734.02500000000009</v>
      </c>
      <c r="Z200" s="14">
        <v>4</v>
      </c>
      <c r="AA200" s="14">
        <v>1</v>
      </c>
      <c r="AB200" s="13">
        <f>IF(AA200=1,I200-([1]Parametros!$B$7+[1]Parametros!$B$9+[1]Parametros!$B$12/2),I200-(ROUNDUP(Z200/2,0)*([1]Parametros!$B$7+[1]Parametros!$B$9+[1]Parametros!$B$12/2)+ROUNDDOWN(Z200/2,0)*([1]Parametros!$B$7+[1]Parametros!$B$9+[1]Parametros!$B$12/2+[1]Parametros!$B$12+[1]Parametros!$B$10))/Z200)</f>
        <v>489.35</v>
      </c>
      <c r="AC200" s="13">
        <f>Z200*[1]Parametros!$B$8</f>
        <v>796</v>
      </c>
      <c r="AD200" s="13">
        <f>[1]Parametros!$B$5*AC200*[1]Parametros!$B$3*(AB200-(AC200*[1]Parametros!$B$3/(0.85*[1]Parametros!$B$2*H200))/2)/1000000</f>
        <v>142.54333009411764</v>
      </c>
      <c r="AE200" s="13" t="str">
        <f t="shared" si="40"/>
        <v>CUMPLE</v>
      </c>
      <c r="AF200" s="13">
        <f>V200*1.25*[1]Parametros!$B$3*(U200-(V200*1.25*[1]Parametros!$B$3/(0.85*[1]Parametros!$B$2*H200))/2)/1000000</f>
        <v>196.34621794117646</v>
      </c>
      <c r="AG200" s="13">
        <f>AC200*1.25*[1]Parametros!$B$3*(AB200-(AC200*1.25*[1]Parametros!$B$3/(0.85*[1]Parametros!$B$2*H200))/2)/1000000</f>
        <v>196.34621794117646</v>
      </c>
      <c r="AH200" s="13">
        <f t="shared" si="41"/>
        <v>150.09244180995475</v>
      </c>
      <c r="AI200" s="13">
        <f t="shared" si="42"/>
        <v>150.09244180995475</v>
      </c>
      <c r="AJ200" s="13">
        <f>0.17*SQRT([1]Parametros!$B$2)*H200*MIN(U200,AB200)/1000</f>
        <v>198.08885582262698</v>
      </c>
      <c r="AK200" s="13">
        <f>MAX(AI200/[1]Parametros!$B$6-AJ200,0)</f>
        <v>2.0343999239793504</v>
      </c>
      <c r="AL200" s="13">
        <f>0.66*SQRT([1]Parametros!$B$2)*H200*MIN(U200,AB200)/1000</f>
        <v>769.05085201725785</v>
      </c>
      <c r="AM200" s="13" t="str">
        <f t="shared" si="43"/>
        <v>CUMPLE</v>
      </c>
      <c r="AN200" s="13" t="s">
        <v>64</v>
      </c>
      <c r="AO200" s="14">
        <v>2</v>
      </c>
      <c r="AP200" s="13">
        <f>ROUNDDOWN(MIN(IF(BC200+BD200=0,1000000000,AO200*BB200/(BC200+BD200)),MIN(U200,AB200)/4,8*[1]Parametros!$B$12,24*BA200,300,IF(AV200=0,1000000000,2*((H200-2*([1]Parametros!$B$7+[1]Parametros!$B$9/2))+(I200-2*([1]Parametros!$B$7+[1]Parametros!$B$9/2)))/8))/10,0)*10</f>
        <v>120</v>
      </c>
      <c r="AQ200" s="13">
        <f>ROUNDDOWN(MIN(IF(BC200+BD200=0,1000000000,AO200*BB200/(BC200+BD200)),IF(AK200&gt;0.33*SQRT([1]Parametros!$B$2)*H200*MIN(U200,AB200)/1000,MIN(U200,AB200)/4,MIN(U200,AB200)/2),600,IF(AV200=0,1000000000,2*((H200-2*([1]Parametros!$B$7+[1]Parametros!$B$9/2))+(I200-2*([1]Parametros!$B$7+[1]Parametros!$B$9/2)))/8))/10,0)*10</f>
        <v>240</v>
      </c>
      <c r="AR200" s="13">
        <f>[1]Parametros!$B$6*(AJ200+MAX(BE200-BD200,0)*[1]Parametros!$B$4*MIN(U200,AB200)/1000)</f>
        <v>330.97185436697026</v>
      </c>
      <c r="AS200" s="13" t="str">
        <f t="shared" si="44"/>
        <v>CUMPLE</v>
      </c>
      <c r="AT200" s="13">
        <f>[1]Parametros!$B$6*0.083*SQRT([1]Parametros!$B$2)*(H200*I200)^2/(2*(H200+I200))/1000000</f>
        <v>10.08878303333792</v>
      </c>
      <c r="AU200" s="13" t="str">
        <f t="shared" si="45"/>
        <v>DESPRECIABLE</v>
      </c>
      <c r="AV200" s="13">
        <f>IF(Q200&lt;=AT200,0,Q200*1000000/([1]Parametros!$B$6*2*0.85*(H200-2*([1]Parametros!$B$7+[1]Parametros!$B$9/2))*(I200-2*([1]Parametros!$B$7+[1]Parametros!$B$9/2))*[1]Parametros!$B$4))</f>
        <v>0</v>
      </c>
      <c r="AW200" s="13">
        <f>AV200*2*((H200-2*([1]Parametros!$B$7+[1]Parametros!$B$9/2))+(I200-2*([1]Parametros!$B$7+[1]Parametros!$B$9/2)))*[1]Parametros!$B$4/[1]Parametros!$B$3</f>
        <v>0</v>
      </c>
      <c r="AX200" s="14">
        <v>0</v>
      </c>
      <c r="AY200" s="13" t="str">
        <f t="shared" si="46"/>
        <v>DESPRECIABLE</v>
      </c>
      <c r="AZ200" s="13" t="str">
        <f t="shared" si="47"/>
        <v>CUMPLE</v>
      </c>
      <c r="BA200" s="14">
        <v>9.5</v>
      </c>
      <c r="BB200" s="14">
        <v>71</v>
      </c>
      <c r="BC200" s="13">
        <f>MAX(IF(AK200=0,0,AK200*1000/([1]Parametros!$B$4*MIN(U200,AB200))),MAX(0.062*SQRT([1]Parametros!$B$2)*H200/[1]Parametros!$B$4,0.35*H200/[1]Parametros!$B$4))</f>
        <v>0.375</v>
      </c>
      <c r="BD200" s="13">
        <f t="shared" si="48"/>
        <v>0</v>
      </c>
      <c r="BE200" s="13">
        <f t="shared" si="49"/>
        <v>1.1833333333333333</v>
      </c>
      <c r="BF200" s="13">
        <f>SQRT((AI200*1000/(H200*MIN(U200,AB200)))^2+(Q200*1000000*2*((H200-2*([1]Parametros!$B$7+[1]Parametros!$B$9/2))+(I200-2*([1]Parametros!$B$7+[1]Parametros!$B$9/2)))/(1.7*((H200-2*([1]Parametros!$B$7+[1]Parametros!$B$9/2))*(I200-2*([1]Parametros!$B$7+[1]Parametros!$B$9/2)))^2))^2)</f>
        <v>0.69856685555102149</v>
      </c>
      <c r="BG200" s="13">
        <f>[1]Parametros!$B$6*(AJ200*1000/(H200*MIN(U200,AB200))+0.66*SQRT([1]Parametros!$B$2))</f>
        <v>3.2939603822754151</v>
      </c>
      <c r="BH200" s="13" t="str">
        <f t="shared" si="50"/>
        <v>CUMPLE</v>
      </c>
      <c r="BI200" s="13">
        <f>AX200*[1]Parametros!$B$8</f>
        <v>0</v>
      </c>
      <c r="BJ200" s="15" t="str">
        <f t="shared" si="51"/>
        <v>CUMPLE</v>
      </c>
    </row>
    <row r="201" spans="1:62" x14ac:dyDescent="0.3">
      <c r="A201" s="22" t="s">
        <v>71</v>
      </c>
      <c r="B201" s="23">
        <v>1026</v>
      </c>
      <c r="C201" s="13">
        <v>1</v>
      </c>
      <c r="D201" s="13">
        <v>3.3</v>
      </c>
      <c r="E201" s="13">
        <v>3.3</v>
      </c>
      <c r="F201" s="13">
        <v>450</v>
      </c>
      <c r="G201" s="13">
        <v>550</v>
      </c>
      <c r="H201" s="13">
        <v>450</v>
      </c>
      <c r="I201" s="13">
        <v>550</v>
      </c>
      <c r="J201" s="14">
        <v>48.802799999999998</v>
      </c>
      <c r="K201" s="13">
        <v>1026</v>
      </c>
      <c r="L201" s="14">
        <v>29.203399999999998</v>
      </c>
      <c r="M201" s="13">
        <v>1026</v>
      </c>
      <c r="N201" s="14">
        <v>36.537999999999997</v>
      </c>
      <c r="O201" s="14">
        <v>109.383</v>
      </c>
      <c r="P201" s="13">
        <v>1026</v>
      </c>
      <c r="Q201" s="14">
        <v>7.6135999999999999</v>
      </c>
      <c r="R201" s="13">
        <f>MAX(MAX(1.4/[1]Parametros!$B$3,0.25*SQRT([1]Parametros!$B$2)/[1]Parametros!$B$3)*H201*U201,(0.85*[1]Parametros!$B$2/[1]Parametros!$B$3)*(1-SQRT(1-2*(J201*1000000/([1]Parametros!$B$5*H201*U201^2))/(0.85*[1]Parametros!$B$2)))*H201*U201)</f>
        <v>734.02500000000009</v>
      </c>
      <c r="S201" s="14">
        <v>4</v>
      </c>
      <c r="T201" s="14">
        <v>1</v>
      </c>
      <c r="U201" s="13">
        <f>IF(T201=1,I201-([1]Parametros!$B$7+[1]Parametros!$B$9+[1]Parametros!$B$12/2),I201-(ROUNDUP(S201/2,0)*([1]Parametros!$B$7+[1]Parametros!$B$9+[1]Parametros!$B$12/2)+ROUNDDOWN(S201/2,0)*([1]Parametros!$B$7+[1]Parametros!$B$9+[1]Parametros!$B$12/2+[1]Parametros!$B$12+[1]Parametros!$B$10))/S201)</f>
        <v>489.35</v>
      </c>
      <c r="V201" s="13">
        <f>S201*[1]Parametros!$B$8</f>
        <v>796</v>
      </c>
      <c r="W201" s="13">
        <f>[1]Parametros!$B$5*V201*[1]Parametros!$B$3*(U201-(V201*[1]Parametros!$B$3/(0.85*[1]Parametros!$B$2*H201))/2)/1000000</f>
        <v>142.54333009411764</v>
      </c>
      <c r="X201" s="13" t="str">
        <f t="shared" si="39"/>
        <v>CUMPLE</v>
      </c>
      <c r="Y201" s="13">
        <f>MAX(MAX(1.4/[1]Parametros!$B$3,0.25*SQRT([1]Parametros!$B$2)/[1]Parametros!$B$3)*H201*AB201,(0.85*[1]Parametros!$B$2/[1]Parametros!$B$3)*(1-SQRT(1-2*(L201*1000000/([1]Parametros!$B$5*H201*AB201^2))/(0.85*[1]Parametros!$B$2)))*H201*AB201)</f>
        <v>734.02500000000009</v>
      </c>
      <c r="Z201" s="14">
        <v>4</v>
      </c>
      <c r="AA201" s="14">
        <v>1</v>
      </c>
      <c r="AB201" s="13">
        <f>IF(AA201=1,I201-([1]Parametros!$B$7+[1]Parametros!$B$9+[1]Parametros!$B$12/2),I201-(ROUNDUP(Z201/2,0)*([1]Parametros!$B$7+[1]Parametros!$B$9+[1]Parametros!$B$12/2)+ROUNDDOWN(Z201/2,0)*([1]Parametros!$B$7+[1]Parametros!$B$9+[1]Parametros!$B$12/2+[1]Parametros!$B$12+[1]Parametros!$B$10))/Z201)</f>
        <v>489.35</v>
      </c>
      <c r="AC201" s="13">
        <f>Z201*[1]Parametros!$B$8</f>
        <v>796</v>
      </c>
      <c r="AD201" s="13">
        <f>[1]Parametros!$B$5*AC201*[1]Parametros!$B$3*(AB201-(AC201*[1]Parametros!$B$3/(0.85*[1]Parametros!$B$2*H201))/2)/1000000</f>
        <v>142.54333009411764</v>
      </c>
      <c r="AE201" s="13" t="str">
        <f t="shared" si="40"/>
        <v>CUMPLE</v>
      </c>
      <c r="AF201" s="13">
        <f>V201*1.25*[1]Parametros!$B$3*(U201-(V201*1.25*[1]Parametros!$B$3/(0.85*[1]Parametros!$B$2*H201))/2)/1000000</f>
        <v>196.34621794117646</v>
      </c>
      <c r="AG201" s="13">
        <f>AC201*1.25*[1]Parametros!$B$3*(AB201-(AC201*1.25*[1]Parametros!$B$3/(0.85*[1]Parametros!$B$2*H201))/2)/1000000</f>
        <v>196.34621794117646</v>
      </c>
      <c r="AH201" s="13">
        <f t="shared" si="41"/>
        <v>155.53570784313726</v>
      </c>
      <c r="AI201" s="13">
        <f t="shared" si="42"/>
        <v>155.53570784313726</v>
      </c>
      <c r="AJ201" s="13">
        <f>0.17*SQRT([1]Parametros!$B$2)*H201*MIN(U201,AB201)/1000</f>
        <v>198.08885582262698</v>
      </c>
      <c r="AK201" s="13">
        <f>MAX(AI201/[1]Parametros!$B$6-AJ201,0)</f>
        <v>9.2920879682226882</v>
      </c>
      <c r="AL201" s="13">
        <f>0.66*SQRT([1]Parametros!$B$2)*H201*MIN(U201,AB201)/1000</f>
        <v>769.05085201725785</v>
      </c>
      <c r="AM201" s="13" t="str">
        <f t="shared" si="43"/>
        <v>CUMPLE</v>
      </c>
      <c r="AN201" s="13" t="s">
        <v>64</v>
      </c>
      <c r="AO201" s="14">
        <v>2</v>
      </c>
      <c r="AP201" s="13">
        <f>ROUNDDOWN(MIN(IF(BC201+BD201=0,1000000000,AO201*BB201/(BC201+BD201)),MIN(U201,AB201)/4,8*[1]Parametros!$B$12,24*BA201,300,IF(AV201=0,1000000000,2*((H201-2*([1]Parametros!$B$7+[1]Parametros!$B$9/2))+(I201-2*([1]Parametros!$B$7+[1]Parametros!$B$9/2)))/8))/10,0)*10</f>
        <v>120</v>
      </c>
      <c r="AQ201" s="13">
        <f>ROUNDDOWN(MIN(IF(BC201+BD201=0,1000000000,AO201*BB201/(BC201+BD201)),IF(AK201&gt;0.33*SQRT([1]Parametros!$B$2)*H201*MIN(U201,AB201)/1000,MIN(U201,AB201)/4,MIN(U201,AB201)/2),600,IF(AV201=0,1000000000,2*((H201-2*([1]Parametros!$B$7+[1]Parametros!$B$9/2))+(I201-2*([1]Parametros!$B$7+[1]Parametros!$B$9/2)))/8))/10,0)*10</f>
        <v>240</v>
      </c>
      <c r="AR201" s="13">
        <f>[1]Parametros!$B$6*(AJ201+MAX(BE201-BD201,0)*[1]Parametros!$B$4*MIN(U201,AB201)/1000)</f>
        <v>330.97185436697026</v>
      </c>
      <c r="AS201" s="13" t="str">
        <f t="shared" si="44"/>
        <v>CUMPLE</v>
      </c>
      <c r="AT201" s="13">
        <f>[1]Parametros!$B$6*0.083*SQRT([1]Parametros!$B$2)*(H201*I201)^2/(2*(H201+I201))/1000000</f>
        <v>10.08878303333792</v>
      </c>
      <c r="AU201" s="13" t="str">
        <f t="shared" si="45"/>
        <v>DESPRECIABLE</v>
      </c>
      <c r="AV201" s="13">
        <f>IF(Q201&lt;=AT201,0,Q201*1000000/([1]Parametros!$B$6*2*0.85*(H201-2*([1]Parametros!$B$7+[1]Parametros!$B$9/2))*(I201-2*([1]Parametros!$B$7+[1]Parametros!$B$9/2))*[1]Parametros!$B$4))</f>
        <v>0</v>
      </c>
      <c r="AW201" s="13">
        <f>AV201*2*((H201-2*([1]Parametros!$B$7+[1]Parametros!$B$9/2))+(I201-2*([1]Parametros!$B$7+[1]Parametros!$B$9/2)))*[1]Parametros!$B$4/[1]Parametros!$B$3</f>
        <v>0</v>
      </c>
      <c r="AX201" s="14">
        <v>0</v>
      </c>
      <c r="AY201" s="13" t="str">
        <f t="shared" si="46"/>
        <v>DESPRECIABLE</v>
      </c>
      <c r="AZ201" s="13" t="str">
        <f t="shared" si="47"/>
        <v>CUMPLE</v>
      </c>
      <c r="BA201" s="14">
        <v>9.5</v>
      </c>
      <c r="BB201" s="14">
        <v>71</v>
      </c>
      <c r="BC201" s="13">
        <f>MAX(IF(AK201=0,0,AK201*1000/([1]Parametros!$B$4*MIN(U201,AB201))),MAX(0.062*SQRT([1]Parametros!$B$2)*H201/[1]Parametros!$B$4,0.35*H201/[1]Parametros!$B$4))</f>
        <v>0.375</v>
      </c>
      <c r="BD201" s="13">
        <f t="shared" si="48"/>
        <v>0</v>
      </c>
      <c r="BE201" s="13">
        <f t="shared" si="49"/>
        <v>1.1833333333333333</v>
      </c>
      <c r="BF201" s="13">
        <f>SQRT((AI201*1000/(H201*MIN(U201,AB201)))^2+(Q201*1000000*2*((H201-2*([1]Parametros!$B$7+[1]Parametros!$B$9/2))+(I201-2*([1]Parametros!$B$7+[1]Parametros!$B$9/2)))/(1.7*((H201-2*([1]Parametros!$B$7+[1]Parametros!$B$9/2))*(I201-2*([1]Parametros!$B$7+[1]Parametros!$B$9/2)))^2))^2)</f>
        <v>0.75734758213237052</v>
      </c>
      <c r="BG201" s="13">
        <f>[1]Parametros!$B$6*(AJ201*1000/(H201*MIN(U201,AB201))+0.66*SQRT([1]Parametros!$B$2))</f>
        <v>3.2939603822754151</v>
      </c>
      <c r="BH201" s="13" t="str">
        <f t="shared" si="50"/>
        <v>CUMPLE</v>
      </c>
      <c r="BI201" s="13">
        <f>AX201*[1]Parametros!$B$8</f>
        <v>0</v>
      </c>
      <c r="BJ201" s="15" t="str">
        <f t="shared" si="51"/>
        <v>CUMPLE</v>
      </c>
    </row>
    <row r="202" spans="1:62" x14ac:dyDescent="0.3">
      <c r="A202" s="22" t="s">
        <v>71</v>
      </c>
      <c r="B202" s="23">
        <v>1027</v>
      </c>
      <c r="C202" s="13">
        <v>1</v>
      </c>
      <c r="D202" s="13">
        <v>3.3</v>
      </c>
      <c r="E202" s="13">
        <v>3.3</v>
      </c>
      <c r="F202" s="13">
        <v>450</v>
      </c>
      <c r="G202" s="13">
        <v>550</v>
      </c>
      <c r="H202" s="13">
        <v>450</v>
      </c>
      <c r="I202" s="13">
        <v>550</v>
      </c>
      <c r="J202" s="14">
        <v>48.816099999999999</v>
      </c>
      <c r="K202" s="13">
        <v>1027</v>
      </c>
      <c r="L202" s="14">
        <v>29.204000000000001</v>
      </c>
      <c r="M202" s="13">
        <v>1027</v>
      </c>
      <c r="N202" s="14">
        <v>36.543999999999997</v>
      </c>
      <c r="O202" s="14">
        <v>109.389</v>
      </c>
      <c r="P202" s="13">
        <v>1027</v>
      </c>
      <c r="Q202" s="14">
        <v>7.6138000000000003</v>
      </c>
      <c r="R202" s="13">
        <f>MAX(MAX(1.4/[1]Parametros!$B$3,0.25*SQRT([1]Parametros!$B$2)/[1]Parametros!$B$3)*H202*U202,(0.85*[1]Parametros!$B$2/[1]Parametros!$B$3)*(1-SQRT(1-2*(J202*1000000/([1]Parametros!$B$5*H202*U202^2))/(0.85*[1]Parametros!$B$2)))*H202*U202)</f>
        <v>734.02500000000009</v>
      </c>
      <c r="S202" s="14">
        <v>4</v>
      </c>
      <c r="T202" s="14">
        <v>1</v>
      </c>
      <c r="U202" s="13">
        <f>IF(T202=1,I202-([1]Parametros!$B$7+[1]Parametros!$B$9+[1]Parametros!$B$12/2),I202-(ROUNDUP(S202/2,0)*([1]Parametros!$B$7+[1]Parametros!$B$9+[1]Parametros!$B$12/2)+ROUNDDOWN(S202/2,0)*([1]Parametros!$B$7+[1]Parametros!$B$9+[1]Parametros!$B$12/2+[1]Parametros!$B$12+[1]Parametros!$B$10))/S202)</f>
        <v>489.35</v>
      </c>
      <c r="V202" s="13">
        <f>S202*[1]Parametros!$B$8</f>
        <v>796</v>
      </c>
      <c r="W202" s="13">
        <f>[1]Parametros!$B$5*V202*[1]Parametros!$B$3*(U202-(V202*[1]Parametros!$B$3/(0.85*[1]Parametros!$B$2*H202))/2)/1000000</f>
        <v>142.54333009411764</v>
      </c>
      <c r="X202" s="13" t="str">
        <f t="shared" si="39"/>
        <v>CUMPLE</v>
      </c>
      <c r="Y202" s="13">
        <f>MAX(MAX(1.4/[1]Parametros!$B$3,0.25*SQRT([1]Parametros!$B$2)/[1]Parametros!$B$3)*H202*AB202,(0.85*[1]Parametros!$B$2/[1]Parametros!$B$3)*(1-SQRT(1-2*(L202*1000000/([1]Parametros!$B$5*H202*AB202^2))/(0.85*[1]Parametros!$B$2)))*H202*AB202)</f>
        <v>734.02500000000009</v>
      </c>
      <c r="Z202" s="14">
        <v>4</v>
      </c>
      <c r="AA202" s="14">
        <v>1</v>
      </c>
      <c r="AB202" s="13">
        <f>IF(AA202=1,I202-([1]Parametros!$B$7+[1]Parametros!$B$9+[1]Parametros!$B$12/2),I202-(ROUNDUP(Z202/2,0)*([1]Parametros!$B$7+[1]Parametros!$B$9+[1]Parametros!$B$12/2)+ROUNDDOWN(Z202/2,0)*([1]Parametros!$B$7+[1]Parametros!$B$9+[1]Parametros!$B$12/2+[1]Parametros!$B$12+[1]Parametros!$B$10))/Z202)</f>
        <v>489.35</v>
      </c>
      <c r="AC202" s="13">
        <f>Z202*[1]Parametros!$B$8</f>
        <v>796</v>
      </c>
      <c r="AD202" s="13">
        <f>[1]Parametros!$B$5*AC202*[1]Parametros!$B$3*(AB202-(AC202*[1]Parametros!$B$3/(0.85*[1]Parametros!$B$2*H202))/2)/1000000</f>
        <v>142.54333009411764</v>
      </c>
      <c r="AE202" s="13" t="str">
        <f t="shared" si="40"/>
        <v>CUMPLE</v>
      </c>
      <c r="AF202" s="13">
        <f>V202*1.25*[1]Parametros!$B$3*(U202-(V202*1.25*[1]Parametros!$B$3/(0.85*[1]Parametros!$B$2*H202))/2)/1000000</f>
        <v>196.34621794117646</v>
      </c>
      <c r="AG202" s="13">
        <f>AC202*1.25*[1]Parametros!$B$3*(AB202-(AC202*1.25*[1]Parametros!$B$3/(0.85*[1]Parametros!$B$2*H202))/2)/1000000</f>
        <v>196.34621794117646</v>
      </c>
      <c r="AH202" s="13">
        <f t="shared" si="41"/>
        <v>155.54170784313726</v>
      </c>
      <c r="AI202" s="13">
        <f t="shared" si="42"/>
        <v>155.54170784313726</v>
      </c>
      <c r="AJ202" s="13">
        <f>0.17*SQRT([1]Parametros!$B$2)*H202*MIN(U202,AB202)/1000</f>
        <v>198.08885582262698</v>
      </c>
      <c r="AK202" s="13">
        <f>MAX(AI202/[1]Parametros!$B$6-AJ202,0)</f>
        <v>9.300087968222698</v>
      </c>
      <c r="AL202" s="13">
        <f>0.66*SQRT([1]Parametros!$B$2)*H202*MIN(U202,AB202)/1000</f>
        <v>769.05085201725785</v>
      </c>
      <c r="AM202" s="13" t="str">
        <f t="shared" si="43"/>
        <v>CUMPLE</v>
      </c>
      <c r="AN202" s="13" t="s">
        <v>64</v>
      </c>
      <c r="AO202" s="14">
        <v>2</v>
      </c>
      <c r="AP202" s="13">
        <f>ROUNDDOWN(MIN(IF(BC202+BD202=0,1000000000,AO202*BB202/(BC202+BD202)),MIN(U202,AB202)/4,8*[1]Parametros!$B$12,24*BA202,300,IF(AV202=0,1000000000,2*((H202-2*([1]Parametros!$B$7+[1]Parametros!$B$9/2))+(I202-2*([1]Parametros!$B$7+[1]Parametros!$B$9/2)))/8))/10,0)*10</f>
        <v>120</v>
      </c>
      <c r="AQ202" s="13">
        <f>ROUNDDOWN(MIN(IF(BC202+BD202=0,1000000000,AO202*BB202/(BC202+BD202)),IF(AK202&gt;0.33*SQRT([1]Parametros!$B$2)*H202*MIN(U202,AB202)/1000,MIN(U202,AB202)/4,MIN(U202,AB202)/2),600,IF(AV202=0,1000000000,2*((H202-2*([1]Parametros!$B$7+[1]Parametros!$B$9/2))+(I202-2*([1]Parametros!$B$7+[1]Parametros!$B$9/2)))/8))/10,0)*10</f>
        <v>240</v>
      </c>
      <c r="AR202" s="13">
        <f>[1]Parametros!$B$6*(AJ202+MAX(BE202-BD202,0)*[1]Parametros!$B$4*MIN(U202,AB202)/1000)</f>
        <v>330.97185436697026</v>
      </c>
      <c r="AS202" s="13" t="str">
        <f t="shared" si="44"/>
        <v>CUMPLE</v>
      </c>
      <c r="AT202" s="13">
        <f>[1]Parametros!$B$6*0.083*SQRT([1]Parametros!$B$2)*(H202*I202)^2/(2*(H202+I202))/1000000</f>
        <v>10.08878303333792</v>
      </c>
      <c r="AU202" s="13" t="str">
        <f t="shared" si="45"/>
        <v>DESPRECIABLE</v>
      </c>
      <c r="AV202" s="13">
        <f>IF(Q202&lt;=AT202,0,Q202*1000000/([1]Parametros!$B$6*2*0.85*(H202-2*([1]Parametros!$B$7+[1]Parametros!$B$9/2))*(I202-2*([1]Parametros!$B$7+[1]Parametros!$B$9/2))*[1]Parametros!$B$4))</f>
        <v>0</v>
      </c>
      <c r="AW202" s="13">
        <f>AV202*2*((H202-2*([1]Parametros!$B$7+[1]Parametros!$B$9/2))+(I202-2*([1]Parametros!$B$7+[1]Parametros!$B$9/2)))*[1]Parametros!$B$4/[1]Parametros!$B$3</f>
        <v>0</v>
      </c>
      <c r="AX202" s="14">
        <v>0</v>
      </c>
      <c r="AY202" s="13" t="str">
        <f t="shared" si="46"/>
        <v>DESPRECIABLE</v>
      </c>
      <c r="AZ202" s="13" t="str">
        <f t="shared" si="47"/>
        <v>CUMPLE</v>
      </c>
      <c r="BA202" s="14">
        <v>9.5</v>
      </c>
      <c r="BB202" s="14">
        <v>71</v>
      </c>
      <c r="BC202" s="13">
        <f>MAX(IF(AK202=0,0,AK202*1000/([1]Parametros!$B$4*MIN(U202,AB202))),MAX(0.062*SQRT([1]Parametros!$B$2)*H202/[1]Parametros!$B$4,0.35*H202/[1]Parametros!$B$4))</f>
        <v>0.375</v>
      </c>
      <c r="BD202" s="13">
        <f t="shared" si="48"/>
        <v>0</v>
      </c>
      <c r="BE202" s="13">
        <f t="shared" si="49"/>
        <v>1.1833333333333333</v>
      </c>
      <c r="BF202" s="13">
        <f>SQRT((AI202*1000/(H202*MIN(U202,AB202)))^2+(Q202*1000000*2*((H202-2*([1]Parametros!$B$7+[1]Parametros!$B$9/2))+(I202-2*([1]Parametros!$B$7+[1]Parametros!$B$9/2)))/(1.7*((H202-2*([1]Parametros!$B$7+[1]Parametros!$B$9/2))*(I202-2*([1]Parametros!$B$7+[1]Parametros!$B$9/2)))^2))^2)</f>
        <v>0.75737558397742044</v>
      </c>
      <c r="BG202" s="13">
        <f>[1]Parametros!$B$6*(AJ202*1000/(H202*MIN(U202,AB202))+0.66*SQRT([1]Parametros!$B$2))</f>
        <v>3.2939603822754151</v>
      </c>
      <c r="BH202" s="13" t="str">
        <f t="shared" si="50"/>
        <v>CUMPLE</v>
      </c>
      <c r="BI202" s="13">
        <f>AX202*[1]Parametros!$B$8</f>
        <v>0</v>
      </c>
      <c r="BJ202" s="15" t="str">
        <f t="shared" si="51"/>
        <v>CUMPLE</v>
      </c>
    </row>
    <row r="203" spans="1:62" x14ac:dyDescent="0.3">
      <c r="A203" s="22" t="s">
        <v>71</v>
      </c>
      <c r="B203" s="23">
        <v>1028</v>
      </c>
      <c r="C203" s="13">
        <v>1</v>
      </c>
      <c r="D203" s="13">
        <v>3.25</v>
      </c>
      <c r="E203" s="13">
        <v>3.25</v>
      </c>
      <c r="F203" s="13">
        <v>450</v>
      </c>
      <c r="G203" s="13">
        <v>550</v>
      </c>
      <c r="H203" s="13">
        <v>450</v>
      </c>
      <c r="I203" s="13">
        <v>550</v>
      </c>
      <c r="J203" s="14">
        <v>40.078099999999999</v>
      </c>
      <c r="K203" s="13">
        <v>1028</v>
      </c>
      <c r="L203" s="14">
        <v>20.907299999999999</v>
      </c>
      <c r="M203" s="13">
        <v>1028</v>
      </c>
      <c r="N203" s="14">
        <v>29.262</v>
      </c>
      <c r="O203" s="14">
        <v>76.271000000000001</v>
      </c>
      <c r="P203" s="13">
        <v>1028</v>
      </c>
      <c r="Q203" s="14">
        <v>4.2648999999999999</v>
      </c>
      <c r="R203" s="13">
        <f>MAX(MAX(1.4/[1]Parametros!$B$3,0.25*SQRT([1]Parametros!$B$2)/[1]Parametros!$B$3)*H203*U203,(0.85*[1]Parametros!$B$2/[1]Parametros!$B$3)*(1-SQRT(1-2*(J203*1000000/([1]Parametros!$B$5*H203*U203^2))/(0.85*[1]Parametros!$B$2)))*H203*U203)</f>
        <v>734.02500000000009</v>
      </c>
      <c r="S203" s="14">
        <v>4</v>
      </c>
      <c r="T203" s="14">
        <v>1</v>
      </c>
      <c r="U203" s="13">
        <f>IF(T203=1,I203-([1]Parametros!$B$7+[1]Parametros!$B$9+[1]Parametros!$B$12/2),I203-(ROUNDUP(S203/2,0)*([1]Parametros!$B$7+[1]Parametros!$B$9+[1]Parametros!$B$12/2)+ROUNDDOWN(S203/2,0)*([1]Parametros!$B$7+[1]Parametros!$B$9+[1]Parametros!$B$12/2+[1]Parametros!$B$12+[1]Parametros!$B$10))/S203)</f>
        <v>489.35</v>
      </c>
      <c r="V203" s="13">
        <f>S203*[1]Parametros!$B$8</f>
        <v>796</v>
      </c>
      <c r="W203" s="13">
        <f>[1]Parametros!$B$5*V203*[1]Parametros!$B$3*(U203-(V203*[1]Parametros!$B$3/(0.85*[1]Parametros!$B$2*H203))/2)/1000000</f>
        <v>142.54333009411764</v>
      </c>
      <c r="X203" s="13" t="str">
        <f t="shared" si="39"/>
        <v>CUMPLE</v>
      </c>
      <c r="Y203" s="13">
        <f>MAX(MAX(1.4/[1]Parametros!$B$3,0.25*SQRT([1]Parametros!$B$2)/[1]Parametros!$B$3)*H203*AB203,(0.85*[1]Parametros!$B$2/[1]Parametros!$B$3)*(1-SQRT(1-2*(L203*1000000/([1]Parametros!$B$5*H203*AB203^2))/(0.85*[1]Parametros!$B$2)))*H203*AB203)</f>
        <v>734.02500000000009</v>
      </c>
      <c r="Z203" s="14">
        <v>4</v>
      </c>
      <c r="AA203" s="14">
        <v>1</v>
      </c>
      <c r="AB203" s="13">
        <f>IF(AA203=1,I203-([1]Parametros!$B$7+[1]Parametros!$B$9+[1]Parametros!$B$12/2),I203-(ROUNDUP(Z203/2,0)*([1]Parametros!$B$7+[1]Parametros!$B$9+[1]Parametros!$B$12/2)+ROUNDDOWN(Z203/2,0)*([1]Parametros!$B$7+[1]Parametros!$B$9+[1]Parametros!$B$12/2+[1]Parametros!$B$12+[1]Parametros!$B$10))/Z203)</f>
        <v>489.35</v>
      </c>
      <c r="AC203" s="13">
        <f>Z203*[1]Parametros!$B$8</f>
        <v>796</v>
      </c>
      <c r="AD203" s="13">
        <f>[1]Parametros!$B$5*AC203*[1]Parametros!$B$3*(AB203-(AC203*[1]Parametros!$B$3/(0.85*[1]Parametros!$B$2*H203))/2)/1000000</f>
        <v>142.54333009411764</v>
      </c>
      <c r="AE203" s="13" t="str">
        <f t="shared" si="40"/>
        <v>CUMPLE</v>
      </c>
      <c r="AF203" s="13">
        <f>V203*1.25*[1]Parametros!$B$3*(U203-(V203*1.25*[1]Parametros!$B$3/(0.85*[1]Parametros!$B$2*H203))/2)/1000000</f>
        <v>196.34621794117646</v>
      </c>
      <c r="AG203" s="13">
        <f>AC203*1.25*[1]Parametros!$B$3*(AB203-(AC203*1.25*[1]Parametros!$B$3/(0.85*[1]Parametros!$B$2*H203))/2)/1000000</f>
        <v>196.34621794117646</v>
      </c>
      <c r="AH203" s="13">
        <f t="shared" si="41"/>
        <v>150.09044180995474</v>
      </c>
      <c r="AI203" s="13">
        <f t="shared" si="42"/>
        <v>150.09044180995474</v>
      </c>
      <c r="AJ203" s="13">
        <f>0.17*SQRT([1]Parametros!$B$2)*H203*MIN(U203,AB203)/1000</f>
        <v>198.08885582262698</v>
      </c>
      <c r="AK203" s="13">
        <f>MAX(AI203/[1]Parametros!$B$6-AJ203,0)</f>
        <v>2.0317332573126805</v>
      </c>
      <c r="AL203" s="13">
        <f>0.66*SQRT([1]Parametros!$B$2)*H203*MIN(U203,AB203)/1000</f>
        <v>769.05085201725785</v>
      </c>
      <c r="AM203" s="13" t="str">
        <f t="shared" si="43"/>
        <v>CUMPLE</v>
      </c>
      <c r="AN203" s="13" t="s">
        <v>64</v>
      </c>
      <c r="AO203" s="14">
        <v>2</v>
      </c>
      <c r="AP203" s="13">
        <f>ROUNDDOWN(MIN(IF(BC203+BD203=0,1000000000,AO203*BB203/(BC203+BD203)),MIN(U203,AB203)/4,8*[1]Parametros!$B$12,24*BA203,300,IF(AV203=0,1000000000,2*((H203-2*([1]Parametros!$B$7+[1]Parametros!$B$9/2))+(I203-2*([1]Parametros!$B$7+[1]Parametros!$B$9/2)))/8))/10,0)*10</f>
        <v>120</v>
      </c>
      <c r="AQ203" s="13">
        <f>ROUNDDOWN(MIN(IF(BC203+BD203=0,1000000000,AO203*BB203/(BC203+BD203)),IF(AK203&gt;0.33*SQRT([1]Parametros!$B$2)*H203*MIN(U203,AB203)/1000,MIN(U203,AB203)/4,MIN(U203,AB203)/2),600,IF(AV203=0,1000000000,2*((H203-2*([1]Parametros!$B$7+[1]Parametros!$B$9/2))+(I203-2*([1]Parametros!$B$7+[1]Parametros!$B$9/2)))/8))/10,0)*10</f>
        <v>240</v>
      </c>
      <c r="AR203" s="13">
        <f>[1]Parametros!$B$6*(AJ203+MAX(BE203-BD203,0)*[1]Parametros!$B$4*MIN(U203,AB203)/1000)</f>
        <v>330.97185436697026</v>
      </c>
      <c r="AS203" s="13" t="str">
        <f t="shared" si="44"/>
        <v>CUMPLE</v>
      </c>
      <c r="AT203" s="13">
        <f>[1]Parametros!$B$6*0.083*SQRT([1]Parametros!$B$2)*(H203*I203)^2/(2*(H203+I203))/1000000</f>
        <v>10.08878303333792</v>
      </c>
      <c r="AU203" s="13" t="str">
        <f t="shared" si="45"/>
        <v>DESPRECIABLE</v>
      </c>
      <c r="AV203" s="13">
        <f>IF(Q203&lt;=AT203,0,Q203*1000000/([1]Parametros!$B$6*2*0.85*(H203-2*([1]Parametros!$B$7+[1]Parametros!$B$9/2))*(I203-2*([1]Parametros!$B$7+[1]Parametros!$B$9/2))*[1]Parametros!$B$4))</f>
        <v>0</v>
      </c>
      <c r="AW203" s="13">
        <f>AV203*2*((H203-2*([1]Parametros!$B$7+[1]Parametros!$B$9/2))+(I203-2*([1]Parametros!$B$7+[1]Parametros!$B$9/2)))*[1]Parametros!$B$4/[1]Parametros!$B$3</f>
        <v>0</v>
      </c>
      <c r="AX203" s="14">
        <v>0</v>
      </c>
      <c r="AY203" s="13" t="str">
        <f t="shared" si="46"/>
        <v>DESPRECIABLE</v>
      </c>
      <c r="AZ203" s="13" t="str">
        <f t="shared" si="47"/>
        <v>CUMPLE</v>
      </c>
      <c r="BA203" s="14">
        <v>9.5</v>
      </c>
      <c r="BB203" s="14">
        <v>71</v>
      </c>
      <c r="BC203" s="13">
        <f>MAX(IF(AK203=0,0,AK203*1000/([1]Parametros!$B$4*MIN(U203,AB203))),MAX(0.062*SQRT([1]Parametros!$B$2)*H203/[1]Parametros!$B$4,0.35*H203/[1]Parametros!$B$4))</f>
        <v>0.375</v>
      </c>
      <c r="BD203" s="13">
        <f t="shared" si="48"/>
        <v>0</v>
      </c>
      <c r="BE203" s="13">
        <f t="shared" si="49"/>
        <v>1.1833333333333333</v>
      </c>
      <c r="BF203" s="13">
        <f>SQRT((AI203*1000/(H203*MIN(U203,AB203)))^2+(Q203*1000000*2*((H203-2*([1]Parametros!$B$7+[1]Parametros!$B$9/2))+(I203-2*([1]Parametros!$B$7+[1]Parametros!$B$9/2)))/(1.7*((H203-2*([1]Parametros!$B$7+[1]Parametros!$B$9/2))*(I203-2*([1]Parametros!$B$7+[1]Parametros!$B$9/2)))^2))^2)</f>
        <v>0.69856900605496963</v>
      </c>
      <c r="BG203" s="13">
        <f>[1]Parametros!$B$6*(AJ203*1000/(H203*MIN(U203,AB203))+0.66*SQRT([1]Parametros!$B$2))</f>
        <v>3.2939603822754151</v>
      </c>
      <c r="BH203" s="13" t="str">
        <f t="shared" si="50"/>
        <v>CUMPLE</v>
      </c>
      <c r="BI203" s="13">
        <f>AX203*[1]Parametros!$B$8</f>
        <v>0</v>
      </c>
      <c r="BJ203" s="15" t="str">
        <f t="shared" si="51"/>
        <v>CUMPLE</v>
      </c>
    </row>
    <row r="204" spans="1:62" x14ac:dyDescent="0.3">
      <c r="A204" s="41" t="s">
        <v>72</v>
      </c>
      <c r="B204" s="42">
        <v>71</v>
      </c>
      <c r="C204" s="13">
        <v>1</v>
      </c>
      <c r="D204" s="13">
        <v>2.0499999999999998</v>
      </c>
      <c r="E204" s="13">
        <v>2.0499999999999998</v>
      </c>
      <c r="F204" s="13">
        <v>450</v>
      </c>
      <c r="G204" s="13">
        <v>550</v>
      </c>
      <c r="H204" s="13">
        <v>450</v>
      </c>
      <c r="I204" s="13">
        <v>550</v>
      </c>
      <c r="J204" s="14">
        <v>210.41470000000001</v>
      </c>
      <c r="K204" s="13">
        <v>71</v>
      </c>
      <c r="L204" s="14">
        <v>197.30070000000001</v>
      </c>
      <c r="M204" s="13">
        <v>71</v>
      </c>
      <c r="N204" s="14">
        <v>163.12799999999999</v>
      </c>
      <c r="O204" s="14">
        <v>753.81200000000001</v>
      </c>
      <c r="P204" s="13">
        <v>71</v>
      </c>
      <c r="Q204" s="14">
        <v>14.679399999999999</v>
      </c>
      <c r="R204" s="13">
        <f>MAX(MAX(1.4/[1]Parametros!$B$3,0.25*SQRT([1]Parametros!$B$2)/[1]Parametros!$B$3)*H204*U204,(0.85*[1]Parametros!$B$2/[1]Parametros!$B$3)*(1-SQRT(1-2*(J204*1000000/([1]Parametros!$B$5*H204*U204^2))/(0.85*[1]Parametros!$B$2)))*H204*U204)</f>
        <v>1194.7285506980213</v>
      </c>
      <c r="S204" s="14">
        <v>7</v>
      </c>
      <c r="T204" s="14">
        <v>1</v>
      </c>
      <c r="U204" s="13">
        <f>IF(T204=1,I204-([1]Parametros!$B$7+[1]Parametros!$B$9+[1]Parametros!$B$12/2),I204-(ROUNDUP(S204/2,0)*([1]Parametros!$B$7+[1]Parametros!$B$9+[1]Parametros!$B$12/2)+ROUNDDOWN(S204/2,0)*([1]Parametros!$B$7+[1]Parametros!$B$9+[1]Parametros!$B$12/2+[1]Parametros!$B$12+[1]Parametros!$B$10))/S204)</f>
        <v>489.35</v>
      </c>
      <c r="V204" s="13">
        <f>S204*[1]Parametros!$B$8</f>
        <v>1393</v>
      </c>
      <c r="W204" s="13">
        <f>[1]Parametros!$B$5*V204*[1]Parametros!$B$3*(U204-(V204*[1]Parametros!$B$3/(0.85*[1]Parametros!$B$2*H204))/2)/1000000</f>
        <v>243.28704848823529</v>
      </c>
      <c r="X204" s="13" t="str">
        <f t="shared" si="39"/>
        <v>CUMPLE</v>
      </c>
      <c r="Y204" s="13">
        <f>MAX(MAX(1.4/[1]Parametros!$B$3,0.25*SQRT([1]Parametros!$B$2)/[1]Parametros!$B$3)*H204*AB204,(0.85*[1]Parametros!$B$2/[1]Parametros!$B$3)*(1-SQRT(1-2*(L204*1000000/([1]Parametros!$B$5*H204*AB204^2))/(0.85*[1]Parametros!$B$2)))*H204*AB204)</f>
        <v>1116.5961522158861</v>
      </c>
      <c r="Z204" s="14">
        <v>6</v>
      </c>
      <c r="AA204" s="14">
        <v>1</v>
      </c>
      <c r="AB204" s="13">
        <f>IF(AA204=1,I204-([1]Parametros!$B$7+[1]Parametros!$B$9+[1]Parametros!$B$12/2),I204-(ROUNDUP(Z204/2,0)*([1]Parametros!$B$7+[1]Parametros!$B$9+[1]Parametros!$B$12/2)+ROUNDDOWN(Z204/2,0)*([1]Parametros!$B$7+[1]Parametros!$B$9+[1]Parametros!$B$12/2+[1]Parametros!$B$12+[1]Parametros!$B$10))/Z204)</f>
        <v>489.35</v>
      </c>
      <c r="AC204" s="13">
        <f>Z204*[1]Parametros!$B$8</f>
        <v>1194</v>
      </c>
      <c r="AD204" s="13">
        <f>[1]Parametros!$B$5*AC204*[1]Parametros!$B$3*(AB204-(AC204*[1]Parametros!$B$3/(0.85*[1]Parametros!$B$2*H204))/2)/1000000</f>
        <v>210.29283561176473</v>
      </c>
      <c r="AE204" s="13" t="str">
        <f t="shared" si="40"/>
        <v>CUMPLE</v>
      </c>
      <c r="AF204" s="13">
        <f>V204*1.25*[1]Parametros!$B$3*(U204-(V204*1.25*[1]Parametros!$B$3/(0.85*[1]Parametros!$B$2*H204))/2)/1000000</f>
        <v>332.90487588235294</v>
      </c>
      <c r="AG204" s="13">
        <f>AC204*1.25*[1]Parametros!$B$3*(AB204-(AC204*1.25*[1]Parametros!$B$3/(0.85*[1]Parametros!$B$2*H204))/2)/1000000</f>
        <v>288.40446661764707</v>
      </c>
      <c r="AH204" s="13">
        <f t="shared" si="41"/>
        <v>466.20572804878049</v>
      </c>
      <c r="AI204" s="13">
        <f t="shared" si="42"/>
        <v>753.81200000000001</v>
      </c>
      <c r="AJ204" s="13">
        <f>0.17*SQRT([1]Parametros!$B$2)*H204*MIN(U204,AB204)/1000</f>
        <v>198.08885582262698</v>
      </c>
      <c r="AK204" s="13">
        <f>MAX(AI204/[1]Parametros!$B$6-AJ204,0)</f>
        <v>806.99381084403967</v>
      </c>
      <c r="AL204" s="13">
        <f>0.66*SQRT([1]Parametros!$B$2)*H204*MIN(U204,AB204)/1000</f>
        <v>769.05085201725785</v>
      </c>
      <c r="AM204" s="13" t="str">
        <f t="shared" si="43"/>
        <v>NO CUMPLE</v>
      </c>
      <c r="AN204" s="13" t="s">
        <v>68</v>
      </c>
      <c r="AO204" s="14">
        <v>4</v>
      </c>
      <c r="AP204" s="13">
        <f>ROUNDDOWN(MIN(IF(BC204+BD204=0,1000000000,AO204*BB204/(BC204+BD204)),MIN(U204,AB204)/4,8*[1]Parametros!$B$12,24*BA204,300,IF(AV204=0,1000000000,2*((H204-2*([1]Parametros!$B$7+[1]Parametros!$B$9/2))+(I204-2*([1]Parametros!$B$7+[1]Parametros!$B$9/2)))/8))/10,0)*10</f>
        <v>120</v>
      </c>
      <c r="AQ204" s="13">
        <f>ROUNDDOWN(MIN(IF(BC204+BD204=0,1000000000,AO204*BB204/(BC204+BD204)),IF(AK204&gt;0.33*SQRT([1]Parametros!$B$2)*H204*MIN(U204,AB204)/1000,MIN(U204,AB204)/4,MIN(U204,AB204)/2),600,IF(AV204=0,1000000000,2*((H204-2*([1]Parametros!$B$7+[1]Parametros!$B$9/2))+(I204-2*([1]Parametros!$B$7+[1]Parametros!$B$9/2)))/8))/10,0)*10</f>
        <v>120</v>
      </c>
      <c r="AR204" s="13">
        <f>[1]Parametros!$B$6*(AJ204+MAX(BE204-BD204,0)*[1]Parametros!$B$4*MIN(U204,AB204)/1000)</f>
        <v>759.66928306288469</v>
      </c>
      <c r="AS204" s="13" t="str">
        <f t="shared" si="44"/>
        <v>NO CUMPLE</v>
      </c>
      <c r="AT204" s="13">
        <f>[1]Parametros!$B$6*0.083*SQRT([1]Parametros!$B$2)*(H204*I204)^2/(2*(H204+I204))/1000000</f>
        <v>10.08878303333792</v>
      </c>
      <c r="AU204" s="13" t="str">
        <f t="shared" si="45"/>
        <v>DISEÑAR</v>
      </c>
      <c r="AV204" s="13">
        <f>IF(Q204&lt;=AT204,0,Q204*1000000/([1]Parametros!$B$6*2*0.85*(H204-2*([1]Parametros!$B$7+[1]Parametros!$B$9/2))*(I204-2*([1]Parametros!$B$7+[1]Parametros!$B$9/2))*[1]Parametros!$B$4))</f>
        <v>0.16777011878110296</v>
      </c>
      <c r="AW204" s="13">
        <f>AV204*2*((H204-2*([1]Parametros!$B$7+[1]Parametros!$B$9/2))+(I204-2*([1]Parametros!$B$7+[1]Parametros!$B$9/2)))*[1]Parametros!$B$4/[1]Parametros!$B$3</f>
        <v>273.33107751817295</v>
      </c>
      <c r="AX204" s="14">
        <v>8</v>
      </c>
      <c r="AY204" s="13" t="str">
        <f t="shared" si="46"/>
        <v>NO CUMPLE</v>
      </c>
      <c r="AZ204" s="13" t="str">
        <f t="shared" si="47"/>
        <v>NO CUMPLE</v>
      </c>
      <c r="BA204" s="14">
        <v>12.7</v>
      </c>
      <c r="BB204" s="14">
        <v>129</v>
      </c>
      <c r="BC204" s="13">
        <f>MAX(IF(AK204=0,0,AK204*1000/([1]Parametros!$B$4*MIN(U204,AB204))),MAX(0.062*SQRT([1]Parametros!$B$2)*H204/[1]Parametros!$B$4,0.35*H204/[1]Parametros!$B$4))</f>
        <v>3.9264612962970298</v>
      </c>
      <c r="BD204" s="13">
        <f t="shared" si="48"/>
        <v>0.33554023756220591</v>
      </c>
      <c r="BE204" s="13">
        <f t="shared" si="49"/>
        <v>4.3</v>
      </c>
      <c r="BF204" s="13">
        <f>SQRT((AI204*1000/(H204*MIN(U204,AB204)))^2+(Q204*1000000*2*((H204-2*([1]Parametros!$B$7+[1]Parametros!$B$9/2))+(I204-2*([1]Parametros!$B$7+[1]Parametros!$B$9/2)))/(1.7*((H204-2*([1]Parametros!$B$7+[1]Parametros!$B$9/2))*(I204-2*([1]Parametros!$B$7+[1]Parametros!$B$9/2)))^2))^2)</f>
        <v>3.4635094063861667</v>
      </c>
      <c r="BG204" s="13">
        <f>[1]Parametros!$B$6*(AJ204*1000/(H204*MIN(U204,AB204))+0.66*SQRT([1]Parametros!$B$2))</f>
        <v>3.2939603822754151</v>
      </c>
      <c r="BH204" s="13" t="str">
        <f t="shared" si="50"/>
        <v>NO CUMPLE</v>
      </c>
      <c r="BI204" s="13">
        <f>AX204*[1]Parametros!$B$8</f>
        <v>1592</v>
      </c>
      <c r="BJ204" s="15" t="str">
        <f t="shared" si="51"/>
        <v>CUMPLE</v>
      </c>
    </row>
    <row r="205" spans="1:62" x14ac:dyDescent="0.3">
      <c r="A205" s="41" t="s">
        <v>72</v>
      </c>
      <c r="B205" s="42">
        <v>72</v>
      </c>
      <c r="C205" s="13">
        <v>1</v>
      </c>
      <c r="D205" s="13">
        <v>4.5</v>
      </c>
      <c r="E205" s="13">
        <v>4.5</v>
      </c>
      <c r="F205" s="13">
        <v>450</v>
      </c>
      <c r="G205" s="13">
        <v>550</v>
      </c>
      <c r="H205" s="13">
        <v>450</v>
      </c>
      <c r="I205" s="13">
        <v>550</v>
      </c>
      <c r="J205" s="14">
        <v>151.4734</v>
      </c>
      <c r="K205" s="13">
        <v>72</v>
      </c>
      <c r="L205" s="14">
        <v>128.1634</v>
      </c>
      <c r="M205" s="13">
        <v>72</v>
      </c>
      <c r="N205" s="14">
        <v>72.596000000000004</v>
      </c>
      <c r="O205" s="14">
        <v>278.24400000000003</v>
      </c>
      <c r="P205" s="13">
        <v>72</v>
      </c>
      <c r="Q205" s="14">
        <v>9.7188999999999997</v>
      </c>
      <c r="R205" s="13">
        <f>MAX(MAX(1.4/[1]Parametros!$B$3,0.25*SQRT([1]Parametros!$B$2)/[1]Parametros!$B$3)*H205*U205,(0.85*[1]Parametros!$B$2/[1]Parametros!$B$3)*(1-SQRT(1-2*(J205*1000000/([1]Parametros!$B$5*H205*U205^2))/(0.85*[1]Parametros!$B$2)))*H205*U205)</f>
        <v>847.68112099390657</v>
      </c>
      <c r="S205" s="14">
        <v>5</v>
      </c>
      <c r="T205" s="14">
        <v>1</v>
      </c>
      <c r="U205" s="13">
        <f>IF(T205=1,I205-([1]Parametros!$B$7+[1]Parametros!$B$9+[1]Parametros!$B$12/2),I205-(ROUNDUP(S205/2,0)*([1]Parametros!$B$7+[1]Parametros!$B$9+[1]Parametros!$B$12/2)+ROUNDDOWN(S205/2,0)*([1]Parametros!$B$7+[1]Parametros!$B$9+[1]Parametros!$B$12/2+[1]Parametros!$B$12+[1]Parametros!$B$10))/S205)</f>
        <v>489.35</v>
      </c>
      <c r="V205" s="13">
        <f>S205*[1]Parametros!$B$8</f>
        <v>995</v>
      </c>
      <c r="W205" s="13">
        <f>[1]Parametros!$B$5*V205*[1]Parametros!$B$3*(U205-(V205*[1]Parametros!$B$3/(0.85*[1]Parametros!$B$2*H205))/2)/1000000</f>
        <v>176.71159614705886</v>
      </c>
      <c r="X205" s="13" t="str">
        <f t="shared" si="39"/>
        <v>CUMPLE</v>
      </c>
      <c r="Y205" s="13">
        <f>MAX(MAX(1.4/[1]Parametros!$B$3,0.25*SQRT([1]Parametros!$B$2)/[1]Parametros!$B$3)*H205*AB205,(0.85*[1]Parametros!$B$2/[1]Parametros!$B$3)*(1-SQRT(1-2*(L205*1000000/([1]Parametros!$B$5*H205*AB205^2))/(0.85*[1]Parametros!$B$2)))*H205*AB205)</f>
        <v>734.02500000000009</v>
      </c>
      <c r="Z205" s="14">
        <v>4</v>
      </c>
      <c r="AA205" s="14">
        <v>1</v>
      </c>
      <c r="AB205" s="13">
        <f>IF(AA205=1,I205-([1]Parametros!$B$7+[1]Parametros!$B$9+[1]Parametros!$B$12/2),I205-(ROUNDUP(Z205/2,0)*([1]Parametros!$B$7+[1]Parametros!$B$9+[1]Parametros!$B$12/2)+ROUNDDOWN(Z205/2,0)*([1]Parametros!$B$7+[1]Parametros!$B$9+[1]Parametros!$B$12/2+[1]Parametros!$B$12+[1]Parametros!$B$10))/Z205)</f>
        <v>489.35</v>
      </c>
      <c r="AC205" s="13">
        <f>Z205*[1]Parametros!$B$8</f>
        <v>796</v>
      </c>
      <c r="AD205" s="13">
        <f>[1]Parametros!$B$5*AC205*[1]Parametros!$B$3*(AB205-(AC205*[1]Parametros!$B$3/(0.85*[1]Parametros!$B$2*H205))/2)/1000000</f>
        <v>142.54333009411764</v>
      </c>
      <c r="AE205" s="13" t="str">
        <f t="shared" si="40"/>
        <v>CUMPLE</v>
      </c>
      <c r="AF205" s="13">
        <f>V205*1.25*[1]Parametros!$B$3*(U205-(V205*1.25*[1]Parametros!$B$3/(0.85*[1]Parametros!$B$2*H205))/2)/1000000</f>
        <v>242.88491397058826</v>
      </c>
      <c r="AG205" s="13">
        <f>AC205*1.25*[1]Parametros!$B$3*(AB205-(AC205*1.25*[1]Parametros!$B$3/(0.85*[1]Parametros!$B$2*H205))/2)/1000000</f>
        <v>196.34621794117646</v>
      </c>
      <c r="AH205" s="13">
        <f t="shared" si="41"/>
        <v>170.2029182026144</v>
      </c>
      <c r="AI205" s="13">
        <f t="shared" si="42"/>
        <v>278.24400000000003</v>
      </c>
      <c r="AJ205" s="13">
        <f>0.17*SQRT([1]Parametros!$B$2)*H205*MIN(U205,AB205)/1000</f>
        <v>198.08885582262698</v>
      </c>
      <c r="AK205" s="13">
        <f>MAX(AI205/[1]Parametros!$B$6-AJ205,0)</f>
        <v>172.90314417737304</v>
      </c>
      <c r="AL205" s="13">
        <f>0.66*SQRT([1]Parametros!$B$2)*H205*MIN(U205,AB205)/1000</f>
        <v>769.05085201725785</v>
      </c>
      <c r="AM205" s="13" t="str">
        <f t="shared" si="43"/>
        <v>CUMPLE</v>
      </c>
      <c r="AN205" s="13" t="s">
        <v>64</v>
      </c>
      <c r="AO205" s="14">
        <v>2</v>
      </c>
      <c r="AP205" s="13">
        <f>ROUNDDOWN(MIN(IF(BC205+BD205=0,1000000000,AO205*BB205/(BC205+BD205)),MIN(U205,AB205)/4,8*[1]Parametros!$B$12,24*BA205,300,IF(AV205=0,1000000000,2*((H205-2*([1]Parametros!$B$7+[1]Parametros!$B$9/2))+(I205-2*([1]Parametros!$B$7+[1]Parametros!$B$9/2)))/8))/10,0)*10</f>
        <v>120</v>
      </c>
      <c r="AQ205" s="13">
        <f>ROUNDDOWN(MIN(IF(BC205+BD205=0,1000000000,AO205*BB205/(BC205+BD205)),IF(AK205&gt;0.33*SQRT([1]Parametros!$B$2)*H205*MIN(U205,AB205)/1000,MIN(U205,AB205)/4,MIN(U205,AB205)/2),600,IF(AV205=0,1000000000,2*((H205-2*([1]Parametros!$B$7+[1]Parametros!$B$9/2))+(I205-2*([1]Parametros!$B$7+[1]Parametros!$B$9/2)))/8))/10,0)*10</f>
        <v>160</v>
      </c>
      <c r="AR205" s="13">
        <f>[1]Parametros!$B$6*(AJ205+MAX(BE205-BD205,0)*[1]Parametros!$B$4*MIN(U205,AB205)/1000)</f>
        <v>330.97185436697026</v>
      </c>
      <c r="AS205" s="13" t="str">
        <f t="shared" si="44"/>
        <v>CUMPLE</v>
      </c>
      <c r="AT205" s="13">
        <f>[1]Parametros!$B$6*0.083*SQRT([1]Parametros!$B$2)*(H205*I205)^2/(2*(H205+I205))/1000000</f>
        <v>10.08878303333792</v>
      </c>
      <c r="AU205" s="13" t="str">
        <f t="shared" si="45"/>
        <v>DESPRECIABLE</v>
      </c>
      <c r="AV205" s="13">
        <f>IF(Q205&lt;=AT205,0,Q205*1000000/([1]Parametros!$B$6*2*0.85*(H205-2*([1]Parametros!$B$7+[1]Parametros!$B$9/2))*(I205-2*([1]Parametros!$B$7+[1]Parametros!$B$9/2))*[1]Parametros!$B$4))</f>
        <v>0</v>
      </c>
      <c r="AW205" s="13">
        <f>AV205*2*((H205-2*([1]Parametros!$B$7+[1]Parametros!$B$9/2))+(I205-2*([1]Parametros!$B$7+[1]Parametros!$B$9/2)))*[1]Parametros!$B$4/[1]Parametros!$B$3</f>
        <v>0</v>
      </c>
      <c r="AX205" s="14">
        <v>0</v>
      </c>
      <c r="AY205" s="13" t="str">
        <f t="shared" si="46"/>
        <v>DESPRECIABLE</v>
      </c>
      <c r="AZ205" s="13" t="str">
        <f t="shared" si="47"/>
        <v>CUMPLE</v>
      </c>
      <c r="BA205" s="14">
        <v>9.5</v>
      </c>
      <c r="BB205" s="14">
        <v>71</v>
      </c>
      <c r="BC205" s="13">
        <f>MAX(IF(AK205=0,0,AK205*1000/([1]Parametros!$B$4*MIN(U205,AB205))),MAX(0.062*SQRT([1]Parametros!$B$2)*H205/[1]Parametros!$B$4,0.35*H205/[1]Parametros!$B$4))</f>
        <v>0.8412672990768757</v>
      </c>
      <c r="BD205" s="13">
        <f t="shared" si="48"/>
        <v>0</v>
      </c>
      <c r="BE205" s="13">
        <f t="shared" si="49"/>
        <v>1.1833333333333333</v>
      </c>
      <c r="BF205" s="13">
        <f>SQRT((AI205*1000/(H205*MIN(U205,AB205)))^2+(Q205*1000000*2*((H205-2*([1]Parametros!$B$7+[1]Parametros!$B$9/2))+(I205-2*([1]Parametros!$B$7+[1]Parametros!$B$9/2)))/(1.7*((H205-2*([1]Parametros!$B$7+[1]Parametros!$B$9/2))*(I205-2*([1]Parametros!$B$7+[1]Parametros!$B$9/2)))^2))^2)</f>
        <v>1.3108333676248787</v>
      </c>
      <c r="BG205" s="13">
        <f>[1]Parametros!$B$6*(AJ205*1000/(H205*MIN(U205,AB205))+0.66*SQRT([1]Parametros!$B$2))</f>
        <v>3.2939603822754151</v>
      </c>
      <c r="BH205" s="13" t="str">
        <f t="shared" si="50"/>
        <v>CUMPLE</v>
      </c>
      <c r="BI205" s="13">
        <f>AX205*[1]Parametros!$B$8</f>
        <v>0</v>
      </c>
      <c r="BJ205" s="15" t="str">
        <f t="shared" si="51"/>
        <v>CUMPLE</v>
      </c>
    </row>
    <row r="206" spans="1:62" x14ac:dyDescent="0.3">
      <c r="A206" s="41" t="s">
        <v>72</v>
      </c>
      <c r="B206" s="42">
        <v>73</v>
      </c>
      <c r="C206" s="13">
        <v>1</v>
      </c>
      <c r="D206" s="13">
        <v>4.5</v>
      </c>
      <c r="E206" s="13">
        <v>4.5</v>
      </c>
      <c r="F206" s="13">
        <v>450</v>
      </c>
      <c r="G206" s="13">
        <v>550</v>
      </c>
      <c r="H206" s="13">
        <v>450</v>
      </c>
      <c r="I206" s="13">
        <v>550</v>
      </c>
      <c r="J206" s="14">
        <v>151.47640000000001</v>
      </c>
      <c r="K206" s="13">
        <v>73</v>
      </c>
      <c r="L206" s="14">
        <v>128.16659999999999</v>
      </c>
      <c r="M206" s="13">
        <v>73</v>
      </c>
      <c r="N206" s="14">
        <v>72.596999999999994</v>
      </c>
      <c r="O206" s="14">
        <v>278.24599999999998</v>
      </c>
      <c r="P206" s="13">
        <v>73</v>
      </c>
      <c r="Q206" s="14">
        <v>9.7185000000000006</v>
      </c>
      <c r="R206" s="13">
        <f>MAX(MAX(1.4/[1]Parametros!$B$3,0.25*SQRT([1]Parametros!$B$2)/[1]Parametros!$B$3)*H206*U206,(0.85*[1]Parametros!$B$2/[1]Parametros!$B$3)*(1-SQRT(1-2*(J206*1000000/([1]Parametros!$B$5*H206*U206^2))/(0.85*[1]Parametros!$B$2)))*H206*U206)</f>
        <v>847.69852152356111</v>
      </c>
      <c r="S206" s="14">
        <v>5</v>
      </c>
      <c r="T206" s="14">
        <v>1</v>
      </c>
      <c r="U206" s="13">
        <f>IF(T206=1,I206-([1]Parametros!$B$7+[1]Parametros!$B$9+[1]Parametros!$B$12/2),I206-(ROUNDUP(S206/2,0)*([1]Parametros!$B$7+[1]Parametros!$B$9+[1]Parametros!$B$12/2)+ROUNDDOWN(S206/2,0)*([1]Parametros!$B$7+[1]Parametros!$B$9+[1]Parametros!$B$12/2+[1]Parametros!$B$12+[1]Parametros!$B$10))/S206)</f>
        <v>489.35</v>
      </c>
      <c r="V206" s="13">
        <f>S206*[1]Parametros!$B$8</f>
        <v>995</v>
      </c>
      <c r="W206" s="13">
        <f>[1]Parametros!$B$5*V206*[1]Parametros!$B$3*(U206-(V206*[1]Parametros!$B$3/(0.85*[1]Parametros!$B$2*H206))/2)/1000000</f>
        <v>176.71159614705886</v>
      </c>
      <c r="X206" s="13" t="str">
        <f t="shared" si="39"/>
        <v>CUMPLE</v>
      </c>
      <c r="Y206" s="13">
        <f>MAX(MAX(1.4/[1]Parametros!$B$3,0.25*SQRT([1]Parametros!$B$2)/[1]Parametros!$B$3)*H206*AB206,(0.85*[1]Parametros!$B$2/[1]Parametros!$B$3)*(1-SQRT(1-2*(L206*1000000/([1]Parametros!$B$5*H206*AB206^2))/(0.85*[1]Parametros!$B$2)))*H206*AB206)</f>
        <v>734.02500000000009</v>
      </c>
      <c r="Z206" s="14">
        <v>4</v>
      </c>
      <c r="AA206" s="14">
        <v>1</v>
      </c>
      <c r="AB206" s="13">
        <f>IF(AA206=1,I206-([1]Parametros!$B$7+[1]Parametros!$B$9+[1]Parametros!$B$12/2),I206-(ROUNDUP(Z206/2,0)*([1]Parametros!$B$7+[1]Parametros!$B$9+[1]Parametros!$B$12/2)+ROUNDDOWN(Z206/2,0)*([1]Parametros!$B$7+[1]Parametros!$B$9+[1]Parametros!$B$12/2+[1]Parametros!$B$12+[1]Parametros!$B$10))/Z206)</f>
        <v>489.35</v>
      </c>
      <c r="AC206" s="13">
        <f>Z206*[1]Parametros!$B$8</f>
        <v>796</v>
      </c>
      <c r="AD206" s="13">
        <f>[1]Parametros!$B$5*AC206*[1]Parametros!$B$3*(AB206-(AC206*[1]Parametros!$B$3/(0.85*[1]Parametros!$B$2*H206))/2)/1000000</f>
        <v>142.54333009411764</v>
      </c>
      <c r="AE206" s="13" t="str">
        <f t="shared" si="40"/>
        <v>CUMPLE</v>
      </c>
      <c r="AF206" s="13">
        <f>V206*1.25*[1]Parametros!$B$3*(U206-(V206*1.25*[1]Parametros!$B$3/(0.85*[1]Parametros!$B$2*H206))/2)/1000000</f>
        <v>242.88491397058826</v>
      </c>
      <c r="AG206" s="13">
        <f>AC206*1.25*[1]Parametros!$B$3*(AB206-(AC206*1.25*[1]Parametros!$B$3/(0.85*[1]Parametros!$B$2*H206))/2)/1000000</f>
        <v>196.34621794117646</v>
      </c>
      <c r="AH206" s="13">
        <f t="shared" si="41"/>
        <v>170.20391820261437</v>
      </c>
      <c r="AI206" s="13">
        <f t="shared" si="42"/>
        <v>278.24599999999998</v>
      </c>
      <c r="AJ206" s="13">
        <f>0.17*SQRT([1]Parametros!$B$2)*H206*MIN(U206,AB206)/1000</f>
        <v>198.08885582262698</v>
      </c>
      <c r="AK206" s="13">
        <f>MAX(AI206/[1]Parametros!$B$6-AJ206,0)</f>
        <v>172.90581084403968</v>
      </c>
      <c r="AL206" s="13">
        <f>0.66*SQRT([1]Parametros!$B$2)*H206*MIN(U206,AB206)/1000</f>
        <v>769.05085201725785</v>
      </c>
      <c r="AM206" s="13" t="str">
        <f t="shared" si="43"/>
        <v>CUMPLE</v>
      </c>
      <c r="AN206" s="13" t="s">
        <v>64</v>
      </c>
      <c r="AO206" s="14">
        <v>2</v>
      </c>
      <c r="AP206" s="13">
        <f>ROUNDDOWN(MIN(IF(BC206+BD206=0,1000000000,AO206*BB206/(BC206+BD206)),MIN(U206,AB206)/4,8*[1]Parametros!$B$12,24*BA206,300,IF(AV206=0,1000000000,2*((H206-2*([1]Parametros!$B$7+[1]Parametros!$B$9/2))+(I206-2*([1]Parametros!$B$7+[1]Parametros!$B$9/2)))/8))/10,0)*10</f>
        <v>120</v>
      </c>
      <c r="AQ206" s="13">
        <f>ROUNDDOWN(MIN(IF(BC206+BD206=0,1000000000,AO206*BB206/(BC206+BD206)),IF(AK206&gt;0.33*SQRT([1]Parametros!$B$2)*H206*MIN(U206,AB206)/1000,MIN(U206,AB206)/4,MIN(U206,AB206)/2),600,IF(AV206=0,1000000000,2*((H206-2*([1]Parametros!$B$7+[1]Parametros!$B$9/2))+(I206-2*([1]Parametros!$B$7+[1]Parametros!$B$9/2)))/8))/10,0)*10</f>
        <v>160</v>
      </c>
      <c r="AR206" s="13">
        <f>[1]Parametros!$B$6*(AJ206+MAX(BE206-BD206,0)*[1]Parametros!$B$4*MIN(U206,AB206)/1000)</f>
        <v>330.97185436697026</v>
      </c>
      <c r="AS206" s="13" t="str">
        <f t="shared" si="44"/>
        <v>CUMPLE</v>
      </c>
      <c r="AT206" s="13">
        <f>[1]Parametros!$B$6*0.083*SQRT([1]Parametros!$B$2)*(H206*I206)^2/(2*(H206+I206))/1000000</f>
        <v>10.08878303333792</v>
      </c>
      <c r="AU206" s="13" t="str">
        <f t="shared" si="45"/>
        <v>DESPRECIABLE</v>
      </c>
      <c r="AV206" s="13">
        <f>IF(Q206&lt;=AT206,0,Q206*1000000/([1]Parametros!$B$6*2*0.85*(H206-2*([1]Parametros!$B$7+[1]Parametros!$B$9/2))*(I206-2*([1]Parametros!$B$7+[1]Parametros!$B$9/2))*[1]Parametros!$B$4))</f>
        <v>0</v>
      </c>
      <c r="AW206" s="13">
        <f>AV206*2*((H206-2*([1]Parametros!$B$7+[1]Parametros!$B$9/2))+(I206-2*([1]Parametros!$B$7+[1]Parametros!$B$9/2)))*[1]Parametros!$B$4/[1]Parametros!$B$3</f>
        <v>0</v>
      </c>
      <c r="AX206" s="14">
        <v>0</v>
      </c>
      <c r="AY206" s="13" t="str">
        <f t="shared" si="46"/>
        <v>DESPRECIABLE</v>
      </c>
      <c r="AZ206" s="13" t="str">
        <f t="shared" si="47"/>
        <v>CUMPLE</v>
      </c>
      <c r="BA206" s="14">
        <v>9.5</v>
      </c>
      <c r="BB206" s="14">
        <v>71</v>
      </c>
      <c r="BC206" s="13">
        <f>MAX(IF(AK206=0,0,AK206*1000/([1]Parametros!$B$4*MIN(U206,AB206))),MAX(0.062*SQRT([1]Parametros!$B$2)*H206/[1]Parametros!$B$4,0.35*H206/[1]Parametros!$B$4))</f>
        <v>0.84128027385229043</v>
      </c>
      <c r="BD206" s="13">
        <f t="shared" si="48"/>
        <v>0</v>
      </c>
      <c r="BE206" s="13">
        <f t="shared" si="49"/>
        <v>1.1833333333333333</v>
      </c>
      <c r="BF206" s="13">
        <f>SQRT((AI206*1000/(H206*MIN(U206,AB206)))^2+(Q206*1000000*2*((H206-2*([1]Parametros!$B$7+[1]Parametros!$B$9/2))+(I206-2*([1]Parametros!$B$7+[1]Parametros!$B$9/2)))/(1.7*((H206-2*([1]Parametros!$B$7+[1]Parametros!$B$9/2))*(I206-2*([1]Parametros!$B$7+[1]Parametros!$B$9/2)))^2))^2)</f>
        <v>1.3108383008962279</v>
      </c>
      <c r="BG206" s="13">
        <f>[1]Parametros!$B$6*(AJ206*1000/(H206*MIN(U206,AB206))+0.66*SQRT([1]Parametros!$B$2))</f>
        <v>3.2939603822754151</v>
      </c>
      <c r="BH206" s="13" t="str">
        <f t="shared" si="50"/>
        <v>CUMPLE</v>
      </c>
      <c r="BI206" s="13">
        <f>AX206*[1]Parametros!$B$8</f>
        <v>0</v>
      </c>
      <c r="BJ206" s="15" t="str">
        <f t="shared" si="51"/>
        <v>CUMPLE</v>
      </c>
    </row>
    <row r="207" spans="1:62" x14ac:dyDescent="0.3">
      <c r="A207" s="41" t="s">
        <v>72</v>
      </c>
      <c r="B207" s="42">
        <v>74</v>
      </c>
      <c r="C207" s="13">
        <v>1</v>
      </c>
      <c r="D207" s="13">
        <v>2.0499999999999998</v>
      </c>
      <c r="E207" s="13">
        <v>2.0499999999999998</v>
      </c>
      <c r="F207" s="13">
        <v>450</v>
      </c>
      <c r="G207" s="13">
        <v>550</v>
      </c>
      <c r="H207" s="13">
        <v>450</v>
      </c>
      <c r="I207" s="13">
        <v>550</v>
      </c>
      <c r="J207" s="14">
        <v>210.41659999999999</v>
      </c>
      <c r="K207" s="13">
        <v>74</v>
      </c>
      <c r="L207" s="14">
        <v>197.3021</v>
      </c>
      <c r="M207" s="13">
        <v>74</v>
      </c>
      <c r="N207" s="14">
        <v>163.12899999999999</v>
      </c>
      <c r="O207" s="14">
        <v>753.81299999999999</v>
      </c>
      <c r="P207" s="13">
        <v>74</v>
      </c>
      <c r="Q207" s="14">
        <v>14.679600000000001</v>
      </c>
      <c r="R207" s="13">
        <f>MAX(MAX(1.4/[1]Parametros!$B$3,0.25*SQRT([1]Parametros!$B$2)/[1]Parametros!$B$3)*H207*U207,(0.85*[1]Parametros!$B$2/[1]Parametros!$B$3)*(1-SQRT(1-2*(J207*1000000/([1]Parametros!$B$5*H207*U207^2))/(0.85*[1]Parametros!$B$2)))*H207*U207)</f>
        <v>1194.7399099780464</v>
      </c>
      <c r="S207" s="14">
        <v>7</v>
      </c>
      <c r="T207" s="14">
        <v>1</v>
      </c>
      <c r="U207" s="13">
        <f>IF(T207=1,I207-([1]Parametros!$B$7+[1]Parametros!$B$9+[1]Parametros!$B$12/2),I207-(ROUNDUP(S207/2,0)*([1]Parametros!$B$7+[1]Parametros!$B$9+[1]Parametros!$B$12/2)+ROUNDDOWN(S207/2,0)*([1]Parametros!$B$7+[1]Parametros!$B$9+[1]Parametros!$B$12/2+[1]Parametros!$B$12+[1]Parametros!$B$10))/S207)</f>
        <v>489.35</v>
      </c>
      <c r="V207" s="13">
        <f>S207*[1]Parametros!$B$8</f>
        <v>1393</v>
      </c>
      <c r="W207" s="13">
        <f>[1]Parametros!$B$5*V207*[1]Parametros!$B$3*(U207-(V207*[1]Parametros!$B$3/(0.85*[1]Parametros!$B$2*H207))/2)/1000000</f>
        <v>243.28704848823529</v>
      </c>
      <c r="X207" s="13" t="str">
        <f t="shared" si="39"/>
        <v>CUMPLE</v>
      </c>
      <c r="Y207" s="13">
        <f>MAX(MAX(1.4/[1]Parametros!$B$3,0.25*SQRT([1]Parametros!$B$2)/[1]Parametros!$B$3)*H207*AB207,(0.85*[1]Parametros!$B$2/[1]Parametros!$B$3)*(1-SQRT(1-2*(L207*1000000/([1]Parametros!$B$5*H207*AB207^2))/(0.85*[1]Parametros!$B$2)))*H207*AB207)</f>
        <v>1116.6044646522255</v>
      </c>
      <c r="Z207" s="14">
        <v>6</v>
      </c>
      <c r="AA207" s="14">
        <v>1</v>
      </c>
      <c r="AB207" s="13">
        <f>IF(AA207=1,I207-([1]Parametros!$B$7+[1]Parametros!$B$9+[1]Parametros!$B$12/2),I207-(ROUNDUP(Z207/2,0)*([1]Parametros!$B$7+[1]Parametros!$B$9+[1]Parametros!$B$12/2)+ROUNDDOWN(Z207/2,0)*([1]Parametros!$B$7+[1]Parametros!$B$9+[1]Parametros!$B$12/2+[1]Parametros!$B$12+[1]Parametros!$B$10))/Z207)</f>
        <v>489.35</v>
      </c>
      <c r="AC207" s="13">
        <f>Z207*[1]Parametros!$B$8</f>
        <v>1194</v>
      </c>
      <c r="AD207" s="13">
        <f>[1]Parametros!$B$5*AC207*[1]Parametros!$B$3*(AB207-(AC207*[1]Parametros!$B$3/(0.85*[1]Parametros!$B$2*H207))/2)/1000000</f>
        <v>210.29283561176473</v>
      </c>
      <c r="AE207" s="13" t="str">
        <f t="shared" si="40"/>
        <v>CUMPLE</v>
      </c>
      <c r="AF207" s="13">
        <f>V207*1.25*[1]Parametros!$B$3*(U207-(V207*1.25*[1]Parametros!$B$3/(0.85*[1]Parametros!$B$2*H207))/2)/1000000</f>
        <v>332.90487588235294</v>
      </c>
      <c r="AG207" s="13">
        <f>AC207*1.25*[1]Parametros!$B$3*(AB207-(AC207*1.25*[1]Parametros!$B$3/(0.85*[1]Parametros!$B$2*H207))/2)/1000000</f>
        <v>288.40446661764707</v>
      </c>
      <c r="AH207" s="13">
        <f t="shared" si="41"/>
        <v>466.20672804878052</v>
      </c>
      <c r="AI207" s="13">
        <f t="shared" si="42"/>
        <v>753.81299999999999</v>
      </c>
      <c r="AJ207" s="13">
        <f>0.17*SQRT([1]Parametros!$B$2)*H207*MIN(U207,AB207)/1000</f>
        <v>198.08885582262698</v>
      </c>
      <c r="AK207" s="13">
        <f>MAX(AI207/[1]Parametros!$B$6-AJ207,0)</f>
        <v>806.99514417737294</v>
      </c>
      <c r="AL207" s="13">
        <f>0.66*SQRT([1]Parametros!$B$2)*H207*MIN(U207,AB207)/1000</f>
        <v>769.05085201725785</v>
      </c>
      <c r="AM207" s="13" t="str">
        <f t="shared" si="43"/>
        <v>NO CUMPLE</v>
      </c>
      <c r="AN207" s="13" t="s">
        <v>68</v>
      </c>
      <c r="AO207" s="14">
        <v>4</v>
      </c>
      <c r="AP207" s="13">
        <f>ROUNDDOWN(MIN(IF(BC207+BD207=0,1000000000,AO207*BB207/(BC207+BD207)),MIN(U207,AB207)/4,8*[1]Parametros!$B$12,24*BA207,300,IF(AV207=0,1000000000,2*((H207-2*([1]Parametros!$B$7+[1]Parametros!$B$9/2))+(I207-2*([1]Parametros!$B$7+[1]Parametros!$B$9/2)))/8))/10,0)*10</f>
        <v>120</v>
      </c>
      <c r="AQ207" s="13">
        <f>ROUNDDOWN(MIN(IF(BC207+BD207=0,1000000000,AO207*BB207/(BC207+BD207)),IF(AK207&gt;0.33*SQRT([1]Parametros!$B$2)*H207*MIN(U207,AB207)/1000,MIN(U207,AB207)/4,MIN(U207,AB207)/2),600,IF(AV207=0,1000000000,2*((H207-2*([1]Parametros!$B$7+[1]Parametros!$B$9/2))+(I207-2*([1]Parametros!$B$7+[1]Parametros!$B$9/2)))/8))/10,0)*10</f>
        <v>120</v>
      </c>
      <c r="AR207" s="13">
        <f>[1]Parametros!$B$6*(AJ207+MAX(BE207-BD207,0)*[1]Parametros!$B$4*MIN(U207,AB207)/1000)</f>
        <v>759.66857837558405</v>
      </c>
      <c r="AS207" s="13" t="str">
        <f t="shared" si="44"/>
        <v>NO CUMPLE</v>
      </c>
      <c r="AT207" s="13">
        <f>[1]Parametros!$B$6*0.083*SQRT([1]Parametros!$B$2)*(H207*I207)^2/(2*(H207+I207))/1000000</f>
        <v>10.08878303333792</v>
      </c>
      <c r="AU207" s="13" t="str">
        <f t="shared" si="45"/>
        <v>DISEÑAR</v>
      </c>
      <c r="AV207" s="13">
        <f>IF(Q207&lt;=AT207,0,Q207*1000000/([1]Parametros!$B$6*2*0.85*(H207-2*([1]Parametros!$B$7+[1]Parametros!$B$9/2))*(I207-2*([1]Parametros!$B$7+[1]Parametros!$B$9/2))*[1]Parametros!$B$4))</f>
        <v>0.16777240457096876</v>
      </c>
      <c r="AW207" s="13">
        <f>AV207*2*((H207-2*([1]Parametros!$B$7+[1]Parametros!$B$9/2))+(I207-2*([1]Parametros!$B$7+[1]Parametros!$B$9/2)))*[1]Parametros!$B$4/[1]Parametros!$B$3</f>
        <v>273.33480152702231</v>
      </c>
      <c r="AX207" s="14">
        <v>8</v>
      </c>
      <c r="AY207" s="13" t="str">
        <f t="shared" si="46"/>
        <v>NO CUMPLE</v>
      </c>
      <c r="AZ207" s="13" t="str">
        <f t="shared" si="47"/>
        <v>NO CUMPLE</v>
      </c>
      <c r="BA207" s="14">
        <v>12.7</v>
      </c>
      <c r="BB207" s="14">
        <v>129</v>
      </c>
      <c r="BC207" s="13">
        <f>MAX(IF(AK207=0,0,AK207*1000/([1]Parametros!$B$4*MIN(U207,AB207))),MAX(0.062*SQRT([1]Parametros!$B$2)*H207/[1]Parametros!$B$4,0.35*H207/[1]Parametros!$B$4))</f>
        <v>3.9264677836847368</v>
      </c>
      <c r="BD207" s="13">
        <f t="shared" si="48"/>
        <v>0.33554480914193752</v>
      </c>
      <c r="BE207" s="13">
        <f t="shared" si="49"/>
        <v>4.3</v>
      </c>
      <c r="BF207" s="13">
        <f>SQRT((AI207*1000/(H207*MIN(U207,AB207)))^2+(Q207*1000000*2*((H207-2*([1]Parametros!$B$7+[1]Parametros!$B$9/2))+(I207-2*([1]Parametros!$B$7+[1]Parametros!$B$9/2)))/(1.7*((H207-2*([1]Parametros!$B$7+[1]Parametros!$B$9/2))*(I207-2*([1]Parametros!$B$7+[1]Parametros!$B$9/2)))^2))^2)</f>
        <v>3.4635149869832556</v>
      </c>
      <c r="BG207" s="13">
        <f>[1]Parametros!$B$6*(AJ207*1000/(H207*MIN(U207,AB207))+0.66*SQRT([1]Parametros!$B$2))</f>
        <v>3.2939603822754151</v>
      </c>
      <c r="BH207" s="13" t="str">
        <f t="shared" si="50"/>
        <v>NO CUMPLE</v>
      </c>
      <c r="BI207" s="13">
        <f>AX207*[1]Parametros!$B$8</f>
        <v>1592</v>
      </c>
      <c r="BJ207" s="15" t="str">
        <f t="shared" si="51"/>
        <v>CUMPLE</v>
      </c>
    </row>
    <row r="208" spans="1:62" x14ac:dyDescent="0.3">
      <c r="A208" s="41" t="s">
        <v>72</v>
      </c>
      <c r="B208" s="42">
        <v>75</v>
      </c>
      <c r="C208" s="13">
        <v>1</v>
      </c>
      <c r="D208" s="13">
        <v>2.0499999999999998</v>
      </c>
      <c r="E208" s="13">
        <v>2.0499999999999998</v>
      </c>
      <c r="F208" s="13">
        <v>450</v>
      </c>
      <c r="G208" s="13">
        <v>550</v>
      </c>
      <c r="H208" s="13">
        <v>450</v>
      </c>
      <c r="I208" s="13">
        <v>550</v>
      </c>
      <c r="J208" s="14">
        <v>210.2525</v>
      </c>
      <c r="K208" s="13">
        <v>75</v>
      </c>
      <c r="L208" s="14">
        <v>197.31010000000001</v>
      </c>
      <c r="M208" s="13">
        <v>75</v>
      </c>
      <c r="N208" s="14">
        <v>163.07</v>
      </c>
      <c r="O208" s="14">
        <v>754.70799999999997</v>
      </c>
      <c r="P208" s="13">
        <v>75</v>
      </c>
      <c r="Q208" s="14">
        <v>14.1874</v>
      </c>
      <c r="R208" s="13">
        <f>MAX(MAX(1.4/[1]Parametros!$B$3,0.25*SQRT([1]Parametros!$B$2)/[1]Parametros!$B$3)*H208*U208,(0.85*[1]Parametros!$B$2/[1]Parametros!$B$3)*(1-SQRT(1-2*(J208*1000000/([1]Parametros!$B$5*H208*U208^2))/(0.85*[1]Parametros!$B$2)))*H208*U208)</f>
        <v>1193.7588690515881</v>
      </c>
      <c r="S208" s="14">
        <v>6</v>
      </c>
      <c r="T208" s="14">
        <v>1</v>
      </c>
      <c r="U208" s="13">
        <f>IF(T208=1,I208-([1]Parametros!$B$7+[1]Parametros!$B$9+[1]Parametros!$B$12/2),I208-(ROUNDUP(S208/2,0)*([1]Parametros!$B$7+[1]Parametros!$B$9+[1]Parametros!$B$12/2)+ROUNDDOWN(S208/2,0)*([1]Parametros!$B$7+[1]Parametros!$B$9+[1]Parametros!$B$12/2+[1]Parametros!$B$12+[1]Parametros!$B$10))/S208)</f>
        <v>489.35</v>
      </c>
      <c r="V208" s="13">
        <f>S208*[1]Parametros!$B$8</f>
        <v>1194</v>
      </c>
      <c r="W208" s="13">
        <f>[1]Parametros!$B$5*V208*[1]Parametros!$B$3*(U208-(V208*[1]Parametros!$B$3/(0.85*[1]Parametros!$B$2*H208))/2)/1000000</f>
        <v>210.29283561176473</v>
      </c>
      <c r="X208" s="13" t="str">
        <f t="shared" si="39"/>
        <v>CUMPLE</v>
      </c>
      <c r="Y208" s="13">
        <f>MAX(MAX(1.4/[1]Parametros!$B$3,0.25*SQRT([1]Parametros!$B$2)/[1]Parametros!$B$3)*H208*AB208,(0.85*[1]Parametros!$B$2/[1]Parametros!$B$3)*(1-SQRT(1-2*(L208*1000000/([1]Parametros!$B$5*H208*AB208^2))/(0.85*[1]Parametros!$B$2)))*H208*AB208)</f>
        <v>1116.6519644051136</v>
      </c>
      <c r="Z208" s="14">
        <v>6</v>
      </c>
      <c r="AA208" s="14">
        <v>1</v>
      </c>
      <c r="AB208" s="13">
        <f>IF(AA208=1,I208-([1]Parametros!$B$7+[1]Parametros!$B$9+[1]Parametros!$B$12/2),I208-(ROUNDUP(Z208/2,0)*([1]Parametros!$B$7+[1]Parametros!$B$9+[1]Parametros!$B$12/2)+ROUNDDOWN(Z208/2,0)*([1]Parametros!$B$7+[1]Parametros!$B$9+[1]Parametros!$B$12/2+[1]Parametros!$B$12+[1]Parametros!$B$10))/Z208)</f>
        <v>489.35</v>
      </c>
      <c r="AC208" s="13">
        <f>Z208*[1]Parametros!$B$8</f>
        <v>1194</v>
      </c>
      <c r="AD208" s="13">
        <f>[1]Parametros!$B$5*AC208*[1]Parametros!$B$3*(AB208-(AC208*[1]Parametros!$B$3/(0.85*[1]Parametros!$B$2*H208))/2)/1000000</f>
        <v>210.29283561176473</v>
      </c>
      <c r="AE208" s="13" t="str">
        <f t="shared" si="40"/>
        <v>CUMPLE</v>
      </c>
      <c r="AF208" s="13">
        <f>V208*1.25*[1]Parametros!$B$3*(U208-(V208*1.25*[1]Parametros!$B$3/(0.85*[1]Parametros!$B$2*H208))/2)/1000000</f>
        <v>288.40446661764707</v>
      </c>
      <c r="AG208" s="13">
        <f>AC208*1.25*[1]Parametros!$B$3*(AB208-(AC208*1.25*[1]Parametros!$B$3/(0.85*[1]Parametros!$B$2*H208))/2)/1000000</f>
        <v>288.40446661764707</v>
      </c>
      <c r="AH208" s="13">
        <f t="shared" si="41"/>
        <v>444.44021133428987</v>
      </c>
      <c r="AI208" s="13">
        <f t="shared" si="42"/>
        <v>754.70799999999997</v>
      </c>
      <c r="AJ208" s="13">
        <f>0.17*SQRT([1]Parametros!$B$2)*H208*MIN(U208,AB208)/1000</f>
        <v>198.08885582262698</v>
      </c>
      <c r="AK208" s="13">
        <f>MAX(AI208/[1]Parametros!$B$6-AJ208,0)</f>
        <v>808.18847751070632</v>
      </c>
      <c r="AL208" s="13">
        <f>0.66*SQRT([1]Parametros!$B$2)*H208*MIN(U208,AB208)/1000</f>
        <v>769.05085201725785</v>
      </c>
      <c r="AM208" s="13" t="str">
        <f t="shared" si="43"/>
        <v>NO CUMPLE</v>
      </c>
      <c r="AN208" s="13" t="s">
        <v>68</v>
      </c>
      <c r="AO208" s="14">
        <v>4</v>
      </c>
      <c r="AP208" s="13">
        <f>ROUNDDOWN(MIN(IF(BC208+BD208=0,1000000000,AO208*BB208/(BC208+BD208)),MIN(U208,AB208)/4,8*[1]Parametros!$B$12,24*BA208,300,IF(AV208=0,1000000000,2*((H208-2*([1]Parametros!$B$7+[1]Parametros!$B$9/2))+(I208-2*([1]Parametros!$B$7+[1]Parametros!$B$9/2)))/8))/10,0)*10</f>
        <v>120</v>
      </c>
      <c r="AQ208" s="13">
        <f>ROUNDDOWN(MIN(IF(BC208+BD208=0,1000000000,AO208*BB208/(BC208+BD208)),IF(AK208&gt;0.33*SQRT([1]Parametros!$B$2)*H208*MIN(U208,AB208)/1000,MIN(U208,AB208)/4,MIN(U208,AB208)/2),600,IF(AV208=0,1000000000,2*((H208-2*([1]Parametros!$B$7+[1]Parametros!$B$9/2))+(I208-2*([1]Parametros!$B$7+[1]Parametros!$B$9/2)))/8))/10,0)*10</f>
        <v>120</v>
      </c>
      <c r="AR208" s="13">
        <f>[1]Parametros!$B$6*(AJ208+MAX(BE208-BD208,0)*[1]Parametros!$B$4*MIN(U208,AB208)/1000)</f>
        <v>761.40281382242597</v>
      </c>
      <c r="AS208" s="13" t="str">
        <f t="shared" si="44"/>
        <v>NO CUMPLE</v>
      </c>
      <c r="AT208" s="13">
        <f>[1]Parametros!$B$6*0.083*SQRT([1]Parametros!$B$2)*(H208*I208)^2/(2*(H208+I208))/1000000</f>
        <v>10.08878303333792</v>
      </c>
      <c r="AU208" s="13" t="str">
        <f t="shared" si="45"/>
        <v>DISEÑAR</v>
      </c>
      <c r="AV208" s="13">
        <f>IF(Q208&lt;=AT208,0,Q208*1000000/([1]Parametros!$B$6*2*0.85*(H208-2*([1]Parametros!$B$7+[1]Parametros!$B$9/2))*(I208-2*([1]Parametros!$B$7+[1]Parametros!$B$9/2))*[1]Parametros!$B$4))</f>
        <v>0.1621470757112021</v>
      </c>
      <c r="AW208" s="13">
        <f>AV208*2*((H208-2*([1]Parametros!$B$7+[1]Parametros!$B$9/2))+(I208-2*([1]Parametros!$B$7+[1]Parametros!$B$9/2)))*[1]Parametros!$B$4/[1]Parametros!$B$3</f>
        <v>264.17001574869045</v>
      </c>
      <c r="AX208" s="14">
        <v>8</v>
      </c>
      <c r="AY208" s="13" t="str">
        <f t="shared" si="46"/>
        <v>NO CUMPLE</v>
      </c>
      <c r="AZ208" s="13" t="str">
        <f t="shared" si="47"/>
        <v>NO CUMPLE</v>
      </c>
      <c r="BA208" s="14">
        <v>12.7</v>
      </c>
      <c r="BB208" s="14">
        <v>129</v>
      </c>
      <c r="BC208" s="13">
        <f>MAX(IF(AK208=0,0,AK208*1000/([1]Parametros!$B$4*MIN(U208,AB208))),MAX(0.062*SQRT([1]Parametros!$B$2)*H208/[1]Parametros!$B$4,0.35*H208/[1]Parametros!$B$4))</f>
        <v>3.9322739956828361</v>
      </c>
      <c r="BD208" s="13">
        <f t="shared" si="48"/>
        <v>0.3242941514224042</v>
      </c>
      <c r="BE208" s="13">
        <f t="shared" si="49"/>
        <v>4.3</v>
      </c>
      <c r="BF208" s="13">
        <f>SQRT((AI208*1000/(H208*MIN(U208,AB208)))^2+(Q208*1000000*2*((H208-2*([1]Parametros!$B$7+[1]Parametros!$B$9/2))+(I208-2*([1]Parametros!$B$7+[1]Parametros!$B$9/2)))/(1.7*((H208-2*([1]Parametros!$B$7+[1]Parametros!$B$9/2))*(I208-2*([1]Parametros!$B$7+[1]Parametros!$B$9/2)))^2))^2)</f>
        <v>3.4648910512431916</v>
      </c>
      <c r="BG208" s="13">
        <f>[1]Parametros!$B$6*(AJ208*1000/(H208*MIN(U208,AB208))+0.66*SQRT([1]Parametros!$B$2))</f>
        <v>3.2939603822754151</v>
      </c>
      <c r="BH208" s="13" t="str">
        <f t="shared" si="50"/>
        <v>NO CUMPLE</v>
      </c>
      <c r="BI208" s="13">
        <f>AX208*[1]Parametros!$B$8</f>
        <v>1592</v>
      </c>
      <c r="BJ208" s="15" t="str">
        <f t="shared" si="51"/>
        <v>CUMPLE</v>
      </c>
    </row>
    <row r="209" spans="1:62" x14ac:dyDescent="0.3">
      <c r="A209" s="41" t="s">
        <v>72</v>
      </c>
      <c r="B209" s="42">
        <v>76</v>
      </c>
      <c r="C209" s="13">
        <v>1</v>
      </c>
      <c r="D209" s="13">
        <v>4.5</v>
      </c>
      <c r="E209" s="13">
        <v>4.5</v>
      </c>
      <c r="F209" s="13">
        <v>450</v>
      </c>
      <c r="G209" s="13">
        <v>550</v>
      </c>
      <c r="H209" s="13">
        <v>450</v>
      </c>
      <c r="I209" s="13">
        <v>550</v>
      </c>
      <c r="J209" s="14">
        <v>151.79810000000001</v>
      </c>
      <c r="K209" s="13">
        <v>76</v>
      </c>
      <c r="L209" s="14">
        <v>128.4933</v>
      </c>
      <c r="M209" s="13">
        <v>76</v>
      </c>
      <c r="N209" s="14">
        <v>72.751000000000005</v>
      </c>
      <c r="O209" s="14">
        <v>278.63200000000001</v>
      </c>
      <c r="P209" s="13">
        <v>76</v>
      </c>
      <c r="Q209" s="14">
        <v>10.0602</v>
      </c>
      <c r="R209" s="13">
        <f>MAX(MAX(1.4/[1]Parametros!$B$3,0.25*SQRT([1]Parametros!$B$2)/[1]Parametros!$B$3)*H209*U209,(0.85*[1]Parametros!$B$2/[1]Parametros!$B$3)*(1-SQRT(1-2*(J209*1000000/([1]Parametros!$B$5*H209*U209^2))/(0.85*[1]Parametros!$B$2)))*H209*U209)</f>
        <v>849.56458941466383</v>
      </c>
      <c r="S209" s="14">
        <v>5</v>
      </c>
      <c r="T209" s="14">
        <v>1</v>
      </c>
      <c r="U209" s="13">
        <f>IF(T209=1,I209-([1]Parametros!$B$7+[1]Parametros!$B$9+[1]Parametros!$B$12/2),I209-(ROUNDUP(S209/2,0)*([1]Parametros!$B$7+[1]Parametros!$B$9+[1]Parametros!$B$12/2)+ROUNDDOWN(S209/2,0)*([1]Parametros!$B$7+[1]Parametros!$B$9+[1]Parametros!$B$12/2+[1]Parametros!$B$12+[1]Parametros!$B$10))/S209)</f>
        <v>489.35</v>
      </c>
      <c r="V209" s="13">
        <f>S209*[1]Parametros!$B$8</f>
        <v>995</v>
      </c>
      <c r="W209" s="13">
        <f>[1]Parametros!$B$5*V209*[1]Parametros!$B$3*(U209-(V209*[1]Parametros!$B$3/(0.85*[1]Parametros!$B$2*H209))/2)/1000000</f>
        <v>176.71159614705886</v>
      </c>
      <c r="X209" s="13" t="str">
        <f t="shared" si="39"/>
        <v>CUMPLE</v>
      </c>
      <c r="Y209" s="13">
        <f>MAX(MAX(1.4/[1]Parametros!$B$3,0.25*SQRT([1]Parametros!$B$2)/[1]Parametros!$B$3)*H209*AB209,(0.85*[1]Parametros!$B$2/[1]Parametros!$B$3)*(1-SQRT(1-2*(L209*1000000/([1]Parametros!$B$5*H209*AB209^2))/(0.85*[1]Parametros!$B$2)))*H209*AB209)</f>
        <v>734.02500000000009</v>
      </c>
      <c r="Z209" s="14">
        <v>4</v>
      </c>
      <c r="AA209" s="14">
        <v>1</v>
      </c>
      <c r="AB209" s="13">
        <f>IF(AA209=1,I209-([1]Parametros!$B$7+[1]Parametros!$B$9+[1]Parametros!$B$12/2),I209-(ROUNDUP(Z209/2,0)*([1]Parametros!$B$7+[1]Parametros!$B$9+[1]Parametros!$B$12/2)+ROUNDDOWN(Z209/2,0)*([1]Parametros!$B$7+[1]Parametros!$B$9+[1]Parametros!$B$12/2+[1]Parametros!$B$12+[1]Parametros!$B$10))/Z209)</f>
        <v>489.35</v>
      </c>
      <c r="AC209" s="13">
        <f>Z209*[1]Parametros!$B$8</f>
        <v>796</v>
      </c>
      <c r="AD209" s="13">
        <f>[1]Parametros!$B$5*AC209*[1]Parametros!$B$3*(AB209-(AC209*[1]Parametros!$B$3/(0.85*[1]Parametros!$B$2*H209))/2)/1000000</f>
        <v>142.54333009411764</v>
      </c>
      <c r="AE209" s="13" t="str">
        <f t="shared" si="40"/>
        <v>CUMPLE</v>
      </c>
      <c r="AF209" s="13">
        <f>V209*1.25*[1]Parametros!$B$3*(U209-(V209*1.25*[1]Parametros!$B$3/(0.85*[1]Parametros!$B$2*H209))/2)/1000000</f>
        <v>242.88491397058826</v>
      </c>
      <c r="AG209" s="13">
        <f>AC209*1.25*[1]Parametros!$B$3*(AB209-(AC209*1.25*[1]Parametros!$B$3/(0.85*[1]Parametros!$B$2*H209))/2)/1000000</f>
        <v>196.34621794117646</v>
      </c>
      <c r="AH209" s="13">
        <f t="shared" si="41"/>
        <v>170.35791820261437</v>
      </c>
      <c r="AI209" s="13">
        <f t="shared" si="42"/>
        <v>278.63200000000001</v>
      </c>
      <c r="AJ209" s="13">
        <f>0.17*SQRT([1]Parametros!$B$2)*H209*MIN(U209,AB209)/1000</f>
        <v>198.08885582262698</v>
      </c>
      <c r="AK209" s="13">
        <f>MAX(AI209/[1]Parametros!$B$6-AJ209,0)</f>
        <v>173.42047751070638</v>
      </c>
      <c r="AL209" s="13">
        <f>0.66*SQRT([1]Parametros!$B$2)*H209*MIN(U209,AB209)/1000</f>
        <v>769.05085201725785</v>
      </c>
      <c r="AM209" s="13" t="str">
        <f t="shared" si="43"/>
        <v>CUMPLE</v>
      </c>
      <c r="AN209" s="13" t="s">
        <v>64</v>
      </c>
      <c r="AO209" s="14">
        <v>2</v>
      </c>
      <c r="AP209" s="13">
        <f>ROUNDDOWN(MIN(IF(BC209+BD209=0,1000000000,AO209*BB209/(BC209+BD209)),MIN(U209,AB209)/4,8*[1]Parametros!$B$12,24*BA209,300,IF(AV209=0,1000000000,2*((H209-2*([1]Parametros!$B$7+[1]Parametros!$B$9/2))+(I209-2*([1]Parametros!$B$7+[1]Parametros!$B$9/2)))/8))/10,0)*10</f>
        <v>120</v>
      </c>
      <c r="AQ209" s="13">
        <f>ROUNDDOWN(MIN(IF(BC209+BD209=0,1000000000,AO209*BB209/(BC209+BD209)),IF(AK209&gt;0.33*SQRT([1]Parametros!$B$2)*H209*MIN(U209,AB209)/1000,MIN(U209,AB209)/4,MIN(U209,AB209)/2),600,IF(AV209=0,1000000000,2*((H209-2*([1]Parametros!$B$7+[1]Parametros!$B$9/2))+(I209-2*([1]Parametros!$B$7+[1]Parametros!$B$9/2)))/8))/10,0)*10</f>
        <v>160</v>
      </c>
      <c r="AR209" s="13">
        <f>[1]Parametros!$B$6*(AJ209+MAX(BE209-BD209,0)*[1]Parametros!$B$4*MIN(U209,AB209)/1000)</f>
        <v>330.97185436697026</v>
      </c>
      <c r="AS209" s="13" t="str">
        <f t="shared" si="44"/>
        <v>CUMPLE</v>
      </c>
      <c r="AT209" s="13">
        <f>[1]Parametros!$B$6*0.083*SQRT([1]Parametros!$B$2)*(H209*I209)^2/(2*(H209+I209))/1000000</f>
        <v>10.08878303333792</v>
      </c>
      <c r="AU209" s="13" t="str">
        <f t="shared" si="45"/>
        <v>DESPRECIABLE</v>
      </c>
      <c r="AV209" s="13">
        <f>IF(Q209&lt;=AT209,0,Q209*1000000/([1]Parametros!$B$6*2*0.85*(H209-2*([1]Parametros!$B$7+[1]Parametros!$B$9/2))*(I209-2*([1]Parametros!$B$7+[1]Parametros!$B$9/2))*[1]Parametros!$B$4))</f>
        <v>0</v>
      </c>
      <c r="AW209" s="13">
        <f>AV209*2*((H209-2*([1]Parametros!$B$7+[1]Parametros!$B$9/2))+(I209-2*([1]Parametros!$B$7+[1]Parametros!$B$9/2)))*[1]Parametros!$B$4/[1]Parametros!$B$3</f>
        <v>0</v>
      </c>
      <c r="AX209" s="14">
        <v>0</v>
      </c>
      <c r="AY209" s="13" t="str">
        <f t="shared" si="46"/>
        <v>DESPRECIABLE</v>
      </c>
      <c r="AZ209" s="13" t="str">
        <f t="shared" si="47"/>
        <v>CUMPLE</v>
      </c>
      <c r="BA209" s="14">
        <v>9.5</v>
      </c>
      <c r="BB209" s="14">
        <v>71</v>
      </c>
      <c r="BC209" s="13">
        <f>MAX(IF(AK209=0,0,AK209*1000/([1]Parametros!$B$4*MIN(U209,AB209))),MAX(0.062*SQRT([1]Parametros!$B$2)*H209/[1]Parametros!$B$4,0.35*H209/[1]Parametros!$B$4))</f>
        <v>0.84378440550733669</v>
      </c>
      <c r="BD209" s="13">
        <f t="shared" si="48"/>
        <v>0</v>
      </c>
      <c r="BE209" s="13">
        <f t="shared" si="49"/>
        <v>1.1833333333333333</v>
      </c>
      <c r="BF209" s="13">
        <f>SQRT((AI209*1000/(H209*MIN(U209,AB209)))^2+(Q209*1000000*2*((H209-2*([1]Parametros!$B$7+[1]Parametros!$B$9/2))+(I209-2*([1]Parametros!$B$7+[1]Parametros!$B$9/2)))/(1.7*((H209-2*([1]Parametros!$B$7+[1]Parametros!$B$9/2))*(I209-2*([1]Parametros!$B$7+[1]Parametros!$B$9/2)))^2))^2)</f>
        <v>1.315841431217041</v>
      </c>
      <c r="BG209" s="13">
        <f>[1]Parametros!$B$6*(AJ209*1000/(H209*MIN(U209,AB209))+0.66*SQRT([1]Parametros!$B$2))</f>
        <v>3.2939603822754151</v>
      </c>
      <c r="BH209" s="13" t="str">
        <f t="shared" si="50"/>
        <v>CUMPLE</v>
      </c>
      <c r="BI209" s="13">
        <f>AX209*[1]Parametros!$B$8</f>
        <v>0</v>
      </c>
      <c r="BJ209" s="15" t="str">
        <f t="shared" si="51"/>
        <v>CUMPLE</v>
      </c>
    </row>
    <row r="210" spans="1:62" x14ac:dyDescent="0.3">
      <c r="A210" s="41" t="s">
        <v>72</v>
      </c>
      <c r="B210" s="42">
        <v>77</v>
      </c>
      <c r="C210" s="13">
        <v>1</v>
      </c>
      <c r="D210" s="13">
        <v>4.5</v>
      </c>
      <c r="E210" s="13">
        <v>4.5</v>
      </c>
      <c r="F210" s="13">
        <v>450</v>
      </c>
      <c r="G210" s="13">
        <v>550</v>
      </c>
      <c r="H210" s="13">
        <v>450</v>
      </c>
      <c r="I210" s="13">
        <v>550</v>
      </c>
      <c r="J210" s="14">
        <v>151.7954</v>
      </c>
      <c r="K210" s="13">
        <v>77</v>
      </c>
      <c r="L210" s="14">
        <v>128.4905</v>
      </c>
      <c r="M210" s="13">
        <v>77</v>
      </c>
      <c r="N210" s="14">
        <v>72.75</v>
      </c>
      <c r="O210" s="14">
        <v>278.63099999999997</v>
      </c>
      <c r="P210" s="13">
        <v>77</v>
      </c>
      <c r="Q210" s="14">
        <v>10.060600000000001</v>
      </c>
      <c r="R210" s="13">
        <f>MAX(MAX(1.4/[1]Parametros!$B$3,0.25*SQRT([1]Parametros!$B$2)/[1]Parametros!$B$3)*H210*U210,(0.85*[1]Parametros!$B$2/[1]Parametros!$B$3)*(1-SQRT(1-2*(J210*1000000/([1]Parametros!$B$5*H210*U210^2))/(0.85*[1]Parametros!$B$2)))*H210*U210)</f>
        <v>849.54892642378923</v>
      </c>
      <c r="S210" s="14">
        <v>5</v>
      </c>
      <c r="T210" s="14">
        <v>1</v>
      </c>
      <c r="U210" s="13">
        <f>IF(T210=1,I210-([1]Parametros!$B$7+[1]Parametros!$B$9+[1]Parametros!$B$12/2),I210-(ROUNDUP(S210/2,0)*([1]Parametros!$B$7+[1]Parametros!$B$9+[1]Parametros!$B$12/2)+ROUNDDOWN(S210/2,0)*([1]Parametros!$B$7+[1]Parametros!$B$9+[1]Parametros!$B$12/2+[1]Parametros!$B$12+[1]Parametros!$B$10))/S210)</f>
        <v>489.35</v>
      </c>
      <c r="V210" s="13">
        <f>S210*[1]Parametros!$B$8</f>
        <v>995</v>
      </c>
      <c r="W210" s="13">
        <f>[1]Parametros!$B$5*V210*[1]Parametros!$B$3*(U210-(V210*[1]Parametros!$B$3/(0.85*[1]Parametros!$B$2*H210))/2)/1000000</f>
        <v>176.71159614705886</v>
      </c>
      <c r="X210" s="13" t="str">
        <f t="shared" si="39"/>
        <v>CUMPLE</v>
      </c>
      <c r="Y210" s="13">
        <f>MAX(MAX(1.4/[1]Parametros!$B$3,0.25*SQRT([1]Parametros!$B$2)/[1]Parametros!$B$3)*H210*AB210,(0.85*[1]Parametros!$B$2/[1]Parametros!$B$3)*(1-SQRT(1-2*(L210*1000000/([1]Parametros!$B$5*H210*AB210^2))/(0.85*[1]Parametros!$B$2)))*H210*AB210)</f>
        <v>734.02500000000009</v>
      </c>
      <c r="Z210" s="14">
        <v>4</v>
      </c>
      <c r="AA210" s="14">
        <v>1</v>
      </c>
      <c r="AB210" s="13">
        <f>IF(AA210=1,I210-([1]Parametros!$B$7+[1]Parametros!$B$9+[1]Parametros!$B$12/2),I210-(ROUNDUP(Z210/2,0)*([1]Parametros!$B$7+[1]Parametros!$B$9+[1]Parametros!$B$12/2)+ROUNDDOWN(Z210/2,0)*([1]Parametros!$B$7+[1]Parametros!$B$9+[1]Parametros!$B$12/2+[1]Parametros!$B$12+[1]Parametros!$B$10))/Z210)</f>
        <v>489.35</v>
      </c>
      <c r="AC210" s="13">
        <f>Z210*[1]Parametros!$B$8</f>
        <v>796</v>
      </c>
      <c r="AD210" s="13">
        <f>[1]Parametros!$B$5*AC210*[1]Parametros!$B$3*(AB210-(AC210*[1]Parametros!$B$3/(0.85*[1]Parametros!$B$2*H210))/2)/1000000</f>
        <v>142.54333009411764</v>
      </c>
      <c r="AE210" s="13" t="str">
        <f t="shared" si="40"/>
        <v>CUMPLE</v>
      </c>
      <c r="AF210" s="13">
        <f>V210*1.25*[1]Parametros!$B$3*(U210-(V210*1.25*[1]Parametros!$B$3/(0.85*[1]Parametros!$B$2*H210))/2)/1000000</f>
        <v>242.88491397058826</v>
      </c>
      <c r="AG210" s="13">
        <f>AC210*1.25*[1]Parametros!$B$3*(AB210-(AC210*1.25*[1]Parametros!$B$3/(0.85*[1]Parametros!$B$2*H210))/2)/1000000</f>
        <v>196.34621794117646</v>
      </c>
      <c r="AH210" s="13">
        <f t="shared" si="41"/>
        <v>170.35691820261439</v>
      </c>
      <c r="AI210" s="13">
        <f t="shared" si="42"/>
        <v>278.63099999999997</v>
      </c>
      <c r="AJ210" s="13">
        <f>0.17*SQRT([1]Parametros!$B$2)*H210*MIN(U210,AB210)/1000</f>
        <v>198.08885582262698</v>
      </c>
      <c r="AK210" s="13">
        <f>MAX(AI210/[1]Parametros!$B$6-AJ210,0)</f>
        <v>173.419144177373</v>
      </c>
      <c r="AL210" s="13">
        <f>0.66*SQRT([1]Parametros!$B$2)*H210*MIN(U210,AB210)/1000</f>
        <v>769.05085201725785</v>
      </c>
      <c r="AM210" s="13" t="str">
        <f t="shared" si="43"/>
        <v>CUMPLE</v>
      </c>
      <c r="AN210" s="13" t="s">
        <v>64</v>
      </c>
      <c r="AO210" s="14">
        <v>2</v>
      </c>
      <c r="AP210" s="13">
        <f>ROUNDDOWN(MIN(IF(BC210+BD210=0,1000000000,AO210*BB210/(BC210+BD210)),MIN(U210,AB210)/4,8*[1]Parametros!$B$12,24*BA210,300,IF(AV210=0,1000000000,2*((H210-2*([1]Parametros!$B$7+[1]Parametros!$B$9/2))+(I210-2*([1]Parametros!$B$7+[1]Parametros!$B$9/2)))/8))/10,0)*10</f>
        <v>120</v>
      </c>
      <c r="AQ210" s="13">
        <f>ROUNDDOWN(MIN(IF(BC210+BD210=0,1000000000,AO210*BB210/(BC210+BD210)),IF(AK210&gt;0.33*SQRT([1]Parametros!$B$2)*H210*MIN(U210,AB210)/1000,MIN(U210,AB210)/4,MIN(U210,AB210)/2),600,IF(AV210=0,1000000000,2*((H210-2*([1]Parametros!$B$7+[1]Parametros!$B$9/2))+(I210-2*([1]Parametros!$B$7+[1]Parametros!$B$9/2)))/8))/10,0)*10</f>
        <v>160</v>
      </c>
      <c r="AR210" s="13">
        <f>[1]Parametros!$B$6*(AJ210+MAX(BE210-BD210,0)*[1]Parametros!$B$4*MIN(U210,AB210)/1000)</f>
        <v>330.97185436697026</v>
      </c>
      <c r="AS210" s="13" t="str">
        <f t="shared" si="44"/>
        <v>CUMPLE</v>
      </c>
      <c r="AT210" s="13">
        <f>[1]Parametros!$B$6*0.083*SQRT([1]Parametros!$B$2)*(H210*I210)^2/(2*(H210+I210))/1000000</f>
        <v>10.08878303333792</v>
      </c>
      <c r="AU210" s="13" t="str">
        <f t="shared" si="45"/>
        <v>DESPRECIABLE</v>
      </c>
      <c r="AV210" s="13">
        <f>IF(Q210&lt;=AT210,0,Q210*1000000/([1]Parametros!$B$6*2*0.85*(H210-2*([1]Parametros!$B$7+[1]Parametros!$B$9/2))*(I210-2*([1]Parametros!$B$7+[1]Parametros!$B$9/2))*[1]Parametros!$B$4))</f>
        <v>0</v>
      </c>
      <c r="AW210" s="13">
        <f>AV210*2*((H210-2*([1]Parametros!$B$7+[1]Parametros!$B$9/2))+(I210-2*([1]Parametros!$B$7+[1]Parametros!$B$9/2)))*[1]Parametros!$B$4/[1]Parametros!$B$3</f>
        <v>0</v>
      </c>
      <c r="AX210" s="14">
        <v>0</v>
      </c>
      <c r="AY210" s="13" t="str">
        <f t="shared" si="46"/>
        <v>DESPRECIABLE</v>
      </c>
      <c r="AZ210" s="13" t="str">
        <f t="shared" si="47"/>
        <v>CUMPLE</v>
      </c>
      <c r="BA210" s="14">
        <v>9.5</v>
      </c>
      <c r="BB210" s="14">
        <v>71</v>
      </c>
      <c r="BC210" s="13">
        <f>MAX(IF(AK210=0,0,AK210*1000/([1]Parametros!$B$4*MIN(U210,AB210))),MAX(0.062*SQRT([1]Parametros!$B$2)*H210/[1]Parametros!$B$4,0.35*H210/[1]Parametros!$B$4))</f>
        <v>0.8437779181196291</v>
      </c>
      <c r="BD210" s="13">
        <f t="shared" si="48"/>
        <v>0</v>
      </c>
      <c r="BE210" s="13">
        <f t="shared" si="49"/>
        <v>1.1833333333333333</v>
      </c>
      <c r="BF210" s="13">
        <f>SQRT((AI210*1000/(H210*MIN(U210,AB210)))^2+(Q210*1000000*2*((H210-2*([1]Parametros!$B$7+[1]Parametros!$B$9/2))+(I210-2*([1]Parametros!$B$7+[1]Parametros!$B$9/2)))/(1.7*((H210-2*([1]Parametros!$B$7+[1]Parametros!$B$9/2))*(I210-2*([1]Parametros!$B$7+[1]Parametros!$B$9/2)))^2))^2)</f>
        <v>1.3158410052381093</v>
      </c>
      <c r="BG210" s="13">
        <f>[1]Parametros!$B$6*(AJ210*1000/(H210*MIN(U210,AB210))+0.66*SQRT([1]Parametros!$B$2))</f>
        <v>3.2939603822754151</v>
      </c>
      <c r="BH210" s="13" t="str">
        <f t="shared" si="50"/>
        <v>CUMPLE</v>
      </c>
      <c r="BI210" s="13">
        <f>AX210*[1]Parametros!$B$8</f>
        <v>0</v>
      </c>
      <c r="BJ210" s="15" t="str">
        <f t="shared" si="51"/>
        <v>CUMPLE</v>
      </c>
    </row>
    <row r="211" spans="1:62" x14ac:dyDescent="0.3">
      <c r="A211" s="41" t="s">
        <v>72</v>
      </c>
      <c r="B211" s="42">
        <v>78</v>
      </c>
      <c r="C211" s="13">
        <v>1</v>
      </c>
      <c r="D211" s="13">
        <v>2.0499999999999998</v>
      </c>
      <c r="E211" s="13">
        <v>2.0499999999999998</v>
      </c>
      <c r="F211" s="13">
        <v>450</v>
      </c>
      <c r="G211" s="13">
        <v>550</v>
      </c>
      <c r="H211" s="13">
        <v>450</v>
      </c>
      <c r="I211" s="13">
        <v>550</v>
      </c>
      <c r="J211" s="14">
        <v>210.25030000000001</v>
      </c>
      <c r="K211" s="13">
        <v>78</v>
      </c>
      <c r="L211" s="14">
        <v>197.3083</v>
      </c>
      <c r="M211" s="13">
        <v>78</v>
      </c>
      <c r="N211" s="14">
        <v>163.06800000000001</v>
      </c>
      <c r="O211" s="14">
        <v>754.70699999999999</v>
      </c>
      <c r="P211" s="13">
        <v>78</v>
      </c>
      <c r="Q211" s="14">
        <v>14.187200000000001</v>
      </c>
      <c r="R211" s="13">
        <f>MAX(MAX(1.4/[1]Parametros!$B$3,0.25*SQRT([1]Parametros!$B$2)/[1]Parametros!$B$3)*H211*U211,(0.85*[1]Parametros!$B$2/[1]Parametros!$B$3)*(1-SQRT(1-2*(J211*1000000/([1]Parametros!$B$5*H211*U211^2))/(0.85*[1]Parametros!$B$2)))*H211*U211)</f>
        <v>1193.7457173455289</v>
      </c>
      <c r="S211" s="14">
        <v>6</v>
      </c>
      <c r="T211" s="14">
        <v>1</v>
      </c>
      <c r="U211" s="13">
        <f>IF(T211=1,I211-([1]Parametros!$B$7+[1]Parametros!$B$9+[1]Parametros!$B$12/2),I211-(ROUNDUP(S211/2,0)*([1]Parametros!$B$7+[1]Parametros!$B$9+[1]Parametros!$B$12/2)+ROUNDDOWN(S211/2,0)*([1]Parametros!$B$7+[1]Parametros!$B$9+[1]Parametros!$B$12/2+[1]Parametros!$B$12+[1]Parametros!$B$10))/S211)</f>
        <v>489.35</v>
      </c>
      <c r="V211" s="13">
        <f>S211*[1]Parametros!$B$8</f>
        <v>1194</v>
      </c>
      <c r="W211" s="13">
        <f>[1]Parametros!$B$5*V211*[1]Parametros!$B$3*(U211-(V211*[1]Parametros!$B$3/(0.85*[1]Parametros!$B$2*H211))/2)/1000000</f>
        <v>210.29283561176473</v>
      </c>
      <c r="X211" s="13" t="str">
        <f t="shared" si="39"/>
        <v>CUMPLE</v>
      </c>
      <c r="Y211" s="13">
        <f>MAX(MAX(1.4/[1]Parametros!$B$3,0.25*SQRT([1]Parametros!$B$2)/[1]Parametros!$B$3)*H211*AB211,(0.85*[1]Parametros!$B$2/[1]Parametros!$B$3)*(1-SQRT(1-2*(L211*1000000/([1]Parametros!$B$5*H211*AB211^2))/(0.85*[1]Parametros!$B$2)))*H211*AB211)</f>
        <v>1116.6412769434003</v>
      </c>
      <c r="Z211" s="14">
        <v>6</v>
      </c>
      <c r="AA211" s="14">
        <v>1</v>
      </c>
      <c r="AB211" s="13">
        <f>IF(AA211=1,I211-([1]Parametros!$B$7+[1]Parametros!$B$9+[1]Parametros!$B$12/2),I211-(ROUNDUP(Z211/2,0)*([1]Parametros!$B$7+[1]Parametros!$B$9+[1]Parametros!$B$12/2)+ROUNDDOWN(Z211/2,0)*([1]Parametros!$B$7+[1]Parametros!$B$9+[1]Parametros!$B$12/2+[1]Parametros!$B$12+[1]Parametros!$B$10))/Z211)</f>
        <v>489.35</v>
      </c>
      <c r="AC211" s="13">
        <f>Z211*[1]Parametros!$B$8</f>
        <v>1194</v>
      </c>
      <c r="AD211" s="13">
        <f>[1]Parametros!$B$5*AC211*[1]Parametros!$B$3*(AB211-(AC211*[1]Parametros!$B$3/(0.85*[1]Parametros!$B$2*H211))/2)/1000000</f>
        <v>210.29283561176473</v>
      </c>
      <c r="AE211" s="13" t="str">
        <f t="shared" si="40"/>
        <v>CUMPLE</v>
      </c>
      <c r="AF211" s="13">
        <f>V211*1.25*[1]Parametros!$B$3*(U211-(V211*1.25*[1]Parametros!$B$3/(0.85*[1]Parametros!$B$2*H211))/2)/1000000</f>
        <v>288.40446661764707</v>
      </c>
      <c r="AG211" s="13">
        <f>AC211*1.25*[1]Parametros!$B$3*(AB211-(AC211*1.25*[1]Parametros!$B$3/(0.85*[1]Parametros!$B$2*H211))/2)/1000000</f>
        <v>288.40446661764707</v>
      </c>
      <c r="AH211" s="13">
        <f t="shared" si="41"/>
        <v>444.43821133428992</v>
      </c>
      <c r="AI211" s="13">
        <f t="shared" si="42"/>
        <v>754.70699999999999</v>
      </c>
      <c r="AJ211" s="13">
        <f>0.17*SQRT([1]Parametros!$B$2)*H211*MIN(U211,AB211)/1000</f>
        <v>198.08885582262698</v>
      </c>
      <c r="AK211" s="13">
        <f>MAX(AI211/[1]Parametros!$B$6-AJ211,0)</f>
        <v>808.18714417737294</v>
      </c>
      <c r="AL211" s="13">
        <f>0.66*SQRT([1]Parametros!$B$2)*H211*MIN(U211,AB211)/1000</f>
        <v>769.05085201725785</v>
      </c>
      <c r="AM211" s="13" t="str">
        <f t="shared" si="43"/>
        <v>NO CUMPLE</v>
      </c>
      <c r="AN211" s="13" t="s">
        <v>68</v>
      </c>
      <c r="AO211" s="14">
        <v>4</v>
      </c>
      <c r="AP211" s="13">
        <f>ROUNDDOWN(MIN(IF(BC211+BD211=0,1000000000,AO211*BB211/(BC211+BD211)),MIN(U211,AB211)/4,8*[1]Parametros!$B$12,24*BA211,300,IF(AV211=0,1000000000,2*((H211-2*([1]Parametros!$B$7+[1]Parametros!$B$9/2))+(I211-2*([1]Parametros!$B$7+[1]Parametros!$B$9/2)))/8))/10,0)*10</f>
        <v>120</v>
      </c>
      <c r="AQ211" s="13">
        <f>ROUNDDOWN(MIN(IF(BC211+BD211=0,1000000000,AO211*BB211/(BC211+BD211)),IF(AK211&gt;0.33*SQRT([1]Parametros!$B$2)*H211*MIN(U211,AB211)/1000,MIN(U211,AB211)/4,MIN(U211,AB211)/2),600,IF(AV211=0,1000000000,2*((H211-2*([1]Parametros!$B$7+[1]Parametros!$B$9/2))+(I211-2*([1]Parametros!$B$7+[1]Parametros!$B$9/2)))/8))/10,0)*10</f>
        <v>120</v>
      </c>
      <c r="AR211" s="13">
        <f>[1]Parametros!$B$6*(AJ211+MAX(BE211-BD211,0)*[1]Parametros!$B$4*MIN(U211,AB211)/1000)</f>
        <v>761.40351850972661</v>
      </c>
      <c r="AS211" s="13" t="str">
        <f t="shared" si="44"/>
        <v>NO CUMPLE</v>
      </c>
      <c r="AT211" s="13">
        <f>[1]Parametros!$B$6*0.083*SQRT([1]Parametros!$B$2)*(H211*I211)^2/(2*(H211+I211))/1000000</f>
        <v>10.08878303333792</v>
      </c>
      <c r="AU211" s="13" t="str">
        <f t="shared" si="45"/>
        <v>DISEÑAR</v>
      </c>
      <c r="AV211" s="13">
        <f>IF(Q211&lt;=AT211,0,Q211*1000000/([1]Parametros!$B$6*2*0.85*(H211-2*([1]Parametros!$B$7+[1]Parametros!$B$9/2))*(I211-2*([1]Parametros!$B$7+[1]Parametros!$B$9/2))*[1]Parametros!$B$4))</f>
        <v>0.16214478992133627</v>
      </c>
      <c r="AW211" s="13">
        <f>AV211*2*((H211-2*([1]Parametros!$B$7+[1]Parametros!$B$9/2))+(I211-2*([1]Parametros!$B$7+[1]Parametros!$B$9/2)))*[1]Parametros!$B$4/[1]Parametros!$B$3</f>
        <v>264.16629173984103</v>
      </c>
      <c r="AX211" s="14">
        <v>8</v>
      </c>
      <c r="AY211" s="13" t="str">
        <f t="shared" si="46"/>
        <v>NO CUMPLE</v>
      </c>
      <c r="AZ211" s="13" t="str">
        <f t="shared" si="47"/>
        <v>NO CUMPLE</v>
      </c>
      <c r="BA211" s="14">
        <v>12.7</v>
      </c>
      <c r="BB211" s="14">
        <v>129</v>
      </c>
      <c r="BC211" s="13">
        <f>MAX(IF(AK211=0,0,AK211*1000/([1]Parametros!$B$4*MIN(U211,AB211))),MAX(0.062*SQRT([1]Parametros!$B$2)*H211/[1]Parametros!$B$4,0.35*H211/[1]Parametros!$B$4))</f>
        <v>3.9322675082951286</v>
      </c>
      <c r="BD211" s="13">
        <f t="shared" si="48"/>
        <v>0.32428957984267254</v>
      </c>
      <c r="BE211" s="13">
        <f t="shared" si="49"/>
        <v>4.3</v>
      </c>
      <c r="BF211" s="13">
        <f>SQRT((AI211*1000/(H211*MIN(U211,AB211)))^2+(Q211*1000000*2*((H211-2*([1]Parametros!$B$7+[1]Parametros!$B$9/2))+(I211-2*([1]Parametros!$B$7+[1]Parametros!$B$9/2)))/(1.7*((H211-2*([1]Parametros!$B$7+[1]Parametros!$B$9/2))*(I211-2*([1]Parametros!$B$7+[1]Parametros!$B$9/2)))^2))^2)</f>
        <v>3.4648855041453235</v>
      </c>
      <c r="BG211" s="13">
        <f>[1]Parametros!$B$6*(AJ211*1000/(H211*MIN(U211,AB211))+0.66*SQRT([1]Parametros!$B$2))</f>
        <v>3.2939603822754151</v>
      </c>
      <c r="BH211" s="13" t="str">
        <f t="shared" si="50"/>
        <v>NO CUMPLE</v>
      </c>
      <c r="BI211" s="13">
        <f>AX211*[1]Parametros!$B$8</f>
        <v>1592</v>
      </c>
      <c r="BJ211" s="15" t="str">
        <f t="shared" si="51"/>
        <v>CUMPLE</v>
      </c>
    </row>
    <row r="212" spans="1:62" x14ac:dyDescent="0.3">
      <c r="A212" s="41" t="s">
        <v>72</v>
      </c>
      <c r="B212" s="42">
        <v>271</v>
      </c>
      <c r="C212" s="13">
        <v>1</v>
      </c>
      <c r="D212" s="13">
        <v>2.0499999999999998</v>
      </c>
      <c r="E212" s="13">
        <v>2.0499999999999998</v>
      </c>
      <c r="F212" s="13">
        <v>450</v>
      </c>
      <c r="G212" s="13">
        <v>550</v>
      </c>
      <c r="H212" s="13">
        <v>450</v>
      </c>
      <c r="I212" s="13">
        <v>550</v>
      </c>
      <c r="J212" s="14">
        <v>197.006</v>
      </c>
      <c r="K212" s="13">
        <v>271</v>
      </c>
      <c r="L212" s="14">
        <v>181.81180000000001</v>
      </c>
      <c r="M212" s="13">
        <v>271</v>
      </c>
      <c r="N212" s="14">
        <v>152.22300000000001</v>
      </c>
      <c r="O212" s="14">
        <v>662.44899999999996</v>
      </c>
      <c r="P212" s="13">
        <v>271</v>
      </c>
      <c r="Q212" s="14">
        <v>24.654800000000002</v>
      </c>
      <c r="R212" s="13">
        <f>MAX(MAX(1.4/[1]Parametros!$B$3,0.25*SQRT([1]Parametros!$B$2)/[1]Parametros!$B$3)*H212*U212,(0.85*[1]Parametros!$B$2/[1]Parametros!$B$3)*(1-SQRT(1-2*(J212*1000000/([1]Parametros!$B$5*H212*U212^2))/(0.85*[1]Parametros!$B$2)))*H212*U212)</f>
        <v>1114.8465197214218</v>
      </c>
      <c r="S212" s="14">
        <v>6</v>
      </c>
      <c r="T212" s="14">
        <v>1</v>
      </c>
      <c r="U212" s="13">
        <f>IF(T212=1,I212-([1]Parametros!$B$7+[1]Parametros!$B$9+[1]Parametros!$B$12/2),I212-(ROUNDUP(S212/2,0)*([1]Parametros!$B$7+[1]Parametros!$B$9+[1]Parametros!$B$12/2)+ROUNDDOWN(S212/2,0)*([1]Parametros!$B$7+[1]Parametros!$B$9+[1]Parametros!$B$12/2+[1]Parametros!$B$12+[1]Parametros!$B$10))/S212)</f>
        <v>489.35</v>
      </c>
      <c r="V212" s="13">
        <f>S212*[1]Parametros!$B$8</f>
        <v>1194</v>
      </c>
      <c r="W212" s="13">
        <f>[1]Parametros!$B$5*V212*[1]Parametros!$B$3*(U212-(V212*[1]Parametros!$B$3/(0.85*[1]Parametros!$B$2*H212))/2)/1000000</f>
        <v>210.29283561176473</v>
      </c>
      <c r="X212" s="13" t="str">
        <f t="shared" si="39"/>
        <v>CUMPLE</v>
      </c>
      <c r="Y212" s="13">
        <f>MAX(MAX(1.4/[1]Parametros!$B$3,0.25*SQRT([1]Parametros!$B$2)/[1]Parametros!$B$3)*H212*AB212,(0.85*[1]Parametros!$B$2/[1]Parametros!$B$3)*(1-SQRT(1-2*(L212*1000000/([1]Parametros!$B$5*H212*AB212^2))/(0.85*[1]Parametros!$B$2)))*H212*AB212)</f>
        <v>1025.0007527034079</v>
      </c>
      <c r="Z212" s="14">
        <v>6</v>
      </c>
      <c r="AA212" s="14">
        <v>1</v>
      </c>
      <c r="AB212" s="13">
        <f>IF(AA212=1,I212-([1]Parametros!$B$7+[1]Parametros!$B$9+[1]Parametros!$B$12/2),I212-(ROUNDUP(Z212/2,0)*([1]Parametros!$B$7+[1]Parametros!$B$9+[1]Parametros!$B$12/2)+ROUNDDOWN(Z212/2,0)*([1]Parametros!$B$7+[1]Parametros!$B$9+[1]Parametros!$B$12/2+[1]Parametros!$B$12+[1]Parametros!$B$10))/Z212)</f>
        <v>489.35</v>
      </c>
      <c r="AC212" s="13">
        <f>Z212*[1]Parametros!$B$8</f>
        <v>1194</v>
      </c>
      <c r="AD212" s="13">
        <f>[1]Parametros!$B$5*AC212*[1]Parametros!$B$3*(AB212-(AC212*[1]Parametros!$B$3/(0.85*[1]Parametros!$B$2*H212))/2)/1000000</f>
        <v>210.29283561176473</v>
      </c>
      <c r="AE212" s="13" t="str">
        <f t="shared" si="40"/>
        <v>CUMPLE</v>
      </c>
      <c r="AF212" s="13">
        <f>V212*1.25*[1]Parametros!$B$3*(U212-(V212*1.25*[1]Parametros!$B$3/(0.85*[1]Parametros!$B$2*H212))/2)/1000000</f>
        <v>288.40446661764707</v>
      </c>
      <c r="AG212" s="13">
        <f>AC212*1.25*[1]Parametros!$B$3*(AB212-(AC212*1.25*[1]Parametros!$B$3/(0.85*[1]Parametros!$B$2*H212))/2)/1000000</f>
        <v>288.40446661764707</v>
      </c>
      <c r="AH212" s="13">
        <f t="shared" si="41"/>
        <v>433.59321133428989</v>
      </c>
      <c r="AI212" s="13">
        <f t="shared" si="42"/>
        <v>662.44899999999996</v>
      </c>
      <c r="AJ212" s="13">
        <f>0.17*SQRT([1]Parametros!$B$2)*H212*MIN(U212,AB212)/1000</f>
        <v>198.08885582262698</v>
      </c>
      <c r="AK212" s="13">
        <f>MAX(AI212/[1]Parametros!$B$6-AJ212,0)</f>
        <v>685.17647751070626</v>
      </c>
      <c r="AL212" s="13">
        <f>0.66*SQRT([1]Parametros!$B$2)*H212*MIN(U212,AB212)/1000</f>
        <v>769.05085201725785</v>
      </c>
      <c r="AM212" s="13" t="str">
        <f t="shared" si="43"/>
        <v>CUMPLE</v>
      </c>
      <c r="AN212" s="13" t="s">
        <v>68</v>
      </c>
      <c r="AO212" s="14">
        <v>4</v>
      </c>
      <c r="AP212" s="13">
        <f>ROUNDDOWN(MIN(IF(BC212+BD212=0,1000000000,AO212*BB212/(BC212+BD212)),MIN(U212,AB212)/4,8*[1]Parametros!$B$12,24*BA212,300,IF(AV212=0,1000000000,2*((H212-2*([1]Parametros!$B$7+[1]Parametros!$B$9/2))+(I212-2*([1]Parametros!$B$7+[1]Parametros!$B$9/2)))/8))/10,0)*10</f>
        <v>120</v>
      </c>
      <c r="AQ212" s="13">
        <f>ROUNDDOWN(MIN(IF(BC212+BD212=0,1000000000,AO212*BB212/(BC212+BD212)),IF(AK212&gt;0.33*SQRT([1]Parametros!$B$2)*H212*MIN(U212,AB212)/1000,MIN(U212,AB212)/4,MIN(U212,AB212)/2),600,IF(AV212=0,1000000000,2*((H212-2*([1]Parametros!$B$7+[1]Parametros!$B$9/2))+(I212-2*([1]Parametros!$B$7+[1]Parametros!$B$9/2)))/8))/10,0)*10</f>
        <v>120</v>
      </c>
      <c r="AR212" s="13">
        <f>[1]Parametros!$B$6*(AJ212+MAX(BE212-BD212,0)*[1]Parametros!$B$4*MIN(U212,AB212)/1000)</f>
        <v>724.52159456953518</v>
      </c>
      <c r="AS212" s="13" t="str">
        <f t="shared" si="44"/>
        <v>CUMPLE</v>
      </c>
      <c r="AT212" s="13">
        <f>[1]Parametros!$B$6*0.083*SQRT([1]Parametros!$B$2)*(H212*I212)^2/(2*(H212+I212))/1000000</f>
        <v>10.08878303333792</v>
      </c>
      <c r="AU212" s="13" t="str">
        <f t="shared" si="45"/>
        <v>DISEÑAR</v>
      </c>
      <c r="AV212" s="13">
        <f>IF(Q212&lt;=AT212,0,Q212*1000000/([1]Parametros!$B$6*2*0.85*(H212-2*([1]Parametros!$B$7+[1]Parametros!$B$9/2))*(I212-2*([1]Parametros!$B$7+[1]Parametros!$B$9/2))*[1]Parametros!$B$4))</f>
        <v>0.28177845991827571</v>
      </c>
      <c r="AW212" s="13">
        <f>AV212*2*((H212-2*([1]Parametros!$B$7+[1]Parametros!$B$9/2))+(I212-2*([1]Parametros!$B$7+[1]Parametros!$B$9/2)))*[1]Parametros!$B$4/[1]Parametros!$B$3</f>
        <v>459.0734668988548</v>
      </c>
      <c r="AX212" s="14">
        <v>8</v>
      </c>
      <c r="AY212" s="13" t="str">
        <f t="shared" si="46"/>
        <v>CUMPLE</v>
      </c>
      <c r="AZ212" s="13" t="str">
        <f t="shared" si="47"/>
        <v>CUMPLE</v>
      </c>
      <c r="BA212" s="14">
        <v>12.7</v>
      </c>
      <c r="BB212" s="14">
        <v>129</v>
      </c>
      <c r="BC212" s="13">
        <f>MAX(IF(AK212=0,0,AK212*1000/([1]Parametros!$B$4*MIN(U212,AB212))),MAX(0.062*SQRT([1]Parametros!$B$2)*H212/[1]Parametros!$B$4,0.35*H212/[1]Parametros!$B$4))</f>
        <v>3.3337540931882734</v>
      </c>
      <c r="BD212" s="13">
        <f t="shared" si="48"/>
        <v>0.56355691983655143</v>
      </c>
      <c r="BE212" s="13">
        <f t="shared" si="49"/>
        <v>4.3</v>
      </c>
      <c r="BF212" s="13">
        <f>SQRT((AI212*1000/(H212*MIN(U212,AB212)))^2+(Q212*1000000*2*((H212-2*([1]Parametros!$B$7+[1]Parametros!$B$9/2))+(I212-2*([1]Parametros!$B$7+[1]Parametros!$B$9/2)))/(1.7*((H212-2*([1]Parametros!$B$7+[1]Parametros!$B$9/2))*(I212-2*([1]Parametros!$B$7+[1]Parametros!$B$9/2)))^2))^2)</f>
        <v>3.1357798920165156</v>
      </c>
      <c r="BG212" s="13">
        <f>[1]Parametros!$B$6*(AJ212*1000/(H212*MIN(U212,AB212))+0.66*SQRT([1]Parametros!$B$2))</f>
        <v>3.2939603822754151</v>
      </c>
      <c r="BH212" s="13" t="str">
        <f t="shared" si="50"/>
        <v>CUMPLE</v>
      </c>
      <c r="BI212" s="13">
        <f>AX212*[1]Parametros!$B$8</f>
        <v>1592</v>
      </c>
      <c r="BJ212" s="15" t="str">
        <f t="shared" si="51"/>
        <v>CUMPLE</v>
      </c>
    </row>
    <row r="213" spans="1:62" x14ac:dyDescent="0.3">
      <c r="A213" s="41" t="s">
        <v>72</v>
      </c>
      <c r="B213" s="42">
        <v>272</v>
      </c>
      <c r="C213" s="13">
        <v>1</v>
      </c>
      <c r="D213" s="13">
        <v>4.5</v>
      </c>
      <c r="E213" s="13">
        <v>4.5</v>
      </c>
      <c r="F213" s="13">
        <v>450</v>
      </c>
      <c r="G213" s="13">
        <v>550</v>
      </c>
      <c r="H213" s="13">
        <v>450</v>
      </c>
      <c r="I213" s="13">
        <v>550</v>
      </c>
      <c r="J213" s="14">
        <v>151.25210000000001</v>
      </c>
      <c r="K213" s="13">
        <v>272</v>
      </c>
      <c r="L213" s="14">
        <v>127.8077</v>
      </c>
      <c r="M213" s="13">
        <v>272</v>
      </c>
      <c r="N213" s="14">
        <v>72.563000000000002</v>
      </c>
      <c r="O213" s="14">
        <v>265.57299999999998</v>
      </c>
      <c r="P213" s="13">
        <v>272</v>
      </c>
      <c r="Q213" s="14">
        <v>7.2523999999999997</v>
      </c>
      <c r="R213" s="13">
        <f>MAX(MAX(1.4/[1]Parametros!$B$3,0.25*SQRT([1]Parametros!$B$2)/[1]Parametros!$B$3)*H213*U213,(0.85*[1]Parametros!$B$2/[1]Parametros!$B$3)*(1-SQRT(1-2*(J213*1000000/([1]Parametros!$B$5*H213*U213^2))/(0.85*[1]Parametros!$B$2)))*H213*U213)</f>
        <v>846.39761370376414</v>
      </c>
      <c r="S213" s="14">
        <v>5</v>
      </c>
      <c r="T213" s="14">
        <v>1</v>
      </c>
      <c r="U213" s="13">
        <f>IF(T213=1,I213-([1]Parametros!$B$7+[1]Parametros!$B$9+[1]Parametros!$B$12/2),I213-(ROUNDUP(S213/2,0)*([1]Parametros!$B$7+[1]Parametros!$B$9+[1]Parametros!$B$12/2)+ROUNDDOWN(S213/2,0)*([1]Parametros!$B$7+[1]Parametros!$B$9+[1]Parametros!$B$12/2+[1]Parametros!$B$12+[1]Parametros!$B$10))/S213)</f>
        <v>489.35</v>
      </c>
      <c r="V213" s="13">
        <f>S213*[1]Parametros!$B$8</f>
        <v>995</v>
      </c>
      <c r="W213" s="13">
        <f>[1]Parametros!$B$5*V213*[1]Parametros!$B$3*(U213-(V213*[1]Parametros!$B$3/(0.85*[1]Parametros!$B$2*H213))/2)/1000000</f>
        <v>176.71159614705886</v>
      </c>
      <c r="X213" s="13" t="str">
        <f t="shared" si="39"/>
        <v>CUMPLE</v>
      </c>
      <c r="Y213" s="13">
        <f>MAX(MAX(1.4/[1]Parametros!$B$3,0.25*SQRT([1]Parametros!$B$2)/[1]Parametros!$B$3)*H213*AB213,(0.85*[1]Parametros!$B$2/[1]Parametros!$B$3)*(1-SQRT(1-2*(L213*1000000/([1]Parametros!$B$5*H213*AB213^2))/(0.85*[1]Parametros!$B$2)))*H213*AB213)</f>
        <v>734.02500000000009</v>
      </c>
      <c r="Z213" s="14">
        <v>4</v>
      </c>
      <c r="AA213" s="14">
        <v>1</v>
      </c>
      <c r="AB213" s="13">
        <f>IF(AA213=1,I213-([1]Parametros!$B$7+[1]Parametros!$B$9+[1]Parametros!$B$12/2),I213-(ROUNDUP(Z213/2,0)*([1]Parametros!$B$7+[1]Parametros!$B$9+[1]Parametros!$B$12/2)+ROUNDDOWN(Z213/2,0)*([1]Parametros!$B$7+[1]Parametros!$B$9+[1]Parametros!$B$12/2+[1]Parametros!$B$12+[1]Parametros!$B$10))/Z213)</f>
        <v>489.35</v>
      </c>
      <c r="AC213" s="13">
        <f>Z213*[1]Parametros!$B$8</f>
        <v>796</v>
      </c>
      <c r="AD213" s="13">
        <f>[1]Parametros!$B$5*AC213*[1]Parametros!$B$3*(AB213-(AC213*[1]Parametros!$B$3/(0.85*[1]Parametros!$B$2*H213))/2)/1000000</f>
        <v>142.54333009411764</v>
      </c>
      <c r="AE213" s="13" t="str">
        <f t="shared" si="40"/>
        <v>CUMPLE</v>
      </c>
      <c r="AF213" s="13">
        <f>V213*1.25*[1]Parametros!$B$3*(U213-(V213*1.25*[1]Parametros!$B$3/(0.85*[1]Parametros!$B$2*H213))/2)/1000000</f>
        <v>242.88491397058826</v>
      </c>
      <c r="AG213" s="13">
        <f>AC213*1.25*[1]Parametros!$B$3*(AB213-(AC213*1.25*[1]Parametros!$B$3/(0.85*[1]Parametros!$B$2*H213))/2)/1000000</f>
        <v>196.34621794117646</v>
      </c>
      <c r="AH213" s="13">
        <f t="shared" si="41"/>
        <v>170.16991820261438</v>
      </c>
      <c r="AI213" s="13">
        <f t="shared" si="42"/>
        <v>265.57299999999998</v>
      </c>
      <c r="AJ213" s="13">
        <f>0.17*SQRT([1]Parametros!$B$2)*H213*MIN(U213,AB213)/1000</f>
        <v>198.08885582262698</v>
      </c>
      <c r="AK213" s="13">
        <f>MAX(AI213/[1]Parametros!$B$6-AJ213,0)</f>
        <v>156.00847751070634</v>
      </c>
      <c r="AL213" s="13">
        <f>0.66*SQRT([1]Parametros!$B$2)*H213*MIN(U213,AB213)/1000</f>
        <v>769.05085201725785</v>
      </c>
      <c r="AM213" s="13" t="str">
        <f t="shared" si="43"/>
        <v>CUMPLE</v>
      </c>
      <c r="AN213" s="13" t="s">
        <v>64</v>
      </c>
      <c r="AO213" s="14">
        <v>2</v>
      </c>
      <c r="AP213" s="13">
        <f>ROUNDDOWN(MIN(IF(BC213+BD213=0,1000000000,AO213*BB213/(BC213+BD213)),MIN(U213,AB213)/4,8*[1]Parametros!$B$12,24*BA213,300,IF(AV213=0,1000000000,2*((H213-2*([1]Parametros!$B$7+[1]Parametros!$B$9/2))+(I213-2*([1]Parametros!$B$7+[1]Parametros!$B$9/2)))/8))/10,0)*10</f>
        <v>120</v>
      </c>
      <c r="AQ213" s="13">
        <f>ROUNDDOWN(MIN(IF(BC213+BD213=0,1000000000,AO213*BB213/(BC213+BD213)),IF(AK213&gt;0.33*SQRT([1]Parametros!$B$2)*H213*MIN(U213,AB213)/1000,MIN(U213,AB213)/4,MIN(U213,AB213)/2),600,IF(AV213=0,1000000000,2*((H213-2*([1]Parametros!$B$7+[1]Parametros!$B$9/2))+(I213-2*([1]Parametros!$B$7+[1]Parametros!$B$9/2)))/8))/10,0)*10</f>
        <v>180</v>
      </c>
      <c r="AR213" s="13">
        <f>[1]Parametros!$B$6*(AJ213+MAX(BE213-BD213,0)*[1]Parametros!$B$4*MIN(U213,AB213)/1000)</f>
        <v>330.97185436697026</v>
      </c>
      <c r="AS213" s="13" t="str">
        <f t="shared" si="44"/>
        <v>CUMPLE</v>
      </c>
      <c r="AT213" s="13">
        <f>[1]Parametros!$B$6*0.083*SQRT([1]Parametros!$B$2)*(H213*I213)^2/(2*(H213+I213))/1000000</f>
        <v>10.08878303333792</v>
      </c>
      <c r="AU213" s="13" t="str">
        <f t="shared" si="45"/>
        <v>DESPRECIABLE</v>
      </c>
      <c r="AV213" s="13">
        <f>IF(Q213&lt;=AT213,0,Q213*1000000/([1]Parametros!$B$6*2*0.85*(H213-2*([1]Parametros!$B$7+[1]Parametros!$B$9/2))*(I213-2*([1]Parametros!$B$7+[1]Parametros!$B$9/2))*[1]Parametros!$B$4))</f>
        <v>0</v>
      </c>
      <c r="AW213" s="13">
        <f>AV213*2*((H213-2*([1]Parametros!$B$7+[1]Parametros!$B$9/2))+(I213-2*([1]Parametros!$B$7+[1]Parametros!$B$9/2)))*[1]Parametros!$B$4/[1]Parametros!$B$3</f>
        <v>0</v>
      </c>
      <c r="AX213" s="14">
        <v>0</v>
      </c>
      <c r="AY213" s="13" t="str">
        <f t="shared" si="46"/>
        <v>DESPRECIABLE</v>
      </c>
      <c r="AZ213" s="13" t="str">
        <f t="shared" si="47"/>
        <v>CUMPLE</v>
      </c>
      <c r="BA213" s="14">
        <v>9.5</v>
      </c>
      <c r="BB213" s="14">
        <v>71</v>
      </c>
      <c r="BC213" s="13">
        <f>MAX(IF(AK213=0,0,AK213*1000/([1]Parametros!$B$4*MIN(U213,AB213))),MAX(0.062*SQRT([1]Parametros!$B$2)*H213/[1]Parametros!$B$4,0.35*H213/[1]Parametros!$B$4))</f>
        <v>0.75906560943674728</v>
      </c>
      <c r="BD213" s="13">
        <f t="shared" si="48"/>
        <v>0</v>
      </c>
      <c r="BE213" s="13">
        <f t="shared" si="49"/>
        <v>1.1833333333333333</v>
      </c>
      <c r="BF213" s="13">
        <f>SQRT((AI213*1000/(H213*MIN(U213,AB213)))^2+(Q213*1000000*2*((H213-2*([1]Parametros!$B$7+[1]Parametros!$B$9/2))+(I213-2*([1]Parametros!$B$7+[1]Parametros!$B$9/2)))/(1.7*((H213-2*([1]Parametros!$B$7+[1]Parametros!$B$9/2))*(I213-2*([1]Parametros!$B$7+[1]Parametros!$B$9/2)))^2))^2)</f>
        <v>1.2337918927652718</v>
      </c>
      <c r="BG213" s="13">
        <f>[1]Parametros!$B$6*(AJ213*1000/(H213*MIN(U213,AB213))+0.66*SQRT([1]Parametros!$B$2))</f>
        <v>3.2939603822754151</v>
      </c>
      <c r="BH213" s="13" t="str">
        <f t="shared" si="50"/>
        <v>CUMPLE</v>
      </c>
      <c r="BI213" s="13">
        <f>AX213*[1]Parametros!$B$8</f>
        <v>0</v>
      </c>
      <c r="BJ213" s="15" t="str">
        <f t="shared" si="51"/>
        <v>CUMPLE</v>
      </c>
    </row>
    <row r="214" spans="1:62" x14ac:dyDescent="0.3">
      <c r="A214" s="41" t="s">
        <v>72</v>
      </c>
      <c r="B214" s="42">
        <v>273</v>
      </c>
      <c r="C214" s="13">
        <v>1</v>
      </c>
      <c r="D214" s="13">
        <v>4.5</v>
      </c>
      <c r="E214" s="13">
        <v>4.5</v>
      </c>
      <c r="F214" s="13">
        <v>450</v>
      </c>
      <c r="G214" s="13">
        <v>550</v>
      </c>
      <c r="H214" s="13">
        <v>450</v>
      </c>
      <c r="I214" s="13">
        <v>550</v>
      </c>
      <c r="J214" s="14">
        <v>151.2542</v>
      </c>
      <c r="K214" s="13">
        <v>273</v>
      </c>
      <c r="L214" s="14">
        <v>127.8096</v>
      </c>
      <c r="M214" s="13">
        <v>273</v>
      </c>
      <c r="N214" s="14">
        <v>72.563999999999993</v>
      </c>
      <c r="O214" s="14">
        <v>265.57400000000001</v>
      </c>
      <c r="P214" s="13">
        <v>273</v>
      </c>
      <c r="Q214" s="14">
        <v>7.2519</v>
      </c>
      <c r="R214" s="13">
        <f>MAX(MAX(1.4/[1]Parametros!$B$3,0.25*SQRT([1]Parametros!$B$2)/[1]Parametros!$B$3)*H214*U214,(0.85*[1]Parametros!$B$2/[1]Parametros!$B$3)*(1-SQRT(1-2*(J214*1000000/([1]Parametros!$B$5*H214*U214^2))/(0.85*[1]Parametros!$B$2)))*H214*U214)</f>
        <v>846.40979272777452</v>
      </c>
      <c r="S214" s="14">
        <v>5</v>
      </c>
      <c r="T214" s="14">
        <v>1</v>
      </c>
      <c r="U214" s="13">
        <f>IF(T214=1,I214-([1]Parametros!$B$7+[1]Parametros!$B$9+[1]Parametros!$B$12/2),I214-(ROUNDUP(S214/2,0)*([1]Parametros!$B$7+[1]Parametros!$B$9+[1]Parametros!$B$12/2)+ROUNDDOWN(S214/2,0)*([1]Parametros!$B$7+[1]Parametros!$B$9+[1]Parametros!$B$12/2+[1]Parametros!$B$12+[1]Parametros!$B$10))/S214)</f>
        <v>489.35</v>
      </c>
      <c r="V214" s="13">
        <f>S214*[1]Parametros!$B$8</f>
        <v>995</v>
      </c>
      <c r="W214" s="13">
        <f>[1]Parametros!$B$5*V214*[1]Parametros!$B$3*(U214-(V214*[1]Parametros!$B$3/(0.85*[1]Parametros!$B$2*H214))/2)/1000000</f>
        <v>176.71159614705886</v>
      </c>
      <c r="X214" s="13" t="str">
        <f t="shared" si="39"/>
        <v>CUMPLE</v>
      </c>
      <c r="Y214" s="13">
        <f>MAX(MAX(1.4/[1]Parametros!$B$3,0.25*SQRT([1]Parametros!$B$2)/[1]Parametros!$B$3)*H214*AB214,(0.85*[1]Parametros!$B$2/[1]Parametros!$B$3)*(1-SQRT(1-2*(L214*1000000/([1]Parametros!$B$5*H214*AB214^2))/(0.85*[1]Parametros!$B$2)))*H214*AB214)</f>
        <v>734.02500000000009</v>
      </c>
      <c r="Z214" s="14">
        <v>4</v>
      </c>
      <c r="AA214" s="14">
        <v>1</v>
      </c>
      <c r="AB214" s="13">
        <f>IF(AA214=1,I214-([1]Parametros!$B$7+[1]Parametros!$B$9+[1]Parametros!$B$12/2),I214-(ROUNDUP(Z214/2,0)*([1]Parametros!$B$7+[1]Parametros!$B$9+[1]Parametros!$B$12/2)+ROUNDDOWN(Z214/2,0)*([1]Parametros!$B$7+[1]Parametros!$B$9+[1]Parametros!$B$12/2+[1]Parametros!$B$12+[1]Parametros!$B$10))/Z214)</f>
        <v>489.35</v>
      </c>
      <c r="AC214" s="13">
        <f>Z214*[1]Parametros!$B$8</f>
        <v>796</v>
      </c>
      <c r="AD214" s="13">
        <f>[1]Parametros!$B$5*AC214*[1]Parametros!$B$3*(AB214-(AC214*[1]Parametros!$B$3/(0.85*[1]Parametros!$B$2*H214))/2)/1000000</f>
        <v>142.54333009411764</v>
      </c>
      <c r="AE214" s="13" t="str">
        <f t="shared" si="40"/>
        <v>CUMPLE</v>
      </c>
      <c r="AF214" s="13">
        <f>V214*1.25*[1]Parametros!$B$3*(U214-(V214*1.25*[1]Parametros!$B$3/(0.85*[1]Parametros!$B$2*H214))/2)/1000000</f>
        <v>242.88491397058826</v>
      </c>
      <c r="AG214" s="13">
        <f>AC214*1.25*[1]Parametros!$B$3*(AB214-(AC214*1.25*[1]Parametros!$B$3/(0.85*[1]Parametros!$B$2*H214))/2)/1000000</f>
        <v>196.34621794117646</v>
      </c>
      <c r="AH214" s="13">
        <f t="shared" si="41"/>
        <v>170.17091820261436</v>
      </c>
      <c r="AI214" s="13">
        <f t="shared" si="42"/>
        <v>265.57400000000001</v>
      </c>
      <c r="AJ214" s="13">
        <f>0.17*SQRT([1]Parametros!$B$2)*H214*MIN(U214,AB214)/1000</f>
        <v>198.08885582262698</v>
      </c>
      <c r="AK214" s="13">
        <f>MAX(AI214/[1]Parametros!$B$6-AJ214,0)</f>
        <v>156.00981084403972</v>
      </c>
      <c r="AL214" s="13">
        <f>0.66*SQRT([1]Parametros!$B$2)*H214*MIN(U214,AB214)/1000</f>
        <v>769.05085201725785</v>
      </c>
      <c r="AM214" s="13" t="str">
        <f t="shared" si="43"/>
        <v>CUMPLE</v>
      </c>
      <c r="AN214" s="13" t="s">
        <v>64</v>
      </c>
      <c r="AO214" s="14">
        <v>2</v>
      </c>
      <c r="AP214" s="13">
        <f>ROUNDDOWN(MIN(IF(BC214+BD214=0,1000000000,AO214*BB214/(BC214+BD214)),MIN(U214,AB214)/4,8*[1]Parametros!$B$12,24*BA214,300,IF(AV214=0,1000000000,2*((H214-2*([1]Parametros!$B$7+[1]Parametros!$B$9/2))+(I214-2*([1]Parametros!$B$7+[1]Parametros!$B$9/2)))/8))/10,0)*10</f>
        <v>120</v>
      </c>
      <c r="AQ214" s="13">
        <f>ROUNDDOWN(MIN(IF(BC214+BD214=0,1000000000,AO214*BB214/(BC214+BD214)),IF(AK214&gt;0.33*SQRT([1]Parametros!$B$2)*H214*MIN(U214,AB214)/1000,MIN(U214,AB214)/4,MIN(U214,AB214)/2),600,IF(AV214=0,1000000000,2*((H214-2*([1]Parametros!$B$7+[1]Parametros!$B$9/2))+(I214-2*([1]Parametros!$B$7+[1]Parametros!$B$9/2)))/8))/10,0)*10</f>
        <v>180</v>
      </c>
      <c r="AR214" s="13">
        <f>[1]Parametros!$B$6*(AJ214+MAX(BE214-BD214,0)*[1]Parametros!$B$4*MIN(U214,AB214)/1000)</f>
        <v>330.97185436697026</v>
      </c>
      <c r="AS214" s="13" t="str">
        <f t="shared" si="44"/>
        <v>CUMPLE</v>
      </c>
      <c r="AT214" s="13">
        <f>[1]Parametros!$B$6*0.083*SQRT([1]Parametros!$B$2)*(H214*I214)^2/(2*(H214+I214))/1000000</f>
        <v>10.08878303333792</v>
      </c>
      <c r="AU214" s="13" t="str">
        <f t="shared" si="45"/>
        <v>DESPRECIABLE</v>
      </c>
      <c r="AV214" s="13">
        <f>IF(Q214&lt;=AT214,0,Q214*1000000/([1]Parametros!$B$6*2*0.85*(H214-2*([1]Parametros!$B$7+[1]Parametros!$B$9/2))*(I214-2*([1]Parametros!$B$7+[1]Parametros!$B$9/2))*[1]Parametros!$B$4))</f>
        <v>0</v>
      </c>
      <c r="AW214" s="13">
        <f>AV214*2*((H214-2*([1]Parametros!$B$7+[1]Parametros!$B$9/2))+(I214-2*([1]Parametros!$B$7+[1]Parametros!$B$9/2)))*[1]Parametros!$B$4/[1]Parametros!$B$3</f>
        <v>0</v>
      </c>
      <c r="AX214" s="14">
        <v>0</v>
      </c>
      <c r="AY214" s="13" t="str">
        <f t="shared" si="46"/>
        <v>DESPRECIABLE</v>
      </c>
      <c r="AZ214" s="13" t="str">
        <f t="shared" si="47"/>
        <v>CUMPLE</v>
      </c>
      <c r="BA214" s="14">
        <v>9.5</v>
      </c>
      <c r="BB214" s="14">
        <v>71</v>
      </c>
      <c r="BC214" s="13">
        <f>MAX(IF(AK214=0,0,AK214*1000/([1]Parametros!$B$4*MIN(U214,AB214))),MAX(0.062*SQRT([1]Parametros!$B$2)*H214/[1]Parametros!$B$4,0.35*H214/[1]Parametros!$B$4))</f>
        <v>0.75907209682445476</v>
      </c>
      <c r="BD214" s="13">
        <f t="shared" si="48"/>
        <v>0</v>
      </c>
      <c r="BE214" s="13">
        <f t="shared" si="49"/>
        <v>1.1833333333333333</v>
      </c>
      <c r="BF214" s="13">
        <f>SQRT((AI214*1000/(H214*MIN(U214,AB214)))^2+(Q214*1000000*2*((H214-2*([1]Parametros!$B$7+[1]Parametros!$B$9/2))+(I214-2*([1]Parametros!$B$7+[1]Parametros!$B$9/2)))/(1.7*((H214-2*([1]Parametros!$B$7+[1]Parametros!$B$9/2))*(I214-2*([1]Parametros!$B$7+[1]Parametros!$B$9/2)))^2))^2)</f>
        <v>1.2337925445792541</v>
      </c>
      <c r="BG214" s="13">
        <f>[1]Parametros!$B$6*(AJ214*1000/(H214*MIN(U214,AB214))+0.66*SQRT([1]Parametros!$B$2))</f>
        <v>3.2939603822754151</v>
      </c>
      <c r="BH214" s="13" t="str">
        <f t="shared" si="50"/>
        <v>CUMPLE</v>
      </c>
      <c r="BI214" s="13">
        <f>AX214*[1]Parametros!$B$8</f>
        <v>0</v>
      </c>
      <c r="BJ214" s="15" t="str">
        <f t="shared" si="51"/>
        <v>CUMPLE</v>
      </c>
    </row>
    <row r="215" spans="1:62" x14ac:dyDescent="0.3">
      <c r="A215" s="41" t="s">
        <v>72</v>
      </c>
      <c r="B215" s="42">
        <v>274</v>
      </c>
      <c r="C215" s="13">
        <v>1</v>
      </c>
      <c r="D215" s="13">
        <v>2.0499999999999998</v>
      </c>
      <c r="E215" s="13">
        <v>2.0499999999999998</v>
      </c>
      <c r="F215" s="13">
        <v>450</v>
      </c>
      <c r="G215" s="13">
        <v>550</v>
      </c>
      <c r="H215" s="13">
        <v>450</v>
      </c>
      <c r="I215" s="13">
        <v>550</v>
      </c>
      <c r="J215" s="14">
        <v>197.00450000000001</v>
      </c>
      <c r="K215" s="13">
        <v>274</v>
      </c>
      <c r="L215" s="14">
        <v>181.80930000000001</v>
      </c>
      <c r="M215" s="13">
        <v>274</v>
      </c>
      <c r="N215" s="14">
        <v>152.221</v>
      </c>
      <c r="O215" s="14">
        <v>662.44799999999998</v>
      </c>
      <c r="P215" s="13">
        <v>274</v>
      </c>
      <c r="Q215" s="14">
        <v>24.6539</v>
      </c>
      <c r="R215" s="13">
        <f>MAX(MAX(1.4/[1]Parametros!$B$3,0.25*SQRT([1]Parametros!$B$2)/[1]Parametros!$B$3)*H215*U215,(0.85*[1]Parametros!$B$2/[1]Parametros!$B$3)*(1-SQRT(1-2*(J215*1000000/([1]Parametros!$B$5*H215*U215^2))/(0.85*[1]Parametros!$B$2)))*H215*U215)</f>
        <v>1114.8376149176474</v>
      </c>
      <c r="S215" s="14">
        <v>6</v>
      </c>
      <c r="T215" s="14">
        <v>1</v>
      </c>
      <c r="U215" s="13">
        <f>IF(T215=1,I215-([1]Parametros!$B$7+[1]Parametros!$B$9+[1]Parametros!$B$12/2),I215-(ROUNDUP(S215/2,0)*([1]Parametros!$B$7+[1]Parametros!$B$9+[1]Parametros!$B$12/2)+ROUNDDOWN(S215/2,0)*([1]Parametros!$B$7+[1]Parametros!$B$9+[1]Parametros!$B$12/2+[1]Parametros!$B$12+[1]Parametros!$B$10))/S215)</f>
        <v>489.35</v>
      </c>
      <c r="V215" s="13">
        <f>S215*[1]Parametros!$B$8</f>
        <v>1194</v>
      </c>
      <c r="W215" s="13">
        <f>[1]Parametros!$B$5*V215*[1]Parametros!$B$3*(U215-(V215*[1]Parametros!$B$3/(0.85*[1]Parametros!$B$2*H215))/2)/1000000</f>
        <v>210.29283561176473</v>
      </c>
      <c r="X215" s="13" t="str">
        <f t="shared" si="39"/>
        <v>CUMPLE</v>
      </c>
      <c r="Y215" s="13">
        <f>MAX(MAX(1.4/[1]Parametros!$B$3,0.25*SQRT([1]Parametros!$B$2)/[1]Parametros!$B$3)*H215*AB215,(0.85*[1]Parametros!$B$2/[1]Parametros!$B$3)*(1-SQRT(1-2*(L215*1000000/([1]Parametros!$B$5*H215*AB215^2))/(0.85*[1]Parametros!$B$2)))*H215*AB215)</f>
        <v>1024.9860277895662</v>
      </c>
      <c r="Z215" s="14">
        <v>6</v>
      </c>
      <c r="AA215" s="14">
        <v>1</v>
      </c>
      <c r="AB215" s="13">
        <f>IF(AA215=1,I215-([1]Parametros!$B$7+[1]Parametros!$B$9+[1]Parametros!$B$12/2),I215-(ROUNDUP(Z215/2,0)*([1]Parametros!$B$7+[1]Parametros!$B$9+[1]Parametros!$B$12/2)+ROUNDDOWN(Z215/2,0)*([1]Parametros!$B$7+[1]Parametros!$B$9+[1]Parametros!$B$12/2+[1]Parametros!$B$12+[1]Parametros!$B$10))/Z215)</f>
        <v>489.35</v>
      </c>
      <c r="AC215" s="13">
        <f>Z215*[1]Parametros!$B$8</f>
        <v>1194</v>
      </c>
      <c r="AD215" s="13">
        <f>[1]Parametros!$B$5*AC215*[1]Parametros!$B$3*(AB215-(AC215*[1]Parametros!$B$3/(0.85*[1]Parametros!$B$2*H215))/2)/1000000</f>
        <v>210.29283561176473</v>
      </c>
      <c r="AE215" s="13" t="str">
        <f t="shared" si="40"/>
        <v>CUMPLE</v>
      </c>
      <c r="AF215" s="13">
        <f>V215*1.25*[1]Parametros!$B$3*(U215-(V215*1.25*[1]Parametros!$B$3/(0.85*[1]Parametros!$B$2*H215))/2)/1000000</f>
        <v>288.40446661764707</v>
      </c>
      <c r="AG215" s="13">
        <f>AC215*1.25*[1]Parametros!$B$3*(AB215-(AC215*1.25*[1]Parametros!$B$3/(0.85*[1]Parametros!$B$2*H215))/2)/1000000</f>
        <v>288.40446661764707</v>
      </c>
      <c r="AH215" s="13">
        <f t="shared" si="41"/>
        <v>433.59121133428988</v>
      </c>
      <c r="AI215" s="13">
        <f t="shared" si="42"/>
        <v>662.44799999999998</v>
      </c>
      <c r="AJ215" s="13">
        <f>0.17*SQRT([1]Parametros!$B$2)*H215*MIN(U215,AB215)/1000</f>
        <v>198.08885582262698</v>
      </c>
      <c r="AK215" s="13">
        <f>MAX(AI215/[1]Parametros!$B$6-AJ215,0)</f>
        <v>685.175144177373</v>
      </c>
      <c r="AL215" s="13">
        <f>0.66*SQRT([1]Parametros!$B$2)*H215*MIN(U215,AB215)/1000</f>
        <v>769.05085201725785</v>
      </c>
      <c r="AM215" s="13" t="str">
        <f t="shared" si="43"/>
        <v>CUMPLE</v>
      </c>
      <c r="AN215" s="13" t="s">
        <v>68</v>
      </c>
      <c r="AO215" s="14">
        <v>4</v>
      </c>
      <c r="AP215" s="13">
        <f>ROUNDDOWN(MIN(IF(BC215+BD215=0,1000000000,AO215*BB215/(BC215+BD215)),MIN(U215,AB215)/4,8*[1]Parametros!$B$12,24*BA215,300,IF(AV215=0,1000000000,2*((H215-2*([1]Parametros!$B$7+[1]Parametros!$B$9/2))+(I215-2*([1]Parametros!$B$7+[1]Parametros!$B$9/2)))/8))/10,0)*10</f>
        <v>120</v>
      </c>
      <c r="AQ215" s="13">
        <f>ROUNDDOWN(MIN(IF(BC215+BD215=0,1000000000,AO215*BB215/(BC215+BD215)),IF(AK215&gt;0.33*SQRT([1]Parametros!$B$2)*H215*MIN(U215,AB215)/1000,MIN(U215,AB215)/4,MIN(U215,AB215)/2),600,IF(AV215=0,1000000000,2*((H215-2*([1]Parametros!$B$7+[1]Parametros!$B$9/2))+(I215-2*([1]Parametros!$B$7+[1]Parametros!$B$9/2)))/8))/10,0)*10</f>
        <v>120</v>
      </c>
      <c r="AR215" s="13">
        <f>[1]Parametros!$B$6*(AJ215+MAX(BE215-BD215,0)*[1]Parametros!$B$4*MIN(U215,AB215)/1000)</f>
        <v>724.52476566238795</v>
      </c>
      <c r="AS215" s="13" t="str">
        <f t="shared" si="44"/>
        <v>CUMPLE</v>
      </c>
      <c r="AT215" s="13">
        <f>[1]Parametros!$B$6*0.083*SQRT([1]Parametros!$B$2)*(H215*I215)^2/(2*(H215+I215))/1000000</f>
        <v>10.08878303333792</v>
      </c>
      <c r="AU215" s="13" t="str">
        <f t="shared" si="45"/>
        <v>DISEÑAR</v>
      </c>
      <c r="AV215" s="13">
        <f>IF(Q215&lt;=AT215,0,Q215*1000000/([1]Parametros!$B$6*2*0.85*(H215-2*([1]Parametros!$B$7+[1]Parametros!$B$9/2))*(I215-2*([1]Parametros!$B$7+[1]Parametros!$B$9/2))*[1]Parametros!$B$4))</f>
        <v>0.28176817386387959</v>
      </c>
      <c r="AW215" s="13">
        <f>AV215*2*((H215-2*([1]Parametros!$B$7+[1]Parametros!$B$9/2))+(I215-2*([1]Parametros!$B$7+[1]Parametros!$B$9/2)))*[1]Parametros!$B$4/[1]Parametros!$B$3</f>
        <v>459.05670885903265</v>
      </c>
      <c r="AX215" s="14">
        <v>8</v>
      </c>
      <c r="AY215" s="13" t="str">
        <f t="shared" si="46"/>
        <v>CUMPLE</v>
      </c>
      <c r="AZ215" s="13" t="str">
        <f t="shared" si="47"/>
        <v>CUMPLE</v>
      </c>
      <c r="BA215" s="14">
        <v>12.7</v>
      </c>
      <c r="BB215" s="14">
        <v>129</v>
      </c>
      <c r="BC215" s="13">
        <f>MAX(IF(AK215=0,0,AK215*1000/([1]Parametros!$B$4*MIN(U215,AB215))),MAX(0.062*SQRT([1]Parametros!$B$2)*H215/[1]Parametros!$B$4,0.35*H215/[1]Parametros!$B$4))</f>
        <v>3.3337476058005664</v>
      </c>
      <c r="BD215" s="13">
        <f t="shared" si="48"/>
        <v>0.56353634772775918</v>
      </c>
      <c r="BE215" s="13">
        <f t="shared" si="49"/>
        <v>4.3</v>
      </c>
      <c r="BF215" s="13">
        <f>SQRT((AI215*1000/(H215*MIN(U215,AB215)))^2+(Q215*1000000*2*((H215-2*([1]Parametros!$B$7+[1]Parametros!$B$9/2))+(I215-2*([1]Parametros!$B$7+[1]Parametros!$B$9/2)))/(1.7*((H215-2*([1]Parametros!$B$7+[1]Parametros!$B$9/2))*(I215-2*([1]Parametros!$B$7+[1]Parametros!$B$9/2)))^2))^2)</f>
        <v>3.1357664173363093</v>
      </c>
      <c r="BG215" s="13">
        <f>[1]Parametros!$B$6*(AJ215*1000/(H215*MIN(U215,AB215))+0.66*SQRT([1]Parametros!$B$2))</f>
        <v>3.2939603822754151</v>
      </c>
      <c r="BH215" s="13" t="str">
        <f t="shared" si="50"/>
        <v>CUMPLE</v>
      </c>
      <c r="BI215" s="13">
        <f>AX215*[1]Parametros!$B$8</f>
        <v>1592</v>
      </c>
      <c r="BJ215" s="15" t="str">
        <f t="shared" si="51"/>
        <v>CUMPLE</v>
      </c>
    </row>
    <row r="216" spans="1:62" x14ac:dyDescent="0.3">
      <c r="A216" s="41" t="s">
        <v>72</v>
      </c>
      <c r="B216" s="42">
        <v>275</v>
      </c>
      <c r="C216" s="13">
        <v>1</v>
      </c>
      <c r="D216" s="13">
        <v>2.0499999999999998</v>
      </c>
      <c r="E216" s="13">
        <v>2.0499999999999998</v>
      </c>
      <c r="F216" s="13">
        <v>450</v>
      </c>
      <c r="G216" s="13">
        <v>550</v>
      </c>
      <c r="H216" s="13">
        <v>450</v>
      </c>
      <c r="I216" s="13">
        <v>550</v>
      </c>
      <c r="J216" s="14">
        <v>196.595</v>
      </c>
      <c r="K216" s="13">
        <v>275</v>
      </c>
      <c r="L216" s="14">
        <v>181.41720000000001</v>
      </c>
      <c r="M216" s="13">
        <v>275</v>
      </c>
      <c r="N216" s="14">
        <v>151.91900000000001</v>
      </c>
      <c r="O216" s="14">
        <v>662.99800000000005</v>
      </c>
      <c r="P216" s="13">
        <v>275</v>
      </c>
      <c r="Q216" s="14">
        <v>24.6965</v>
      </c>
      <c r="R216" s="13">
        <f>MAX(MAX(1.4/[1]Parametros!$B$3,0.25*SQRT([1]Parametros!$B$2)/[1]Parametros!$B$3)*H216*U216,(0.85*[1]Parametros!$B$2/[1]Parametros!$B$3)*(1-SQRT(1-2*(J216*1000000/([1]Parametros!$B$5*H216*U216^2))/(0.85*[1]Parametros!$B$2)))*H216*U216)</f>
        <v>1112.4068644169499</v>
      </c>
      <c r="S216" s="14">
        <v>6</v>
      </c>
      <c r="T216" s="14">
        <v>1</v>
      </c>
      <c r="U216" s="13">
        <f>IF(T216=1,I216-([1]Parametros!$B$7+[1]Parametros!$B$9+[1]Parametros!$B$12/2),I216-(ROUNDUP(S216/2,0)*([1]Parametros!$B$7+[1]Parametros!$B$9+[1]Parametros!$B$12/2)+ROUNDDOWN(S216/2,0)*([1]Parametros!$B$7+[1]Parametros!$B$9+[1]Parametros!$B$12/2+[1]Parametros!$B$12+[1]Parametros!$B$10))/S216)</f>
        <v>489.35</v>
      </c>
      <c r="V216" s="13">
        <f>S216*[1]Parametros!$B$8</f>
        <v>1194</v>
      </c>
      <c r="W216" s="13">
        <f>[1]Parametros!$B$5*V216*[1]Parametros!$B$3*(U216-(V216*[1]Parametros!$B$3/(0.85*[1]Parametros!$B$2*H216))/2)/1000000</f>
        <v>210.29283561176473</v>
      </c>
      <c r="X216" s="13" t="str">
        <f t="shared" si="39"/>
        <v>CUMPLE</v>
      </c>
      <c r="Y216" s="13">
        <f>MAX(MAX(1.4/[1]Parametros!$B$3,0.25*SQRT([1]Parametros!$B$2)/[1]Parametros!$B$3)*H216*AB216,(0.85*[1]Parametros!$B$2/[1]Parametros!$B$3)*(1-SQRT(1-2*(L216*1000000/([1]Parametros!$B$5*H216*AB216^2))/(0.85*[1]Parametros!$B$2)))*H216*AB216)</f>
        <v>1022.6768065775739</v>
      </c>
      <c r="Z216" s="14">
        <v>6</v>
      </c>
      <c r="AA216" s="14">
        <v>1</v>
      </c>
      <c r="AB216" s="13">
        <f>IF(AA216=1,I216-([1]Parametros!$B$7+[1]Parametros!$B$9+[1]Parametros!$B$12/2),I216-(ROUNDUP(Z216/2,0)*([1]Parametros!$B$7+[1]Parametros!$B$9+[1]Parametros!$B$12/2)+ROUNDDOWN(Z216/2,0)*([1]Parametros!$B$7+[1]Parametros!$B$9+[1]Parametros!$B$12/2+[1]Parametros!$B$12+[1]Parametros!$B$10))/Z216)</f>
        <v>489.35</v>
      </c>
      <c r="AC216" s="13">
        <f>Z216*[1]Parametros!$B$8</f>
        <v>1194</v>
      </c>
      <c r="AD216" s="13">
        <f>[1]Parametros!$B$5*AC216*[1]Parametros!$B$3*(AB216-(AC216*[1]Parametros!$B$3/(0.85*[1]Parametros!$B$2*H216))/2)/1000000</f>
        <v>210.29283561176473</v>
      </c>
      <c r="AE216" s="13" t="str">
        <f t="shared" si="40"/>
        <v>CUMPLE</v>
      </c>
      <c r="AF216" s="13">
        <f>V216*1.25*[1]Parametros!$B$3*(U216-(V216*1.25*[1]Parametros!$B$3/(0.85*[1]Parametros!$B$2*H216))/2)/1000000</f>
        <v>288.40446661764707</v>
      </c>
      <c r="AG216" s="13">
        <f>AC216*1.25*[1]Parametros!$B$3*(AB216-(AC216*1.25*[1]Parametros!$B$3/(0.85*[1]Parametros!$B$2*H216))/2)/1000000</f>
        <v>288.40446661764707</v>
      </c>
      <c r="AH216" s="13">
        <f t="shared" si="41"/>
        <v>433.28921133428992</v>
      </c>
      <c r="AI216" s="13">
        <f t="shared" si="42"/>
        <v>662.99800000000005</v>
      </c>
      <c r="AJ216" s="13">
        <f>0.17*SQRT([1]Parametros!$B$2)*H216*MIN(U216,AB216)/1000</f>
        <v>198.08885582262698</v>
      </c>
      <c r="AK216" s="13">
        <f>MAX(AI216/[1]Parametros!$B$6-AJ216,0)</f>
        <v>685.90847751070635</v>
      </c>
      <c r="AL216" s="13">
        <f>0.66*SQRT([1]Parametros!$B$2)*H216*MIN(U216,AB216)/1000</f>
        <v>769.05085201725785</v>
      </c>
      <c r="AM216" s="13" t="str">
        <f t="shared" si="43"/>
        <v>CUMPLE</v>
      </c>
      <c r="AN216" s="13" t="s">
        <v>68</v>
      </c>
      <c r="AO216" s="14">
        <v>4</v>
      </c>
      <c r="AP216" s="13">
        <f>ROUNDDOWN(MIN(IF(BC216+BD216=0,1000000000,AO216*BB216/(BC216+BD216)),MIN(U216,AB216)/4,8*[1]Parametros!$B$12,24*BA216,300,IF(AV216=0,1000000000,2*((H216-2*([1]Parametros!$B$7+[1]Parametros!$B$9/2))+(I216-2*([1]Parametros!$B$7+[1]Parametros!$B$9/2)))/8))/10,0)*10</f>
        <v>120</v>
      </c>
      <c r="AQ216" s="13">
        <f>ROUNDDOWN(MIN(IF(BC216+BD216=0,1000000000,AO216*BB216/(BC216+BD216)),IF(AK216&gt;0.33*SQRT([1]Parametros!$B$2)*H216*MIN(U216,AB216)/1000,MIN(U216,AB216)/4,MIN(U216,AB216)/2),600,IF(AV216=0,1000000000,2*((H216-2*([1]Parametros!$B$7+[1]Parametros!$B$9/2))+(I216-2*([1]Parametros!$B$7+[1]Parametros!$B$9/2)))/8))/10,0)*10</f>
        <v>120</v>
      </c>
      <c r="AR216" s="13">
        <f>[1]Parametros!$B$6*(AJ216+MAX(BE216-BD216,0)*[1]Parametros!$B$4*MIN(U216,AB216)/1000)</f>
        <v>724.37466726735443</v>
      </c>
      <c r="AS216" s="13" t="str">
        <f t="shared" si="44"/>
        <v>CUMPLE</v>
      </c>
      <c r="AT216" s="13">
        <f>[1]Parametros!$B$6*0.083*SQRT([1]Parametros!$B$2)*(H216*I216)^2/(2*(H216+I216))/1000000</f>
        <v>10.08878303333792</v>
      </c>
      <c r="AU216" s="13" t="str">
        <f t="shared" si="45"/>
        <v>DISEÑAR</v>
      </c>
      <c r="AV216" s="13">
        <f>IF(Q216&lt;=AT216,0,Q216*1000000/([1]Parametros!$B$6*2*0.85*(H216-2*([1]Parametros!$B$7+[1]Parametros!$B$9/2))*(I216-2*([1]Parametros!$B$7+[1]Parametros!$B$9/2))*[1]Parametros!$B$4))</f>
        <v>0.28225504710529781</v>
      </c>
      <c r="AW216" s="13">
        <f>AV216*2*((H216-2*([1]Parametros!$B$7+[1]Parametros!$B$9/2))+(I216-2*([1]Parametros!$B$7+[1]Parametros!$B$9/2)))*[1]Parametros!$B$4/[1]Parametros!$B$3</f>
        <v>459.8499227439512</v>
      </c>
      <c r="AX216" s="14">
        <v>8</v>
      </c>
      <c r="AY216" s="13" t="str">
        <f t="shared" si="46"/>
        <v>CUMPLE</v>
      </c>
      <c r="AZ216" s="13" t="str">
        <f t="shared" si="47"/>
        <v>CUMPLE</v>
      </c>
      <c r="BA216" s="14">
        <v>12.7</v>
      </c>
      <c r="BB216" s="14">
        <v>129</v>
      </c>
      <c r="BC216" s="13">
        <f>MAX(IF(AK216=0,0,AK216*1000/([1]Parametros!$B$4*MIN(U216,AB216))),MAX(0.062*SQRT([1]Parametros!$B$2)*H216/[1]Parametros!$B$4,0.35*H216/[1]Parametros!$B$4))</f>
        <v>3.3373156690396222</v>
      </c>
      <c r="BD216" s="13">
        <f t="shared" si="48"/>
        <v>0.56451009421059561</v>
      </c>
      <c r="BE216" s="13">
        <f t="shared" si="49"/>
        <v>4.3</v>
      </c>
      <c r="BF216" s="13">
        <f>SQRT((AI216*1000/(H216*MIN(U216,AB216)))^2+(Q216*1000000*2*((H216-2*([1]Parametros!$B$7+[1]Parametros!$B$9/2))+(I216-2*([1]Parametros!$B$7+[1]Parametros!$B$9/2)))/(1.7*((H216-2*([1]Parametros!$B$7+[1]Parametros!$B$9/2))*(I216-2*([1]Parametros!$B$7+[1]Parametros!$B$9/2)))^2))^2)</f>
        <v>3.1385942031185587</v>
      </c>
      <c r="BG216" s="13">
        <f>[1]Parametros!$B$6*(AJ216*1000/(H216*MIN(U216,AB216))+0.66*SQRT([1]Parametros!$B$2))</f>
        <v>3.2939603822754151</v>
      </c>
      <c r="BH216" s="13" t="str">
        <f t="shared" si="50"/>
        <v>CUMPLE</v>
      </c>
      <c r="BI216" s="13">
        <f>AX216*[1]Parametros!$B$8</f>
        <v>1592</v>
      </c>
      <c r="BJ216" s="15" t="str">
        <f t="shared" si="51"/>
        <v>CUMPLE</v>
      </c>
    </row>
    <row r="217" spans="1:62" x14ac:dyDescent="0.3">
      <c r="A217" s="41" t="s">
        <v>72</v>
      </c>
      <c r="B217" s="42">
        <v>276</v>
      </c>
      <c r="C217" s="13">
        <v>1</v>
      </c>
      <c r="D217" s="13">
        <v>4.5</v>
      </c>
      <c r="E217" s="13">
        <v>4.5</v>
      </c>
      <c r="F217" s="13">
        <v>450</v>
      </c>
      <c r="G217" s="13">
        <v>550</v>
      </c>
      <c r="H217" s="13">
        <v>450</v>
      </c>
      <c r="I217" s="13">
        <v>550</v>
      </c>
      <c r="J217" s="14">
        <v>151.77930000000001</v>
      </c>
      <c r="K217" s="13">
        <v>276</v>
      </c>
      <c r="L217" s="14">
        <v>128.2637</v>
      </c>
      <c r="M217" s="13">
        <v>276</v>
      </c>
      <c r="N217" s="14">
        <v>72.756</v>
      </c>
      <c r="O217" s="14">
        <v>265.91699999999997</v>
      </c>
      <c r="P217" s="13">
        <v>276</v>
      </c>
      <c r="Q217" s="14">
        <v>7.3826999999999998</v>
      </c>
      <c r="R217" s="13">
        <f>MAX(MAX(1.4/[1]Parametros!$B$3,0.25*SQRT([1]Parametros!$B$2)/[1]Parametros!$B$3)*H217*U217,(0.85*[1]Parametros!$B$2/[1]Parametros!$B$3)*(1-SQRT(1-2*(J217*1000000/([1]Parametros!$B$5*H217*U217^2))/(0.85*[1]Parametros!$B$2)))*H217*U217)</f>
        <v>849.45552902728309</v>
      </c>
      <c r="S217" s="14">
        <v>5</v>
      </c>
      <c r="T217" s="14">
        <v>1</v>
      </c>
      <c r="U217" s="13">
        <f>IF(T217=1,I217-([1]Parametros!$B$7+[1]Parametros!$B$9+[1]Parametros!$B$12/2),I217-(ROUNDUP(S217/2,0)*([1]Parametros!$B$7+[1]Parametros!$B$9+[1]Parametros!$B$12/2)+ROUNDDOWN(S217/2,0)*([1]Parametros!$B$7+[1]Parametros!$B$9+[1]Parametros!$B$12/2+[1]Parametros!$B$12+[1]Parametros!$B$10))/S217)</f>
        <v>489.35</v>
      </c>
      <c r="V217" s="13">
        <f>S217*[1]Parametros!$B$8</f>
        <v>995</v>
      </c>
      <c r="W217" s="13">
        <f>[1]Parametros!$B$5*V217*[1]Parametros!$B$3*(U217-(V217*[1]Parametros!$B$3/(0.85*[1]Parametros!$B$2*H217))/2)/1000000</f>
        <v>176.71159614705886</v>
      </c>
      <c r="X217" s="13" t="str">
        <f t="shared" si="39"/>
        <v>CUMPLE</v>
      </c>
      <c r="Y217" s="13">
        <f>MAX(MAX(1.4/[1]Parametros!$B$3,0.25*SQRT([1]Parametros!$B$2)/[1]Parametros!$B$3)*H217*AB217,(0.85*[1]Parametros!$B$2/[1]Parametros!$B$3)*(1-SQRT(1-2*(L217*1000000/([1]Parametros!$B$5*H217*AB217^2))/(0.85*[1]Parametros!$B$2)))*H217*AB217)</f>
        <v>734.02500000000009</v>
      </c>
      <c r="Z217" s="14">
        <v>4</v>
      </c>
      <c r="AA217" s="14">
        <v>1</v>
      </c>
      <c r="AB217" s="13">
        <f>IF(AA217=1,I217-([1]Parametros!$B$7+[1]Parametros!$B$9+[1]Parametros!$B$12/2),I217-(ROUNDUP(Z217/2,0)*([1]Parametros!$B$7+[1]Parametros!$B$9+[1]Parametros!$B$12/2)+ROUNDDOWN(Z217/2,0)*([1]Parametros!$B$7+[1]Parametros!$B$9+[1]Parametros!$B$12/2+[1]Parametros!$B$12+[1]Parametros!$B$10))/Z217)</f>
        <v>489.35</v>
      </c>
      <c r="AC217" s="13">
        <f>Z217*[1]Parametros!$B$8</f>
        <v>796</v>
      </c>
      <c r="AD217" s="13">
        <f>[1]Parametros!$B$5*AC217*[1]Parametros!$B$3*(AB217-(AC217*[1]Parametros!$B$3/(0.85*[1]Parametros!$B$2*H217))/2)/1000000</f>
        <v>142.54333009411764</v>
      </c>
      <c r="AE217" s="13" t="str">
        <f t="shared" si="40"/>
        <v>CUMPLE</v>
      </c>
      <c r="AF217" s="13">
        <f>V217*1.25*[1]Parametros!$B$3*(U217-(V217*1.25*[1]Parametros!$B$3/(0.85*[1]Parametros!$B$2*H217))/2)/1000000</f>
        <v>242.88491397058826</v>
      </c>
      <c r="AG217" s="13">
        <f>AC217*1.25*[1]Parametros!$B$3*(AB217-(AC217*1.25*[1]Parametros!$B$3/(0.85*[1]Parametros!$B$2*H217))/2)/1000000</f>
        <v>196.34621794117646</v>
      </c>
      <c r="AH217" s="13">
        <f t="shared" si="41"/>
        <v>170.36291820261437</v>
      </c>
      <c r="AI217" s="13">
        <f t="shared" si="42"/>
        <v>265.91699999999997</v>
      </c>
      <c r="AJ217" s="13">
        <f>0.17*SQRT([1]Parametros!$B$2)*H217*MIN(U217,AB217)/1000</f>
        <v>198.08885582262698</v>
      </c>
      <c r="AK217" s="13">
        <f>MAX(AI217/[1]Parametros!$B$6-AJ217,0)</f>
        <v>156.467144177373</v>
      </c>
      <c r="AL217" s="13">
        <f>0.66*SQRT([1]Parametros!$B$2)*H217*MIN(U217,AB217)/1000</f>
        <v>769.05085201725785</v>
      </c>
      <c r="AM217" s="13" t="str">
        <f t="shared" si="43"/>
        <v>CUMPLE</v>
      </c>
      <c r="AN217" s="13" t="s">
        <v>64</v>
      </c>
      <c r="AO217" s="14">
        <v>2</v>
      </c>
      <c r="AP217" s="13">
        <f>ROUNDDOWN(MIN(IF(BC217+BD217=0,1000000000,AO217*BB217/(BC217+BD217)),MIN(U217,AB217)/4,8*[1]Parametros!$B$12,24*BA217,300,IF(AV217=0,1000000000,2*((H217-2*([1]Parametros!$B$7+[1]Parametros!$B$9/2))+(I217-2*([1]Parametros!$B$7+[1]Parametros!$B$9/2)))/8))/10,0)*10</f>
        <v>120</v>
      </c>
      <c r="AQ217" s="13">
        <f>ROUNDDOWN(MIN(IF(BC217+BD217=0,1000000000,AO217*BB217/(BC217+BD217)),IF(AK217&gt;0.33*SQRT([1]Parametros!$B$2)*H217*MIN(U217,AB217)/1000,MIN(U217,AB217)/4,MIN(U217,AB217)/2),600,IF(AV217=0,1000000000,2*((H217-2*([1]Parametros!$B$7+[1]Parametros!$B$9/2))+(I217-2*([1]Parametros!$B$7+[1]Parametros!$B$9/2)))/8))/10,0)*10</f>
        <v>180</v>
      </c>
      <c r="AR217" s="13">
        <f>[1]Parametros!$B$6*(AJ217+MAX(BE217-BD217,0)*[1]Parametros!$B$4*MIN(U217,AB217)/1000)</f>
        <v>330.97185436697026</v>
      </c>
      <c r="AS217" s="13" t="str">
        <f t="shared" si="44"/>
        <v>CUMPLE</v>
      </c>
      <c r="AT217" s="13">
        <f>[1]Parametros!$B$6*0.083*SQRT([1]Parametros!$B$2)*(H217*I217)^2/(2*(H217+I217))/1000000</f>
        <v>10.08878303333792</v>
      </c>
      <c r="AU217" s="13" t="str">
        <f t="shared" si="45"/>
        <v>DESPRECIABLE</v>
      </c>
      <c r="AV217" s="13">
        <f>IF(Q217&lt;=AT217,0,Q217*1000000/([1]Parametros!$B$6*2*0.85*(H217-2*([1]Parametros!$B$7+[1]Parametros!$B$9/2))*(I217-2*([1]Parametros!$B$7+[1]Parametros!$B$9/2))*[1]Parametros!$B$4))</f>
        <v>0</v>
      </c>
      <c r="AW217" s="13">
        <f>AV217*2*((H217-2*([1]Parametros!$B$7+[1]Parametros!$B$9/2))+(I217-2*([1]Parametros!$B$7+[1]Parametros!$B$9/2)))*[1]Parametros!$B$4/[1]Parametros!$B$3</f>
        <v>0</v>
      </c>
      <c r="AX217" s="14">
        <v>0</v>
      </c>
      <c r="AY217" s="13" t="str">
        <f t="shared" si="46"/>
        <v>DESPRECIABLE</v>
      </c>
      <c r="AZ217" s="13" t="str">
        <f t="shared" si="47"/>
        <v>CUMPLE</v>
      </c>
      <c r="BA217" s="14">
        <v>9.5</v>
      </c>
      <c r="BB217" s="14">
        <v>71</v>
      </c>
      <c r="BC217" s="13">
        <f>MAX(IF(AK217=0,0,AK217*1000/([1]Parametros!$B$4*MIN(U217,AB217))),MAX(0.062*SQRT([1]Parametros!$B$2)*H217/[1]Parametros!$B$4,0.35*H217/[1]Parametros!$B$4))</f>
        <v>0.76129727080808363</v>
      </c>
      <c r="BD217" s="13">
        <f t="shared" si="48"/>
        <v>0</v>
      </c>
      <c r="BE217" s="13">
        <f t="shared" si="49"/>
        <v>1.1833333333333333</v>
      </c>
      <c r="BF217" s="13">
        <f>SQRT((AI217*1000/(H217*MIN(U217,AB217)))^2+(Q217*1000000*2*((H217-2*([1]Parametros!$B$7+[1]Parametros!$B$9/2))+(I217-2*([1]Parametros!$B$7+[1]Parametros!$B$9/2)))/(1.7*((H217-2*([1]Parametros!$B$7+[1]Parametros!$B$9/2))*(I217-2*([1]Parametros!$B$7+[1]Parametros!$B$9/2)))^2))^2)</f>
        <v>1.2363131191690104</v>
      </c>
      <c r="BG217" s="13">
        <f>[1]Parametros!$B$6*(AJ217*1000/(H217*MIN(U217,AB217))+0.66*SQRT([1]Parametros!$B$2))</f>
        <v>3.2939603822754151</v>
      </c>
      <c r="BH217" s="13" t="str">
        <f t="shared" si="50"/>
        <v>CUMPLE</v>
      </c>
      <c r="BI217" s="13">
        <f>AX217*[1]Parametros!$B$8</f>
        <v>0</v>
      </c>
      <c r="BJ217" s="15" t="str">
        <f t="shared" si="51"/>
        <v>CUMPLE</v>
      </c>
    </row>
    <row r="218" spans="1:62" x14ac:dyDescent="0.3">
      <c r="A218" s="41" t="s">
        <v>72</v>
      </c>
      <c r="B218" s="42">
        <v>277</v>
      </c>
      <c r="C218" s="13">
        <v>1</v>
      </c>
      <c r="D218" s="13">
        <v>4.5</v>
      </c>
      <c r="E218" s="13">
        <v>4.5</v>
      </c>
      <c r="F218" s="13">
        <v>450</v>
      </c>
      <c r="G218" s="13">
        <v>550</v>
      </c>
      <c r="H218" s="13">
        <v>450</v>
      </c>
      <c r="I218" s="13">
        <v>550</v>
      </c>
      <c r="J218" s="14">
        <v>151.7739</v>
      </c>
      <c r="K218" s="13">
        <v>277</v>
      </c>
      <c r="L218" s="14">
        <v>128.25819999999999</v>
      </c>
      <c r="M218" s="13">
        <v>277</v>
      </c>
      <c r="N218" s="14">
        <v>72.754000000000005</v>
      </c>
      <c r="O218" s="14">
        <v>265.91399999999999</v>
      </c>
      <c r="P218" s="13">
        <v>277</v>
      </c>
      <c r="Q218" s="14">
        <v>7.3832000000000004</v>
      </c>
      <c r="R218" s="13">
        <f>MAX(MAX(1.4/[1]Parametros!$B$3,0.25*SQRT([1]Parametros!$B$2)/[1]Parametros!$B$3)*H218*U218,(0.85*[1]Parametros!$B$2/[1]Parametros!$B$3)*(1-SQRT(1-2*(J218*1000000/([1]Parametros!$B$5*H218*U218^2))/(0.85*[1]Parametros!$B$2)))*H218*U218)</f>
        <v>849.42420336041732</v>
      </c>
      <c r="S218" s="14">
        <v>5</v>
      </c>
      <c r="T218" s="14">
        <v>1</v>
      </c>
      <c r="U218" s="13">
        <f>IF(T218=1,I218-([1]Parametros!$B$7+[1]Parametros!$B$9+[1]Parametros!$B$12/2),I218-(ROUNDUP(S218/2,0)*([1]Parametros!$B$7+[1]Parametros!$B$9+[1]Parametros!$B$12/2)+ROUNDDOWN(S218/2,0)*([1]Parametros!$B$7+[1]Parametros!$B$9+[1]Parametros!$B$12/2+[1]Parametros!$B$12+[1]Parametros!$B$10))/S218)</f>
        <v>489.35</v>
      </c>
      <c r="V218" s="13">
        <f>S218*[1]Parametros!$B$8</f>
        <v>995</v>
      </c>
      <c r="W218" s="13">
        <f>[1]Parametros!$B$5*V218*[1]Parametros!$B$3*(U218-(V218*[1]Parametros!$B$3/(0.85*[1]Parametros!$B$2*H218))/2)/1000000</f>
        <v>176.71159614705886</v>
      </c>
      <c r="X218" s="13" t="str">
        <f t="shared" si="39"/>
        <v>CUMPLE</v>
      </c>
      <c r="Y218" s="13">
        <f>MAX(MAX(1.4/[1]Parametros!$B$3,0.25*SQRT([1]Parametros!$B$2)/[1]Parametros!$B$3)*H218*AB218,(0.85*[1]Parametros!$B$2/[1]Parametros!$B$3)*(1-SQRT(1-2*(L218*1000000/([1]Parametros!$B$5*H218*AB218^2))/(0.85*[1]Parametros!$B$2)))*H218*AB218)</f>
        <v>734.02500000000009</v>
      </c>
      <c r="Z218" s="14">
        <v>4</v>
      </c>
      <c r="AA218" s="14">
        <v>1</v>
      </c>
      <c r="AB218" s="13">
        <f>IF(AA218=1,I218-([1]Parametros!$B$7+[1]Parametros!$B$9+[1]Parametros!$B$12/2),I218-(ROUNDUP(Z218/2,0)*([1]Parametros!$B$7+[1]Parametros!$B$9+[1]Parametros!$B$12/2)+ROUNDDOWN(Z218/2,0)*([1]Parametros!$B$7+[1]Parametros!$B$9+[1]Parametros!$B$12/2+[1]Parametros!$B$12+[1]Parametros!$B$10))/Z218)</f>
        <v>489.35</v>
      </c>
      <c r="AC218" s="13">
        <f>Z218*[1]Parametros!$B$8</f>
        <v>796</v>
      </c>
      <c r="AD218" s="13">
        <f>[1]Parametros!$B$5*AC218*[1]Parametros!$B$3*(AB218-(AC218*[1]Parametros!$B$3/(0.85*[1]Parametros!$B$2*H218))/2)/1000000</f>
        <v>142.54333009411764</v>
      </c>
      <c r="AE218" s="13" t="str">
        <f t="shared" si="40"/>
        <v>CUMPLE</v>
      </c>
      <c r="AF218" s="13">
        <f>V218*1.25*[1]Parametros!$B$3*(U218-(V218*1.25*[1]Parametros!$B$3/(0.85*[1]Parametros!$B$2*H218))/2)/1000000</f>
        <v>242.88491397058826</v>
      </c>
      <c r="AG218" s="13">
        <f>AC218*1.25*[1]Parametros!$B$3*(AB218-(AC218*1.25*[1]Parametros!$B$3/(0.85*[1]Parametros!$B$2*H218))/2)/1000000</f>
        <v>196.34621794117646</v>
      </c>
      <c r="AH218" s="13">
        <f t="shared" si="41"/>
        <v>170.36091820261439</v>
      </c>
      <c r="AI218" s="13">
        <f t="shared" si="42"/>
        <v>265.91399999999999</v>
      </c>
      <c r="AJ218" s="13">
        <f>0.17*SQRT([1]Parametros!$B$2)*H218*MIN(U218,AB218)/1000</f>
        <v>198.08885582262698</v>
      </c>
      <c r="AK218" s="13">
        <f>MAX(AI218/[1]Parametros!$B$6-AJ218,0)</f>
        <v>156.46314417737298</v>
      </c>
      <c r="AL218" s="13">
        <f>0.66*SQRT([1]Parametros!$B$2)*H218*MIN(U218,AB218)/1000</f>
        <v>769.05085201725785</v>
      </c>
      <c r="AM218" s="13" t="str">
        <f t="shared" si="43"/>
        <v>CUMPLE</v>
      </c>
      <c r="AN218" s="13" t="s">
        <v>64</v>
      </c>
      <c r="AO218" s="14">
        <v>2</v>
      </c>
      <c r="AP218" s="13">
        <f>ROUNDDOWN(MIN(IF(BC218+BD218=0,1000000000,AO218*BB218/(BC218+BD218)),MIN(U218,AB218)/4,8*[1]Parametros!$B$12,24*BA218,300,IF(AV218=0,1000000000,2*((H218-2*([1]Parametros!$B$7+[1]Parametros!$B$9/2))+(I218-2*([1]Parametros!$B$7+[1]Parametros!$B$9/2)))/8))/10,0)*10</f>
        <v>120</v>
      </c>
      <c r="AQ218" s="13">
        <f>ROUNDDOWN(MIN(IF(BC218+BD218=0,1000000000,AO218*BB218/(BC218+BD218)),IF(AK218&gt;0.33*SQRT([1]Parametros!$B$2)*H218*MIN(U218,AB218)/1000,MIN(U218,AB218)/4,MIN(U218,AB218)/2),600,IF(AV218=0,1000000000,2*((H218-2*([1]Parametros!$B$7+[1]Parametros!$B$9/2))+(I218-2*([1]Parametros!$B$7+[1]Parametros!$B$9/2)))/8))/10,0)*10</f>
        <v>180</v>
      </c>
      <c r="AR218" s="13">
        <f>[1]Parametros!$B$6*(AJ218+MAX(BE218-BD218,0)*[1]Parametros!$B$4*MIN(U218,AB218)/1000)</f>
        <v>330.97185436697026</v>
      </c>
      <c r="AS218" s="13" t="str">
        <f t="shared" si="44"/>
        <v>CUMPLE</v>
      </c>
      <c r="AT218" s="13">
        <f>[1]Parametros!$B$6*0.083*SQRT([1]Parametros!$B$2)*(H218*I218)^2/(2*(H218+I218))/1000000</f>
        <v>10.08878303333792</v>
      </c>
      <c r="AU218" s="13" t="str">
        <f t="shared" si="45"/>
        <v>DESPRECIABLE</v>
      </c>
      <c r="AV218" s="13">
        <f>IF(Q218&lt;=AT218,0,Q218*1000000/([1]Parametros!$B$6*2*0.85*(H218-2*([1]Parametros!$B$7+[1]Parametros!$B$9/2))*(I218-2*([1]Parametros!$B$7+[1]Parametros!$B$9/2))*[1]Parametros!$B$4))</f>
        <v>0</v>
      </c>
      <c r="AW218" s="13">
        <f>AV218*2*((H218-2*([1]Parametros!$B$7+[1]Parametros!$B$9/2))+(I218-2*([1]Parametros!$B$7+[1]Parametros!$B$9/2)))*[1]Parametros!$B$4/[1]Parametros!$B$3</f>
        <v>0</v>
      </c>
      <c r="AX218" s="14">
        <v>0</v>
      </c>
      <c r="AY218" s="13" t="str">
        <f t="shared" si="46"/>
        <v>DESPRECIABLE</v>
      </c>
      <c r="AZ218" s="13" t="str">
        <f t="shared" si="47"/>
        <v>CUMPLE</v>
      </c>
      <c r="BA218" s="14">
        <v>9.5</v>
      </c>
      <c r="BB218" s="14">
        <v>71</v>
      </c>
      <c r="BC218" s="13">
        <f>MAX(IF(AK218=0,0,AK218*1000/([1]Parametros!$B$4*MIN(U218,AB218))),MAX(0.062*SQRT([1]Parametros!$B$2)*H218/[1]Parametros!$B$4,0.35*H218/[1]Parametros!$B$4))</f>
        <v>0.76127780864496142</v>
      </c>
      <c r="BD218" s="13">
        <f t="shared" si="48"/>
        <v>0</v>
      </c>
      <c r="BE218" s="13">
        <f t="shared" si="49"/>
        <v>1.1833333333333333</v>
      </c>
      <c r="BF218" s="13">
        <f>SQRT((AI218*1000/(H218*MIN(U218,AB218)))^2+(Q218*1000000*2*((H218-2*([1]Parametros!$B$7+[1]Parametros!$B$9/2))+(I218-2*([1]Parametros!$B$7+[1]Parametros!$B$9/2)))/(1.7*((H218-2*([1]Parametros!$B$7+[1]Parametros!$B$9/2))*(I218-2*([1]Parametros!$B$7+[1]Parametros!$B$9/2)))^2))^2)</f>
        <v>1.2363036599373709</v>
      </c>
      <c r="BG218" s="13">
        <f>[1]Parametros!$B$6*(AJ218*1000/(H218*MIN(U218,AB218))+0.66*SQRT([1]Parametros!$B$2))</f>
        <v>3.2939603822754151</v>
      </c>
      <c r="BH218" s="13" t="str">
        <f t="shared" si="50"/>
        <v>CUMPLE</v>
      </c>
      <c r="BI218" s="13">
        <f>AX218*[1]Parametros!$B$8</f>
        <v>0</v>
      </c>
      <c r="BJ218" s="15" t="str">
        <f t="shared" si="51"/>
        <v>CUMPLE</v>
      </c>
    </row>
    <row r="219" spans="1:62" x14ac:dyDescent="0.3">
      <c r="A219" s="41" t="s">
        <v>72</v>
      </c>
      <c r="B219" s="42">
        <v>278</v>
      </c>
      <c r="C219" s="13">
        <v>1</v>
      </c>
      <c r="D219" s="13">
        <v>2.0499999999999998</v>
      </c>
      <c r="E219" s="13">
        <v>2.0499999999999998</v>
      </c>
      <c r="F219" s="13">
        <v>450</v>
      </c>
      <c r="G219" s="13">
        <v>550</v>
      </c>
      <c r="H219" s="13">
        <v>450</v>
      </c>
      <c r="I219" s="13">
        <v>550</v>
      </c>
      <c r="J219" s="14">
        <v>196.58969999999999</v>
      </c>
      <c r="K219" s="13">
        <v>278</v>
      </c>
      <c r="L219" s="14">
        <v>181.4127</v>
      </c>
      <c r="M219" s="13">
        <v>278</v>
      </c>
      <c r="N219" s="14">
        <v>151.91499999999999</v>
      </c>
      <c r="O219" s="14">
        <v>662.99400000000003</v>
      </c>
      <c r="P219" s="13">
        <v>278</v>
      </c>
      <c r="Q219" s="14">
        <v>24.697399999999998</v>
      </c>
      <c r="R219" s="13">
        <f>MAX(MAX(1.4/[1]Parametros!$B$3,0.25*SQRT([1]Parametros!$B$2)/[1]Parametros!$B$3)*H219*U219,(0.85*[1]Parametros!$B$2/[1]Parametros!$B$3)*(1-SQRT(1-2*(J219*1000000/([1]Parametros!$B$5*H219*U219^2))/(0.85*[1]Parametros!$B$2)))*H219*U219)</f>
        <v>1112.3754075616546</v>
      </c>
      <c r="S219" s="14">
        <v>6</v>
      </c>
      <c r="T219" s="14">
        <v>1</v>
      </c>
      <c r="U219" s="13">
        <f>IF(T219=1,I219-([1]Parametros!$B$7+[1]Parametros!$B$9+[1]Parametros!$B$12/2),I219-(ROUNDUP(S219/2,0)*([1]Parametros!$B$7+[1]Parametros!$B$9+[1]Parametros!$B$12/2)+ROUNDDOWN(S219/2,0)*([1]Parametros!$B$7+[1]Parametros!$B$9+[1]Parametros!$B$12/2+[1]Parametros!$B$12+[1]Parametros!$B$10))/S219)</f>
        <v>489.35</v>
      </c>
      <c r="V219" s="13">
        <f>S219*[1]Parametros!$B$8</f>
        <v>1194</v>
      </c>
      <c r="W219" s="13">
        <f>[1]Parametros!$B$5*V219*[1]Parametros!$B$3*(U219-(V219*[1]Parametros!$B$3/(0.85*[1]Parametros!$B$2*H219))/2)/1000000</f>
        <v>210.29283561176473</v>
      </c>
      <c r="X219" s="13" t="str">
        <f t="shared" si="39"/>
        <v>CUMPLE</v>
      </c>
      <c r="Y219" s="13">
        <f>MAX(MAX(1.4/[1]Parametros!$B$3,0.25*SQRT([1]Parametros!$B$2)/[1]Parametros!$B$3)*H219*AB219,(0.85*[1]Parametros!$B$2/[1]Parametros!$B$3)*(1-SQRT(1-2*(L219*1000000/([1]Parametros!$B$5*H219*AB219^2))/(0.85*[1]Parametros!$B$2)))*H219*AB219)</f>
        <v>1022.6503071231218</v>
      </c>
      <c r="Z219" s="14">
        <v>6</v>
      </c>
      <c r="AA219" s="14">
        <v>1</v>
      </c>
      <c r="AB219" s="13">
        <f>IF(AA219=1,I219-([1]Parametros!$B$7+[1]Parametros!$B$9+[1]Parametros!$B$12/2),I219-(ROUNDUP(Z219/2,0)*([1]Parametros!$B$7+[1]Parametros!$B$9+[1]Parametros!$B$12/2)+ROUNDDOWN(Z219/2,0)*([1]Parametros!$B$7+[1]Parametros!$B$9+[1]Parametros!$B$12/2+[1]Parametros!$B$12+[1]Parametros!$B$10))/Z219)</f>
        <v>489.35</v>
      </c>
      <c r="AC219" s="13">
        <f>Z219*[1]Parametros!$B$8</f>
        <v>1194</v>
      </c>
      <c r="AD219" s="13">
        <f>[1]Parametros!$B$5*AC219*[1]Parametros!$B$3*(AB219-(AC219*[1]Parametros!$B$3/(0.85*[1]Parametros!$B$2*H219))/2)/1000000</f>
        <v>210.29283561176473</v>
      </c>
      <c r="AE219" s="13" t="str">
        <f t="shared" si="40"/>
        <v>CUMPLE</v>
      </c>
      <c r="AF219" s="13">
        <f>V219*1.25*[1]Parametros!$B$3*(U219-(V219*1.25*[1]Parametros!$B$3/(0.85*[1]Parametros!$B$2*H219))/2)/1000000</f>
        <v>288.40446661764707</v>
      </c>
      <c r="AG219" s="13">
        <f>AC219*1.25*[1]Parametros!$B$3*(AB219-(AC219*1.25*[1]Parametros!$B$3/(0.85*[1]Parametros!$B$2*H219))/2)/1000000</f>
        <v>288.40446661764707</v>
      </c>
      <c r="AH219" s="13">
        <f t="shared" si="41"/>
        <v>433.2852113342899</v>
      </c>
      <c r="AI219" s="13">
        <f t="shared" si="42"/>
        <v>662.99400000000003</v>
      </c>
      <c r="AJ219" s="13">
        <f>0.17*SQRT([1]Parametros!$B$2)*H219*MIN(U219,AB219)/1000</f>
        <v>198.08885582262698</v>
      </c>
      <c r="AK219" s="13">
        <f>MAX(AI219/[1]Parametros!$B$6-AJ219,0)</f>
        <v>685.90314417737306</v>
      </c>
      <c r="AL219" s="13">
        <f>0.66*SQRT([1]Parametros!$B$2)*H219*MIN(U219,AB219)/1000</f>
        <v>769.05085201725785</v>
      </c>
      <c r="AM219" s="13" t="str">
        <f t="shared" si="43"/>
        <v>CUMPLE</v>
      </c>
      <c r="AN219" s="13" t="s">
        <v>68</v>
      </c>
      <c r="AO219" s="14">
        <v>4</v>
      </c>
      <c r="AP219" s="13">
        <f>ROUNDDOWN(MIN(IF(BC219+BD219=0,1000000000,AO219*BB219/(BC219+BD219)),MIN(U219,AB219)/4,8*[1]Parametros!$B$12,24*BA219,300,IF(AV219=0,1000000000,2*((H219-2*([1]Parametros!$B$7+[1]Parametros!$B$9/2))+(I219-2*([1]Parametros!$B$7+[1]Parametros!$B$9/2)))/8))/10,0)*10</f>
        <v>120</v>
      </c>
      <c r="AQ219" s="13">
        <f>ROUNDDOWN(MIN(IF(BC219+BD219=0,1000000000,AO219*BB219/(BC219+BD219)),IF(AK219&gt;0.33*SQRT([1]Parametros!$B$2)*H219*MIN(U219,AB219)/1000,MIN(U219,AB219)/4,MIN(U219,AB219)/2),600,IF(AV219=0,1000000000,2*((H219-2*([1]Parametros!$B$7+[1]Parametros!$B$9/2))+(I219-2*([1]Parametros!$B$7+[1]Parametros!$B$9/2)))/8))/10,0)*10</f>
        <v>120</v>
      </c>
      <c r="AR219" s="13">
        <f>[1]Parametros!$B$6*(AJ219+MAX(BE219-BD219,0)*[1]Parametros!$B$4*MIN(U219,AB219)/1000)</f>
        <v>724.37149617450154</v>
      </c>
      <c r="AS219" s="13" t="str">
        <f t="shared" si="44"/>
        <v>CUMPLE</v>
      </c>
      <c r="AT219" s="13">
        <f>[1]Parametros!$B$6*0.083*SQRT([1]Parametros!$B$2)*(H219*I219)^2/(2*(H219+I219))/1000000</f>
        <v>10.08878303333792</v>
      </c>
      <c r="AU219" s="13" t="str">
        <f t="shared" si="45"/>
        <v>DISEÑAR</v>
      </c>
      <c r="AV219" s="13">
        <f>IF(Q219&lt;=AT219,0,Q219*1000000/([1]Parametros!$B$6*2*0.85*(H219-2*([1]Parametros!$B$7+[1]Parametros!$B$9/2))*(I219-2*([1]Parametros!$B$7+[1]Parametros!$B$9/2))*[1]Parametros!$B$4))</f>
        <v>0.28226533315969399</v>
      </c>
      <c r="AW219" s="13">
        <f>AV219*2*((H219-2*([1]Parametros!$B$7+[1]Parametros!$B$9/2))+(I219-2*([1]Parametros!$B$7+[1]Parametros!$B$9/2)))*[1]Parametros!$B$4/[1]Parametros!$B$3</f>
        <v>459.86668078377346</v>
      </c>
      <c r="AX219" s="14">
        <v>8</v>
      </c>
      <c r="AY219" s="13" t="str">
        <f t="shared" si="46"/>
        <v>CUMPLE</v>
      </c>
      <c r="AZ219" s="13" t="str">
        <f t="shared" si="47"/>
        <v>CUMPLE</v>
      </c>
      <c r="BA219" s="14">
        <v>12.7</v>
      </c>
      <c r="BB219" s="14">
        <v>129</v>
      </c>
      <c r="BC219" s="13">
        <f>MAX(IF(AK219=0,0,AK219*1000/([1]Parametros!$B$4*MIN(U219,AB219))),MAX(0.062*SQRT([1]Parametros!$B$2)*H219/[1]Parametros!$B$4,0.35*H219/[1]Parametros!$B$4))</f>
        <v>3.3372897194887923</v>
      </c>
      <c r="BD219" s="13">
        <f t="shared" si="48"/>
        <v>0.56453066631938797</v>
      </c>
      <c r="BE219" s="13">
        <f t="shared" si="49"/>
        <v>4.3</v>
      </c>
      <c r="BF219" s="13">
        <f>SQRT((AI219*1000/(H219*MIN(U219,AB219)))^2+(Q219*1000000*2*((H219-2*([1]Parametros!$B$7+[1]Parametros!$B$9/2))+(I219-2*([1]Parametros!$B$7+[1]Parametros!$B$9/2)))/(1.7*((H219-2*([1]Parametros!$B$7+[1]Parametros!$B$9/2))*(I219-2*([1]Parametros!$B$7+[1]Parametros!$B$9/2)))^2))^2)</f>
        <v>3.1385859038283388</v>
      </c>
      <c r="BG219" s="13">
        <f>[1]Parametros!$B$6*(AJ219*1000/(H219*MIN(U219,AB219))+0.66*SQRT([1]Parametros!$B$2))</f>
        <v>3.2939603822754151</v>
      </c>
      <c r="BH219" s="13" t="str">
        <f t="shared" si="50"/>
        <v>CUMPLE</v>
      </c>
      <c r="BI219" s="13">
        <f>AX219*[1]Parametros!$B$8</f>
        <v>1592</v>
      </c>
      <c r="BJ219" s="15" t="str">
        <f t="shared" si="51"/>
        <v>CUMPLE</v>
      </c>
    </row>
    <row r="220" spans="1:62" x14ac:dyDescent="0.3">
      <c r="A220" s="41" t="s">
        <v>72</v>
      </c>
      <c r="B220" s="42">
        <v>829</v>
      </c>
      <c r="C220" s="13">
        <v>1</v>
      </c>
      <c r="D220" s="13">
        <v>2.0499999999999998</v>
      </c>
      <c r="E220" s="13">
        <v>2.0499999999999998</v>
      </c>
      <c r="F220" s="13">
        <v>450</v>
      </c>
      <c r="G220" s="13">
        <v>550</v>
      </c>
      <c r="H220" s="13">
        <v>450</v>
      </c>
      <c r="I220" s="13">
        <v>550</v>
      </c>
      <c r="J220" s="14">
        <v>156.7475</v>
      </c>
      <c r="K220" s="13">
        <v>829</v>
      </c>
      <c r="L220" s="14">
        <v>141.70500000000001</v>
      </c>
      <c r="M220" s="13">
        <v>829</v>
      </c>
      <c r="N220" s="14">
        <v>121.896</v>
      </c>
      <c r="O220" s="14">
        <v>488.17200000000003</v>
      </c>
      <c r="P220" s="13">
        <v>829</v>
      </c>
      <c r="Q220" s="14">
        <v>15.1206</v>
      </c>
      <c r="R220" s="13">
        <f>MAX(MAX(1.4/[1]Parametros!$B$3,0.25*SQRT([1]Parametros!$B$2)/[1]Parametros!$B$3)*H220*U220,(0.85*[1]Parametros!$B$2/[1]Parametros!$B$3)*(1-SQRT(1-2*(J220*1000000/([1]Parametros!$B$5*H220*U220^2))/(0.85*[1]Parametros!$B$2)))*H220*U220)</f>
        <v>878.31214458334421</v>
      </c>
      <c r="S220" s="14">
        <v>5</v>
      </c>
      <c r="T220" s="14">
        <v>1</v>
      </c>
      <c r="U220" s="13">
        <f>IF(T220=1,I220-([1]Parametros!$B$7+[1]Parametros!$B$9+[1]Parametros!$B$12/2),I220-(ROUNDUP(S220/2,0)*([1]Parametros!$B$7+[1]Parametros!$B$9+[1]Parametros!$B$12/2)+ROUNDDOWN(S220/2,0)*([1]Parametros!$B$7+[1]Parametros!$B$9+[1]Parametros!$B$12/2+[1]Parametros!$B$12+[1]Parametros!$B$10))/S220)</f>
        <v>489.35</v>
      </c>
      <c r="V220" s="13">
        <f>S220*[1]Parametros!$B$8</f>
        <v>995</v>
      </c>
      <c r="W220" s="13">
        <f>[1]Parametros!$B$5*V220*[1]Parametros!$B$3*(U220-(V220*[1]Parametros!$B$3/(0.85*[1]Parametros!$B$2*H220))/2)/1000000</f>
        <v>176.71159614705886</v>
      </c>
      <c r="X220" s="13" t="str">
        <f t="shared" si="39"/>
        <v>CUMPLE</v>
      </c>
      <c r="Y220" s="13">
        <f>MAX(MAX(1.4/[1]Parametros!$B$3,0.25*SQRT([1]Parametros!$B$2)/[1]Parametros!$B$3)*H220*AB220,(0.85*[1]Parametros!$B$2/[1]Parametros!$B$3)*(1-SQRT(1-2*(L220*1000000/([1]Parametros!$B$5*H220*AB220^2))/(0.85*[1]Parametros!$B$2)))*H220*AB220)</f>
        <v>791.16005437664785</v>
      </c>
      <c r="Z220" s="14">
        <v>4</v>
      </c>
      <c r="AA220" s="14">
        <v>1</v>
      </c>
      <c r="AB220" s="13">
        <f>IF(AA220=1,I220-([1]Parametros!$B$7+[1]Parametros!$B$9+[1]Parametros!$B$12/2),I220-(ROUNDUP(Z220/2,0)*([1]Parametros!$B$7+[1]Parametros!$B$9+[1]Parametros!$B$12/2)+ROUNDDOWN(Z220/2,0)*([1]Parametros!$B$7+[1]Parametros!$B$9+[1]Parametros!$B$12/2+[1]Parametros!$B$12+[1]Parametros!$B$10))/Z220)</f>
        <v>489.35</v>
      </c>
      <c r="AC220" s="13">
        <f>Z220*[1]Parametros!$B$8</f>
        <v>796</v>
      </c>
      <c r="AD220" s="13">
        <f>[1]Parametros!$B$5*AC220*[1]Parametros!$B$3*(AB220-(AC220*[1]Parametros!$B$3/(0.85*[1]Parametros!$B$2*H220))/2)/1000000</f>
        <v>142.54333009411764</v>
      </c>
      <c r="AE220" s="13" t="str">
        <f t="shared" si="40"/>
        <v>CUMPLE</v>
      </c>
      <c r="AF220" s="13">
        <f>V220*1.25*[1]Parametros!$B$3*(U220-(V220*1.25*[1]Parametros!$B$3/(0.85*[1]Parametros!$B$2*H220))/2)/1000000</f>
        <v>242.88491397058826</v>
      </c>
      <c r="AG220" s="13">
        <f>AC220*1.25*[1]Parametros!$B$3*(AB220-(AC220*1.25*[1]Parametros!$B$3/(0.85*[1]Parametros!$B$2*H220))/2)/1000000</f>
        <v>196.34621794117646</v>
      </c>
      <c r="AH220" s="13">
        <f t="shared" si="41"/>
        <v>336.15508873744619</v>
      </c>
      <c r="AI220" s="13">
        <f t="shared" si="42"/>
        <v>488.17200000000003</v>
      </c>
      <c r="AJ220" s="13">
        <f>0.17*SQRT([1]Parametros!$B$2)*H220*MIN(U220,AB220)/1000</f>
        <v>198.08885582262698</v>
      </c>
      <c r="AK220" s="13">
        <f>MAX(AI220/[1]Parametros!$B$6-AJ220,0)</f>
        <v>452.80714417737306</v>
      </c>
      <c r="AL220" s="13">
        <f>0.66*SQRT([1]Parametros!$B$2)*H220*MIN(U220,AB220)/1000</f>
        <v>769.05085201725785</v>
      </c>
      <c r="AM220" s="13" t="str">
        <f t="shared" si="43"/>
        <v>CUMPLE</v>
      </c>
      <c r="AN220" s="13" t="s">
        <v>68</v>
      </c>
      <c r="AO220" s="14">
        <v>2</v>
      </c>
      <c r="AP220" s="13">
        <f>ROUNDDOWN(MIN(IF(BC220+BD220=0,1000000000,AO220*BB220/(BC220+BD220)),MIN(U220,AB220)/4,8*[1]Parametros!$B$12,24*BA220,300,IF(AV220=0,1000000000,2*((H220-2*([1]Parametros!$B$7+[1]Parametros!$B$9/2))+(I220-2*([1]Parametros!$B$7+[1]Parametros!$B$9/2)))/8))/10,0)*10</f>
        <v>100</v>
      </c>
      <c r="AQ220" s="13">
        <f>ROUNDDOWN(MIN(IF(BC220+BD220=0,1000000000,AO220*BB220/(BC220+BD220)),IF(AK220&gt;0.33*SQRT([1]Parametros!$B$2)*H220*MIN(U220,AB220)/1000,MIN(U220,AB220)/4,MIN(U220,AB220)/2),600,IF(AV220=0,1000000000,2*((H220-2*([1]Parametros!$B$7+[1]Parametros!$B$9/2))+(I220-2*([1]Parametros!$B$7+[1]Parametros!$B$9/2)))/8))/10,0)*10</f>
        <v>100</v>
      </c>
      <c r="AR220" s="13">
        <f>[1]Parametros!$B$6*(AJ220+MAX(BE220-BD220,0)*[1]Parametros!$B$4*MIN(U220,AB220)/1000)</f>
        <v>492.98491287770253</v>
      </c>
      <c r="AS220" s="13" t="str">
        <f t="shared" si="44"/>
        <v>CUMPLE</v>
      </c>
      <c r="AT220" s="13">
        <f>[1]Parametros!$B$6*0.083*SQRT([1]Parametros!$B$2)*(H220*I220)^2/(2*(H220+I220))/1000000</f>
        <v>10.08878303333792</v>
      </c>
      <c r="AU220" s="13" t="str">
        <f t="shared" si="45"/>
        <v>DISEÑAR</v>
      </c>
      <c r="AV220" s="13">
        <f>IF(Q220&lt;=AT220,0,Q220*1000000/([1]Parametros!$B$6*2*0.85*(H220-2*([1]Parametros!$B$7+[1]Parametros!$B$9/2))*(I220-2*([1]Parametros!$B$7+[1]Parametros!$B$9/2))*[1]Parametros!$B$4))</f>
        <v>0.17281257122508722</v>
      </c>
      <c r="AW220" s="13">
        <f>AV220*2*((H220-2*([1]Parametros!$B$7+[1]Parametros!$B$9/2))+(I220-2*([1]Parametros!$B$7+[1]Parametros!$B$9/2)))*[1]Parametros!$B$4/[1]Parametros!$B$3</f>
        <v>281.5462410399121</v>
      </c>
      <c r="AX220" s="14">
        <v>8</v>
      </c>
      <c r="AY220" s="13" t="str">
        <f t="shared" si="46"/>
        <v>CUMPLE</v>
      </c>
      <c r="AZ220" s="13" t="str">
        <f t="shared" si="47"/>
        <v>CUMPLE</v>
      </c>
      <c r="BA220" s="14">
        <v>12.7</v>
      </c>
      <c r="BB220" s="14">
        <v>129</v>
      </c>
      <c r="BC220" s="13">
        <f>MAX(IF(AK220=0,0,AK220*1000/([1]Parametros!$B$4*MIN(U220,AB220))),MAX(0.062*SQRT([1]Parametros!$B$2)*H220/[1]Parametros!$B$4,0.35*H220/[1]Parametros!$B$4))</f>
        <v>2.2031516257103592</v>
      </c>
      <c r="BD220" s="13">
        <f t="shared" si="48"/>
        <v>0.34562514245017445</v>
      </c>
      <c r="BE220" s="13">
        <f t="shared" si="49"/>
        <v>2.58</v>
      </c>
      <c r="BF220" s="13">
        <f>SQRT((AI220*1000/(H220*MIN(U220,AB220)))^2+(Q220*1000000*2*((H220-2*([1]Parametros!$B$7+[1]Parametros!$B$9/2))+(I220-2*([1]Parametros!$B$7+[1]Parametros!$B$9/2)))/(1.7*((H220-2*([1]Parametros!$B$7+[1]Parametros!$B$9/2))*(I220-2*([1]Parametros!$B$7+[1]Parametros!$B$9/2)))^2))^2)</f>
        <v>2.2823535713905128</v>
      </c>
      <c r="BG220" s="13">
        <f>[1]Parametros!$B$6*(AJ220*1000/(H220*MIN(U220,AB220))+0.66*SQRT([1]Parametros!$B$2))</f>
        <v>3.2939603822754151</v>
      </c>
      <c r="BH220" s="13" t="str">
        <f t="shared" si="50"/>
        <v>CUMPLE</v>
      </c>
      <c r="BI220" s="13">
        <f>AX220*[1]Parametros!$B$8</f>
        <v>1592</v>
      </c>
      <c r="BJ220" s="15" t="str">
        <f t="shared" si="51"/>
        <v>CUMPLE</v>
      </c>
    </row>
    <row r="221" spans="1:62" x14ac:dyDescent="0.3">
      <c r="A221" s="41" t="s">
        <v>72</v>
      </c>
      <c r="B221" s="42">
        <v>830</v>
      </c>
      <c r="C221" s="13">
        <v>1</v>
      </c>
      <c r="D221" s="13">
        <v>4.5</v>
      </c>
      <c r="E221" s="13">
        <v>4.5</v>
      </c>
      <c r="F221" s="13">
        <v>450</v>
      </c>
      <c r="G221" s="13">
        <v>550</v>
      </c>
      <c r="H221" s="13">
        <v>450</v>
      </c>
      <c r="I221" s="13">
        <v>550</v>
      </c>
      <c r="J221" s="14">
        <v>133.12379999999999</v>
      </c>
      <c r="K221" s="13">
        <v>830</v>
      </c>
      <c r="L221" s="14">
        <v>108.91630000000001</v>
      </c>
      <c r="M221" s="13">
        <v>830</v>
      </c>
      <c r="N221" s="14">
        <v>65.304000000000002</v>
      </c>
      <c r="O221" s="14">
        <v>220.489</v>
      </c>
      <c r="P221" s="13">
        <v>830</v>
      </c>
      <c r="Q221" s="14">
        <v>6.8563999999999998</v>
      </c>
      <c r="R221" s="13">
        <f>MAX(MAX(1.4/[1]Parametros!$B$3,0.25*SQRT([1]Parametros!$B$2)/[1]Parametros!$B$3)*H221*U221,(0.85*[1]Parametros!$B$2/[1]Parametros!$B$3)*(1-SQRT(1-2*(J221*1000000/([1]Parametros!$B$5*H221*U221^2))/(0.85*[1]Parametros!$B$2)))*H221*U221)</f>
        <v>741.73283987339209</v>
      </c>
      <c r="S221" s="14">
        <v>4</v>
      </c>
      <c r="T221" s="14">
        <v>1</v>
      </c>
      <c r="U221" s="13">
        <f>IF(T221=1,I221-([1]Parametros!$B$7+[1]Parametros!$B$9+[1]Parametros!$B$12/2),I221-(ROUNDUP(S221/2,0)*([1]Parametros!$B$7+[1]Parametros!$B$9+[1]Parametros!$B$12/2)+ROUNDDOWN(S221/2,0)*([1]Parametros!$B$7+[1]Parametros!$B$9+[1]Parametros!$B$12/2+[1]Parametros!$B$12+[1]Parametros!$B$10))/S221)</f>
        <v>489.35</v>
      </c>
      <c r="V221" s="13">
        <f>S221*[1]Parametros!$B$8</f>
        <v>796</v>
      </c>
      <c r="W221" s="13">
        <f>[1]Parametros!$B$5*V221*[1]Parametros!$B$3*(U221-(V221*[1]Parametros!$B$3/(0.85*[1]Parametros!$B$2*H221))/2)/1000000</f>
        <v>142.54333009411764</v>
      </c>
      <c r="X221" s="13" t="str">
        <f t="shared" si="39"/>
        <v>CUMPLE</v>
      </c>
      <c r="Y221" s="13">
        <f>MAX(MAX(1.4/[1]Parametros!$B$3,0.25*SQRT([1]Parametros!$B$2)/[1]Parametros!$B$3)*H221*AB221,(0.85*[1]Parametros!$B$2/[1]Parametros!$B$3)*(1-SQRT(1-2*(L221*1000000/([1]Parametros!$B$5*H221*AB221^2))/(0.85*[1]Parametros!$B$2)))*H221*AB221)</f>
        <v>734.02500000000009</v>
      </c>
      <c r="Z221" s="14">
        <v>4</v>
      </c>
      <c r="AA221" s="14">
        <v>1</v>
      </c>
      <c r="AB221" s="13">
        <f>IF(AA221=1,I221-([1]Parametros!$B$7+[1]Parametros!$B$9+[1]Parametros!$B$12/2),I221-(ROUNDUP(Z221/2,0)*([1]Parametros!$B$7+[1]Parametros!$B$9+[1]Parametros!$B$12/2)+ROUNDDOWN(Z221/2,0)*([1]Parametros!$B$7+[1]Parametros!$B$9+[1]Parametros!$B$12/2+[1]Parametros!$B$12+[1]Parametros!$B$10))/Z221)</f>
        <v>489.35</v>
      </c>
      <c r="AC221" s="13">
        <f>Z221*[1]Parametros!$B$8</f>
        <v>796</v>
      </c>
      <c r="AD221" s="13">
        <f>[1]Parametros!$B$5*AC221*[1]Parametros!$B$3*(AB221-(AC221*[1]Parametros!$B$3/(0.85*[1]Parametros!$B$2*H221))/2)/1000000</f>
        <v>142.54333009411764</v>
      </c>
      <c r="AE221" s="13" t="str">
        <f t="shared" si="40"/>
        <v>CUMPLE</v>
      </c>
      <c r="AF221" s="13">
        <f>V221*1.25*[1]Parametros!$B$3*(U221-(V221*1.25*[1]Parametros!$B$3/(0.85*[1]Parametros!$B$2*H221))/2)/1000000</f>
        <v>196.34621794117646</v>
      </c>
      <c r="AG221" s="13">
        <f>AC221*1.25*[1]Parametros!$B$3*(AB221-(AC221*1.25*[1]Parametros!$B$3/(0.85*[1]Parametros!$B$2*H221))/2)/1000000</f>
        <v>196.34621794117646</v>
      </c>
      <c r="AH221" s="13">
        <f t="shared" si="41"/>
        <v>152.56898575163399</v>
      </c>
      <c r="AI221" s="13">
        <f t="shared" si="42"/>
        <v>220.489</v>
      </c>
      <c r="AJ221" s="13">
        <f>0.17*SQRT([1]Parametros!$B$2)*H221*MIN(U221,AB221)/1000</f>
        <v>198.08885582262698</v>
      </c>
      <c r="AK221" s="13">
        <f>MAX(AI221/[1]Parametros!$B$6-AJ221,0)</f>
        <v>95.896477510706376</v>
      </c>
      <c r="AL221" s="13">
        <f>0.66*SQRT([1]Parametros!$B$2)*H221*MIN(U221,AB221)/1000</f>
        <v>769.05085201725785</v>
      </c>
      <c r="AM221" s="13" t="str">
        <f t="shared" si="43"/>
        <v>CUMPLE</v>
      </c>
      <c r="AN221" s="13" t="s">
        <v>64</v>
      </c>
      <c r="AO221" s="14">
        <v>2</v>
      </c>
      <c r="AP221" s="13">
        <f>ROUNDDOWN(MIN(IF(BC221+BD221=0,1000000000,AO221*BB221/(BC221+BD221)),MIN(U221,AB221)/4,8*[1]Parametros!$B$12,24*BA221,300,IF(AV221=0,1000000000,2*((H221-2*([1]Parametros!$B$7+[1]Parametros!$B$9/2))+(I221-2*([1]Parametros!$B$7+[1]Parametros!$B$9/2)))/8))/10,0)*10</f>
        <v>120</v>
      </c>
      <c r="AQ221" s="13">
        <f>ROUNDDOWN(MIN(IF(BC221+BD221=0,1000000000,AO221*BB221/(BC221+BD221)),IF(AK221&gt;0.33*SQRT([1]Parametros!$B$2)*H221*MIN(U221,AB221)/1000,MIN(U221,AB221)/4,MIN(U221,AB221)/2),600,IF(AV221=0,1000000000,2*((H221-2*([1]Parametros!$B$7+[1]Parametros!$B$9/2))+(I221-2*([1]Parametros!$B$7+[1]Parametros!$B$9/2)))/8))/10,0)*10</f>
        <v>240</v>
      </c>
      <c r="AR221" s="13">
        <f>[1]Parametros!$B$6*(AJ221+MAX(BE221-BD221,0)*[1]Parametros!$B$4*MIN(U221,AB221)/1000)</f>
        <v>330.97185436697026</v>
      </c>
      <c r="AS221" s="13" t="str">
        <f t="shared" si="44"/>
        <v>CUMPLE</v>
      </c>
      <c r="AT221" s="13">
        <f>[1]Parametros!$B$6*0.083*SQRT([1]Parametros!$B$2)*(H221*I221)^2/(2*(H221+I221))/1000000</f>
        <v>10.08878303333792</v>
      </c>
      <c r="AU221" s="13" t="str">
        <f t="shared" si="45"/>
        <v>DESPRECIABLE</v>
      </c>
      <c r="AV221" s="13">
        <f>IF(Q221&lt;=AT221,0,Q221*1000000/([1]Parametros!$B$6*2*0.85*(H221-2*([1]Parametros!$B$7+[1]Parametros!$B$9/2))*(I221-2*([1]Parametros!$B$7+[1]Parametros!$B$9/2))*[1]Parametros!$B$4))</f>
        <v>0</v>
      </c>
      <c r="AW221" s="13">
        <f>AV221*2*((H221-2*([1]Parametros!$B$7+[1]Parametros!$B$9/2))+(I221-2*([1]Parametros!$B$7+[1]Parametros!$B$9/2)))*[1]Parametros!$B$4/[1]Parametros!$B$3</f>
        <v>0</v>
      </c>
      <c r="AX221" s="14">
        <v>0</v>
      </c>
      <c r="AY221" s="13" t="str">
        <f t="shared" si="46"/>
        <v>DESPRECIABLE</v>
      </c>
      <c r="AZ221" s="13" t="str">
        <f t="shared" si="47"/>
        <v>CUMPLE</v>
      </c>
      <c r="BA221" s="14">
        <v>9.5</v>
      </c>
      <c r="BB221" s="14">
        <v>71</v>
      </c>
      <c r="BC221" s="13">
        <f>MAX(IF(AK221=0,0,AK221*1000/([1]Parametros!$B$4*MIN(U221,AB221))),MAX(0.062*SQRT([1]Parametros!$B$2)*H221/[1]Parametros!$B$4,0.35*H221/[1]Parametros!$B$4))</f>
        <v>0.46658822203752487</v>
      </c>
      <c r="BD221" s="13">
        <f t="shared" si="48"/>
        <v>0</v>
      </c>
      <c r="BE221" s="13">
        <f t="shared" si="49"/>
        <v>1.1833333333333333</v>
      </c>
      <c r="BF221" s="13">
        <f>SQRT((AI221*1000/(H221*MIN(U221,AB221)))^2+(Q221*1000000*2*((H221-2*([1]Parametros!$B$7+[1]Parametros!$B$9/2))+(I221-2*([1]Parametros!$B$7+[1]Parametros!$B$9/2)))/(1.7*((H221-2*([1]Parametros!$B$7+[1]Parametros!$B$9/2))*(I221-2*([1]Parametros!$B$7+[1]Parametros!$B$9/2)))^2))^2)</f>
        <v>1.0310844394338738</v>
      </c>
      <c r="BG221" s="13">
        <f>[1]Parametros!$B$6*(AJ221*1000/(H221*MIN(U221,AB221))+0.66*SQRT([1]Parametros!$B$2))</f>
        <v>3.2939603822754151</v>
      </c>
      <c r="BH221" s="13" t="str">
        <f t="shared" si="50"/>
        <v>CUMPLE</v>
      </c>
      <c r="BI221" s="13">
        <f>AX221*[1]Parametros!$B$8</f>
        <v>0</v>
      </c>
      <c r="BJ221" s="15" t="str">
        <f t="shared" si="51"/>
        <v>CUMPLE</v>
      </c>
    </row>
    <row r="222" spans="1:62" x14ac:dyDescent="0.3">
      <c r="A222" s="41" t="s">
        <v>72</v>
      </c>
      <c r="B222" s="42">
        <v>831</v>
      </c>
      <c r="C222" s="13">
        <v>1</v>
      </c>
      <c r="D222" s="13">
        <v>4.5</v>
      </c>
      <c r="E222" s="13">
        <v>4.5</v>
      </c>
      <c r="F222" s="13">
        <v>450</v>
      </c>
      <c r="G222" s="13">
        <v>550</v>
      </c>
      <c r="H222" s="13">
        <v>450</v>
      </c>
      <c r="I222" s="13">
        <v>550</v>
      </c>
      <c r="J222" s="14">
        <v>133.13079999999999</v>
      </c>
      <c r="K222" s="13">
        <v>831</v>
      </c>
      <c r="L222" s="14">
        <v>108.9233</v>
      </c>
      <c r="M222" s="13">
        <v>831</v>
      </c>
      <c r="N222" s="14">
        <v>65.307000000000002</v>
      </c>
      <c r="O222" s="14">
        <v>220.49199999999999</v>
      </c>
      <c r="P222" s="13">
        <v>831</v>
      </c>
      <c r="Q222" s="14">
        <v>6.8558000000000003</v>
      </c>
      <c r="R222" s="13">
        <f>MAX(MAX(1.4/[1]Parametros!$B$3,0.25*SQRT([1]Parametros!$B$2)/[1]Parametros!$B$3)*H222*U222,(0.85*[1]Parametros!$B$2/[1]Parametros!$B$3)*(1-SQRT(1-2*(J222*1000000/([1]Parametros!$B$5*H222*U222^2))/(0.85*[1]Parametros!$B$2)))*H222*U222)</f>
        <v>741.77307463674811</v>
      </c>
      <c r="S222" s="14">
        <v>4</v>
      </c>
      <c r="T222" s="14">
        <v>1</v>
      </c>
      <c r="U222" s="13">
        <f>IF(T222=1,I222-([1]Parametros!$B$7+[1]Parametros!$B$9+[1]Parametros!$B$12/2),I222-(ROUNDUP(S222/2,0)*([1]Parametros!$B$7+[1]Parametros!$B$9+[1]Parametros!$B$12/2)+ROUNDDOWN(S222/2,0)*([1]Parametros!$B$7+[1]Parametros!$B$9+[1]Parametros!$B$12/2+[1]Parametros!$B$12+[1]Parametros!$B$10))/S222)</f>
        <v>489.35</v>
      </c>
      <c r="V222" s="13">
        <f>S222*[1]Parametros!$B$8</f>
        <v>796</v>
      </c>
      <c r="W222" s="13">
        <f>[1]Parametros!$B$5*V222*[1]Parametros!$B$3*(U222-(V222*[1]Parametros!$B$3/(0.85*[1]Parametros!$B$2*H222))/2)/1000000</f>
        <v>142.54333009411764</v>
      </c>
      <c r="X222" s="13" t="str">
        <f t="shared" si="39"/>
        <v>CUMPLE</v>
      </c>
      <c r="Y222" s="13">
        <f>MAX(MAX(1.4/[1]Parametros!$B$3,0.25*SQRT([1]Parametros!$B$2)/[1]Parametros!$B$3)*H222*AB222,(0.85*[1]Parametros!$B$2/[1]Parametros!$B$3)*(1-SQRT(1-2*(L222*1000000/([1]Parametros!$B$5*H222*AB222^2))/(0.85*[1]Parametros!$B$2)))*H222*AB222)</f>
        <v>734.02500000000009</v>
      </c>
      <c r="Z222" s="14">
        <v>4</v>
      </c>
      <c r="AA222" s="14">
        <v>1</v>
      </c>
      <c r="AB222" s="13">
        <f>IF(AA222=1,I222-([1]Parametros!$B$7+[1]Parametros!$B$9+[1]Parametros!$B$12/2),I222-(ROUNDUP(Z222/2,0)*([1]Parametros!$B$7+[1]Parametros!$B$9+[1]Parametros!$B$12/2)+ROUNDDOWN(Z222/2,0)*([1]Parametros!$B$7+[1]Parametros!$B$9+[1]Parametros!$B$12/2+[1]Parametros!$B$12+[1]Parametros!$B$10))/Z222)</f>
        <v>489.35</v>
      </c>
      <c r="AC222" s="13">
        <f>Z222*[1]Parametros!$B$8</f>
        <v>796</v>
      </c>
      <c r="AD222" s="13">
        <f>[1]Parametros!$B$5*AC222*[1]Parametros!$B$3*(AB222-(AC222*[1]Parametros!$B$3/(0.85*[1]Parametros!$B$2*H222))/2)/1000000</f>
        <v>142.54333009411764</v>
      </c>
      <c r="AE222" s="13" t="str">
        <f t="shared" si="40"/>
        <v>CUMPLE</v>
      </c>
      <c r="AF222" s="13">
        <f>V222*1.25*[1]Parametros!$B$3*(U222-(V222*1.25*[1]Parametros!$B$3/(0.85*[1]Parametros!$B$2*H222))/2)/1000000</f>
        <v>196.34621794117646</v>
      </c>
      <c r="AG222" s="13">
        <f>AC222*1.25*[1]Parametros!$B$3*(AB222-(AC222*1.25*[1]Parametros!$B$3/(0.85*[1]Parametros!$B$2*H222))/2)/1000000</f>
        <v>196.34621794117646</v>
      </c>
      <c r="AH222" s="13">
        <f t="shared" si="41"/>
        <v>152.57198575163397</v>
      </c>
      <c r="AI222" s="13">
        <f t="shared" si="42"/>
        <v>220.49199999999999</v>
      </c>
      <c r="AJ222" s="13">
        <f>0.17*SQRT([1]Parametros!$B$2)*H222*MIN(U222,AB222)/1000</f>
        <v>198.08885582262698</v>
      </c>
      <c r="AK222" s="13">
        <f>MAX(AI222/[1]Parametros!$B$6-AJ222,0)</f>
        <v>95.900477510706338</v>
      </c>
      <c r="AL222" s="13">
        <f>0.66*SQRT([1]Parametros!$B$2)*H222*MIN(U222,AB222)/1000</f>
        <v>769.05085201725785</v>
      </c>
      <c r="AM222" s="13" t="str">
        <f t="shared" si="43"/>
        <v>CUMPLE</v>
      </c>
      <c r="AN222" s="13" t="s">
        <v>64</v>
      </c>
      <c r="AO222" s="14">
        <v>2</v>
      </c>
      <c r="AP222" s="13">
        <f>ROUNDDOWN(MIN(IF(BC222+BD222=0,1000000000,AO222*BB222/(BC222+BD222)),MIN(U222,AB222)/4,8*[1]Parametros!$B$12,24*BA222,300,IF(AV222=0,1000000000,2*((H222-2*([1]Parametros!$B$7+[1]Parametros!$B$9/2))+(I222-2*([1]Parametros!$B$7+[1]Parametros!$B$9/2)))/8))/10,0)*10</f>
        <v>120</v>
      </c>
      <c r="AQ222" s="13">
        <f>ROUNDDOWN(MIN(IF(BC222+BD222=0,1000000000,AO222*BB222/(BC222+BD222)),IF(AK222&gt;0.33*SQRT([1]Parametros!$B$2)*H222*MIN(U222,AB222)/1000,MIN(U222,AB222)/4,MIN(U222,AB222)/2),600,IF(AV222=0,1000000000,2*((H222-2*([1]Parametros!$B$7+[1]Parametros!$B$9/2))+(I222-2*([1]Parametros!$B$7+[1]Parametros!$B$9/2)))/8))/10,0)*10</f>
        <v>240</v>
      </c>
      <c r="AR222" s="13">
        <f>[1]Parametros!$B$6*(AJ222+MAX(BE222-BD222,0)*[1]Parametros!$B$4*MIN(U222,AB222)/1000)</f>
        <v>330.97185436697026</v>
      </c>
      <c r="AS222" s="13" t="str">
        <f t="shared" si="44"/>
        <v>CUMPLE</v>
      </c>
      <c r="AT222" s="13">
        <f>[1]Parametros!$B$6*0.083*SQRT([1]Parametros!$B$2)*(H222*I222)^2/(2*(H222+I222))/1000000</f>
        <v>10.08878303333792</v>
      </c>
      <c r="AU222" s="13" t="str">
        <f t="shared" si="45"/>
        <v>DESPRECIABLE</v>
      </c>
      <c r="AV222" s="13">
        <f>IF(Q222&lt;=AT222,0,Q222*1000000/([1]Parametros!$B$6*2*0.85*(H222-2*([1]Parametros!$B$7+[1]Parametros!$B$9/2))*(I222-2*([1]Parametros!$B$7+[1]Parametros!$B$9/2))*[1]Parametros!$B$4))</f>
        <v>0</v>
      </c>
      <c r="AW222" s="13">
        <f>AV222*2*((H222-2*([1]Parametros!$B$7+[1]Parametros!$B$9/2))+(I222-2*([1]Parametros!$B$7+[1]Parametros!$B$9/2)))*[1]Parametros!$B$4/[1]Parametros!$B$3</f>
        <v>0</v>
      </c>
      <c r="AX222" s="14">
        <v>0</v>
      </c>
      <c r="AY222" s="13" t="str">
        <f t="shared" si="46"/>
        <v>DESPRECIABLE</v>
      </c>
      <c r="AZ222" s="13" t="str">
        <f t="shared" si="47"/>
        <v>CUMPLE</v>
      </c>
      <c r="BA222" s="14">
        <v>9.5</v>
      </c>
      <c r="BB222" s="14">
        <v>71</v>
      </c>
      <c r="BC222" s="13">
        <f>MAX(IF(AK222=0,0,AK222*1000/([1]Parametros!$B$4*MIN(U222,AB222))),MAX(0.062*SQRT([1]Parametros!$B$2)*H222/[1]Parametros!$B$4,0.35*H222/[1]Parametros!$B$4))</f>
        <v>0.4666076842006468</v>
      </c>
      <c r="BD222" s="13">
        <f t="shared" si="48"/>
        <v>0</v>
      </c>
      <c r="BE222" s="13">
        <f t="shared" si="49"/>
        <v>1.1833333333333333</v>
      </c>
      <c r="BF222" s="13">
        <f>SQRT((AI222*1000/(H222*MIN(U222,AB222)))^2+(Q222*1000000*2*((H222-2*([1]Parametros!$B$7+[1]Parametros!$B$9/2))+(I222-2*([1]Parametros!$B$7+[1]Parametros!$B$9/2)))/(1.7*((H222-2*([1]Parametros!$B$7+[1]Parametros!$B$9/2))*(I222-2*([1]Parametros!$B$7+[1]Parametros!$B$9/2)))^2))^2)</f>
        <v>1.0310925281765937</v>
      </c>
      <c r="BG222" s="13">
        <f>[1]Parametros!$B$6*(AJ222*1000/(H222*MIN(U222,AB222))+0.66*SQRT([1]Parametros!$B$2))</f>
        <v>3.2939603822754151</v>
      </c>
      <c r="BH222" s="13" t="str">
        <f t="shared" si="50"/>
        <v>CUMPLE</v>
      </c>
      <c r="BI222" s="13">
        <f>AX222*[1]Parametros!$B$8</f>
        <v>0</v>
      </c>
      <c r="BJ222" s="15" t="str">
        <f t="shared" si="51"/>
        <v>CUMPLE</v>
      </c>
    </row>
    <row r="223" spans="1:62" x14ac:dyDescent="0.3">
      <c r="A223" s="41" t="s">
        <v>72</v>
      </c>
      <c r="B223" s="42">
        <v>832</v>
      </c>
      <c r="C223" s="13">
        <v>1</v>
      </c>
      <c r="D223" s="13">
        <v>2.0499999999999998</v>
      </c>
      <c r="E223" s="13">
        <v>2.0499999999999998</v>
      </c>
      <c r="F223" s="13">
        <v>450</v>
      </c>
      <c r="G223" s="13">
        <v>550</v>
      </c>
      <c r="H223" s="13">
        <v>450</v>
      </c>
      <c r="I223" s="13">
        <v>550</v>
      </c>
      <c r="J223" s="14">
        <v>156.75190000000001</v>
      </c>
      <c r="K223" s="13">
        <v>832</v>
      </c>
      <c r="L223" s="14">
        <v>141.7079</v>
      </c>
      <c r="M223" s="13">
        <v>832</v>
      </c>
      <c r="N223" s="14">
        <v>121.899</v>
      </c>
      <c r="O223" s="14">
        <v>488.17399999999998</v>
      </c>
      <c r="P223" s="13">
        <v>832</v>
      </c>
      <c r="Q223" s="14">
        <v>15.1196</v>
      </c>
      <c r="R223" s="13">
        <f>MAX(MAX(1.4/[1]Parametros!$B$3,0.25*SQRT([1]Parametros!$B$2)/[1]Parametros!$B$3)*H223*U223,(0.85*[1]Parametros!$B$2/[1]Parametros!$B$3)*(1-SQRT(1-2*(J223*1000000/([1]Parametros!$B$5*H223*U223^2))/(0.85*[1]Parametros!$B$2)))*H223*U223)</f>
        <v>878.33773275889791</v>
      </c>
      <c r="S223" s="14">
        <v>5</v>
      </c>
      <c r="T223" s="14">
        <v>1</v>
      </c>
      <c r="U223" s="13">
        <f>IF(T223=1,I223-([1]Parametros!$B$7+[1]Parametros!$B$9+[1]Parametros!$B$12/2),I223-(ROUNDUP(S223/2,0)*([1]Parametros!$B$7+[1]Parametros!$B$9+[1]Parametros!$B$12/2)+ROUNDDOWN(S223/2,0)*([1]Parametros!$B$7+[1]Parametros!$B$9+[1]Parametros!$B$12/2+[1]Parametros!$B$12+[1]Parametros!$B$10))/S223)</f>
        <v>489.35</v>
      </c>
      <c r="V223" s="13">
        <f>S223*[1]Parametros!$B$8</f>
        <v>995</v>
      </c>
      <c r="W223" s="13">
        <f>[1]Parametros!$B$5*V223*[1]Parametros!$B$3*(U223-(V223*[1]Parametros!$B$3/(0.85*[1]Parametros!$B$2*H223))/2)/1000000</f>
        <v>176.71159614705886</v>
      </c>
      <c r="X223" s="13" t="str">
        <f t="shared" si="39"/>
        <v>CUMPLE</v>
      </c>
      <c r="Y223" s="13">
        <f>MAX(MAX(1.4/[1]Parametros!$B$3,0.25*SQRT([1]Parametros!$B$2)/[1]Parametros!$B$3)*H223*AB223,(0.85*[1]Parametros!$B$2/[1]Parametros!$B$3)*(1-SQRT(1-2*(L223*1000000/([1]Parametros!$B$5*H223*AB223^2))/(0.85*[1]Parametros!$B$2)))*H223*AB223)</f>
        <v>791.17679354202414</v>
      </c>
      <c r="Z223" s="14">
        <v>4</v>
      </c>
      <c r="AA223" s="14">
        <v>1</v>
      </c>
      <c r="AB223" s="13">
        <f>IF(AA223=1,I223-([1]Parametros!$B$7+[1]Parametros!$B$9+[1]Parametros!$B$12/2),I223-(ROUNDUP(Z223/2,0)*([1]Parametros!$B$7+[1]Parametros!$B$9+[1]Parametros!$B$12/2)+ROUNDDOWN(Z223/2,0)*([1]Parametros!$B$7+[1]Parametros!$B$9+[1]Parametros!$B$12/2+[1]Parametros!$B$12+[1]Parametros!$B$10))/Z223)</f>
        <v>489.35</v>
      </c>
      <c r="AC223" s="13">
        <f>Z223*[1]Parametros!$B$8</f>
        <v>796</v>
      </c>
      <c r="AD223" s="13">
        <f>[1]Parametros!$B$5*AC223*[1]Parametros!$B$3*(AB223-(AC223*[1]Parametros!$B$3/(0.85*[1]Parametros!$B$2*H223))/2)/1000000</f>
        <v>142.54333009411764</v>
      </c>
      <c r="AE223" s="13" t="str">
        <f t="shared" si="40"/>
        <v>CUMPLE</v>
      </c>
      <c r="AF223" s="13">
        <f>V223*1.25*[1]Parametros!$B$3*(U223-(V223*1.25*[1]Parametros!$B$3/(0.85*[1]Parametros!$B$2*H223))/2)/1000000</f>
        <v>242.88491397058826</v>
      </c>
      <c r="AG223" s="13">
        <f>AC223*1.25*[1]Parametros!$B$3*(AB223-(AC223*1.25*[1]Parametros!$B$3/(0.85*[1]Parametros!$B$2*H223))/2)/1000000</f>
        <v>196.34621794117646</v>
      </c>
      <c r="AH223" s="13">
        <f t="shared" si="41"/>
        <v>336.15808873744618</v>
      </c>
      <c r="AI223" s="13">
        <f t="shared" si="42"/>
        <v>488.17399999999998</v>
      </c>
      <c r="AJ223" s="13">
        <f>0.17*SQRT([1]Parametros!$B$2)*H223*MIN(U223,AB223)/1000</f>
        <v>198.08885582262698</v>
      </c>
      <c r="AK223" s="13">
        <f>MAX(AI223/[1]Parametros!$B$6-AJ223,0)</f>
        <v>452.80981084403959</v>
      </c>
      <c r="AL223" s="13">
        <f>0.66*SQRT([1]Parametros!$B$2)*H223*MIN(U223,AB223)/1000</f>
        <v>769.05085201725785</v>
      </c>
      <c r="AM223" s="13" t="str">
        <f t="shared" si="43"/>
        <v>CUMPLE</v>
      </c>
      <c r="AN223" s="13" t="s">
        <v>68</v>
      </c>
      <c r="AO223" s="14">
        <v>2</v>
      </c>
      <c r="AP223" s="13">
        <f>ROUNDDOWN(MIN(IF(BC223+BD223=0,1000000000,AO223*BB223/(BC223+BD223)),MIN(U223,AB223)/4,8*[1]Parametros!$B$12,24*BA223,300,IF(AV223=0,1000000000,2*((H223-2*([1]Parametros!$B$7+[1]Parametros!$B$9/2))+(I223-2*([1]Parametros!$B$7+[1]Parametros!$B$9/2)))/8))/10,0)*10</f>
        <v>100</v>
      </c>
      <c r="AQ223" s="13">
        <f>ROUNDDOWN(MIN(IF(BC223+BD223=0,1000000000,AO223*BB223/(BC223+BD223)),IF(AK223&gt;0.33*SQRT([1]Parametros!$B$2)*H223*MIN(U223,AB223)/1000,MIN(U223,AB223)/4,MIN(U223,AB223)/2),600,IF(AV223=0,1000000000,2*((H223-2*([1]Parametros!$B$7+[1]Parametros!$B$9/2))+(I223-2*([1]Parametros!$B$7+[1]Parametros!$B$9/2)))/8))/10,0)*10</f>
        <v>100</v>
      </c>
      <c r="AR223" s="13">
        <f>[1]Parametros!$B$6*(AJ223+MAX(BE223-BD223,0)*[1]Parametros!$B$4*MIN(U223,AB223)/1000)</f>
        <v>492.98843631420561</v>
      </c>
      <c r="AS223" s="13" t="str">
        <f t="shared" si="44"/>
        <v>CUMPLE</v>
      </c>
      <c r="AT223" s="13">
        <f>[1]Parametros!$B$6*0.083*SQRT([1]Parametros!$B$2)*(H223*I223)^2/(2*(H223+I223))/1000000</f>
        <v>10.08878303333792</v>
      </c>
      <c r="AU223" s="13" t="str">
        <f t="shared" si="45"/>
        <v>DISEÑAR</v>
      </c>
      <c r="AV223" s="13">
        <f>IF(Q223&lt;=AT223,0,Q223*1000000/([1]Parametros!$B$6*2*0.85*(H223-2*([1]Parametros!$B$7+[1]Parametros!$B$9/2))*(I223-2*([1]Parametros!$B$7+[1]Parametros!$B$9/2))*[1]Parametros!$B$4))</f>
        <v>0.17280114227575816</v>
      </c>
      <c r="AW223" s="13">
        <f>AV223*2*((H223-2*([1]Parametros!$B$7+[1]Parametros!$B$9/2))+(I223-2*([1]Parametros!$B$7+[1]Parametros!$B$9/2)))*[1]Parametros!$B$4/[1]Parametros!$B$3</f>
        <v>281.52762099566519</v>
      </c>
      <c r="AX223" s="14">
        <v>8</v>
      </c>
      <c r="AY223" s="13" t="str">
        <f t="shared" si="46"/>
        <v>CUMPLE</v>
      </c>
      <c r="AZ223" s="13" t="str">
        <f t="shared" si="47"/>
        <v>CUMPLE</v>
      </c>
      <c r="BA223" s="14">
        <v>12.7</v>
      </c>
      <c r="BB223" s="14">
        <v>129</v>
      </c>
      <c r="BC223" s="13">
        <f>MAX(IF(AK223=0,0,AK223*1000/([1]Parametros!$B$4*MIN(U223,AB223))),MAX(0.062*SQRT([1]Parametros!$B$2)*H223/[1]Parametros!$B$4,0.35*H223/[1]Parametros!$B$4))</f>
        <v>2.2031646004857737</v>
      </c>
      <c r="BD223" s="13">
        <f t="shared" si="48"/>
        <v>0.34560228455151631</v>
      </c>
      <c r="BE223" s="13">
        <f t="shared" si="49"/>
        <v>2.58</v>
      </c>
      <c r="BF223" s="13">
        <f>SQRT((AI223*1000/(H223*MIN(U223,AB223)))^2+(Q223*1000000*2*((H223-2*([1]Parametros!$B$7+[1]Parametros!$B$9/2))+(I223-2*([1]Parametros!$B$7+[1]Parametros!$B$9/2)))/(1.7*((H223-2*([1]Parametros!$B$7+[1]Parametros!$B$9/2))*(I223-2*([1]Parametros!$B$7+[1]Parametros!$B$9/2)))^2))^2)</f>
        <v>2.282353856560813</v>
      </c>
      <c r="BG223" s="13">
        <f>[1]Parametros!$B$6*(AJ223*1000/(H223*MIN(U223,AB223))+0.66*SQRT([1]Parametros!$B$2))</f>
        <v>3.2939603822754151</v>
      </c>
      <c r="BH223" s="13" t="str">
        <f t="shared" si="50"/>
        <v>CUMPLE</v>
      </c>
      <c r="BI223" s="13">
        <f>AX223*[1]Parametros!$B$8</f>
        <v>1592</v>
      </c>
      <c r="BJ223" s="15" t="str">
        <f t="shared" si="51"/>
        <v>CUMPLE</v>
      </c>
    </row>
    <row r="224" spans="1:62" x14ac:dyDescent="0.3">
      <c r="A224" s="41" t="s">
        <v>72</v>
      </c>
      <c r="B224" s="42">
        <v>833</v>
      </c>
      <c r="C224" s="13">
        <v>1</v>
      </c>
      <c r="D224" s="13">
        <v>2.0499999999999998</v>
      </c>
      <c r="E224" s="13">
        <v>2.0499999999999998</v>
      </c>
      <c r="F224" s="13">
        <v>450</v>
      </c>
      <c r="G224" s="13">
        <v>550</v>
      </c>
      <c r="H224" s="13">
        <v>450</v>
      </c>
      <c r="I224" s="13">
        <v>550</v>
      </c>
      <c r="J224" s="14">
        <v>156.14449999999999</v>
      </c>
      <c r="K224" s="13">
        <v>833</v>
      </c>
      <c r="L224" s="14">
        <v>141.0908</v>
      </c>
      <c r="M224" s="13">
        <v>833</v>
      </c>
      <c r="N224" s="14">
        <v>121.437</v>
      </c>
      <c r="O224" s="14">
        <v>488.55599999999998</v>
      </c>
      <c r="P224" s="13">
        <v>833</v>
      </c>
      <c r="Q224" s="14">
        <v>14.942</v>
      </c>
      <c r="R224" s="13">
        <f>MAX(MAX(1.4/[1]Parametros!$B$3,0.25*SQRT([1]Parametros!$B$2)/[1]Parametros!$B$3)*H224*U224,(0.85*[1]Parametros!$B$2/[1]Parametros!$B$3)*(1-SQRT(1-2*(J224*1000000/([1]Parametros!$B$5*H224*U224^2))/(0.85*[1]Parametros!$B$2)))*H224*U224)</f>
        <v>874.80593518837054</v>
      </c>
      <c r="S224" s="14">
        <v>5</v>
      </c>
      <c r="T224" s="14">
        <v>1</v>
      </c>
      <c r="U224" s="13">
        <f>IF(T224=1,I224-([1]Parametros!$B$7+[1]Parametros!$B$9+[1]Parametros!$B$12/2),I224-(ROUNDUP(S224/2,0)*([1]Parametros!$B$7+[1]Parametros!$B$9+[1]Parametros!$B$12/2)+ROUNDDOWN(S224/2,0)*([1]Parametros!$B$7+[1]Parametros!$B$9+[1]Parametros!$B$12/2+[1]Parametros!$B$12+[1]Parametros!$B$10))/S224)</f>
        <v>489.35</v>
      </c>
      <c r="V224" s="13">
        <f>S224*[1]Parametros!$B$8</f>
        <v>995</v>
      </c>
      <c r="W224" s="13">
        <f>[1]Parametros!$B$5*V224*[1]Parametros!$B$3*(U224-(V224*[1]Parametros!$B$3/(0.85*[1]Parametros!$B$2*H224))/2)/1000000</f>
        <v>176.71159614705886</v>
      </c>
      <c r="X224" s="13" t="str">
        <f t="shared" si="39"/>
        <v>CUMPLE</v>
      </c>
      <c r="Y224" s="13">
        <f>MAX(MAX(1.4/[1]Parametros!$B$3,0.25*SQRT([1]Parametros!$B$2)/[1]Parametros!$B$3)*H224*AB224,(0.85*[1]Parametros!$B$2/[1]Parametros!$B$3)*(1-SQRT(1-2*(L224*1000000/([1]Parametros!$B$5*H224*AB224^2))/(0.85*[1]Parametros!$B$2)))*H224*AB224)</f>
        <v>787.61535467753868</v>
      </c>
      <c r="Z224" s="14">
        <v>4</v>
      </c>
      <c r="AA224" s="14">
        <v>1</v>
      </c>
      <c r="AB224" s="13">
        <f>IF(AA224=1,I224-([1]Parametros!$B$7+[1]Parametros!$B$9+[1]Parametros!$B$12/2),I224-(ROUNDUP(Z224/2,0)*([1]Parametros!$B$7+[1]Parametros!$B$9+[1]Parametros!$B$12/2)+ROUNDDOWN(Z224/2,0)*([1]Parametros!$B$7+[1]Parametros!$B$9+[1]Parametros!$B$12/2+[1]Parametros!$B$12+[1]Parametros!$B$10))/Z224)</f>
        <v>489.35</v>
      </c>
      <c r="AC224" s="13">
        <f>Z224*[1]Parametros!$B$8</f>
        <v>796</v>
      </c>
      <c r="AD224" s="13">
        <f>[1]Parametros!$B$5*AC224*[1]Parametros!$B$3*(AB224-(AC224*[1]Parametros!$B$3/(0.85*[1]Parametros!$B$2*H224))/2)/1000000</f>
        <v>142.54333009411764</v>
      </c>
      <c r="AE224" s="13" t="str">
        <f t="shared" si="40"/>
        <v>CUMPLE</v>
      </c>
      <c r="AF224" s="13">
        <f>V224*1.25*[1]Parametros!$B$3*(U224-(V224*1.25*[1]Parametros!$B$3/(0.85*[1]Parametros!$B$2*H224))/2)/1000000</f>
        <v>242.88491397058826</v>
      </c>
      <c r="AG224" s="13">
        <f>AC224*1.25*[1]Parametros!$B$3*(AB224-(AC224*1.25*[1]Parametros!$B$3/(0.85*[1]Parametros!$B$2*H224))/2)/1000000</f>
        <v>196.34621794117646</v>
      </c>
      <c r="AH224" s="13">
        <f t="shared" si="41"/>
        <v>335.69608873744619</v>
      </c>
      <c r="AI224" s="13">
        <f t="shared" si="42"/>
        <v>488.55599999999998</v>
      </c>
      <c r="AJ224" s="13">
        <f>0.17*SQRT([1]Parametros!$B$2)*H224*MIN(U224,AB224)/1000</f>
        <v>198.08885582262698</v>
      </c>
      <c r="AK224" s="13">
        <f>MAX(AI224/[1]Parametros!$B$6-AJ224,0)</f>
        <v>453.319144177373</v>
      </c>
      <c r="AL224" s="13">
        <f>0.66*SQRT([1]Parametros!$B$2)*H224*MIN(U224,AB224)/1000</f>
        <v>769.05085201725785</v>
      </c>
      <c r="AM224" s="13" t="str">
        <f t="shared" si="43"/>
        <v>CUMPLE</v>
      </c>
      <c r="AN224" s="13" t="s">
        <v>68</v>
      </c>
      <c r="AO224" s="14">
        <v>2</v>
      </c>
      <c r="AP224" s="13">
        <f>ROUNDDOWN(MIN(IF(BC224+BD224=0,1000000000,AO224*BB224/(BC224+BD224)),MIN(U224,AB224)/4,8*[1]Parametros!$B$12,24*BA224,300,IF(AV224=0,1000000000,2*((H224-2*([1]Parametros!$B$7+[1]Parametros!$B$9/2))+(I224-2*([1]Parametros!$B$7+[1]Parametros!$B$9/2)))/8))/10,0)*10</f>
        <v>100</v>
      </c>
      <c r="AQ224" s="13">
        <f>ROUNDDOWN(MIN(IF(BC224+BD224=0,1000000000,AO224*BB224/(BC224+BD224)),IF(AK224&gt;0.33*SQRT([1]Parametros!$B$2)*H224*MIN(U224,AB224)/1000,MIN(U224,AB224)/4,MIN(U224,AB224)/2),600,IF(AV224=0,1000000000,2*((H224-2*([1]Parametros!$B$7+[1]Parametros!$B$9/2))+(I224-2*([1]Parametros!$B$7+[1]Parametros!$B$9/2)))/8))/10,0)*10</f>
        <v>100</v>
      </c>
      <c r="AR224" s="13">
        <f>[1]Parametros!$B$6*(AJ224+MAX(BE224-BD224,0)*[1]Parametros!$B$4*MIN(U224,AB224)/1000)</f>
        <v>493.61419863716208</v>
      </c>
      <c r="AS224" s="13" t="str">
        <f t="shared" si="44"/>
        <v>CUMPLE</v>
      </c>
      <c r="AT224" s="13">
        <f>[1]Parametros!$B$6*0.083*SQRT([1]Parametros!$B$2)*(H224*I224)^2/(2*(H224+I224))/1000000</f>
        <v>10.08878303333792</v>
      </c>
      <c r="AU224" s="13" t="str">
        <f t="shared" si="45"/>
        <v>DISEÑAR</v>
      </c>
      <c r="AV224" s="13">
        <f>IF(Q224&lt;=AT224,0,Q224*1000000/([1]Parametros!$B$6*2*0.85*(H224-2*([1]Parametros!$B$7+[1]Parametros!$B$9/2))*(I224-2*([1]Parametros!$B$7+[1]Parametros!$B$9/2))*[1]Parametros!$B$4))</f>
        <v>0.17077136087491587</v>
      </c>
      <c r="AW224" s="13">
        <f>AV224*2*((H224-2*([1]Parametros!$B$7+[1]Parametros!$B$9/2))+(I224-2*([1]Parametros!$B$7+[1]Parametros!$B$9/2)))*[1]Parametros!$B$4/[1]Parametros!$B$3</f>
        <v>278.22070113741296</v>
      </c>
      <c r="AX224" s="14">
        <v>8</v>
      </c>
      <c r="AY224" s="13" t="str">
        <f t="shared" si="46"/>
        <v>CUMPLE</v>
      </c>
      <c r="AZ224" s="13" t="str">
        <f t="shared" si="47"/>
        <v>CUMPLE</v>
      </c>
      <c r="BA224" s="14">
        <v>12.7</v>
      </c>
      <c r="BB224" s="14">
        <v>129</v>
      </c>
      <c r="BC224" s="13">
        <f>MAX(IF(AK224=0,0,AK224*1000/([1]Parametros!$B$4*MIN(U224,AB224))),MAX(0.062*SQRT([1]Parametros!$B$2)*H224/[1]Parametros!$B$4,0.35*H224/[1]Parametros!$B$4))</f>
        <v>2.2056427825899907</v>
      </c>
      <c r="BD224" s="13">
        <f t="shared" si="48"/>
        <v>0.34154272174983175</v>
      </c>
      <c r="BE224" s="13">
        <f t="shared" si="49"/>
        <v>2.58</v>
      </c>
      <c r="BF224" s="13">
        <f>SQRT((AI224*1000/(H224*MIN(U224,AB224)))^2+(Q224*1000000*2*((H224-2*([1]Parametros!$B$7+[1]Parametros!$B$9/2))+(I224-2*([1]Parametros!$B$7+[1]Parametros!$B$9/2)))/(1.7*((H224-2*([1]Parametros!$B$7+[1]Parametros!$B$9/2))*(I224-2*([1]Parametros!$B$7+[1]Parametros!$B$9/2)))^2))^2)</f>
        <v>2.2825323246438276</v>
      </c>
      <c r="BG224" s="13">
        <f>[1]Parametros!$B$6*(AJ224*1000/(H224*MIN(U224,AB224))+0.66*SQRT([1]Parametros!$B$2))</f>
        <v>3.2939603822754151</v>
      </c>
      <c r="BH224" s="13" t="str">
        <f t="shared" si="50"/>
        <v>CUMPLE</v>
      </c>
      <c r="BI224" s="13">
        <f>AX224*[1]Parametros!$B$8</f>
        <v>1592</v>
      </c>
      <c r="BJ224" s="15" t="str">
        <f t="shared" si="51"/>
        <v>CUMPLE</v>
      </c>
    </row>
    <row r="225" spans="1:62" x14ac:dyDescent="0.3">
      <c r="A225" s="41" t="s">
        <v>72</v>
      </c>
      <c r="B225" s="42">
        <v>834</v>
      </c>
      <c r="C225" s="13">
        <v>1</v>
      </c>
      <c r="D225" s="13">
        <v>4.5</v>
      </c>
      <c r="E225" s="13">
        <v>4.5</v>
      </c>
      <c r="F225" s="13">
        <v>450</v>
      </c>
      <c r="G225" s="13">
        <v>550</v>
      </c>
      <c r="H225" s="13">
        <v>450</v>
      </c>
      <c r="I225" s="13">
        <v>550</v>
      </c>
      <c r="J225" s="14">
        <v>133.76079999999999</v>
      </c>
      <c r="K225" s="13">
        <v>834</v>
      </c>
      <c r="L225" s="14">
        <v>109.47580000000001</v>
      </c>
      <c r="M225" s="13">
        <v>834</v>
      </c>
      <c r="N225" s="14">
        <v>65.539000000000001</v>
      </c>
      <c r="O225" s="14">
        <v>220.85599999999999</v>
      </c>
      <c r="P225" s="13">
        <v>834</v>
      </c>
      <c r="Q225" s="14">
        <v>6.8874000000000004</v>
      </c>
      <c r="R225" s="13">
        <f>MAX(MAX(1.4/[1]Parametros!$B$3,0.25*SQRT([1]Parametros!$B$2)/[1]Parametros!$B$3)*H225*U225,(0.85*[1]Parametros!$B$2/[1]Parametros!$B$3)*(1-SQRT(1-2*(J225*1000000/([1]Parametros!$B$5*H225*U225^2))/(0.85*[1]Parametros!$B$2)))*H225*U225)</f>
        <v>745.39476833635899</v>
      </c>
      <c r="S225" s="14">
        <v>4</v>
      </c>
      <c r="T225" s="14">
        <v>1</v>
      </c>
      <c r="U225" s="13">
        <f>IF(T225=1,I225-([1]Parametros!$B$7+[1]Parametros!$B$9+[1]Parametros!$B$12/2),I225-(ROUNDUP(S225/2,0)*([1]Parametros!$B$7+[1]Parametros!$B$9+[1]Parametros!$B$12/2)+ROUNDDOWN(S225/2,0)*([1]Parametros!$B$7+[1]Parametros!$B$9+[1]Parametros!$B$12/2+[1]Parametros!$B$12+[1]Parametros!$B$10))/S225)</f>
        <v>489.35</v>
      </c>
      <c r="V225" s="13">
        <f>S225*[1]Parametros!$B$8</f>
        <v>796</v>
      </c>
      <c r="W225" s="13">
        <f>[1]Parametros!$B$5*V225*[1]Parametros!$B$3*(U225-(V225*[1]Parametros!$B$3/(0.85*[1]Parametros!$B$2*H225))/2)/1000000</f>
        <v>142.54333009411764</v>
      </c>
      <c r="X225" s="13" t="str">
        <f t="shared" si="39"/>
        <v>CUMPLE</v>
      </c>
      <c r="Y225" s="13">
        <f>MAX(MAX(1.4/[1]Parametros!$B$3,0.25*SQRT([1]Parametros!$B$2)/[1]Parametros!$B$3)*H225*AB225,(0.85*[1]Parametros!$B$2/[1]Parametros!$B$3)*(1-SQRT(1-2*(L225*1000000/([1]Parametros!$B$5*H225*AB225^2))/(0.85*[1]Parametros!$B$2)))*H225*AB225)</f>
        <v>734.02500000000009</v>
      </c>
      <c r="Z225" s="14">
        <v>4</v>
      </c>
      <c r="AA225" s="14">
        <v>1</v>
      </c>
      <c r="AB225" s="13">
        <f>IF(AA225=1,I225-([1]Parametros!$B$7+[1]Parametros!$B$9+[1]Parametros!$B$12/2),I225-(ROUNDUP(Z225/2,0)*([1]Parametros!$B$7+[1]Parametros!$B$9+[1]Parametros!$B$12/2)+ROUNDDOWN(Z225/2,0)*([1]Parametros!$B$7+[1]Parametros!$B$9+[1]Parametros!$B$12/2+[1]Parametros!$B$12+[1]Parametros!$B$10))/Z225)</f>
        <v>489.35</v>
      </c>
      <c r="AC225" s="13">
        <f>Z225*[1]Parametros!$B$8</f>
        <v>796</v>
      </c>
      <c r="AD225" s="13">
        <f>[1]Parametros!$B$5*AC225*[1]Parametros!$B$3*(AB225-(AC225*[1]Parametros!$B$3/(0.85*[1]Parametros!$B$2*H225))/2)/1000000</f>
        <v>142.54333009411764</v>
      </c>
      <c r="AE225" s="13" t="str">
        <f t="shared" si="40"/>
        <v>CUMPLE</v>
      </c>
      <c r="AF225" s="13">
        <f>V225*1.25*[1]Parametros!$B$3*(U225-(V225*1.25*[1]Parametros!$B$3/(0.85*[1]Parametros!$B$2*H225))/2)/1000000</f>
        <v>196.34621794117646</v>
      </c>
      <c r="AG225" s="13">
        <f>AC225*1.25*[1]Parametros!$B$3*(AB225-(AC225*1.25*[1]Parametros!$B$3/(0.85*[1]Parametros!$B$2*H225))/2)/1000000</f>
        <v>196.34621794117646</v>
      </c>
      <c r="AH225" s="13">
        <f t="shared" si="41"/>
        <v>152.803985751634</v>
      </c>
      <c r="AI225" s="13">
        <f t="shared" si="42"/>
        <v>220.85599999999999</v>
      </c>
      <c r="AJ225" s="13">
        <f>0.17*SQRT([1]Parametros!$B$2)*H225*MIN(U225,AB225)/1000</f>
        <v>198.08885582262698</v>
      </c>
      <c r="AK225" s="13">
        <f>MAX(AI225/[1]Parametros!$B$6-AJ225,0)</f>
        <v>96.385810844039696</v>
      </c>
      <c r="AL225" s="13">
        <f>0.66*SQRT([1]Parametros!$B$2)*H225*MIN(U225,AB225)/1000</f>
        <v>769.05085201725785</v>
      </c>
      <c r="AM225" s="13" t="str">
        <f t="shared" si="43"/>
        <v>CUMPLE</v>
      </c>
      <c r="AN225" s="13" t="s">
        <v>64</v>
      </c>
      <c r="AO225" s="14">
        <v>2</v>
      </c>
      <c r="AP225" s="13">
        <f>ROUNDDOWN(MIN(IF(BC225+BD225=0,1000000000,AO225*BB225/(BC225+BD225)),MIN(U225,AB225)/4,8*[1]Parametros!$B$12,24*BA225,300,IF(AV225=0,1000000000,2*((H225-2*([1]Parametros!$B$7+[1]Parametros!$B$9/2))+(I225-2*([1]Parametros!$B$7+[1]Parametros!$B$9/2)))/8))/10,0)*10</f>
        <v>120</v>
      </c>
      <c r="AQ225" s="13">
        <f>ROUNDDOWN(MIN(IF(BC225+BD225=0,1000000000,AO225*BB225/(BC225+BD225)),IF(AK225&gt;0.33*SQRT([1]Parametros!$B$2)*H225*MIN(U225,AB225)/1000,MIN(U225,AB225)/4,MIN(U225,AB225)/2),600,IF(AV225=0,1000000000,2*((H225-2*([1]Parametros!$B$7+[1]Parametros!$B$9/2))+(I225-2*([1]Parametros!$B$7+[1]Parametros!$B$9/2)))/8))/10,0)*10</f>
        <v>240</v>
      </c>
      <c r="AR225" s="13">
        <f>[1]Parametros!$B$6*(AJ225+MAX(BE225-BD225,0)*[1]Parametros!$B$4*MIN(U225,AB225)/1000)</f>
        <v>330.97185436697026</v>
      </c>
      <c r="AS225" s="13" t="str">
        <f t="shared" si="44"/>
        <v>CUMPLE</v>
      </c>
      <c r="AT225" s="13">
        <f>[1]Parametros!$B$6*0.083*SQRT([1]Parametros!$B$2)*(H225*I225)^2/(2*(H225+I225))/1000000</f>
        <v>10.08878303333792</v>
      </c>
      <c r="AU225" s="13" t="str">
        <f t="shared" si="45"/>
        <v>DESPRECIABLE</v>
      </c>
      <c r="AV225" s="13">
        <f>IF(Q225&lt;=AT225,0,Q225*1000000/([1]Parametros!$B$6*2*0.85*(H225-2*([1]Parametros!$B$7+[1]Parametros!$B$9/2))*(I225-2*([1]Parametros!$B$7+[1]Parametros!$B$9/2))*[1]Parametros!$B$4))</f>
        <v>0</v>
      </c>
      <c r="AW225" s="13">
        <f>AV225*2*((H225-2*([1]Parametros!$B$7+[1]Parametros!$B$9/2))+(I225-2*([1]Parametros!$B$7+[1]Parametros!$B$9/2)))*[1]Parametros!$B$4/[1]Parametros!$B$3</f>
        <v>0</v>
      </c>
      <c r="AX225" s="14">
        <v>0</v>
      </c>
      <c r="AY225" s="13" t="str">
        <f t="shared" si="46"/>
        <v>DESPRECIABLE</v>
      </c>
      <c r="AZ225" s="13" t="str">
        <f t="shared" si="47"/>
        <v>CUMPLE</v>
      </c>
      <c r="BA225" s="14">
        <v>9.5</v>
      </c>
      <c r="BB225" s="14">
        <v>71</v>
      </c>
      <c r="BC225" s="13">
        <f>MAX(IF(AK225=0,0,AK225*1000/([1]Parametros!$B$4*MIN(U225,AB225))),MAX(0.062*SQRT([1]Parametros!$B$2)*H225/[1]Parametros!$B$4,0.35*H225/[1]Parametros!$B$4))</f>
        <v>0.46896909332613085</v>
      </c>
      <c r="BD225" s="13">
        <f t="shared" si="48"/>
        <v>0</v>
      </c>
      <c r="BE225" s="13">
        <f t="shared" si="49"/>
        <v>1.1833333333333333</v>
      </c>
      <c r="BF225" s="13">
        <f>SQRT((AI225*1000/(H225*MIN(U225,AB225)))^2+(Q225*1000000*2*((H225-2*([1]Parametros!$B$7+[1]Parametros!$B$9/2))+(I225-2*([1]Parametros!$B$7+[1]Parametros!$B$9/2)))/(1.7*((H225-2*([1]Parametros!$B$7+[1]Parametros!$B$9/2))*(I225-2*([1]Parametros!$B$7+[1]Parametros!$B$9/2)))^2))^2)</f>
        <v>1.032968727793822</v>
      </c>
      <c r="BG225" s="13">
        <f>[1]Parametros!$B$6*(AJ225*1000/(H225*MIN(U225,AB225))+0.66*SQRT([1]Parametros!$B$2))</f>
        <v>3.2939603822754151</v>
      </c>
      <c r="BH225" s="13" t="str">
        <f t="shared" si="50"/>
        <v>CUMPLE</v>
      </c>
      <c r="BI225" s="13">
        <f>AX225*[1]Parametros!$B$8</f>
        <v>0</v>
      </c>
      <c r="BJ225" s="15" t="str">
        <f t="shared" si="51"/>
        <v>CUMPLE</v>
      </c>
    </row>
    <row r="226" spans="1:62" x14ac:dyDescent="0.3">
      <c r="A226" s="41" t="s">
        <v>72</v>
      </c>
      <c r="B226" s="42">
        <v>835</v>
      </c>
      <c r="C226" s="13">
        <v>1</v>
      </c>
      <c r="D226" s="13">
        <v>4.5</v>
      </c>
      <c r="E226" s="13">
        <v>4.5</v>
      </c>
      <c r="F226" s="13">
        <v>450</v>
      </c>
      <c r="G226" s="13">
        <v>550</v>
      </c>
      <c r="H226" s="13">
        <v>450</v>
      </c>
      <c r="I226" s="13">
        <v>550</v>
      </c>
      <c r="J226" s="14">
        <v>133.75800000000001</v>
      </c>
      <c r="K226" s="13">
        <v>835</v>
      </c>
      <c r="L226" s="14">
        <v>109.473</v>
      </c>
      <c r="M226" s="13">
        <v>835</v>
      </c>
      <c r="N226" s="14">
        <v>65.537999999999997</v>
      </c>
      <c r="O226" s="14">
        <v>220.85499999999999</v>
      </c>
      <c r="P226" s="13">
        <v>835</v>
      </c>
      <c r="Q226" s="14">
        <v>6.8880999999999997</v>
      </c>
      <c r="R226" s="13">
        <f>MAX(MAX(1.4/[1]Parametros!$B$3,0.25*SQRT([1]Parametros!$B$2)/[1]Parametros!$B$3)*H226*U226,(0.85*[1]Parametros!$B$2/[1]Parametros!$B$3)*(1-SQRT(1-2*(J226*1000000/([1]Parametros!$B$5*H226*U226^2))/(0.85*[1]Parametros!$B$2)))*H226*U226)</f>
        <v>745.37866944668087</v>
      </c>
      <c r="S226" s="14">
        <v>4</v>
      </c>
      <c r="T226" s="14">
        <v>1</v>
      </c>
      <c r="U226" s="13">
        <f>IF(T226=1,I226-([1]Parametros!$B$7+[1]Parametros!$B$9+[1]Parametros!$B$12/2),I226-(ROUNDUP(S226/2,0)*([1]Parametros!$B$7+[1]Parametros!$B$9+[1]Parametros!$B$12/2)+ROUNDDOWN(S226/2,0)*([1]Parametros!$B$7+[1]Parametros!$B$9+[1]Parametros!$B$12/2+[1]Parametros!$B$12+[1]Parametros!$B$10))/S226)</f>
        <v>489.35</v>
      </c>
      <c r="V226" s="13">
        <f>S226*[1]Parametros!$B$8</f>
        <v>796</v>
      </c>
      <c r="W226" s="13">
        <f>[1]Parametros!$B$5*V226*[1]Parametros!$B$3*(U226-(V226*[1]Parametros!$B$3/(0.85*[1]Parametros!$B$2*H226))/2)/1000000</f>
        <v>142.54333009411764</v>
      </c>
      <c r="X226" s="13" t="str">
        <f t="shared" si="39"/>
        <v>CUMPLE</v>
      </c>
      <c r="Y226" s="13">
        <f>MAX(MAX(1.4/[1]Parametros!$B$3,0.25*SQRT([1]Parametros!$B$2)/[1]Parametros!$B$3)*H226*AB226,(0.85*[1]Parametros!$B$2/[1]Parametros!$B$3)*(1-SQRT(1-2*(L226*1000000/([1]Parametros!$B$5*H226*AB226^2))/(0.85*[1]Parametros!$B$2)))*H226*AB226)</f>
        <v>734.02500000000009</v>
      </c>
      <c r="Z226" s="14">
        <v>4</v>
      </c>
      <c r="AA226" s="14">
        <v>1</v>
      </c>
      <c r="AB226" s="13">
        <f>IF(AA226=1,I226-([1]Parametros!$B$7+[1]Parametros!$B$9+[1]Parametros!$B$12/2),I226-(ROUNDUP(Z226/2,0)*([1]Parametros!$B$7+[1]Parametros!$B$9+[1]Parametros!$B$12/2)+ROUNDDOWN(Z226/2,0)*([1]Parametros!$B$7+[1]Parametros!$B$9+[1]Parametros!$B$12/2+[1]Parametros!$B$12+[1]Parametros!$B$10))/Z226)</f>
        <v>489.35</v>
      </c>
      <c r="AC226" s="13">
        <f>Z226*[1]Parametros!$B$8</f>
        <v>796</v>
      </c>
      <c r="AD226" s="13">
        <f>[1]Parametros!$B$5*AC226*[1]Parametros!$B$3*(AB226-(AC226*[1]Parametros!$B$3/(0.85*[1]Parametros!$B$2*H226))/2)/1000000</f>
        <v>142.54333009411764</v>
      </c>
      <c r="AE226" s="13" t="str">
        <f t="shared" si="40"/>
        <v>CUMPLE</v>
      </c>
      <c r="AF226" s="13">
        <f>V226*1.25*[1]Parametros!$B$3*(U226-(V226*1.25*[1]Parametros!$B$3/(0.85*[1]Parametros!$B$2*H226))/2)/1000000</f>
        <v>196.34621794117646</v>
      </c>
      <c r="AG226" s="13">
        <f>AC226*1.25*[1]Parametros!$B$3*(AB226-(AC226*1.25*[1]Parametros!$B$3/(0.85*[1]Parametros!$B$2*H226))/2)/1000000</f>
        <v>196.34621794117646</v>
      </c>
      <c r="AH226" s="13">
        <f t="shared" si="41"/>
        <v>152.80298575163397</v>
      </c>
      <c r="AI226" s="13">
        <f t="shared" si="42"/>
        <v>220.85499999999999</v>
      </c>
      <c r="AJ226" s="13">
        <f>0.17*SQRT([1]Parametros!$B$2)*H226*MIN(U226,AB226)/1000</f>
        <v>198.08885582262698</v>
      </c>
      <c r="AK226" s="13">
        <f>MAX(AI226/[1]Parametros!$B$6-AJ226,0)</f>
        <v>96.384477510706319</v>
      </c>
      <c r="AL226" s="13">
        <f>0.66*SQRT([1]Parametros!$B$2)*H226*MIN(U226,AB226)/1000</f>
        <v>769.05085201725785</v>
      </c>
      <c r="AM226" s="13" t="str">
        <f t="shared" si="43"/>
        <v>CUMPLE</v>
      </c>
      <c r="AN226" s="13" t="s">
        <v>64</v>
      </c>
      <c r="AO226" s="14">
        <v>2</v>
      </c>
      <c r="AP226" s="13">
        <f>ROUNDDOWN(MIN(IF(BC226+BD226=0,1000000000,AO226*BB226/(BC226+BD226)),MIN(U226,AB226)/4,8*[1]Parametros!$B$12,24*BA226,300,IF(AV226=0,1000000000,2*((H226-2*([1]Parametros!$B$7+[1]Parametros!$B$9/2))+(I226-2*([1]Parametros!$B$7+[1]Parametros!$B$9/2)))/8))/10,0)*10</f>
        <v>120</v>
      </c>
      <c r="AQ226" s="13">
        <f>ROUNDDOWN(MIN(IF(BC226+BD226=0,1000000000,AO226*BB226/(BC226+BD226)),IF(AK226&gt;0.33*SQRT([1]Parametros!$B$2)*H226*MIN(U226,AB226)/1000,MIN(U226,AB226)/4,MIN(U226,AB226)/2),600,IF(AV226=0,1000000000,2*((H226-2*([1]Parametros!$B$7+[1]Parametros!$B$9/2))+(I226-2*([1]Parametros!$B$7+[1]Parametros!$B$9/2)))/8))/10,0)*10</f>
        <v>240</v>
      </c>
      <c r="AR226" s="13">
        <f>[1]Parametros!$B$6*(AJ226+MAX(BE226-BD226,0)*[1]Parametros!$B$4*MIN(U226,AB226)/1000)</f>
        <v>330.97185436697026</v>
      </c>
      <c r="AS226" s="13" t="str">
        <f t="shared" si="44"/>
        <v>CUMPLE</v>
      </c>
      <c r="AT226" s="13">
        <f>[1]Parametros!$B$6*0.083*SQRT([1]Parametros!$B$2)*(H226*I226)^2/(2*(H226+I226))/1000000</f>
        <v>10.08878303333792</v>
      </c>
      <c r="AU226" s="13" t="str">
        <f t="shared" si="45"/>
        <v>DESPRECIABLE</v>
      </c>
      <c r="AV226" s="13">
        <f>IF(Q226&lt;=AT226,0,Q226*1000000/([1]Parametros!$B$6*2*0.85*(H226-2*([1]Parametros!$B$7+[1]Parametros!$B$9/2))*(I226-2*([1]Parametros!$B$7+[1]Parametros!$B$9/2))*[1]Parametros!$B$4))</f>
        <v>0</v>
      </c>
      <c r="AW226" s="13">
        <f>AV226*2*((H226-2*([1]Parametros!$B$7+[1]Parametros!$B$9/2))+(I226-2*([1]Parametros!$B$7+[1]Parametros!$B$9/2)))*[1]Parametros!$B$4/[1]Parametros!$B$3</f>
        <v>0</v>
      </c>
      <c r="AX226" s="14">
        <v>0</v>
      </c>
      <c r="AY226" s="13" t="str">
        <f t="shared" si="46"/>
        <v>DESPRECIABLE</v>
      </c>
      <c r="AZ226" s="13" t="str">
        <f t="shared" si="47"/>
        <v>CUMPLE</v>
      </c>
      <c r="BA226" s="14">
        <v>9.5</v>
      </c>
      <c r="BB226" s="14">
        <v>71</v>
      </c>
      <c r="BC226" s="13">
        <f>MAX(IF(AK226=0,0,AK226*1000/([1]Parametros!$B$4*MIN(U226,AB226))),MAX(0.062*SQRT([1]Parametros!$B$2)*H226/[1]Parametros!$B$4,0.35*H226/[1]Parametros!$B$4))</f>
        <v>0.46896260593842326</v>
      </c>
      <c r="BD226" s="13">
        <f t="shared" si="48"/>
        <v>0</v>
      </c>
      <c r="BE226" s="13">
        <f t="shared" si="49"/>
        <v>1.1833333333333333</v>
      </c>
      <c r="BF226" s="13">
        <f>SQRT((AI226*1000/(H226*MIN(U226,AB226)))^2+(Q226*1000000*2*((H226-2*([1]Parametros!$B$7+[1]Parametros!$B$9/2))+(I226-2*([1]Parametros!$B$7+[1]Parametros!$B$9/2)))/(1.7*((H226-2*([1]Parametros!$B$7+[1]Parametros!$B$9/2))*(I226-2*([1]Parametros!$B$7+[1]Parametros!$B$9/2)))^2))^2)</f>
        <v>1.0329703331614977</v>
      </c>
      <c r="BG226" s="13">
        <f>[1]Parametros!$B$6*(AJ226*1000/(H226*MIN(U226,AB226))+0.66*SQRT([1]Parametros!$B$2))</f>
        <v>3.2939603822754151</v>
      </c>
      <c r="BH226" s="13" t="str">
        <f t="shared" si="50"/>
        <v>CUMPLE</v>
      </c>
      <c r="BI226" s="13">
        <f>AX226*[1]Parametros!$B$8</f>
        <v>0</v>
      </c>
      <c r="BJ226" s="15" t="str">
        <f t="shared" si="51"/>
        <v>CUMPLE</v>
      </c>
    </row>
    <row r="227" spans="1:62" x14ac:dyDescent="0.3">
      <c r="A227" s="41" t="s">
        <v>72</v>
      </c>
      <c r="B227" s="42">
        <v>836</v>
      </c>
      <c r="C227" s="13">
        <v>1</v>
      </c>
      <c r="D227" s="13">
        <v>2.0499999999999998</v>
      </c>
      <c r="E227" s="13">
        <v>2.0499999999999998</v>
      </c>
      <c r="F227" s="13">
        <v>450</v>
      </c>
      <c r="G227" s="13">
        <v>550</v>
      </c>
      <c r="H227" s="13">
        <v>450</v>
      </c>
      <c r="I227" s="13">
        <v>550</v>
      </c>
      <c r="J227" s="14">
        <v>156.1446</v>
      </c>
      <c r="K227" s="13">
        <v>836</v>
      </c>
      <c r="L227" s="14">
        <v>141.09190000000001</v>
      </c>
      <c r="M227" s="13">
        <v>836</v>
      </c>
      <c r="N227" s="14">
        <v>121.437</v>
      </c>
      <c r="O227" s="14">
        <v>488.55599999999998</v>
      </c>
      <c r="P227" s="13">
        <v>836</v>
      </c>
      <c r="Q227" s="14">
        <v>14.943</v>
      </c>
      <c r="R227" s="13">
        <f>MAX(MAX(1.4/[1]Parametros!$B$3,0.25*SQRT([1]Parametros!$B$2)/[1]Parametros!$B$3)*H227*U227,(0.85*[1]Parametros!$B$2/[1]Parametros!$B$3)*(1-SQRT(1-2*(J227*1000000/([1]Parametros!$B$5*H227*U227^2))/(0.85*[1]Parametros!$B$2)))*H227*U227)</f>
        <v>874.80651656146324</v>
      </c>
      <c r="S227" s="14">
        <v>5</v>
      </c>
      <c r="T227" s="14">
        <v>1</v>
      </c>
      <c r="U227" s="13">
        <f>IF(T227=1,I227-([1]Parametros!$B$7+[1]Parametros!$B$9+[1]Parametros!$B$12/2),I227-(ROUNDUP(S227/2,0)*([1]Parametros!$B$7+[1]Parametros!$B$9+[1]Parametros!$B$12/2)+ROUNDDOWN(S227/2,0)*([1]Parametros!$B$7+[1]Parametros!$B$9+[1]Parametros!$B$12/2+[1]Parametros!$B$12+[1]Parametros!$B$10))/S227)</f>
        <v>489.35</v>
      </c>
      <c r="V227" s="13">
        <f>S227*[1]Parametros!$B$8</f>
        <v>995</v>
      </c>
      <c r="W227" s="13">
        <f>[1]Parametros!$B$5*V227*[1]Parametros!$B$3*(U227-(V227*[1]Parametros!$B$3/(0.85*[1]Parametros!$B$2*H227))/2)/1000000</f>
        <v>176.71159614705886</v>
      </c>
      <c r="X227" s="13" t="str">
        <f t="shared" si="39"/>
        <v>CUMPLE</v>
      </c>
      <c r="Y227" s="13">
        <f>MAX(MAX(1.4/[1]Parametros!$B$3,0.25*SQRT([1]Parametros!$B$2)/[1]Parametros!$B$3)*H227*AB227,(0.85*[1]Parametros!$B$2/[1]Parametros!$B$3)*(1-SQRT(1-2*(L227*1000000/([1]Parametros!$B$5*H227*AB227^2))/(0.85*[1]Parametros!$B$2)))*H227*AB227)</f>
        <v>787.62170208816337</v>
      </c>
      <c r="Z227" s="14">
        <v>4</v>
      </c>
      <c r="AA227" s="14">
        <v>1</v>
      </c>
      <c r="AB227" s="13">
        <f>IF(AA227=1,I227-([1]Parametros!$B$7+[1]Parametros!$B$9+[1]Parametros!$B$12/2),I227-(ROUNDUP(Z227/2,0)*([1]Parametros!$B$7+[1]Parametros!$B$9+[1]Parametros!$B$12/2)+ROUNDDOWN(Z227/2,0)*([1]Parametros!$B$7+[1]Parametros!$B$9+[1]Parametros!$B$12/2+[1]Parametros!$B$12+[1]Parametros!$B$10))/Z227)</f>
        <v>489.35</v>
      </c>
      <c r="AC227" s="13">
        <f>Z227*[1]Parametros!$B$8</f>
        <v>796</v>
      </c>
      <c r="AD227" s="13">
        <f>[1]Parametros!$B$5*AC227*[1]Parametros!$B$3*(AB227-(AC227*[1]Parametros!$B$3/(0.85*[1]Parametros!$B$2*H227))/2)/1000000</f>
        <v>142.54333009411764</v>
      </c>
      <c r="AE227" s="13" t="str">
        <f t="shared" si="40"/>
        <v>CUMPLE</v>
      </c>
      <c r="AF227" s="13">
        <f>V227*1.25*[1]Parametros!$B$3*(U227-(V227*1.25*[1]Parametros!$B$3/(0.85*[1]Parametros!$B$2*H227))/2)/1000000</f>
        <v>242.88491397058826</v>
      </c>
      <c r="AG227" s="13">
        <f>AC227*1.25*[1]Parametros!$B$3*(AB227-(AC227*1.25*[1]Parametros!$B$3/(0.85*[1]Parametros!$B$2*H227))/2)/1000000</f>
        <v>196.34621794117646</v>
      </c>
      <c r="AH227" s="13">
        <f t="shared" si="41"/>
        <v>335.69608873744619</v>
      </c>
      <c r="AI227" s="13">
        <f t="shared" si="42"/>
        <v>488.55599999999998</v>
      </c>
      <c r="AJ227" s="13">
        <f>0.17*SQRT([1]Parametros!$B$2)*H227*MIN(U227,AB227)/1000</f>
        <v>198.08885582262698</v>
      </c>
      <c r="AK227" s="13">
        <f>MAX(AI227/[1]Parametros!$B$6-AJ227,0)</f>
        <v>453.319144177373</v>
      </c>
      <c r="AL227" s="13">
        <f>0.66*SQRT([1]Parametros!$B$2)*H227*MIN(U227,AB227)/1000</f>
        <v>769.05085201725785</v>
      </c>
      <c r="AM227" s="13" t="str">
        <f t="shared" si="43"/>
        <v>CUMPLE</v>
      </c>
      <c r="AN227" s="13" t="s">
        <v>68</v>
      </c>
      <c r="AO227" s="14">
        <v>2</v>
      </c>
      <c r="AP227" s="13">
        <f>ROUNDDOWN(MIN(IF(BC227+BD227=0,1000000000,AO227*BB227/(BC227+BD227)),MIN(U227,AB227)/4,8*[1]Parametros!$B$12,24*BA227,300,IF(AV227=0,1000000000,2*((H227-2*([1]Parametros!$B$7+[1]Parametros!$B$9/2))+(I227-2*([1]Parametros!$B$7+[1]Parametros!$B$9/2)))/8))/10,0)*10</f>
        <v>100</v>
      </c>
      <c r="AQ227" s="13">
        <f>ROUNDDOWN(MIN(IF(BC227+BD227=0,1000000000,AO227*BB227/(BC227+BD227)),IF(AK227&gt;0.33*SQRT([1]Parametros!$B$2)*H227*MIN(U227,AB227)/1000,MIN(U227,AB227)/4,MIN(U227,AB227)/2),600,IF(AV227=0,1000000000,2*((H227-2*([1]Parametros!$B$7+[1]Parametros!$B$9/2))+(I227-2*([1]Parametros!$B$7+[1]Parametros!$B$9/2)))/8))/10,0)*10</f>
        <v>100</v>
      </c>
      <c r="AR227" s="13">
        <f>[1]Parametros!$B$6*(AJ227+MAX(BE227-BD227,0)*[1]Parametros!$B$4*MIN(U227,AB227)/1000)</f>
        <v>493.61067520065887</v>
      </c>
      <c r="AS227" s="13" t="str">
        <f t="shared" si="44"/>
        <v>CUMPLE</v>
      </c>
      <c r="AT227" s="13">
        <f>[1]Parametros!$B$6*0.083*SQRT([1]Parametros!$B$2)*(H227*I227)^2/(2*(H227+I227))/1000000</f>
        <v>10.08878303333792</v>
      </c>
      <c r="AU227" s="13" t="str">
        <f t="shared" si="45"/>
        <v>DISEÑAR</v>
      </c>
      <c r="AV227" s="13">
        <f>IF(Q227&lt;=AT227,0,Q227*1000000/([1]Parametros!$B$6*2*0.85*(H227-2*([1]Parametros!$B$7+[1]Parametros!$B$9/2))*(I227-2*([1]Parametros!$B$7+[1]Parametros!$B$9/2))*[1]Parametros!$B$4))</f>
        <v>0.17078278982424494</v>
      </c>
      <c r="AW227" s="13">
        <f>AV227*2*((H227-2*([1]Parametros!$B$7+[1]Parametros!$B$9/2))+(I227-2*([1]Parametros!$B$7+[1]Parametros!$B$9/2)))*[1]Parametros!$B$4/[1]Parametros!$B$3</f>
        <v>278.23932118165988</v>
      </c>
      <c r="AX227" s="14">
        <v>8</v>
      </c>
      <c r="AY227" s="13" t="str">
        <f t="shared" si="46"/>
        <v>CUMPLE</v>
      </c>
      <c r="AZ227" s="13" t="str">
        <f t="shared" si="47"/>
        <v>CUMPLE</v>
      </c>
      <c r="BA227" s="14">
        <v>12.7</v>
      </c>
      <c r="BB227" s="14">
        <v>129</v>
      </c>
      <c r="BC227" s="13">
        <f>MAX(IF(AK227=0,0,AK227*1000/([1]Parametros!$B$4*MIN(U227,AB227))),MAX(0.062*SQRT([1]Parametros!$B$2)*H227/[1]Parametros!$B$4,0.35*H227/[1]Parametros!$B$4))</f>
        <v>2.2056427825899907</v>
      </c>
      <c r="BD227" s="13">
        <f t="shared" si="48"/>
        <v>0.34156557964848988</v>
      </c>
      <c r="BE227" s="13">
        <f t="shared" si="49"/>
        <v>2.58</v>
      </c>
      <c r="BF227" s="13">
        <f>SQRT((AI227*1000/(H227*MIN(U227,AB227)))^2+(Q227*1000000*2*((H227-2*([1]Parametros!$B$7+[1]Parametros!$B$9/2))+(I227-2*([1]Parametros!$B$7+[1]Parametros!$B$9/2)))/(1.7*((H227-2*([1]Parametros!$B$7+[1]Parametros!$B$9/2))*(I227-2*([1]Parametros!$B$7+[1]Parametros!$B$9/2)))^2))^2)</f>
        <v>2.282540760314471</v>
      </c>
      <c r="BG227" s="13">
        <f>[1]Parametros!$B$6*(AJ227*1000/(H227*MIN(U227,AB227))+0.66*SQRT([1]Parametros!$B$2))</f>
        <v>3.2939603822754151</v>
      </c>
      <c r="BH227" s="13" t="str">
        <f t="shared" si="50"/>
        <v>CUMPLE</v>
      </c>
      <c r="BI227" s="13">
        <f>AX227*[1]Parametros!$B$8</f>
        <v>1592</v>
      </c>
      <c r="BJ227" s="15" t="str">
        <f t="shared" si="51"/>
        <v>CUMPLE</v>
      </c>
    </row>
    <row r="228" spans="1:62" x14ac:dyDescent="0.3">
      <c r="A228" s="41" t="s">
        <v>72</v>
      </c>
      <c r="B228" s="42">
        <v>923</v>
      </c>
      <c r="C228" s="13">
        <v>1</v>
      </c>
      <c r="D228" s="13">
        <v>2.0499999999999998</v>
      </c>
      <c r="E228" s="13">
        <v>2.0499999999999998</v>
      </c>
      <c r="F228" s="13">
        <v>450</v>
      </c>
      <c r="G228" s="13">
        <v>550</v>
      </c>
      <c r="H228" s="13">
        <v>450</v>
      </c>
      <c r="I228" s="13">
        <v>550</v>
      </c>
      <c r="J228" s="14">
        <v>104.6651</v>
      </c>
      <c r="K228" s="13">
        <v>923</v>
      </c>
      <c r="L228" s="14">
        <v>90.272000000000006</v>
      </c>
      <c r="M228" s="13">
        <v>923</v>
      </c>
      <c r="N228" s="14">
        <v>82.834000000000003</v>
      </c>
      <c r="O228" s="14">
        <v>271.89600000000002</v>
      </c>
      <c r="P228" s="13">
        <v>923</v>
      </c>
      <c r="Q228" s="14">
        <v>10.3889</v>
      </c>
      <c r="R228" s="13">
        <f>MAX(MAX(1.4/[1]Parametros!$B$3,0.25*SQRT([1]Parametros!$B$2)/[1]Parametros!$B$3)*H228*U228,(0.85*[1]Parametros!$B$2/[1]Parametros!$B$3)*(1-SQRT(1-2*(J228*1000000/([1]Parametros!$B$5*H228*U228^2))/(0.85*[1]Parametros!$B$2)))*H228*U228)</f>
        <v>734.02500000000009</v>
      </c>
      <c r="S228" s="14">
        <v>4</v>
      </c>
      <c r="T228" s="14">
        <v>1</v>
      </c>
      <c r="U228" s="13">
        <f>IF(T228=1,I228-([1]Parametros!$B$7+[1]Parametros!$B$9+[1]Parametros!$B$12/2),I228-(ROUNDUP(S228/2,0)*([1]Parametros!$B$7+[1]Parametros!$B$9+[1]Parametros!$B$12/2)+ROUNDDOWN(S228/2,0)*([1]Parametros!$B$7+[1]Parametros!$B$9+[1]Parametros!$B$12/2+[1]Parametros!$B$12+[1]Parametros!$B$10))/S228)</f>
        <v>489.35</v>
      </c>
      <c r="V228" s="13">
        <f>S228*[1]Parametros!$B$8</f>
        <v>796</v>
      </c>
      <c r="W228" s="13">
        <f>[1]Parametros!$B$5*V228*[1]Parametros!$B$3*(U228-(V228*[1]Parametros!$B$3/(0.85*[1]Parametros!$B$2*H228))/2)/1000000</f>
        <v>142.54333009411764</v>
      </c>
      <c r="X228" s="13" t="str">
        <f t="shared" si="39"/>
        <v>CUMPLE</v>
      </c>
      <c r="Y228" s="13">
        <f>MAX(MAX(1.4/[1]Parametros!$B$3,0.25*SQRT([1]Parametros!$B$2)/[1]Parametros!$B$3)*H228*AB228,(0.85*[1]Parametros!$B$2/[1]Parametros!$B$3)*(1-SQRT(1-2*(L228*1000000/([1]Parametros!$B$5*H228*AB228^2))/(0.85*[1]Parametros!$B$2)))*H228*AB228)</f>
        <v>734.02500000000009</v>
      </c>
      <c r="Z228" s="14">
        <v>4</v>
      </c>
      <c r="AA228" s="14">
        <v>1</v>
      </c>
      <c r="AB228" s="13">
        <f>IF(AA228=1,I228-([1]Parametros!$B$7+[1]Parametros!$B$9+[1]Parametros!$B$12/2),I228-(ROUNDUP(Z228/2,0)*([1]Parametros!$B$7+[1]Parametros!$B$9+[1]Parametros!$B$12/2)+ROUNDDOWN(Z228/2,0)*([1]Parametros!$B$7+[1]Parametros!$B$9+[1]Parametros!$B$12/2+[1]Parametros!$B$12+[1]Parametros!$B$10))/Z228)</f>
        <v>489.35</v>
      </c>
      <c r="AC228" s="13">
        <f>Z228*[1]Parametros!$B$8</f>
        <v>796</v>
      </c>
      <c r="AD228" s="13">
        <f>[1]Parametros!$B$5*AC228*[1]Parametros!$B$3*(AB228-(AC228*[1]Parametros!$B$3/(0.85*[1]Parametros!$B$2*H228))/2)/1000000</f>
        <v>142.54333009411764</v>
      </c>
      <c r="AE228" s="13" t="str">
        <f t="shared" si="40"/>
        <v>CUMPLE</v>
      </c>
      <c r="AF228" s="13">
        <f>V228*1.25*[1]Parametros!$B$3*(U228-(V228*1.25*[1]Parametros!$B$3/(0.85*[1]Parametros!$B$2*H228))/2)/1000000</f>
        <v>196.34621794117646</v>
      </c>
      <c r="AG228" s="13">
        <f>AC228*1.25*[1]Parametros!$B$3*(AB228-(AC228*1.25*[1]Parametros!$B$3/(0.85*[1]Parametros!$B$2*H228))/2)/1000000</f>
        <v>196.34621794117646</v>
      </c>
      <c r="AH228" s="13">
        <f t="shared" si="41"/>
        <v>274.3912857962697</v>
      </c>
      <c r="AI228" s="13">
        <f t="shared" si="42"/>
        <v>274.3912857962697</v>
      </c>
      <c r="AJ228" s="13">
        <f>0.17*SQRT([1]Parametros!$B$2)*H228*MIN(U228,AB228)/1000</f>
        <v>198.08885582262698</v>
      </c>
      <c r="AK228" s="13">
        <f>MAX(AI228/[1]Parametros!$B$6-AJ228,0)</f>
        <v>167.7661919057326</v>
      </c>
      <c r="AL228" s="13">
        <f>0.66*SQRT([1]Parametros!$B$2)*H228*MIN(U228,AB228)/1000</f>
        <v>769.05085201725785</v>
      </c>
      <c r="AM228" s="13" t="str">
        <f t="shared" si="43"/>
        <v>CUMPLE</v>
      </c>
      <c r="AN228" s="13" t="s">
        <v>64</v>
      </c>
      <c r="AO228" s="14">
        <v>2</v>
      </c>
      <c r="AP228" s="13">
        <f>ROUNDDOWN(MIN(IF(BC228+BD228=0,1000000000,AO228*BB228/(BC228+BD228)),MIN(U228,AB228)/4,8*[1]Parametros!$B$12,24*BA228,300,IF(AV228=0,1000000000,2*((H228-2*([1]Parametros!$B$7+[1]Parametros!$B$9/2))+(I228-2*([1]Parametros!$B$7+[1]Parametros!$B$9/2)))/8))/10,0)*10</f>
        <v>120</v>
      </c>
      <c r="AQ228" s="13">
        <f>ROUNDDOWN(MIN(IF(BC228+BD228=0,1000000000,AO228*BB228/(BC228+BD228)),IF(AK228&gt;0.33*SQRT([1]Parametros!$B$2)*H228*MIN(U228,AB228)/1000,MIN(U228,AB228)/4,MIN(U228,AB228)/2),600,IF(AV228=0,1000000000,2*((H228-2*([1]Parametros!$B$7+[1]Parametros!$B$9/2))+(I228-2*([1]Parametros!$B$7+[1]Parametros!$B$9/2)))/8))/10,0)*10</f>
        <v>130</v>
      </c>
      <c r="AR228" s="13">
        <f>[1]Parametros!$B$6*(AJ228+MAX(BE228-BD228,0)*[1]Parametros!$B$4*MIN(U228,AB228)/1000)</f>
        <v>294.3672248795753</v>
      </c>
      <c r="AS228" s="13" t="str">
        <f t="shared" si="44"/>
        <v>CUMPLE</v>
      </c>
      <c r="AT228" s="13">
        <f>[1]Parametros!$B$6*0.083*SQRT([1]Parametros!$B$2)*(H228*I228)^2/(2*(H228+I228))/1000000</f>
        <v>10.08878303333792</v>
      </c>
      <c r="AU228" s="13" t="str">
        <f t="shared" si="45"/>
        <v>DISEÑAR</v>
      </c>
      <c r="AV228" s="13">
        <f>IF(Q228&lt;=AT228,0,Q228*1000000/([1]Parametros!$B$6*2*0.85*(H228-2*([1]Parametros!$B$7+[1]Parametros!$B$9/2))*(I228-2*([1]Parametros!$B$7+[1]Parametros!$B$9/2))*[1]Parametros!$B$4))</f>
        <v>0.11873421168474191</v>
      </c>
      <c r="AW228" s="13">
        <f>AV228*2*((H228-2*([1]Parametros!$B$7+[1]Parametros!$B$9/2))+(I228-2*([1]Parametros!$B$7+[1]Parametros!$B$9/2)))*[1]Parametros!$B$4/[1]Parametros!$B$3</f>
        <v>193.44177767678153</v>
      </c>
      <c r="AX228" s="14">
        <v>8</v>
      </c>
      <c r="AY228" s="13" t="str">
        <f t="shared" si="46"/>
        <v>CUMPLE</v>
      </c>
      <c r="AZ228" s="13" t="str">
        <f t="shared" si="47"/>
        <v>CUMPLE</v>
      </c>
      <c r="BA228" s="14">
        <v>9.5</v>
      </c>
      <c r="BB228" s="14">
        <v>71</v>
      </c>
      <c r="BC228" s="13">
        <f>MAX(IF(AK228=0,0,AK228*1000/([1]Parametros!$B$4*MIN(U228,AB228))),MAX(0.062*SQRT([1]Parametros!$B$2)*H228/[1]Parametros!$B$4,0.35*H228/[1]Parametros!$B$4))</f>
        <v>0.81627324831157266</v>
      </c>
      <c r="BD228" s="13">
        <f t="shared" si="48"/>
        <v>0.23746842336948382</v>
      </c>
      <c r="BE228" s="13">
        <f t="shared" si="49"/>
        <v>1.1833333333333333</v>
      </c>
      <c r="BF228" s="13">
        <f>SQRT((AI228*1000/(H228*MIN(U228,AB228)))^2+(Q228*1000000*2*((H228-2*([1]Parametros!$B$7+[1]Parametros!$B$9/2))+(I228-2*([1]Parametros!$B$7+[1]Parametros!$B$9/2)))/(1.7*((H228-2*([1]Parametros!$B$7+[1]Parametros!$B$9/2))*(I228-2*([1]Parametros!$B$7+[1]Parametros!$B$9/2)))^2))^2)</f>
        <v>1.3006677191926512</v>
      </c>
      <c r="BG228" s="13">
        <f>[1]Parametros!$B$6*(AJ228*1000/(H228*MIN(U228,AB228))+0.66*SQRT([1]Parametros!$B$2))</f>
        <v>3.2939603822754151</v>
      </c>
      <c r="BH228" s="13" t="str">
        <f t="shared" si="50"/>
        <v>CUMPLE</v>
      </c>
      <c r="BI228" s="13">
        <f>AX228*[1]Parametros!$B$8</f>
        <v>1592</v>
      </c>
      <c r="BJ228" s="15" t="str">
        <f t="shared" si="51"/>
        <v>CUMPLE</v>
      </c>
    </row>
    <row r="229" spans="1:62" x14ac:dyDescent="0.3">
      <c r="A229" s="41" t="s">
        <v>72</v>
      </c>
      <c r="B229" s="42">
        <v>924</v>
      </c>
      <c r="C229" s="13">
        <v>1</v>
      </c>
      <c r="D229" s="13">
        <v>4.5</v>
      </c>
      <c r="E229" s="13">
        <v>4.5</v>
      </c>
      <c r="F229" s="13">
        <v>450</v>
      </c>
      <c r="G229" s="13">
        <v>550</v>
      </c>
      <c r="H229" s="13">
        <v>450</v>
      </c>
      <c r="I229" s="13">
        <v>550</v>
      </c>
      <c r="J229" s="14">
        <v>105.3918</v>
      </c>
      <c r="K229" s="13">
        <v>924</v>
      </c>
      <c r="L229" s="14">
        <v>80.087999999999994</v>
      </c>
      <c r="M229" s="13">
        <v>924</v>
      </c>
      <c r="N229" s="14">
        <v>54.213999999999999</v>
      </c>
      <c r="O229" s="14">
        <v>158.172</v>
      </c>
      <c r="P229" s="13">
        <v>924</v>
      </c>
      <c r="Q229" s="14">
        <v>5.3361000000000001</v>
      </c>
      <c r="R229" s="13">
        <f>MAX(MAX(1.4/[1]Parametros!$B$3,0.25*SQRT([1]Parametros!$B$2)/[1]Parametros!$B$3)*H229*U229,(0.85*[1]Parametros!$B$2/[1]Parametros!$B$3)*(1-SQRT(1-2*(J229*1000000/([1]Parametros!$B$5*H229*U229^2))/(0.85*[1]Parametros!$B$2)))*H229*U229)</f>
        <v>734.02500000000009</v>
      </c>
      <c r="S229" s="14">
        <v>4</v>
      </c>
      <c r="T229" s="14">
        <v>1</v>
      </c>
      <c r="U229" s="13">
        <f>IF(T229=1,I229-([1]Parametros!$B$7+[1]Parametros!$B$9+[1]Parametros!$B$12/2),I229-(ROUNDUP(S229/2,0)*([1]Parametros!$B$7+[1]Parametros!$B$9+[1]Parametros!$B$12/2)+ROUNDDOWN(S229/2,0)*([1]Parametros!$B$7+[1]Parametros!$B$9+[1]Parametros!$B$12/2+[1]Parametros!$B$12+[1]Parametros!$B$10))/S229)</f>
        <v>489.35</v>
      </c>
      <c r="V229" s="13">
        <f>S229*[1]Parametros!$B$8</f>
        <v>796</v>
      </c>
      <c r="W229" s="13">
        <f>[1]Parametros!$B$5*V229*[1]Parametros!$B$3*(U229-(V229*[1]Parametros!$B$3/(0.85*[1]Parametros!$B$2*H229))/2)/1000000</f>
        <v>142.54333009411764</v>
      </c>
      <c r="X229" s="13" t="str">
        <f t="shared" si="39"/>
        <v>CUMPLE</v>
      </c>
      <c r="Y229" s="13">
        <f>MAX(MAX(1.4/[1]Parametros!$B$3,0.25*SQRT([1]Parametros!$B$2)/[1]Parametros!$B$3)*H229*AB229,(0.85*[1]Parametros!$B$2/[1]Parametros!$B$3)*(1-SQRT(1-2*(L229*1000000/([1]Parametros!$B$5*H229*AB229^2))/(0.85*[1]Parametros!$B$2)))*H229*AB229)</f>
        <v>734.02500000000009</v>
      </c>
      <c r="Z229" s="14">
        <v>4</v>
      </c>
      <c r="AA229" s="14">
        <v>1</v>
      </c>
      <c r="AB229" s="13">
        <f>IF(AA229=1,I229-([1]Parametros!$B$7+[1]Parametros!$B$9+[1]Parametros!$B$12/2),I229-(ROUNDUP(Z229/2,0)*([1]Parametros!$B$7+[1]Parametros!$B$9+[1]Parametros!$B$12/2)+ROUNDDOWN(Z229/2,0)*([1]Parametros!$B$7+[1]Parametros!$B$9+[1]Parametros!$B$12/2+[1]Parametros!$B$12+[1]Parametros!$B$10))/Z229)</f>
        <v>489.35</v>
      </c>
      <c r="AC229" s="13">
        <f>Z229*[1]Parametros!$B$8</f>
        <v>796</v>
      </c>
      <c r="AD229" s="13">
        <f>[1]Parametros!$B$5*AC229*[1]Parametros!$B$3*(AB229-(AC229*[1]Parametros!$B$3/(0.85*[1]Parametros!$B$2*H229))/2)/1000000</f>
        <v>142.54333009411764</v>
      </c>
      <c r="AE229" s="13" t="str">
        <f t="shared" si="40"/>
        <v>CUMPLE</v>
      </c>
      <c r="AF229" s="13">
        <f>V229*1.25*[1]Parametros!$B$3*(U229-(V229*1.25*[1]Parametros!$B$3/(0.85*[1]Parametros!$B$2*H229))/2)/1000000</f>
        <v>196.34621794117646</v>
      </c>
      <c r="AG229" s="13">
        <f>AC229*1.25*[1]Parametros!$B$3*(AB229-(AC229*1.25*[1]Parametros!$B$3/(0.85*[1]Parametros!$B$2*H229))/2)/1000000</f>
        <v>196.34621794117646</v>
      </c>
      <c r="AH229" s="13">
        <f t="shared" si="41"/>
        <v>141.47898575163399</v>
      </c>
      <c r="AI229" s="13">
        <f t="shared" si="42"/>
        <v>158.172</v>
      </c>
      <c r="AJ229" s="13">
        <f>0.17*SQRT([1]Parametros!$B$2)*H229*MIN(U229,AB229)/1000</f>
        <v>198.08885582262698</v>
      </c>
      <c r="AK229" s="13">
        <f>MAX(AI229/[1]Parametros!$B$6-AJ229,0)</f>
        <v>12.807144177373004</v>
      </c>
      <c r="AL229" s="13">
        <f>0.66*SQRT([1]Parametros!$B$2)*H229*MIN(U229,AB229)/1000</f>
        <v>769.05085201725785</v>
      </c>
      <c r="AM229" s="13" t="str">
        <f t="shared" si="43"/>
        <v>CUMPLE</v>
      </c>
      <c r="AN229" s="13" t="s">
        <v>64</v>
      </c>
      <c r="AO229" s="14">
        <v>2</v>
      </c>
      <c r="AP229" s="13">
        <f>ROUNDDOWN(MIN(IF(BC229+BD229=0,1000000000,AO229*BB229/(BC229+BD229)),MIN(U229,AB229)/4,8*[1]Parametros!$B$12,24*BA229,300,IF(AV229=0,1000000000,2*((H229-2*([1]Parametros!$B$7+[1]Parametros!$B$9/2))+(I229-2*([1]Parametros!$B$7+[1]Parametros!$B$9/2)))/8))/10,0)*10</f>
        <v>120</v>
      </c>
      <c r="AQ229" s="13">
        <f>ROUNDDOWN(MIN(IF(BC229+BD229=0,1000000000,AO229*BB229/(BC229+BD229)),IF(AK229&gt;0.33*SQRT([1]Parametros!$B$2)*H229*MIN(U229,AB229)/1000,MIN(U229,AB229)/4,MIN(U229,AB229)/2),600,IF(AV229=0,1000000000,2*((H229-2*([1]Parametros!$B$7+[1]Parametros!$B$9/2))+(I229-2*([1]Parametros!$B$7+[1]Parametros!$B$9/2)))/8))/10,0)*10</f>
        <v>240</v>
      </c>
      <c r="AR229" s="13">
        <f>[1]Parametros!$B$6*(AJ229+MAX(BE229-BD229,0)*[1]Parametros!$B$4*MIN(U229,AB229)/1000)</f>
        <v>330.97185436697026</v>
      </c>
      <c r="AS229" s="13" t="str">
        <f t="shared" si="44"/>
        <v>CUMPLE</v>
      </c>
      <c r="AT229" s="13">
        <f>[1]Parametros!$B$6*0.083*SQRT([1]Parametros!$B$2)*(H229*I229)^2/(2*(H229+I229))/1000000</f>
        <v>10.08878303333792</v>
      </c>
      <c r="AU229" s="13" t="str">
        <f t="shared" si="45"/>
        <v>DESPRECIABLE</v>
      </c>
      <c r="AV229" s="13">
        <f>IF(Q229&lt;=AT229,0,Q229*1000000/([1]Parametros!$B$6*2*0.85*(H229-2*([1]Parametros!$B$7+[1]Parametros!$B$9/2))*(I229-2*([1]Parametros!$B$7+[1]Parametros!$B$9/2))*[1]Parametros!$B$4))</f>
        <v>0</v>
      </c>
      <c r="AW229" s="13">
        <f>AV229*2*((H229-2*([1]Parametros!$B$7+[1]Parametros!$B$9/2))+(I229-2*([1]Parametros!$B$7+[1]Parametros!$B$9/2)))*[1]Parametros!$B$4/[1]Parametros!$B$3</f>
        <v>0</v>
      </c>
      <c r="AX229" s="14">
        <v>0</v>
      </c>
      <c r="AY229" s="13" t="str">
        <f t="shared" si="46"/>
        <v>DESPRECIABLE</v>
      </c>
      <c r="AZ229" s="13" t="str">
        <f t="shared" si="47"/>
        <v>CUMPLE</v>
      </c>
      <c r="BA229" s="14">
        <v>9.5</v>
      </c>
      <c r="BB229" s="14">
        <v>71</v>
      </c>
      <c r="BC229" s="13">
        <f>MAX(IF(AK229=0,0,AK229*1000/([1]Parametros!$B$4*MIN(U229,AB229))),MAX(0.062*SQRT([1]Parametros!$B$2)*H229/[1]Parametros!$B$4,0.35*H229/[1]Parametros!$B$4))</f>
        <v>0.375</v>
      </c>
      <c r="BD229" s="13">
        <f t="shared" si="48"/>
        <v>0</v>
      </c>
      <c r="BE229" s="13">
        <f t="shared" si="49"/>
        <v>1.1833333333333333</v>
      </c>
      <c r="BF229" s="13">
        <f>SQRT((AI229*1000/(H229*MIN(U229,AB229)))^2+(Q229*1000000*2*((H229-2*([1]Parametros!$B$7+[1]Parametros!$B$9/2))+(I229-2*([1]Parametros!$B$7+[1]Parametros!$B$9/2)))/(1.7*((H229-2*([1]Parametros!$B$7+[1]Parametros!$B$9/2))*(I229-2*([1]Parametros!$B$7+[1]Parametros!$B$9/2)))^2))^2)</f>
        <v>0.7433883361357605</v>
      </c>
      <c r="BG229" s="13">
        <f>[1]Parametros!$B$6*(AJ229*1000/(H229*MIN(U229,AB229))+0.66*SQRT([1]Parametros!$B$2))</f>
        <v>3.2939603822754151</v>
      </c>
      <c r="BH229" s="13" t="str">
        <f t="shared" si="50"/>
        <v>CUMPLE</v>
      </c>
      <c r="BI229" s="13">
        <f>AX229*[1]Parametros!$B$8</f>
        <v>0</v>
      </c>
      <c r="BJ229" s="15" t="str">
        <f t="shared" si="51"/>
        <v>CUMPLE</v>
      </c>
    </row>
    <row r="230" spans="1:62" x14ac:dyDescent="0.3">
      <c r="A230" s="41" t="s">
        <v>72</v>
      </c>
      <c r="B230" s="42">
        <v>925</v>
      </c>
      <c r="C230" s="13">
        <v>1</v>
      </c>
      <c r="D230" s="13">
        <v>4.5</v>
      </c>
      <c r="E230" s="13">
        <v>4.5</v>
      </c>
      <c r="F230" s="13">
        <v>450</v>
      </c>
      <c r="G230" s="13">
        <v>550</v>
      </c>
      <c r="H230" s="13">
        <v>450</v>
      </c>
      <c r="I230" s="13">
        <v>550</v>
      </c>
      <c r="J230" s="14">
        <v>105.4033</v>
      </c>
      <c r="K230" s="13">
        <v>925</v>
      </c>
      <c r="L230" s="14">
        <v>80.099599999999995</v>
      </c>
      <c r="M230" s="13">
        <v>925</v>
      </c>
      <c r="N230" s="14">
        <v>54.219000000000001</v>
      </c>
      <c r="O230" s="14">
        <v>158.17699999999999</v>
      </c>
      <c r="P230" s="13">
        <v>925</v>
      </c>
      <c r="Q230" s="14">
        <v>5.3353000000000002</v>
      </c>
      <c r="R230" s="13">
        <f>MAX(MAX(1.4/[1]Parametros!$B$3,0.25*SQRT([1]Parametros!$B$2)/[1]Parametros!$B$3)*H230*U230,(0.85*[1]Parametros!$B$2/[1]Parametros!$B$3)*(1-SQRT(1-2*(J230*1000000/([1]Parametros!$B$5*H230*U230^2))/(0.85*[1]Parametros!$B$2)))*H230*U230)</f>
        <v>734.02500000000009</v>
      </c>
      <c r="S230" s="14">
        <v>4</v>
      </c>
      <c r="T230" s="14">
        <v>1</v>
      </c>
      <c r="U230" s="13">
        <f>IF(T230=1,I230-([1]Parametros!$B$7+[1]Parametros!$B$9+[1]Parametros!$B$12/2),I230-(ROUNDUP(S230/2,0)*([1]Parametros!$B$7+[1]Parametros!$B$9+[1]Parametros!$B$12/2)+ROUNDDOWN(S230/2,0)*([1]Parametros!$B$7+[1]Parametros!$B$9+[1]Parametros!$B$12/2+[1]Parametros!$B$12+[1]Parametros!$B$10))/S230)</f>
        <v>489.35</v>
      </c>
      <c r="V230" s="13">
        <f>S230*[1]Parametros!$B$8</f>
        <v>796</v>
      </c>
      <c r="W230" s="13">
        <f>[1]Parametros!$B$5*V230*[1]Parametros!$B$3*(U230-(V230*[1]Parametros!$B$3/(0.85*[1]Parametros!$B$2*H230))/2)/1000000</f>
        <v>142.54333009411764</v>
      </c>
      <c r="X230" s="13" t="str">
        <f t="shared" si="39"/>
        <v>CUMPLE</v>
      </c>
      <c r="Y230" s="13">
        <f>MAX(MAX(1.4/[1]Parametros!$B$3,0.25*SQRT([1]Parametros!$B$2)/[1]Parametros!$B$3)*H230*AB230,(0.85*[1]Parametros!$B$2/[1]Parametros!$B$3)*(1-SQRT(1-2*(L230*1000000/([1]Parametros!$B$5*H230*AB230^2))/(0.85*[1]Parametros!$B$2)))*H230*AB230)</f>
        <v>734.02500000000009</v>
      </c>
      <c r="Z230" s="14">
        <v>4</v>
      </c>
      <c r="AA230" s="14">
        <v>1</v>
      </c>
      <c r="AB230" s="13">
        <f>IF(AA230=1,I230-([1]Parametros!$B$7+[1]Parametros!$B$9+[1]Parametros!$B$12/2),I230-(ROUNDUP(Z230/2,0)*([1]Parametros!$B$7+[1]Parametros!$B$9+[1]Parametros!$B$12/2)+ROUNDDOWN(Z230/2,0)*([1]Parametros!$B$7+[1]Parametros!$B$9+[1]Parametros!$B$12/2+[1]Parametros!$B$12+[1]Parametros!$B$10))/Z230)</f>
        <v>489.35</v>
      </c>
      <c r="AC230" s="13">
        <f>Z230*[1]Parametros!$B$8</f>
        <v>796</v>
      </c>
      <c r="AD230" s="13">
        <f>[1]Parametros!$B$5*AC230*[1]Parametros!$B$3*(AB230-(AC230*[1]Parametros!$B$3/(0.85*[1]Parametros!$B$2*H230))/2)/1000000</f>
        <v>142.54333009411764</v>
      </c>
      <c r="AE230" s="13" t="str">
        <f t="shared" si="40"/>
        <v>CUMPLE</v>
      </c>
      <c r="AF230" s="13">
        <f>V230*1.25*[1]Parametros!$B$3*(U230-(V230*1.25*[1]Parametros!$B$3/(0.85*[1]Parametros!$B$2*H230))/2)/1000000</f>
        <v>196.34621794117646</v>
      </c>
      <c r="AG230" s="13">
        <f>AC230*1.25*[1]Parametros!$B$3*(AB230-(AC230*1.25*[1]Parametros!$B$3/(0.85*[1]Parametros!$B$2*H230))/2)/1000000</f>
        <v>196.34621794117646</v>
      </c>
      <c r="AH230" s="13">
        <f t="shared" si="41"/>
        <v>141.48398575163398</v>
      </c>
      <c r="AI230" s="13">
        <f t="shared" si="42"/>
        <v>158.17699999999999</v>
      </c>
      <c r="AJ230" s="13">
        <f>0.17*SQRT([1]Parametros!$B$2)*H230*MIN(U230,AB230)/1000</f>
        <v>198.08885582262698</v>
      </c>
      <c r="AK230" s="13">
        <f>MAX(AI230/[1]Parametros!$B$6-AJ230,0)</f>
        <v>12.813810844039665</v>
      </c>
      <c r="AL230" s="13">
        <f>0.66*SQRT([1]Parametros!$B$2)*H230*MIN(U230,AB230)/1000</f>
        <v>769.05085201725785</v>
      </c>
      <c r="AM230" s="13" t="str">
        <f t="shared" si="43"/>
        <v>CUMPLE</v>
      </c>
      <c r="AN230" s="13" t="s">
        <v>64</v>
      </c>
      <c r="AO230" s="14">
        <v>2</v>
      </c>
      <c r="AP230" s="13">
        <f>ROUNDDOWN(MIN(IF(BC230+BD230=0,1000000000,AO230*BB230/(BC230+BD230)),MIN(U230,AB230)/4,8*[1]Parametros!$B$12,24*BA230,300,IF(AV230=0,1000000000,2*((H230-2*([1]Parametros!$B$7+[1]Parametros!$B$9/2))+(I230-2*([1]Parametros!$B$7+[1]Parametros!$B$9/2)))/8))/10,0)*10</f>
        <v>120</v>
      </c>
      <c r="AQ230" s="13">
        <f>ROUNDDOWN(MIN(IF(BC230+BD230=0,1000000000,AO230*BB230/(BC230+BD230)),IF(AK230&gt;0.33*SQRT([1]Parametros!$B$2)*H230*MIN(U230,AB230)/1000,MIN(U230,AB230)/4,MIN(U230,AB230)/2),600,IF(AV230=0,1000000000,2*((H230-2*([1]Parametros!$B$7+[1]Parametros!$B$9/2))+(I230-2*([1]Parametros!$B$7+[1]Parametros!$B$9/2)))/8))/10,0)*10</f>
        <v>240</v>
      </c>
      <c r="AR230" s="13">
        <f>[1]Parametros!$B$6*(AJ230+MAX(BE230-BD230,0)*[1]Parametros!$B$4*MIN(U230,AB230)/1000)</f>
        <v>330.97185436697026</v>
      </c>
      <c r="AS230" s="13" t="str">
        <f t="shared" si="44"/>
        <v>CUMPLE</v>
      </c>
      <c r="AT230" s="13">
        <f>[1]Parametros!$B$6*0.083*SQRT([1]Parametros!$B$2)*(H230*I230)^2/(2*(H230+I230))/1000000</f>
        <v>10.08878303333792</v>
      </c>
      <c r="AU230" s="13" t="str">
        <f t="shared" si="45"/>
        <v>DESPRECIABLE</v>
      </c>
      <c r="AV230" s="13">
        <f>IF(Q230&lt;=AT230,0,Q230*1000000/([1]Parametros!$B$6*2*0.85*(H230-2*([1]Parametros!$B$7+[1]Parametros!$B$9/2))*(I230-2*([1]Parametros!$B$7+[1]Parametros!$B$9/2))*[1]Parametros!$B$4))</f>
        <v>0</v>
      </c>
      <c r="AW230" s="13">
        <f>AV230*2*((H230-2*([1]Parametros!$B$7+[1]Parametros!$B$9/2))+(I230-2*([1]Parametros!$B$7+[1]Parametros!$B$9/2)))*[1]Parametros!$B$4/[1]Parametros!$B$3</f>
        <v>0</v>
      </c>
      <c r="AX230" s="14">
        <v>0</v>
      </c>
      <c r="AY230" s="13" t="str">
        <f t="shared" si="46"/>
        <v>DESPRECIABLE</v>
      </c>
      <c r="AZ230" s="13" t="str">
        <f t="shared" si="47"/>
        <v>CUMPLE</v>
      </c>
      <c r="BA230" s="14">
        <v>9.5</v>
      </c>
      <c r="BB230" s="14">
        <v>71</v>
      </c>
      <c r="BC230" s="13">
        <f>MAX(IF(AK230=0,0,AK230*1000/([1]Parametros!$B$4*MIN(U230,AB230))),MAX(0.062*SQRT([1]Parametros!$B$2)*H230/[1]Parametros!$B$4,0.35*H230/[1]Parametros!$B$4))</f>
        <v>0.375</v>
      </c>
      <c r="BD230" s="13">
        <f t="shared" si="48"/>
        <v>0</v>
      </c>
      <c r="BE230" s="13">
        <f t="shared" si="49"/>
        <v>1.1833333333333333</v>
      </c>
      <c r="BF230" s="13">
        <f>SQRT((AI230*1000/(H230*MIN(U230,AB230)))^2+(Q230*1000000*2*((H230-2*([1]Parametros!$B$7+[1]Parametros!$B$9/2))+(I230-2*([1]Parametros!$B$7+[1]Parametros!$B$9/2)))/(1.7*((H230-2*([1]Parametros!$B$7+[1]Parametros!$B$9/2))*(I230-2*([1]Parametros!$B$7+[1]Parametros!$B$9/2)))^2))^2)</f>
        <v>0.74340287636879943</v>
      </c>
      <c r="BG230" s="13">
        <f>[1]Parametros!$B$6*(AJ230*1000/(H230*MIN(U230,AB230))+0.66*SQRT([1]Parametros!$B$2))</f>
        <v>3.2939603822754151</v>
      </c>
      <c r="BH230" s="13" t="str">
        <f t="shared" si="50"/>
        <v>CUMPLE</v>
      </c>
      <c r="BI230" s="13">
        <f>AX230*[1]Parametros!$B$8</f>
        <v>0</v>
      </c>
      <c r="BJ230" s="15" t="str">
        <f t="shared" si="51"/>
        <v>CUMPLE</v>
      </c>
    </row>
    <row r="231" spans="1:62" x14ac:dyDescent="0.3">
      <c r="A231" s="41" t="s">
        <v>72</v>
      </c>
      <c r="B231" s="42">
        <v>926</v>
      </c>
      <c r="C231" s="13">
        <v>1</v>
      </c>
      <c r="D231" s="13">
        <v>2.0499999999999998</v>
      </c>
      <c r="E231" s="13">
        <v>2.0499999999999998</v>
      </c>
      <c r="F231" s="13">
        <v>450</v>
      </c>
      <c r="G231" s="13">
        <v>550</v>
      </c>
      <c r="H231" s="13">
        <v>450</v>
      </c>
      <c r="I231" s="13">
        <v>550</v>
      </c>
      <c r="J231" s="14">
        <v>104.67570000000001</v>
      </c>
      <c r="K231" s="13">
        <v>926</v>
      </c>
      <c r="L231" s="14">
        <v>90.281000000000006</v>
      </c>
      <c r="M231" s="13">
        <v>926</v>
      </c>
      <c r="N231" s="14">
        <v>82.840999999999994</v>
      </c>
      <c r="O231" s="14">
        <v>271.904</v>
      </c>
      <c r="P231" s="13">
        <v>926</v>
      </c>
      <c r="Q231" s="14">
        <v>10.387499999999999</v>
      </c>
      <c r="R231" s="13">
        <f>MAX(MAX(1.4/[1]Parametros!$B$3,0.25*SQRT([1]Parametros!$B$2)/[1]Parametros!$B$3)*H231*U231,(0.85*[1]Parametros!$B$2/[1]Parametros!$B$3)*(1-SQRT(1-2*(J231*1000000/([1]Parametros!$B$5*H231*U231^2))/(0.85*[1]Parametros!$B$2)))*H231*U231)</f>
        <v>734.02500000000009</v>
      </c>
      <c r="S231" s="14">
        <v>4</v>
      </c>
      <c r="T231" s="14">
        <v>1</v>
      </c>
      <c r="U231" s="13">
        <f>IF(T231=1,I231-([1]Parametros!$B$7+[1]Parametros!$B$9+[1]Parametros!$B$12/2),I231-(ROUNDUP(S231/2,0)*([1]Parametros!$B$7+[1]Parametros!$B$9+[1]Parametros!$B$12/2)+ROUNDDOWN(S231/2,0)*([1]Parametros!$B$7+[1]Parametros!$B$9+[1]Parametros!$B$12/2+[1]Parametros!$B$12+[1]Parametros!$B$10))/S231)</f>
        <v>489.35</v>
      </c>
      <c r="V231" s="13">
        <f>S231*[1]Parametros!$B$8</f>
        <v>796</v>
      </c>
      <c r="W231" s="13">
        <f>[1]Parametros!$B$5*V231*[1]Parametros!$B$3*(U231-(V231*[1]Parametros!$B$3/(0.85*[1]Parametros!$B$2*H231))/2)/1000000</f>
        <v>142.54333009411764</v>
      </c>
      <c r="X231" s="13" t="str">
        <f t="shared" si="39"/>
        <v>CUMPLE</v>
      </c>
      <c r="Y231" s="13">
        <f>MAX(MAX(1.4/[1]Parametros!$B$3,0.25*SQRT([1]Parametros!$B$2)/[1]Parametros!$B$3)*H231*AB231,(0.85*[1]Parametros!$B$2/[1]Parametros!$B$3)*(1-SQRT(1-2*(L231*1000000/([1]Parametros!$B$5*H231*AB231^2))/(0.85*[1]Parametros!$B$2)))*H231*AB231)</f>
        <v>734.02500000000009</v>
      </c>
      <c r="Z231" s="14">
        <v>4</v>
      </c>
      <c r="AA231" s="14">
        <v>1</v>
      </c>
      <c r="AB231" s="13">
        <f>IF(AA231=1,I231-([1]Parametros!$B$7+[1]Parametros!$B$9+[1]Parametros!$B$12/2),I231-(ROUNDUP(Z231/2,0)*([1]Parametros!$B$7+[1]Parametros!$B$9+[1]Parametros!$B$12/2)+ROUNDDOWN(Z231/2,0)*([1]Parametros!$B$7+[1]Parametros!$B$9+[1]Parametros!$B$12/2+[1]Parametros!$B$12+[1]Parametros!$B$10))/Z231)</f>
        <v>489.35</v>
      </c>
      <c r="AC231" s="13">
        <f>Z231*[1]Parametros!$B$8</f>
        <v>796</v>
      </c>
      <c r="AD231" s="13">
        <f>[1]Parametros!$B$5*AC231*[1]Parametros!$B$3*(AB231-(AC231*[1]Parametros!$B$3/(0.85*[1]Parametros!$B$2*H231))/2)/1000000</f>
        <v>142.54333009411764</v>
      </c>
      <c r="AE231" s="13" t="str">
        <f t="shared" si="40"/>
        <v>CUMPLE</v>
      </c>
      <c r="AF231" s="13">
        <f>V231*1.25*[1]Parametros!$B$3*(U231-(V231*1.25*[1]Parametros!$B$3/(0.85*[1]Parametros!$B$2*H231))/2)/1000000</f>
        <v>196.34621794117646</v>
      </c>
      <c r="AG231" s="13">
        <f>AC231*1.25*[1]Parametros!$B$3*(AB231-(AC231*1.25*[1]Parametros!$B$3/(0.85*[1]Parametros!$B$2*H231))/2)/1000000</f>
        <v>196.34621794117646</v>
      </c>
      <c r="AH231" s="13">
        <f t="shared" si="41"/>
        <v>274.3982857962697</v>
      </c>
      <c r="AI231" s="13">
        <f t="shared" si="42"/>
        <v>274.3982857962697</v>
      </c>
      <c r="AJ231" s="13">
        <f>0.17*SQRT([1]Parametros!$B$2)*H231*MIN(U231,AB231)/1000</f>
        <v>198.08885582262698</v>
      </c>
      <c r="AK231" s="13">
        <f>MAX(AI231/[1]Parametros!$B$6-AJ231,0)</f>
        <v>167.77552523906596</v>
      </c>
      <c r="AL231" s="13">
        <f>0.66*SQRT([1]Parametros!$B$2)*H231*MIN(U231,AB231)/1000</f>
        <v>769.05085201725785</v>
      </c>
      <c r="AM231" s="13" t="str">
        <f t="shared" si="43"/>
        <v>CUMPLE</v>
      </c>
      <c r="AN231" s="13" t="s">
        <v>64</v>
      </c>
      <c r="AO231" s="14">
        <v>2</v>
      </c>
      <c r="AP231" s="13">
        <f>ROUNDDOWN(MIN(IF(BC231+BD231=0,1000000000,AO231*BB231/(BC231+BD231)),MIN(U231,AB231)/4,8*[1]Parametros!$B$12,24*BA231,300,IF(AV231=0,1000000000,2*((H231-2*([1]Parametros!$B$7+[1]Parametros!$B$9/2))+(I231-2*([1]Parametros!$B$7+[1]Parametros!$B$9/2)))/8))/10,0)*10</f>
        <v>120</v>
      </c>
      <c r="AQ231" s="13">
        <f>ROUNDDOWN(MIN(IF(BC231+BD231=0,1000000000,AO231*BB231/(BC231+BD231)),IF(AK231&gt;0.33*SQRT([1]Parametros!$B$2)*H231*MIN(U231,AB231)/1000,MIN(U231,AB231)/4,MIN(U231,AB231)/2),600,IF(AV231=0,1000000000,2*((H231-2*([1]Parametros!$B$7+[1]Parametros!$B$9/2))+(I231-2*([1]Parametros!$B$7+[1]Parametros!$B$9/2)))/8))/10,0)*10</f>
        <v>130</v>
      </c>
      <c r="AR231" s="13">
        <f>[1]Parametros!$B$6*(AJ231+MAX(BE231-BD231,0)*[1]Parametros!$B$4*MIN(U231,AB231)/1000)</f>
        <v>294.37215769067973</v>
      </c>
      <c r="AS231" s="13" t="str">
        <f t="shared" si="44"/>
        <v>CUMPLE</v>
      </c>
      <c r="AT231" s="13">
        <f>[1]Parametros!$B$6*0.083*SQRT([1]Parametros!$B$2)*(H231*I231)^2/(2*(H231+I231))/1000000</f>
        <v>10.08878303333792</v>
      </c>
      <c r="AU231" s="13" t="str">
        <f t="shared" si="45"/>
        <v>DISEÑAR</v>
      </c>
      <c r="AV231" s="13">
        <f>IF(Q231&lt;=AT231,0,Q231*1000000/([1]Parametros!$B$6*2*0.85*(H231-2*([1]Parametros!$B$7+[1]Parametros!$B$9/2))*(I231-2*([1]Parametros!$B$7+[1]Parametros!$B$9/2))*[1]Parametros!$B$4))</f>
        <v>0.11871821115568122</v>
      </c>
      <c r="AW231" s="13">
        <f>AV231*2*((H231-2*([1]Parametros!$B$7+[1]Parametros!$B$9/2))+(I231-2*([1]Parametros!$B$7+[1]Parametros!$B$9/2)))*[1]Parametros!$B$4/[1]Parametros!$B$3</f>
        <v>193.41570961483586</v>
      </c>
      <c r="AX231" s="14">
        <v>8</v>
      </c>
      <c r="AY231" s="13" t="str">
        <f t="shared" si="46"/>
        <v>CUMPLE</v>
      </c>
      <c r="AZ231" s="13" t="str">
        <f t="shared" si="47"/>
        <v>CUMPLE</v>
      </c>
      <c r="BA231" s="14">
        <v>9.5</v>
      </c>
      <c r="BB231" s="14">
        <v>71</v>
      </c>
      <c r="BC231" s="13">
        <f>MAX(IF(AK231=0,0,AK231*1000/([1]Parametros!$B$4*MIN(U231,AB231))),MAX(0.062*SQRT([1]Parametros!$B$2)*H231/[1]Parametros!$B$4,0.35*H231/[1]Parametros!$B$4))</f>
        <v>0.81631866002552445</v>
      </c>
      <c r="BD231" s="13">
        <f t="shared" si="48"/>
        <v>0.23743642231136244</v>
      </c>
      <c r="BE231" s="13">
        <f t="shared" si="49"/>
        <v>1.1833333333333333</v>
      </c>
      <c r="BF231" s="13">
        <f>SQRT((AI231*1000/(H231*MIN(U231,AB231)))^2+(Q231*1000000*2*((H231-2*([1]Parametros!$B$7+[1]Parametros!$B$9/2))+(I231-2*([1]Parametros!$B$7+[1]Parametros!$B$9/2)))/(1.7*((H231-2*([1]Parametros!$B$7+[1]Parametros!$B$9/2))*(I231-2*([1]Parametros!$B$7+[1]Parametros!$B$9/2)))^2))^2)</f>
        <v>1.3006837646116403</v>
      </c>
      <c r="BG231" s="13">
        <f>[1]Parametros!$B$6*(AJ231*1000/(H231*MIN(U231,AB231))+0.66*SQRT([1]Parametros!$B$2))</f>
        <v>3.2939603822754151</v>
      </c>
      <c r="BH231" s="13" t="str">
        <f t="shared" si="50"/>
        <v>CUMPLE</v>
      </c>
      <c r="BI231" s="13">
        <f>AX231*[1]Parametros!$B$8</f>
        <v>1592</v>
      </c>
      <c r="BJ231" s="15" t="str">
        <f t="shared" si="51"/>
        <v>CUMPLE</v>
      </c>
    </row>
    <row r="232" spans="1:62" x14ac:dyDescent="0.3">
      <c r="A232" s="41" t="s">
        <v>72</v>
      </c>
      <c r="B232" s="42">
        <v>927</v>
      </c>
      <c r="C232" s="13">
        <v>1</v>
      </c>
      <c r="D232" s="13">
        <v>2.0499999999999998</v>
      </c>
      <c r="E232" s="13">
        <v>2.0499999999999998</v>
      </c>
      <c r="F232" s="13">
        <v>450</v>
      </c>
      <c r="G232" s="13">
        <v>550</v>
      </c>
      <c r="H232" s="13">
        <v>450</v>
      </c>
      <c r="I232" s="13">
        <v>550</v>
      </c>
      <c r="J232" s="14">
        <v>103.8721</v>
      </c>
      <c r="K232" s="13">
        <v>927</v>
      </c>
      <c r="L232" s="14">
        <v>89.419300000000007</v>
      </c>
      <c r="M232" s="13">
        <v>927</v>
      </c>
      <c r="N232" s="14">
        <v>82.212999999999994</v>
      </c>
      <c r="O232" s="14">
        <v>271.96699999999998</v>
      </c>
      <c r="P232" s="13">
        <v>927</v>
      </c>
      <c r="Q232" s="14">
        <v>10.039400000000001</v>
      </c>
      <c r="R232" s="13">
        <f>MAX(MAX(1.4/[1]Parametros!$B$3,0.25*SQRT([1]Parametros!$B$2)/[1]Parametros!$B$3)*H232*U232,(0.85*[1]Parametros!$B$2/[1]Parametros!$B$3)*(1-SQRT(1-2*(J232*1000000/([1]Parametros!$B$5*H232*U232^2))/(0.85*[1]Parametros!$B$2)))*H232*U232)</f>
        <v>734.02500000000009</v>
      </c>
      <c r="S232" s="14">
        <v>4</v>
      </c>
      <c r="T232" s="14">
        <v>1</v>
      </c>
      <c r="U232" s="13">
        <f>IF(T232=1,I232-([1]Parametros!$B$7+[1]Parametros!$B$9+[1]Parametros!$B$12/2),I232-(ROUNDUP(S232/2,0)*([1]Parametros!$B$7+[1]Parametros!$B$9+[1]Parametros!$B$12/2)+ROUNDDOWN(S232/2,0)*([1]Parametros!$B$7+[1]Parametros!$B$9+[1]Parametros!$B$12/2+[1]Parametros!$B$12+[1]Parametros!$B$10))/S232)</f>
        <v>489.35</v>
      </c>
      <c r="V232" s="13">
        <f>S232*[1]Parametros!$B$8</f>
        <v>796</v>
      </c>
      <c r="W232" s="13">
        <f>[1]Parametros!$B$5*V232*[1]Parametros!$B$3*(U232-(V232*[1]Parametros!$B$3/(0.85*[1]Parametros!$B$2*H232))/2)/1000000</f>
        <v>142.54333009411764</v>
      </c>
      <c r="X232" s="13" t="str">
        <f t="shared" si="39"/>
        <v>CUMPLE</v>
      </c>
      <c r="Y232" s="13">
        <f>MAX(MAX(1.4/[1]Parametros!$B$3,0.25*SQRT([1]Parametros!$B$2)/[1]Parametros!$B$3)*H232*AB232,(0.85*[1]Parametros!$B$2/[1]Parametros!$B$3)*(1-SQRT(1-2*(L232*1000000/([1]Parametros!$B$5*H232*AB232^2))/(0.85*[1]Parametros!$B$2)))*H232*AB232)</f>
        <v>734.02500000000009</v>
      </c>
      <c r="Z232" s="14">
        <v>4</v>
      </c>
      <c r="AA232" s="14">
        <v>1</v>
      </c>
      <c r="AB232" s="13">
        <f>IF(AA232=1,I232-([1]Parametros!$B$7+[1]Parametros!$B$9+[1]Parametros!$B$12/2),I232-(ROUNDUP(Z232/2,0)*([1]Parametros!$B$7+[1]Parametros!$B$9+[1]Parametros!$B$12/2)+ROUNDDOWN(Z232/2,0)*([1]Parametros!$B$7+[1]Parametros!$B$9+[1]Parametros!$B$12/2+[1]Parametros!$B$12+[1]Parametros!$B$10))/Z232)</f>
        <v>489.35</v>
      </c>
      <c r="AC232" s="13">
        <f>Z232*[1]Parametros!$B$8</f>
        <v>796</v>
      </c>
      <c r="AD232" s="13">
        <f>[1]Parametros!$B$5*AC232*[1]Parametros!$B$3*(AB232-(AC232*[1]Parametros!$B$3/(0.85*[1]Parametros!$B$2*H232))/2)/1000000</f>
        <v>142.54333009411764</v>
      </c>
      <c r="AE232" s="13" t="str">
        <f t="shared" si="40"/>
        <v>CUMPLE</v>
      </c>
      <c r="AF232" s="13">
        <f>V232*1.25*[1]Parametros!$B$3*(U232-(V232*1.25*[1]Parametros!$B$3/(0.85*[1]Parametros!$B$2*H232))/2)/1000000</f>
        <v>196.34621794117646</v>
      </c>
      <c r="AG232" s="13">
        <f>AC232*1.25*[1]Parametros!$B$3*(AB232-(AC232*1.25*[1]Parametros!$B$3/(0.85*[1]Parametros!$B$2*H232))/2)/1000000</f>
        <v>196.34621794117646</v>
      </c>
      <c r="AH232" s="13">
        <f t="shared" si="41"/>
        <v>273.77028579626972</v>
      </c>
      <c r="AI232" s="13">
        <f t="shared" si="42"/>
        <v>273.77028579626972</v>
      </c>
      <c r="AJ232" s="13">
        <f>0.17*SQRT([1]Parametros!$B$2)*H232*MIN(U232,AB232)/1000</f>
        <v>198.08885582262698</v>
      </c>
      <c r="AK232" s="13">
        <f>MAX(AI232/[1]Parametros!$B$6-AJ232,0)</f>
        <v>166.93819190573262</v>
      </c>
      <c r="AL232" s="13">
        <f>0.66*SQRT([1]Parametros!$B$2)*H232*MIN(U232,AB232)/1000</f>
        <v>769.05085201725785</v>
      </c>
      <c r="AM232" s="13" t="str">
        <f t="shared" si="43"/>
        <v>CUMPLE</v>
      </c>
      <c r="AN232" s="13" t="s">
        <v>64</v>
      </c>
      <c r="AO232" s="14">
        <v>2</v>
      </c>
      <c r="AP232" s="13">
        <f>ROUNDDOWN(MIN(IF(BC232+BD232=0,1000000000,AO232*BB232/(BC232+BD232)),MIN(U232,AB232)/4,8*[1]Parametros!$B$12,24*BA232,300,IF(AV232=0,1000000000,2*((H232-2*([1]Parametros!$B$7+[1]Parametros!$B$9/2))+(I232-2*([1]Parametros!$B$7+[1]Parametros!$B$9/2)))/8))/10,0)*10</f>
        <v>120</v>
      </c>
      <c r="AQ232" s="13">
        <f>ROUNDDOWN(MIN(IF(BC232+BD232=0,1000000000,AO232*BB232/(BC232+BD232)),IF(AK232&gt;0.33*SQRT([1]Parametros!$B$2)*H232*MIN(U232,AB232)/1000,MIN(U232,AB232)/4,MIN(U232,AB232)/2),600,IF(AV232=0,1000000000,2*((H232-2*([1]Parametros!$B$7+[1]Parametros!$B$9/2))+(I232-2*([1]Parametros!$B$7+[1]Parametros!$B$9/2)))/8))/10,0)*10</f>
        <v>170</v>
      </c>
      <c r="AR232" s="13">
        <f>[1]Parametros!$B$6*(AJ232+MAX(BE232-BD232,0)*[1]Parametros!$B$4*MIN(U232,AB232)/1000)</f>
        <v>330.97185436697026</v>
      </c>
      <c r="AS232" s="13" t="str">
        <f t="shared" si="44"/>
        <v>CUMPLE</v>
      </c>
      <c r="AT232" s="13">
        <f>[1]Parametros!$B$6*0.083*SQRT([1]Parametros!$B$2)*(H232*I232)^2/(2*(H232+I232))/1000000</f>
        <v>10.08878303333792</v>
      </c>
      <c r="AU232" s="13" t="str">
        <f t="shared" si="45"/>
        <v>DESPRECIABLE</v>
      </c>
      <c r="AV232" s="13">
        <f>IF(Q232&lt;=AT232,0,Q232*1000000/([1]Parametros!$B$6*2*0.85*(H232-2*([1]Parametros!$B$7+[1]Parametros!$B$9/2))*(I232-2*([1]Parametros!$B$7+[1]Parametros!$B$9/2))*[1]Parametros!$B$4))</f>
        <v>0</v>
      </c>
      <c r="AW232" s="13">
        <f>AV232*2*((H232-2*([1]Parametros!$B$7+[1]Parametros!$B$9/2))+(I232-2*([1]Parametros!$B$7+[1]Parametros!$B$9/2)))*[1]Parametros!$B$4/[1]Parametros!$B$3</f>
        <v>0</v>
      </c>
      <c r="AX232" s="14">
        <v>0</v>
      </c>
      <c r="AY232" s="13" t="str">
        <f t="shared" si="46"/>
        <v>DESPRECIABLE</v>
      </c>
      <c r="AZ232" s="13" t="str">
        <f t="shared" si="47"/>
        <v>CUMPLE</v>
      </c>
      <c r="BA232" s="14">
        <v>9.5</v>
      </c>
      <c r="BB232" s="14">
        <v>71</v>
      </c>
      <c r="BC232" s="13">
        <f>MAX(IF(AK232=0,0,AK232*1000/([1]Parametros!$B$4*MIN(U232,AB232))),MAX(0.062*SQRT([1]Parametros!$B$2)*H232/[1]Parametros!$B$4,0.35*H232/[1]Parametros!$B$4))</f>
        <v>0.81224458054529391</v>
      </c>
      <c r="BD232" s="13">
        <f t="shared" si="48"/>
        <v>0</v>
      </c>
      <c r="BE232" s="13">
        <f t="shared" si="49"/>
        <v>1.1833333333333333</v>
      </c>
      <c r="BF232" s="13">
        <f>SQRT((AI232*1000/(H232*MIN(U232,AB232)))^2+(Q232*1000000*2*((H232-2*([1]Parametros!$B$7+[1]Parametros!$B$9/2))+(I232-2*([1]Parametros!$B$7+[1]Parametros!$B$9/2)))/(1.7*((H232-2*([1]Parametros!$B$7+[1]Parametros!$B$9/2))*(I232-2*([1]Parametros!$B$7+[1]Parametros!$B$9/2)))^2))^2)</f>
        <v>1.2944174033316445</v>
      </c>
      <c r="BG232" s="13">
        <f>[1]Parametros!$B$6*(AJ232*1000/(H232*MIN(U232,AB232))+0.66*SQRT([1]Parametros!$B$2))</f>
        <v>3.2939603822754151</v>
      </c>
      <c r="BH232" s="13" t="str">
        <f t="shared" si="50"/>
        <v>CUMPLE</v>
      </c>
      <c r="BI232" s="13">
        <f>AX232*[1]Parametros!$B$8</f>
        <v>0</v>
      </c>
      <c r="BJ232" s="15" t="str">
        <f t="shared" si="51"/>
        <v>CUMPLE</v>
      </c>
    </row>
    <row r="233" spans="1:62" x14ac:dyDescent="0.3">
      <c r="A233" s="41" t="s">
        <v>72</v>
      </c>
      <c r="B233" s="42">
        <v>928</v>
      </c>
      <c r="C233" s="13">
        <v>1</v>
      </c>
      <c r="D233" s="13">
        <v>4.5</v>
      </c>
      <c r="E233" s="13">
        <v>4.5</v>
      </c>
      <c r="F233" s="13">
        <v>450</v>
      </c>
      <c r="G233" s="13">
        <v>550</v>
      </c>
      <c r="H233" s="13">
        <v>450</v>
      </c>
      <c r="I233" s="13">
        <v>550</v>
      </c>
      <c r="J233" s="14">
        <v>106.05880000000001</v>
      </c>
      <c r="K233" s="13">
        <v>928</v>
      </c>
      <c r="L233" s="14">
        <v>80.695499999999996</v>
      </c>
      <c r="M233" s="13">
        <v>928</v>
      </c>
      <c r="N233" s="14">
        <v>54.463999999999999</v>
      </c>
      <c r="O233" s="14">
        <v>158.50200000000001</v>
      </c>
      <c r="P233" s="13">
        <v>928</v>
      </c>
      <c r="Q233" s="14">
        <v>5.2843</v>
      </c>
      <c r="R233" s="13">
        <f>MAX(MAX(1.4/[1]Parametros!$B$3,0.25*SQRT([1]Parametros!$B$2)/[1]Parametros!$B$3)*H233*U233,(0.85*[1]Parametros!$B$2/[1]Parametros!$B$3)*(1-SQRT(1-2*(J233*1000000/([1]Parametros!$B$5*H233*U233^2))/(0.85*[1]Parametros!$B$2)))*H233*U233)</f>
        <v>734.02500000000009</v>
      </c>
      <c r="S233" s="14">
        <v>4</v>
      </c>
      <c r="T233" s="14">
        <v>1</v>
      </c>
      <c r="U233" s="13">
        <f>IF(T233=1,I233-([1]Parametros!$B$7+[1]Parametros!$B$9+[1]Parametros!$B$12/2),I233-(ROUNDUP(S233/2,0)*([1]Parametros!$B$7+[1]Parametros!$B$9+[1]Parametros!$B$12/2)+ROUNDDOWN(S233/2,0)*([1]Parametros!$B$7+[1]Parametros!$B$9+[1]Parametros!$B$12/2+[1]Parametros!$B$12+[1]Parametros!$B$10))/S233)</f>
        <v>489.35</v>
      </c>
      <c r="V233" s="13">
        <f>S233*[1]Parametros!$B$8</f>
        <v>796</v>
      </c>
      <c r="W233" s="13">
        <f>[1]Parametros!$B$5*V233*[1]Parametros!$B$3*(U233-(V233*[1]Parametros!$B$3/(0.85*[1]Parametros!$B$2*H233))/2)/1000000</f>
        <v>142.54333009411764</v>
      </c>
      <c r="X233" s="13" t="str">
        <f t="shared" si="39"/>
        <v>CUMPLE</v>
      </c>
      <c r="Y233" s="13">
        <f>MAX(MAX(1.4/[1]Parametros!$B$3,0.25*SQRT([1]Parametros!$B$2)/[1]Parametros!$B$3)*H233*AB233,(0.85*[1]Parametros!$B$2/[1]Parametros!$B$3)*(1-SQRT(1-2*(L233*1000000/([1]Parametros!$B$5*H233*AB233^2))/(0.85*[1]Parametros!$B$2)))*H233*AB233)</f>
        <v>734.02500000000009</v>
      </c>
      <c r="Z233" s="14">
        <v>4</v>
      </c>
      <c r="AA233" s="14">
        <v>1</v>
      </c>
      <c r="AB233" s="13">
        <f>IF(AA233=1,I233-([1]Parametros!$B$7+[1]Parametros!$B$9+[1]Parametros!$B$12/2),I233-(ROUNDUP(Z233/2,0)*([1]Parametros!$B$7+[1]Parametros!$B$9+[1]Parametros!$B$12/2)+ROUNDDOWN(Z233/2,0)*([1]Parametros!$B$7+[1]Parametros!$B$9+[1]Parametros!$B$12/2+[1]Parametros!$B$12+[1]Parametros!$B$10))/Z233)</f>
        <v>489.35</v>
      </c>
      <c r="AC233" s="13">
        <f>Z233*[1]Parametros!$B$8</f>
        <v>796</v>
      </c>
      <c r="AD233" s="13">
        <f>[1]Parametros!$B$5*AC233*[1]Parametros!$B$3*(AB233-(AC233*[1]Parametros!$B$3/(0.85*[1]Parametros!$B$2*H233))/2)/1000000</f>
        <v>142.54333009411764</v>
      </c>
      <c r="AE233" s="13" t="str">
        <f t="shared" si="40"/>
        <v>CUMPLE</v>
      </c>
      <c r="AF233" s="13">
        <f>V233*1.25*[1]Parametros!$B$3*(U233-(V233*1.25*[1]Parametros!$B$3/(0.85*[1]Parametros!$B$2*H233))/2)/1000000</f>
        <v>196.34621794117646</v>
      </c>
      <c r="AG233" s="13">
        <f>AC233*1.25*[1]Parametros!$B$3*(AB233-(AC233*1.25*[1]Parametros!$B$3/(0.85*[1]Parametros!$B$2*H233))/2)/1000000</f>
        <v>196.34621794117646</v>
      </c>
      <c r="AH233" s="13">
        <f t="shared" si="41"/>
        <v>141.72898575163399</v>
      </c>
      <c r="AI233" s="13">
        <f t="shared" si="42"/>
        <v>158.50200000000001</v>
      </c>
      <c r="AJ233" s="13">
        <f>0.17*SQRT([1]Parametros!$B$2)*H233*MIN(U233,AB233)/1000</f>
        <v>198.08885582262698</v>
      </c>
      <c r="AK233" s="13">
        <f>MAX(AI233/[1]Parametros!$B$6-AJ233,0)</f>
        <v>13.247144177373031</v>
      </c>
      <c r="AL233" s="13">
        <f>0.66*SQRT([1]Parametros!$B$2)*H233*MIN(U233,AB233)/1000</f>
        <v>769.05085201725785</v>
      </c>
      <c r="AM233" s="13" t="str">
        <f t="shared" si="43"/>
        <v>CUMPLE</v>
      </c>
      <c r="AN233" s="13" t="s">
        <v>64</v>
      </c>
      <c r="AO233" s="14">
        <v>2</v>
      </c>
      <c r="AP233" s="13">
        <f>ROUNDDOWN(MIN(IF(BC233+BD233=0,1000000000,AO233*BB233/(BC233+BD233)),MIN(U233,AB233)/4,8*[1]Parametros!$B$12,24*BA233,300,IF(AV233=0,1000000000,2*((H233-2*([1]Parametros!$B$7+[1]Parametros!$B$9/2))+(I233-2*([1]Parametros!$B$7+[1]Parametros!$B$9/2)))/8))/10,0)*10</f>
        <v>120</v>
      </c>
      <c r="AQ233" s="13">
        <f>ROUNDDOWN(MIN(IF(BC233+BD233=0,1000000000,AO233*BB233/(BC233+BD233)),IF(AK233&gt;0.33*SQRT([1]Parametros!$B$2)*H233*MIN(U233,AB233)/1000,MIN(U233,AB233)/4,MIN(U233,AB233)/2),600,IF(AV233=0,1000000000,2*((H233-2*([1]Parametros!$B$7+[1]Parametros!$B$9/2))+(I233-2*([1]Parametros!$B$7+[1]Parametros!$B$9/2)))/8))/10,0)*10</f>
        <v>240</v>
      </c>
      <c r="AR233" s="13">
        <f>[1]Parametros!$B$6*(AJ233+MAX(BE233-BD233,0)*[1]Parametros!$B$4*MIN(U233,AB233)/1000)</f>
        <v>330.97185436697026</v>
      </c>
      <c r="AS233" s="13" t="str">
        <f t="shared" si="44"/>
        <v>CUMPLE</v>
      </c>
      <c r="AT233" s="13">
        <f>[1]Parametros!$B$6*0.083*SQRT([1]Parametros!$B$2)*(H233*I233)^2/(2*(H233+I233))/1000000</f>
        <v>10.08878303333792</v>
      </c>
      <c r="AU233" s="13" t="str">
        <f t="shared" si="45"/>
        <v>DESPRECIABLE</v>
      </c>
      <c r="AV233" s="13">
        <f>IF(Q233&lt;=AT233,0,Q233*1000000/([1]Parametros!$B$6*2*0.85*(H233-2*([1]Parametros!$B$7+[1]Parametros!$B$9/2))*(I233-2*([1]Parametros!$B$7+[1]Parametros!$B$9/2))*[1]Parametros!$B$4))</f>
        <v>0</v>
      </c>
      <c r="AW233" s="13">
        <f>AV233*2*((H233-2*([1]Parametros!$B$7+[1]Parametros!$B$9/2))+(I233-2*([1]Parametros!$B$7+[1]Parametros!$B$9/2)))*[1]Parametros!$B$4/[1]Parametros!$B$3</f>
        <v>0</v>
      </c>
      <c r="AX233" s="14">
        <v>0</v>
      </c>
      <c r="AY233" s="13" t="str">
        <f t="shared" si="46"/>
        <v>DESPRECIABLE</v>
      </c>
      <c r="AZ233" s="13" t="str">
        <f t="shared" si="47"/>
        <v>CUMPLE</v>
      </c>
      <c r="BA233" s="14">
        <v>9.5</v>
      </c>
      <c r="BB233" s="14">
        <v>71</v>
      </c>
      <c r="BC233" s="13">
        <f>MAX(IF(AK233=0,0,AK233*1000/([1]Parametros!$B$4*MIN(U233,AB233))),MAX(0.062*SQRT([1]Parametros!$B$2)*H233/[1]Parametros!$B$4,0.35*H233/[1]Parametros!$B$4))</f>
        <v>0.375</v>
      </c>
      <c r="BD233" s="13">
        <f t="shared" si="48"/>
        <v>0</v>
      </c>
      <c r="BE233" s="13">
        <f t="shared" si="49"/>
        <v>1.1833333333333333</v>
      </c>
      <c r="BF233" s="13">
        <f>SQRT((AI233*1000/(H233*MIN(U233,AB233)))^2+(Q233*1000000*2*((H233-2*([1]Parametros!$B$7+[1]Parametros!$B$9/2))+(I233-2*([1]Parametros!$B$7+[1]Parametros!$B$9/2)))/(1.7*((H233-2*([1]Parametros!$B$7+[1]Parametros!$B$9/2))*(I233-2*([1]Parametros!$B$7+[1]Parametros!$B$9/2)))^2))^2)</f>
        <v>0.74436039151381317</v>
      </c>
      <c r="BG233" s="13">
        <f>[1]Parametros!$B$6*(AJ233*1000/(H233*MIN(U233,AB233))+0.66*SQRT([1]Parametros!$B$2))</f>
        <v>3.2939603822754151</v>
      </c>
      <c r="BH233" s="13" t="str">
        <f t="shared" si="50"/>
        <v>CUMPLE</v>
      </c>
      <c r="BI233" s="13">
        <f>AX233*[1]Parametros!$B$8</f>
        <v>0</v>
      </c>
      <c r="BJ233" s="15" t="str">
        <f t="shared" si="51"/>
        <v>CUMPLE</v>
      </c>
    </row>
    <row r="234" spans="1:62" x14ac:dyDescent="0.3">
      <c r="A234" s="41" t="s">
        <v>72</v>
      </c>
      <c r="B234" s="42">
        <v>929</v>
      </c>
      <c r="C234" s="13">
        <v>1</v>
      </c>
      <c r="D234" s="13">
        <v>4.5</v>
      </c>
      <c r="E234" s="13">
        <v>4.5</v>
      </c>
      <c r="F234" s="13">
        <v>450</v>
      </c>
      <c r="G234" s="13">
        <v>550</v>
      </c>
      <c r="H234" s="13">
        <v>450</v>
      </c>
      <c r="I234" s="13">
        <v>550</v>
      </c>
      <c r="J234" s="14">
        <v>106.0586</v>
      </c>
      <c r="K234" s="13">
        <v>929</v>
      </c>
      <c r="L234" s="14">
        <v>80.695499999999996</v>
      </c>
      <c r="M234" s="13">
        <v>929</v>
      </c>
      <c r="N234" s="14">
        <v>54.463999999999999</v>
      </c>
      <c r="O234" s="14">
        <v>158.50200000000001</v>
      </c>
      <c r="P234" s="13">
        <v>929</v>
      </c>
      <c r="Q234" s="14">
        <v>5.2850999999999999</v>
      </c>
      <c r="R234" s="13">
        <f>MAX(MAX(1.4/[1]Parametros!$B$3,0.25*SQRT([1]Parametros!$B$2)/[1]Parametros!$B$3)*H234*U234,(0.85*[1]Parametros!$B$2/[1]Parametros!$B$3)*(1-SQRT(1-2*(J234*1000000/([1]Parametros!$B$5*H234*U234^2))/(0.85*[1]Parametros!$B$2)))*H234*U234)</f>
        <v>734.02500000000009</v>
      </c>
      <c r="S234" s="14">
        <v>4</v>
      </c>
      <c r="T234" s="14">
        <v>1</v>
      </c>
      <c r="U234" s="13">
        <f>IF(T234=1,I234-([1]Parametros!$B$7+[1]Parametros!$B$9+[1]Parametros!$B$12/2),I234-(ROUNDUP(S234/2,0)*([1]Parametros!$B$7+[1]Parametros!$B$9+[1]Parametros!$B$12/2)+ROUNDDOWN(S234/2,0)*([1]Parametros!$B$7+[1]Parametros!$B$9+[1]Parametros!$B$12/2+[1]Parametros!$B$12+[1]Parametros!$B$10))/S234)</f>
        <v>489.35</v>
      </c>
      <c r="V234" s="13">
        <f>S234*[1]Parametros!$B$8</f>
        <v>796</v>
      </c>
      <c r="W234" s="13">
        <f>[1]Parametros!$B$5*V234*[1]Parametros!$B$3*(U234-(V234*[1]Parametros!$B$3/(0.85*[1]Parametros!$B$2*H234))/2)/1000000</f>
        <v>142.54333009411764</v>
      </c>
      <c r="X234" s="13" t="str">
        <f t="shared" si="39"/>
        <v>CUMPLE</v>
      </c>
      <c r="Y234" s="13">
        <f>MAX(MAX(1.4/[1]Parametros!$B$3,0.25*SQRT([1]Parametros!$B$2)/[1]Parametros!$B$3)*H234*AB234,(0.85*[1]Parametros!$B$2/[1]Parametros!$B$3)*(1-SQRT(1-2*(L234*1000000/([1]Parametros!$B$5*H234*AB234^2))/(0.85*[1]Parametros!$B$2)))*H234*AB234)</f>
        <v>734.02500000000009</v>
      </c>
      <c r="Z234" s="14">
        <v>4</v>
      </c>
      <c r="AA234" s="14">
        <v>1</v>
      </c>
      <c r="AB234" s="13">
        <f>IF(AA234=1,I234-([1]Parametros!$B$7+[1]Parametros!$B$9+[1]Parametros!$B$12/2),I234-(ROUNDUP(Z234/2,0)*([1]Parametros!$B$7+[1]Parametros!$B$9+[1]Parametros!$B$12/2)+ROUNDDOWN(Z234/2,0)*([1]Parametros!$B$7+[1]Parametros!$B$9+[1]Parametros!$B$12/2+[1]Parametros!$B$12+[1]Parametros!$B$10))/Z234)</f>
        <v>489.35</v>
      </c>
      <c r="AC234" s="13">
        <f>Z234*[1]Parametros!$B$8</f>
        <v>796</v>
      </c>
      <c r="AD234" s="13">
        <f>[1]Parametros!$B$5*AC234*[1]Parametros!$B$3*(AB234-(AC234*[1]Parametros!$B$3/(0.85*[1]Parametros!$B$2*H234))/2)/1000000</f>
        <v>142.54333009411764</v>
      </c>
      <c r="AE234" s="13" t="str">
        <f t="shared" si="40"/>
        <v>CUMPLE</v>
      </c>
      <c r="AF234" s="13">
        <f>V234*1.25*[1]Parametros!$B$3*(U234-(V234*1.25*[1]Parametros!$B$3/(0.85*[1]Parametros!$B$2*H234))/2)/1000000</f>
        <v>196.34621794117646</v>
      </c>
      <c r="AG234" s="13">
        <f>AC234*1.25*[1]Parametros!$B$3*(AB234-(AC234*1.25*[1]Parametros!$B$3/(0.85*[1]Parametros!$B$2*H234))/2)/1000000</f>
        <v>196.34621794117646</v>
      </c>
      <c r="AH234" s="13">
        <f t="shared" si="41"/>
        <v>141.72898575163399</v>
      </c>
      <c r="AI234" s="13">
        <f t="shared" si="42"/>
        <v>158.50200000000001</v>
      </c>
      <c r="AJ234" s="13">
        <f>0.17*SQRT([1]Parametros!$B$2)*H234*MIN(U234,AB234)/1000</f>
        <v>198.08885582262698</v>
      </c>
      <c r="AK234" s="13">
        <f>MAX(AI234/[1]Parametros!$B$6-AJ234,0)</f>
        <v>13.247144177373031</v>
      </c>
      <c r="AL234" s="13">
        <f>0.66*SQRT([1]Parametros!$B$2)*H234*MIN(U234,AB234)/1000</f>
        <v>769.05085201725785</v>
      </c>
      <c r="AM234" s="13" t="str">
        <f t="shared" si="43"/>
        <v>CUMPLE</v>
      </c>
      <c r="AN234" s="13" t="s">
        <v>64</v>
      </c>
      <c r="AO234" s="14">
        <v>2</v>
      </c>
      <c r="AP234" s="13">
        <f>ROUNDDOWN(MIN(IF(BC234+BD234=0,1000000000,AO234*BB234/(BC234+BD234)),MIN(U234,AB234)/4,8*[1]Parametros!$B$12,24*BA234,300,IF(AV234=0,1000000000,2*((H234-2*([1]Parametros!$B$7+[1]Parametros!$B$9/2))+(I234-2*([1]Parametros!$B$7+[1]Parametros!$B$9/2)))/8))/10,0)*10</f>
        <v>120</v>
      </c>
      <c r="AQ234" s="13">
        <f>ROUNDDOWN(MIN(IF(BC234+BD234=0,1000000000,AO234*BB234/(BC234+BD234)),IF(AK234&gt;0.33*SQRT([1]Parametros!$B$2)*H234*MIN(U234,AB234)/1000,MIN(U234,AB234)/4,MIN(U234,AB234)/2),600,IF(AV234=0,1000000000,2*((H234-2*([1]Parametros!$B$7+[1]Parametros!$B$9/2))+(I234-2*([1]Parametros!$B$7+[1]Parametros!$B$9/2)))/8))/10,0)*10</f>
        <v>240</v>
      </c>
      <c r="AR234" s="13">
        <f>[1]Parametros!$B$6*(AJ234+MAX(BE234-BD234,0)*[1]Parametros!$B$4*MIN(U234,AB234)/1000)</f>
        <v>330.97185436697026</v>
      </c>
      <c r="AS234" s="13" t="str">
        <f t="shared" si="44"/>
        <v>CUMPLE</v>
      </c>
      <c r="AT234" s="13">
        <f>[1]Parametros!$B$6*0.083*SQRT([1]Parametros!$B$2)*(H234*I234)^2/(2*(H234+I234))/1000000</f>
        <v>10.08878303333792</v>
      </c>
      <c r="AU234" s="13" t="str">
        <f t="shared" si="45"/>
        <v>DESPRECIABLE</v>
      </c>
      <c r="AV234" s="13">
        <f>IF(Q234&lt;=AT234,0,Q234*1000000/([1]Parametros!$B$6*2*0.85*(H234-2*([1]Parametros!$B$7+[1]Parametros!$B$9/2))*(I234-2*([1]Parametros!$B$7+[1]Parametros!$B$9/2))*[1]Parametros!$B$4))</f>
        <v>0</v>
      </c>
      <c r="AW234" s="13">
        <f>AV234*2*((H234-2*([1]Parametros!$B$7+[1]Parametros!$B$9/2))+(I234-2*([1]Parametros!$B$7+[1]Parametros!$B$9/2)))*[1]Parametros!$B$4/[1]Parametros!$B$3</f>
        <v>0</v>
      </c>
      <c r="AX234" s="14">
        <v>0</v>
      </c>
      <c r="AY234" s="13" t="str">
        <f t="shared" si="46"/>
        <v>DESPRECIABLE</v>
      </c>
      <c r="AZ234" s="13" t="str">
        <f t="shared" si="47"/>
        <v>CUMPLE</v>
      </c>
      <c r="BA234" s="14">
        <v>9.5</v>
      </c>
      <c r="BB234" s="14">
        <v>71</v>
      </c>
      <c r="BC234" s="13">
        <f>MAX(IF(AK234=0,0,AK234*1000/([1]Parametros!$B$4*MIN(U234,AB234))),MAX(0.062*SQRT([1]Parametros!$B$2)*H234/[1]Parametros!$B$4,0.35*H234/[1]Parametros!$B$4))</f>
        <v>0.375</v>
      </c>
      <c r="BD234" s="13">
        <f t="shared" si="48"/>
        <v>0</v>
      </c>
      <c r="BE234" s="13">
        <f t="shared" si="49"/>
        <v>1.1833333333333333</v>
      </c>
      <c r="BF234" s="13">
        <f>SQRT((AI234*1000/(H234*MIN(U234,AB234)))^2+(Q234*1000000*2*((H234-2*([1]Parametros!$B$7+[1]Parametros!$B$9/2))+(I234-2*([1]Parametros!$B$7+[1]Parametros!$B$9/2)))/(1.7*((H234-2*([1]Parametros!$B$7+[1]Parametros!$B$9/2))*(I234-2*([1]Parametros!$B$7+[1]Parametros!$B$9/2)))^2))^2)</f>
        <v>0.74436771029940618</v>
      </c>
      <c r="BG234" s="13">
        <f>[1]Parametros!$B$6*(AJ234*1000/(H234*MIN(U234,AB234))+0.66*SQRT([1]Parametros!$B$2))</f>
        <v>3.2939603822754151</v>
      </c>
      <c r="BH234" s="13" t="str">
        <f t="shared" si="50"/>
        <v>CUMPLE</v>
      </c>
      <c r="BI234" s="13">
        <f>AX234*[1]Parametros!$B$8</f>
        <v>0</v>
      </c>
      <c r="BJ234" s="15" t="str">
        <f t="shared" si="51"/>
        <v>CUMPLE</v>
      </c>
    </row>
    <row r="235" spans="1:62" x14ac:dyDescent="0.3">
      <c r="A235" s="41" t="s">
        <v>72</v>
      </c>
      <c r="B235" s="42">
        <v>930</v>
      </c>
      <c r="C235" s="13">
        <v>1</v>
      </c>
      <c r="D235" s="13">
        <v>2.0499999999999998</v>
      </c>
      <c r="E235" s="13">
        <v>2.0499999999999998</v>
      </c>
      <c r="F235" s="13">
        <v>450</v>
      </c>
      <c r="G235" s="13">
        <v>550</v>
      </c>
      <c r="H235" s="13">
        <v>450</v>
      </c>
      <c r="I235" s="13">
        <v>550</v>
      </c>
      <c r="J235" s="14">
        <v>103.87730000000001</v>
      </c>
      <c r="K235" s="13">
        <v>930</v>
      </c>
      <c r="L235" s="14">
        <v>89.425600000000003</v>
      </c>
      <c r="M235" s="13">
        <v>930</v>
      </c>
      <c r="N235" s="14">
        <v>82.216999999999999</v>
      </c>
      <c r="O235" s="14">
        <v>271.971</v>
      </c>
      <c r="P235" s="13">
        <v>930</v>
      </c>
      <c r="Q235" s="14">
        <v>10.0406</v>
      </c>
      <c r="R235" s="13">
        <f>MAX(MAX(1.4/[1]Parametros!$B$3,0.25*SQRT([1]Parametros!$B$2)/[1]Parametros!$B$3)*H235*U235,(0.85*[1]Parametros!$B$2/[1]Parametros!$B$3)*(1-SQRT(1-2*(J235*1000000/([1]Parametros!$B$5*H235*U235^2))/(0.85*[1]Parametros!$B$2)))*H235*U235)</f>
        <v>734.02500000000009</v>
      </c>
      <c r="S235" s="14">
        <v>4</v>
      </c>
      <c r="T235" s="14">
        <v>1</v>
      </c>
      <c r="U235" s="13">
        <f>IF(T235=1,I235-([1]Parametros!$B$7+[1]Parametros!$B$9+[1]Parametros!$B$12/2),I235-(ROUNDUP(S235/2,0)*([1]Parametros!$B$7+[1]Parametros!$B$9+[1]Parametros!$B$12/2)+ROUNDDOWN(S235/2,0)*([1]Parametros!$B$7+[1]Parametros!$B$9+[1]Parametros!$B$12/2+[1]Parametros!$B$12+[1]Parametros!$B$10))/S235)</f>
        <v>489.35</v>
      </c>
      <c r="V235" s="13">
        <f>S235*[1]Parametros!$B$8</f>
        <v>796</v>
      </c>
      <c r="W235" s="13">
        <f>[1]Parametros!$B$5*V235*[1]Parametros!$B$3*(U235-(V235*[1]Parametros!$B$3/(0.85*[1]Parametros!$B$2*H235))/2)/1000000</f>
        <v>142.54333009411764</v>
      </c>
      <c r="X235" s="13" t="str">
        <f t="shared" si="39"/>
        <v>CUMPLE</v>
      </c>
      <c r="Y235" s="13">
        <f>MAX(MAX(1.4/[1]Parametros!$B$3,0.25*SQRT([1]Parametros!$B$2)/[1]Parametros!$B$3)*H235*AB235,(0.85*[1]Parametros!$B$2/[1]Parametros!$B$3)*(1-SQRT(1-2*(L235*1000000/([1]Parametros!$B$5*H235*AB235^2))/(0.85*[1]Parametros!$B$2)))*H235*AB235)</f>
        <v>734.02500000000009</v>
      </c>
      <c r="Z235" s="14">
        <v>4</v>
      </c>
      <c r="AA235" s="14">
        <v>1</v>
      </c>
      <c r="AB235" s="13">
        <f>IF(AA235=1,I235-([1]Parametros!$B$7+[1]Parametros!$B$9+[1]Parametros!$B$12/2),I235-(ROUNDUP(Z235/2,0)*([1]Parametros!$B$7+[1]Parametros!$B$9+[1]Parametros!$B$12/2)+ROUNDDOWN(Z235/2,0)*([1]Parametros!$B$7+[1]Parametros!$B$9+[1]Parametros!$B$12/2+[1]Parametros!$B$12+[1]Parametros!$B$10))/Z235)</f>
        <v>489.35</v>
      </c>
      <c r="AC235" s="13">
        <f>Z235*[1]Parametros!$B$8</f>
        <v>796</v>
      </c>
      <c r="AD235" s="13">
        <f>[1]Parametros!$B$5*AC235*[1]Parametros!$B$3*(AB235-(AC235*[1]Parametros!$B$3/(0.85*[1]Parametros!$B$2*H235))/2)/1000000</f>
        <v>142.54333009411764</v>
      </c>
      <c r="AE235" s="13" t="str">
        <f t="shared" si="40"/>
        <v>CUMPLE</v>
      </c>
      <c r="AF235" s="13">
        <f>V235*1.25*[1]Parametros!$B$3*(U235-(V235*1.25*[1]Parametros!$B$3/(0.85*[1]Parametros!$B$2*H235))/2)/1000000</f>
        <v>196.34621794117646</v>
      </c>
      <c r="AG235" s="13">
        <f>AC235*1.25*[1]Parametros!$B$3*(AB235-(AC235*1.25*[1]Parametros!$B$3/(0.85*[1]Parametros!$B$2*H235))/2)/1000000</f>
        <v>196.34621794117646</v>
      </c>
      <c r="AH235" s="13">
        <f t="shared" si="41"/>
        <v>273.77428579626974</v>
      </c>
      <c r="AI235" s="13">
        <f t="shared" si="42"/>
        <v>273.77428579626974</v>
      </c>
      <c r="AJ235" s="13">
        <f>0.17*SQRT([1]Parametros!$B$2)*H235*MIN(U235,AB235)/1000</f>
        <v>198.08885582262698</v>
      </c>
      <c r="AK235" s="13">
        <f>MAX(AI235/[1]Parametros!$B$6-AJ235,0)</f>
        <v>166.94352523906602</v>
      </c>
      <c r="AL235" s="13">
        <f>0.66*SQRT([1]Parametros!$B$2)*H235*MIN(U235,AB235)/1000</f>
        <v>769.05085201725785</v>
      </c>
      <c r="AM235" s="13" t="str">
        <f t="shared" si="43"/>
        <v>CUMPLE</v>
      </c>
      <c r="AN235" s="13" t="s">
        <v>64</v>
      </c>
      <c r="AO235" s="14">
        <v>2</v>
      </c>
      <c r="AP235" s="13">
        <f>ROUNDDOWN(MIN(IF(BC235+BD235=0,1000000000,AO235*BB235/(BC235+BD235)),MIN(U235,AB235)/4,8*[1]Parametros!$B$12,24*BA235,300,IF(AV235=0,1000000000,2*((H235-2*([1]Parametros!$B$7+[1]Parametros!$B$9/2))+(I235-2*([1]Parametros!$B$7+[1]Parametros!$B$9/2)))/8))/10,0)*10</f>
        <v>120</v>
      </c>
      <c r="AQ235" s="13">
        <f>ROUNDDOWN(MIN(IF(BC235+BD235=0,1000000000,AO235*BB235/(BC235+BD235)),IF(AK235&gt;0.33*SQRT([1]Parametros!$B$2)*H235*MIN(U235,AB235)/1000,MIN(U235,AB235)/4,MIN(U235,AB235)/2),600,IF(AV235=0,1000000000,2*((H235-2*([1]Parametros!$B$7+[1]Parametros!$B$9/2))+(I235-2*([1]Parametros!$B$7+[1]Parametros!$B$9/2)))/8))/10,0)*10</f>
        <v>170</v>
      </c>
      <c r="AR235" s="13">
        <f>[1]Parametros!$B$6*(AJ235+MAX(BE235-BD235,0)*[1]Parametros!$B$4*MIN(U235,AB235)/1000)</f>
        <v>330.97185436697026</v>
      </c>
      <c r="AS235" s="13" t="str">
        <f t="shared" si="44"/>
        <v>CUMPLE</v>
      </c>
      <c r="AT235" s="13">
        <f>[1]Parametros!$B$6*0.083*SQRT([1]Parametros!$B$2)*(H235*I235)^2/(2*(H235+I235))/1000000</f>
        <v>10.08878303333792</v>
      </c>
      <c r="AU235" s="13" t="str">
        <f t="shared" si="45"/>
        <v>DESPRECIABLE</v>
      </c>
      <c r="AV235" s="13">
        <f>IF(Q235&lt;=AT235,0,Q235*1000000/([1]Parametros!$B$6*2*0.85*(H235-2*([1]Parametros!$B$7+[1]Parametros!$B$9/2))*(I235-2*([1]Parametros!$B$7+[1]Parametros!$B$9/2))*[1]Parametros!$B$4))</f>
        <v>0</v>
      </c>
      <c r="AW235" s="13">
        <f>AV235*2*((H235-2*([1]Parametros!$B$7+[1]Parametros!$B$9/2))+(I235-2*([1]Parametros!$B$7+[1]Parametros!$B$9/2)))*[1]Parametros!$B$4/[1]Parametros!$B$3</f>
        <v>0</v>
      </c>
      <c r="AX235" s="14">
        <v>0</v>
      </c>
      <c r="AY235" s="13" t="str">
        <f t="shared" si="46"/>
        <v>DESPRECIABLE</v>
      </c>
      <c r="AZ235" s="13" t="str">
        <f t="shared" si="47"/>
        <v>CUMPLE</v>
      </c>
      <c r="BA235" s="14">
        <v>9.5</v>
      </c>
      <c r="BB235" s="14">
        <v>71</v>
      </c>
      <c r="BC235" s="13">
        <f>MAX(IF(AK235=0,0,AK235*1000/([1]Parametros!$B$4*MIN(U235,AB235))),MAX(0.062*SQRT([1]Parametros!$B$2)*H235/[1]Parametros!$B$4,0.35*H235/[1]Parametros!$B$4))</f>
        <v>0.81227053009612371</v>
      </c>
      <c r="BD235" s="13">
        <f t="shared" si="48"/>
        <v>0</v>
      </c>
      <c r="BE235" s="13">
        <f t="shared" si="49"/>
        <v>1.1833333333333333</v>
      </c>
      <c r="BF235" s="13">
        <f>SQRT((AI235*1000/(H235*MIN(U235,AB235)))^2+(Q235*1000000*2*((H235-2*([1]Parametros!$B$7+[1]Parametros!$B$9/2))+(I235-2*([1]Parametros!$B$7+[1]Parametros!$B$9/2)))/(1.7*((H235-2*([1]Parametros!$B$7+[1]Parametros!$B$9/2))*(I235-2*([1]Parametros!$B$7+[1]Parametros!$B$9/2)))^2))^2)</f>
        <v>1.2944468433434755</v>
      </c>
      <c r="BG235" s="13">
        <f>[1]Parametros!$B$6*(AJ235*1000/(H235*MIN(U235,AB235))+0.66*SQRT([1]Parametros!$B$2))</f>
        <v>3.2939603822754151</v>
      </c>
      <c r="BH235" s="13" t="str">
        <f t="shared" si="50"/>
        <v>CUMPLE</v>
      </c>
      <c r="BI235" s="13">
        <f>AX235*[1]Parametros!$B$8</f>
        <v>0</v>
      </c>
      <c r="BJ235" s="15" t="str">
        <f t="shared" si="51"/>
        <v>CUMPLE</v>
      </c>
    </row>
    <row r="236" spans="1:62" x14ac:dyDescent="0.3">
      <c r="A236" s="41" t="s">
        <v>72</v>
      </c>
      <c r="B236" s="42">
        <v>1017</v>
      </c>
      <c r="C236" s="13">
        <v>1</v>
      </c>
      <c r="D236" s="13">
        <v>2.0499999999999998</v>
      </c>
      <c r="E236" s="13">
        <v>2.0499999999999998</v>
      </c>
      <c r="F236" s="13">
        <v>450</v>
      </c>
      <c r="G236" s="13">
        <v>550</v>
      </c>
      <c r="H236" s="13">
        <v>450</v>
      </c>
      <c r="I236" s="13">
        <v>550</v>
      </c>
      <c r="J236" s="14">
        <v>46.784199999999998</v>
      </c>
      <c r="K236" s="13">
        <v>1017</v>
      </c>
      <c r="L236" s="14">
        <v>37.848799999999997</v>
      </c>
      <c r="M236" s="13">
        <v>1017</v>
      </c>
      <c r="N236" s="14">
        <v>40.749000000000002</v>
      </c>
      <c r="O236" s="14">
        <v>100.47499999999999</v>
      </c>
      <c r="P236" s="13">
        <v>1017</v>
      </c>
      <c r="Q236" s="14">
        <v>7.6403999999999996</v>
      </c>
      <c r="R236" s="13">
        <f>MAX(MAX(1.4/[1]Parametros!$B$3,0.25*SQRT([1]Parametros!$B$2)/[1]Parametros!$B$3)*H236*U236,(0.85*[1]Parametros!$B$2/[1]Parametros!$B$3)*(1-SQRT(1-2*(J236*1000000/([1]Parametros!$B$5*H236*U236^2))/(0.85*[1]Parametros!$B$2)))*H236*U236)</f>
        <v>734.02500000000009</v>
      </c>
      <c r="S236" s="14">
        <v>4</v>
      </c>
      <c r="T236" s="14">
        <v>1</v>
      </c>
      <c r="U236" s="13">
        <f>IF(T236=1,I236-([1]Parametros!$B$7+[1]Parametros!$B$9+[1]Parametros!$B$12/2),I236-(ROUNDUP(S236/2,0)*([1]Parametros!$B$7+[1]Parametros!$B$9+[1]Parametros!$B$12/2)+ROUNDDOWN(S236/2,0)*([1]Parametros!$B$7+[1]Parametros!$B$9+[1]Parametros!$B$12/2+[1]Parametros!$B$12+[1]Parametros!$B$10))/S236)</f>
        <v>489.35</v>
      </c>
      <c r="V236" s="13">
        <f>S236*[1]Parametros!$B$8</f>
        <v>796</v>
      </c>
      <c r="W236" s="13">
        <f>[1]Parametros!$B$5*V236*[1]Parametros!$B$3*(U236-(V236*[1]Parametros!$B$3/(0.85*[1]Parametros!$B$2*H236))/2)/1000000</f>
        <v>142.54333009411764</v>
      </c>
      <c r="X236" s="13" t="str">
        <f t="shared" si="39"/>
        <v>CUMPLE</v>
      </c>
      <c r="Y236" s="13">
        <f>MAX(MAX(1.4/[1]Parametros!$B$3,0.25*SQRT([1]Parametros!$B$2)/[1]Parametros!$B$3)*H236*AB236,(0.85*[1]Parametros!$B$2/[1]Parametros!$B$3)*(1-SQRT(1-2*(L236*1000000/([1]Parametros!$B$5*H236*AB236^2))/(0.85*[1]Parametros!$B$2)))*H236*AB236)</f>
        <v>734.02500000000009</v>
      </c>
      <c r="Z236" s="14">
        <v>4</v>
      </c>
      <c r="AA236" s="14">
        <v>1</v>
      </c>
      <c r="AB236" s="13">
        <f>IF(AA236=1,I236-([1]Parametros!$B$7+[1]Parametros!$B$9+[1]Parametros!$B$12/2),I236-(ROUNDUP(Z236/2,0)*([1]Parametros!$B$7+[1]Parametros!$B$9+[1]Parametros!$B$12/2)+ROUNDDOWN(Z236/2,0)*([1]Parametros!$B$7+[1]Parametros!$B$9+[1]Parametros!$B$12/2+[1]Parametros!$B$12+[1]Parametros!$B$10))/Z236)</f>
        <v>489.35</v>
      </c>
      <c r="AC236" s="13">
        <f>Z236*[1]Parametros!$B$8</f>
        <v>796</v>
      </c>
      <c r="AD236" s="13">
        <f>[1]Parametros!$B$5*AC236*[1]Parametros!$B$3*(AB236-(AC236*[1]Parametros!$B$3/(0.85*[1]Parametros!$B$2*H236))/2)/1000000</f>
        <v>142.54333009411764</v>
      </c>
      <c r="AE236" s="13" t="str">
        <f t="shared" si="40"/>
        <v>CUMPLE</v>
      </c>
      <c r="AF236" s="13">
        <f>V236*1.25*[1]Parametros!$B$3*(U236-(V236*1.25*[1]Parametros!$B$3/(0.85*[1]Parametros!$B$2*H236))/2)/1000000</f>
        <v>196.34621794117646</v>
      </c>
      <c r="AG236" s="13">
        <f>AC236*1.25*[1]Parametros!$B$3*(AB236-(AC236*1.25*[1]Parametros!$B$3/(0.85*[1]Parametros!$B$2*H236))/2)/1000000</f>
        <v>196.34621794117646</v>
      </c>
      <c r="AH236" s="13">
        <f t="shared" si="41"/>
        <v>232.30628579626972</v>
      </c>
      <c r="AI236" s="13">
        <f t="shared" si="42"/>
        <v>232.30628579626972</v>
      </c>
      <c r="AJ236" s="13">
        <f>0.17*SQRT([1]Parametros!$B$2)*H236*MIN(U236,AB236)/1000</f>
        <v>198.08885582262698</v>
      </c>
      <c r="AK236" s="13">
        <f>MAX(AI236/[1]Parametros!$B$6-AJ236,0)</f>
        <v>111.65285857239931</v>
      </c>
      <c r="AL236" s="13">
        <f>0.66*SQRT([1]Parametros!$B$2)*H236*MIN(U236,AB236)/1000</f>
        <v>769.05085201725785</v>
      </c>
      <c r="AM236" s="13" t="str">
        <f t="shared" si="43"/>
        <v>CUMPLE</v>
      </c>
      <c r="AN236" s="13" t="s">
        <v>64</v>
      </c>
      <c r="AO236" s="14">
        <v>2</v>
      </c>
      <c r="AP236" s="13">
        <f>ROUNDDOWN(MIN(IF(BC236+BD236=0,1000000000,AO236*BB236/(BC236+BD236)),MIN(U236,AB236)/4,8*[1]Parametros!$B$12,24*BA236,300,IF(AV236=0,1000000000,2*((H236-2*([1]Parametros!$B$7+[1]Parametros!$B$9/2))+(I236-2*([1]Parametros!$B$7+[1]Parametros!$B$9/2)))/8))/10,0)*10</f>
        <v>120</v>
      </c>
      <c r="AQ236" s="13">
        <f>ROUNDDOWN(MIN(IF(BC236+BD236=0,1000000000,AO236*BB236/(BC236+BD236)),IF(AK236&gt;0.33*SQRT([1]Parametros!$B$2)*H236*MIN(U236,AB236)/1000,MIN(U236,AB236)/4,MIN(U236,AB236)/2),600,IF(AV236=0,1000000000,2*((H236-2*([1]Parametros!$B$7+[1]Parametros!$B$9/2))+(I236-2*([1]Parametros!$B$7+[1]Parametros!$B$9/2)))/8))/10,0)*10</f>
        <v>240</v>
      </c>
      <c r="AR236" s="13">
        <f>[1]Parametros!$B$6*(AJ236+MAX(BE236-BD236,0)*[1]Parametros!$B$4*MIN(U236,AB236)/1000)</f>
        <v>330.97185436697026</v>
      </c>
      <c r="AS236" s="13" t="str">
        <f t="shared" si="44"/>
        <v>CUMPLE</v>
      </c>
      <c r="AT236" s="13">
        <f>[1]Parametros!$B$6*0.083*SQRT([1]Parametros!$B$2)*(H236*I236)^2/(2*(H236+I236))/1000000</f>
        <v>10.08878303333792</v>
      </c>
      <c r="AU236" s="13" t="str">
        <f t="shared" si="45"/>
        <v>DESPRECIABLE</v>
      </c>
      <c r="AV236" s="13">
        <f>IF(Q236&lt;=AT236,0,Q236*1000000/([1]Parametros!$B$6*2*0.85*(H236-2*([1]Parametros!$B$7+[1]Parametros!$B$9/2))*(I236-2*([1]Parametros!$B$7+[1]Parametros!$B$9/2))*[1]Parametros!$B$4))</f>
        <v>0</v>
      </c>
      <c r="AW236" s="13">
        <f>AV236*2*((H236-2*([1]Parametros!$B$7+[1]Parametros!$B$9/2))+(I236-2*([1]Parametros!$B$7+[1]Parametros!$B$9/2)))*[1]Parametros!$B$4/[1]Parametros!$B$3</f>
        <v>0</v>
      </c>
      <c r="AX236" s="14">
        <v>0</v>
      </c>
      <c r="AY236" s="13" t="str">
        <f t="shared" si="46"/>
        <v>DESPRECIABLE</v>
      </c>
      <c r="AZ236" s="13" t="str">
        <f t="shared" si="47"/>
        <v>CUMPLE</v>
      </c>
      <c r="BA236" s="14">
        <v>9.5</v>
      </c>
      <c r="BB236" s="14">
        <v>71</v>
      </c>
      <c r="BC236" s="13">
        <f>MAX(IF(AK236=0,0,AK236*1000/([1]Parametros!$B$4*MIN(U236,AB236))),MAX(0.062*SQRT([1]Parametros!$B$2)*H236/[1]Parametros!$B$4,0.35*H236/[1]Parametros!$B$4))</f>
        <v>0.54325153664676329</v>
      </c>
      <c r="BD236" s="13">
        <f t="shared" si="48"/>
        <v>0</v>
      </c>
      <c r="BE236" s="13">
        <f t="shared" si="49"/>
        <v>1.1833333333333333</v>
      </c>
      <c r="BF236" s="13">
        <f>SQRT((AI236*1000/(H236*MIN(U236,AB236)))^2+(Q236*1000000*2*((H236-2*([1]Parametros!$B$7+[1]Parametros!$B$9/2))+(I236-2*([1]Parametros!$B$7+[1]Parametros!$B$9/2)))/(1.7*((H236-2*([1]Parametros!$B$7+[1]Parametros!$B$9/2))*(I236-2*([1]Parametros!$B$7+[1]Parametros!$B$9/2)))^2))^2)</f>
        <v>1.0900120454570619</v>
      </c>
      <c r="BG236" s="13">
        <f>[1]Parametros!$B$6*(AJ236*1000/(H236*MIN(U236,AB236))+0.66*SQRT([1]Parametros!$B$2))</f>
        <v>3.2939603822754151</v>
      </c>
      <c r="BH236" s="13" t="str">
        <f t="shared" si="50"/>
        <v>CUMPLE</v>
      </c>
      <c r="BI236" s="13">
        <f>AX236*[1]Parametros!$B$8</f>
        <v>0</v>
      </c>
      <c r="BJ236" s="15" t="str">
        <f t="shared" si="51"/>
        <v>CUMPLE</v>
      </c>
    </row>
    <row r="237" spans="1:62" x14ac:dyDescent="0.3">
      <c r="A237" s="41" t="s">
        <v>72</v>
      </c>
      <c r="B237" s="42">
        <v>1018</v>
      </c>
      <c r="C237" s="13">
        <v>1</v>
      </c>
      <c r="D237" s="13">
        <v>4.5</v>
      </c>
      <c r="E237" s="13">
        <v>4.5</v>
      </c>
      <c r="F237" s="13">
        <v>450</v>
      </c>
      <c r="G237" s="13">
        <v>550</v>
      </c>
      <c r="H237" s="13">
        <v>450</v>
      </c>
      <c r="I237" s="13">
        <v>550</v>
      </c>
      <c r="J237" s="14">
        <v>70.421000000000006</v>
      </c>
      <c r="K237" s="13">
        <v>1018</v>
      </c>
      <c r="L237" s="14">
        <v>44.834600000000002</v>
      </c>
      <c r="M237" s="13">
        <v>1018</v>
      </c>
      <c r="N237" s="14">
        <v>40.445</v>
      </c>
      <c r="O237" s="14">
        <v>94.05</v>
      </c>
      <c r="P237" s="13">
        <v>1018</v>
      </c>
      <c r="Q237" s="14">
        <v>6.0735999999999999</v>
      </c>
      <c r="R237" s="13">
        <f>MAX(MAX(1.4/[1]Parametros!$B$3,0.25*SQRT([1]Parametros!$B$2)/[1]Parametros!$B$3)*H237*U237,(0.85*[1]Parametros!$B$2/[1]Parametros!$B$3)*(1-SQRT(1-2*(J237*1000000/([1]Parametros!$B$5*H237*U237^2))/(0.85*[1]Parametros!$B$2)))*H237*U237)</f>
        <v>734.02500000000009</v>
      </c>
      <c r="S237" s="14">
        <v>4</v>
      </c>
      <c r="T237" s="14">
        <v>1</v>
      </c>
      <c r="U237" s="13">
        <f>IF(T237=1,I237-([1]Parametros!$B$7+[1]Parametros!$B$9+[1]Parametros!$B$12/2),I237-(ROUNDUP(S237/2,0)*([1]Parametros!$B$7+[1]Parametros!$B$9+[1]Parametros!$B$12/2)+ROUNDDOWN(S237/2,0)*([1]Parametros!$B$7+[1]Parametros!$B$9+[1]Parametros!$B$12/2+[1]Parametros!$B$12+[1]Parametros!$B$10))/S237)</f>
        <v>489.35</v>
      </c>
      <c r="V237" s="13">
        <f>S237*[1]Parametros!$B$8</f>
        <v>796</v>
      </c>
      <c r="W237" s="13">
        <f>[1]Parametros!$B$5*V237*[1]Parametros!$B$3*(U237-(V237*[1]Parametros!$B$3/(0.85*[1]Parametros!$B$2*H237))/2)/1000000</f>
        <v>142.54333009411764</v>
      </c>
      <c r="X237" s="13" t="str">
        <f t="shared" si="39"/>
        <v>CUMPLE</v>
      </c>
      <c r="Y237" s="13">
        <f>MAX(MAX(1.4/[1]Parametros!$B$3,0.25*SQRT([1]Parametros!$B$2)/[1]Parametros!$B$3)*H237*AB237,(0.85*[1]Parametros!$B$2/[1]Parametros!$B$3)*(1-SQRT(1-2*(L237*1000000/([1]Parametros!$B$5*H237*AB237^2))/(0.85*[1]Parametros!$B$2)))*H237*AB237)</f>
        <v>734.02500000000009</v>
      </c>
      <c r="Z237" s="14">
        <v>4</v>
      </c>
      <c r="AA237" s="14">
        <v>1</v>
      </c>
      <c r="AB237" s="13">
        <f>IF(AA237=1,I237-([1]Parametros!$B$7+[1]Parametros!$B$9+[1]Parametros!$B$12/2),I237-(ROUNDUP(Z237/2,0)*([1]Parametros!$B$7+[1]Parametros!$B$9+[1]Parametros!$B$12/2)+ROUNDDOWN(Z237/2,0)*([1]Parametros!$B$7+[1]Parametros!$B$9+[1]Parametros!$B$12/2+[1]Parametros!$B$12+[1]Parametros!$B$10))/Z237)</f>
        <v>489.35</v>
      </c>
      <c r="AC237" s="13">
        <f>Z237*[1]Parametros!$B$8</f>
        <v>796</v>
      </c>
      <c r="AD237" s="13">
        <f>[1]Parametros!$B$5*AC237*[1]Parametros!$B$3*(AB237-(AC237*[1]Parametros!$B$3/(0.85*[1]Parametros!$B$2*H237))/2)/1000000</f>
        <v>142.54333009411764</v>
      </c>
      <c r="AE237" s="13" t="str">
        <f t="shared" si="40"/>
        <v>CUMPLE</v>
      </c>
      <c r="AF237" s="13">
        <f>V237*1.25*[1]Parametros!$B$3*(U237-(V237*1.25*[1]Parametros!$B$3/(0.85*[1]Parametros!$B$2*H237))/2)/1000000</f>
        <v>196.34621794117646</v>
      </c>
      <c r="AG237" s="13">
        <f>AC237*1.25*[1]Parametros!$B$3*(AB237-(AC237*1.25*[1]Parametros!$B$3/(0.85*[1]Parametros!$B$2*H237))/2)/1000000</f>
        <v>196.34621794117646</v>
      </c>
      <c r="AH237" s="13">
        <f t="shared" si="41"/>
        <v>127.70998575163398</v>
      </c>
      <c r="AI237" s="13">
        <f t="shared" si="42"/>
        <v>127.70998575163398</v>
      </c>
      <c r="AJ237" s="13">
        <f>0.17*SQRT([1]Parametros!$B$2)*H237*MIN(U237,AB237)/1000</f>
        <v>198.08885582262698</v>
      </c>
      <c r="AK237" s="13">
        <f>MAX(AI237/[1]Parametros!$B$6-AJ237,0)</f>
        <v>0</v>
      </c>
      <c r="AL237" s="13">
        <f>0.66*SQRT([1]Parametros!$B$2)*H237*MIN(U237,AB237)/1000</f>
        <v>769.05085201725785</v>
      </c>
      <c r="AM237" s="13" t="str">
        <f t="shared" si="43"/>
        <v>CUMPLE</v>
      </c>
      <c r="AN237" s="13" t="s">
        <v>64</v>
      </c>
      <c r="AO237" s="14">
        <v>2</v>
      </c>
      <c r="AP237" s="13">
        <f>ROUNDDOWN(MIN(IF(BC237+BD237=0,1000000000,AO237*BB237/(BC237+BD237)),MIN(U237,AB237)/4,8*[1]Parametros!$B$12,24*BA237,300,IF(AV237=0,1000000000,2*((H237-2*([1]Parametros!$B$7+[1]Parametros!$B$9/2))+(I237-2*([1]Parametros!$B$7+[1]Parametros!$B$9/2)))/8))/10,0)*10</f>
        <v>120</v>
      </c>
      <c r="AQ237" s="13">
        <f>ROUNDDOWN(MIN(IF(BC237+BD237=0,1000000000,AO237*BB237/(BC237+BD237)),IF(AK237&gt;0.33*SQRT([1]Parametros!$B$2)*H237*MIN(U237,AB237)/1000,MIN(U237,AB237)/4,MIN(U237,AB237)/2),600,IF(AV237=0,1000000000,2*((H237-2*([1]Parametros!$B$7+[1]Parametros!$B$9/2))+(I237-2*([1]Parametros!$B$7+[1]Parametros!$B$9/2)))/8))/10,0)*10</f>
        <v>240</v>
      </c>
      <c r="AR237" s="13">
        <f>[1]Parametros!$B$6*(AJ237+MAX(BE237-BD237,0)*[1]Parametros!$B$4*MIN(U237,AB237)/1000)</f>
        <v>330.97185436697026</v>
      </c>
      <c r="AS237" s="13" t="str">
        <f t="shared" si="44"/>
        <v>CUMPLE</v>
      </c>
      <c r="AT237" s="13">
        <f>[1]Parametros!$B$6*0.083*SQRT([1]Parametros!$B$2)*(H237*I237)^2/(2*(H237+I237))/1000000</f>
        <v>10.08878303333792</v>
      </c>
      <c r="AU237" s="13" t="str">
        <f t="shared" si="45"/>
        <v>DESPRECIABLE</v>
      </c>
      <c r="AV237" s="13">
        <f>IF(Q237&lt;=AT237,0,Q237*1000000/([1]Parametros!$B$6*2*0.85*(H237-2*([1]Parametros!$B$7+[1]Parametros!$B$9/2))*(I237-2*([1]Parametros!$B$7+[1]Parametros!$B$9/2))*[1]Parametros!$B$4))</f>
        <v>0</v>
      </c>
      <c r="AW237" s="13">
        <f>AV237*2*((H237-2*([1]Parametros!$B$7+[1]Parametros!$B$9/2))+(I237-2*([1]Parametros!$B$7+[1]Parametros!$B$9/2)))*[1]Parametros!$B$4/[1]Parametros!$B$3</f>
        <v>0</v>
      </c>
      <c r="AX237" s="14">
        <v>0</v>
      </c>
      <c r="AY237" s="13" t="str">
        <f t="shared" si="46"/>
        <v>DESPRECIABLE</v>
      </c>
      <c r="AZ237" s="13" t="str">
        <f t="shared" si="47"/>
        <v>CUMPLE</v>
      </c>
      <c r="BA237" s="14">
        <v>9.5</v>
      </c>
      <c r="BB237" s="14">
        <v>71</v>
      </c>
      <c r="BC237" s="13">
        <f>MAX(IF(AK237=0,0,AK237*1000/([1]Parametros!$B$4*MIN(U237,AB237))),MAX(0.062*SQRT([1]Parametros!$B$2)*H237/[1]Parametros!$B$4,0.35*H237/[1]Parametros!$B$4))</f>
        <v>0.375</v>
      </c>
      <c r="BD237" s="13">
        <f t="shared" si="48"/>
        <v>0</v>
      </c>
      <c r="BE237" s="13">
        <f t="shared" si="49"/>
        <v>1.1833333333333333</v>
      </c>
      <c r="BF237" s="13">
        <f>SQRT((AI237*1000/(H237*MIN(U237,AB237)))^2+(Q237*1000000*2*((H237-2*([1]Parametros!$B$7+[1]Parametros!$B$9/2))+(I237-2*([1]Parametros!$B$7+[1]Parametros!$B$9/2)))/(1.7*((H237-2*([1]Parametros!$B$7+[1]Parametros!$B$9/2))*(I237-2*([1]Parametros!$B$7+[1]Parametros!$B$9/2)))^2))^2)</f>
        <v>0.619580209320159</v>
      </c>
      <c r="BG237" s="13">
        <f>[1]Parametros!$B$6*(AJ237*1000/(H237*MIN(U237,AB237))+0.66*SQRT([1]Parametros!$B$2))</f>
        <v>3.2939603822754151</v>
      </c>
      <c r="BH237" s="13" t="str">
        <f t="shared" si="50"/>
        <v>CUMPLE</v>
      </c>
      <c r="BI237" s="13">
        <f>AX237*[1]Parametros!$B$8</f>
        <v>0</v>
      </c>
      <c r="BJ237" s="15" t="str">
        <f t="shared" si="51"/>
        <v>CUMPLE</v>
      </c>
    </row>
    <row r="238" spans="1:62" x14ac:dyDescent="0.3">
      <c r="A238" s="41" t="s">
        <v>72</v>
      </c>
      <c r="B238" s="42">
        <v>1019</v>
      </c>
      <c r="C238" s="13">
        <v>1</v>
      </c>
      <c r="D238" s="13">
        <v>4.5</v>
      </c>
      <c r="E238" s="13">
        <v>4.5</v>
      </c>
      <c r="F238" s="13">
        <v>450</v>
      </c>
      <c r="G238" s="13">
        <v>550</v>
      </c>
      <c r="H238" s="13">
        <v>450</v>
      </c>
      <c r="I238" s="13">
        <v>550</v>
      </c>
      <c r="J238" s="14">
        <v>70.429699999999997</v>
      </c>
      <c r="K238" s="13">
        <v>1019</v>
      </c>
      <c r="L238" s="14">
        <v>44.843000000000004</v>
      </c>
      <c r="M238" s="13">
        <v>1019</v>
      </c>
      <c r="N238" s="14">
        <v>40.448</v>
      </c>
      <c r="O238" s="14">
        <v>94.054000000000002</v>
      </c>
      <c r="P238" s="13">
        <v>1019</v>
      </c>
      <c r="Q238" s="14">
        <v>6.0731000000000002</v>
      </c>
      <c r="R238" s="13">
        <f>MAX(MAX(1.4/[1]Parametros!$B$3,0.25*SQRT([1]Parametros!$B$2)/[1]Parametros!$B$3)*H238*U238,(0.85*[1]Parametros!$B$2/[1]Parametros!$B$3)*(1-SQRT(1-2*(J238*1000000/([1]Parametros!$B$5*H238*U238^2))/(0.85*[1]Parametros!$B$2)))*H238*U238)</f>
        <v>734.02500000000009</v>
      </c>
      <c r="S238" s="14">
        <v>4</v>
      </c>
      <c r="T238" s="14">
        <v>1</v>
      </c>
      <c r="U238" s="13">
        <f>IF(T238=1,I238-([1]Parametros!$B$7+[1]Parametros!$B$9+[1]Parametros!$B$12/2),I238-(ROUNDUP(S238/2,0)*([1]Parametros!$B$7+[1]Parametros!$B$9+[1]Parametros!$B$12/2)+ROUNDDOWN(S238/2,0)*([1]Parametros!$B$7+[1]Parametros!$B$9+[1]Parametros!$B$12/2+[1]Parametros!$B$12+[1]Parametros!$B$10))/S238)</f>
        <v>489.35</v>
      </c>
      <c r="V238" s="13">
        <f>S238*[1]Parametros!$B$8</f>
        <v>796</v>
      </c>
      <c r="W238" s="13">
        <f>[1]Parametros!$B$5*V238*[1]Parametros!$B$3*(U238-(V238*[1]Parametros!$B$3/(0.85*[1]Parametros!$B$2*H238))/2)/1000000</f>
        <v>142.54333009411764</v>
      </c>
      <c r="X238" s="13" t="str">
        <f t="shared" si="39"/>
        <v>CUMPLE</v>
      </c>
      <c r="Y238" s="13">
        <f>MAX(MAX(1.4/[1]Parametros!$B$3,0.25*SQRT([1]Parametros!$B$2)/[1]Parametros!$B$3)*H238*AB238,(0.85*[1]Parametros!$B$2/[1]Parametros!$B$3)*(1-SQRT(1-2*(L238*1000000/([1]Parametros!$B$5*H238*AB238^2))/(0.85*[1]Parametros!$B$2)))*H238*AB238)</f>
        <v>734.02500000000009</v>
      </c>
      <c r="Z238" s="14">
        <v>4</v>
      </c>
      <c r="AA238" s="14">
        <v>1</v>
      </c>
      <c r="AB238" s="13">
        <f>IF(AA238=1,I238-([1]Parametros!$B$7+[1]Parametros!$B$9+[1]Parametros!$B$12/2),I238-(ROUNDUP(Z238/2,0)*([1]Parametros!$B$7+[1]Parametros!$B$9+[1]Parametros!$B$12/2)+ROUNDDOWN(Z238/2,0)*([1]Parametros!$B$7+[1]Parametros!$B$9+[1]Parametros!$B$12/2+[1]Parametros!$B$12+[1]Parametros!$B$10))/Z238)</f>
        <v>489.35</v>
      </c>
      <c r="AC238" s="13">
        <f>Z238*[1]Parametros!$B$8</f>
        <v>796</v>
      </c>
      <c r="AD238" s="13">
        <f>[1]Parametros!$B$5*AC238*[1]Parametros!$B$3*(AB238-(AC238*[1]Parametros!$B$3/(0.85*[1]Parametros!$B$2*H238))/2)/1000000</f>
        <v>142.54333009411764</v>
      </c>
      <c r="AE238" s="13" t="str">
        <f t="shared" si="40"/>
        <v>CUMPLE</v>
      </c>
      <c r="AF238" s="13">
        <f>V238*1.25*[1]Parametros!$B$3*(U238-(V238*1.25*[1]Parametros!$B$3/(0.85*[1]Parametros!$B$2*H238))/2)/1000000</f>
        <v>196.34621794117646</v>
      </c>
      <c r="AG238" s="13">
        <f>AC238*1.25*[1]Parametros!$B$3*(AB238-(AC238*1.25*[1]Parametros!$B$3/(0.85*[1]Parametros!$B$2*H238))/2)/1000000</f>
        <v>196.34621794117646</v>
      </c>
      <c r="AH238" s="13">
        <f t="shared" si="41"/>
        <v>127.71298575163399</v>
      </c>
      <c r="AI238" s="13">
        <f t="shared" si="42"/>
        <v>127.71298575163399</v>
      </c>
      <c r="AJ238" s="13">
        <f>0.17*SQRT([1]Parametros!$B$2)*H238*MIN(U238,AB238)/1000</f>
        <v>198.08885582262698</v>
      </c>
      <c r="AK238" s="13">
        <f>MAX(AI238/[1]Parametros!$B$6-AJ238,0)</f>
        <v>0</v>
      </c>
      <c r="AL238" s="13">
        <f>0.66*SQRT([1]Parametros!$B$2)*H238*MIN(U238,AB238)/1000</f>
        <v>769.05085201725785</v>
      </c>
      <c r="AM238" s="13" t="str">
        <f t="shared" si="43"/>
        <v>CUMPLE</v>
      </c>
      <c r="AN238" s="13" t="s">
        <v>64</v>
      </c>
      <c r="AO238" s="14">
        <v>2</v>
      </c>
      <c r="AP238" s="13">
        <f>ROUNDDOWN(MIN(IF(BC238+BD238=0,1000000000,AO238*BB238/(BC238+BD238)),MIN(U238,AB238)/4,8*[1]Parametros!$B$12,24*BA238,300,IF(AV238=0,1000000000,2*((H238-2*([1]Parametros!$B$7+[1]Parametros!$B$9/2))+(I238-2*([1]Parametros!$B$7+[1]Parametros!$B$9/2)))/8))/10,0)*10</f>
        <v>120</v>
      </c>
      <c r="AQ238" s="13">
        <f>ROUNDDOWN(MIN(IF(BC238+BD238=0,1000000000,AO238*BB238/(BC238+BD238)),IF(AK238&gt;0.33*SQRT([1]Parametros!$B$2)*H238*MIN(U238,AB238)/1000,MIN(U238,AB238)/4,MIN(U238,AB238)/2),600,IF(AV238=0,1000000000,2*((H238-2*([1]Parametros!$B$7+[1]Parametros!$B$9/2))+(I238-2*([1]Parametros!$B$7+[1]Parametros!$B$9/2)))/8))/10,0)*10</f>
        <v>240</v>
      </c>
      <c r="AR238" s="13">
        <f>[1]Parametros!$B$6*(AJ238+MAX(BE238-BD238,0)*[1]Parametros!$B$4*MIN(U238,AB238)/1000)</f>
        <v>330.97185436697026</v>
      </c>
      <c r="AS238" s="13" t="str">
        <f t="shared" si="44"/>
        <v>CUMPLE</v>
      </c>
      <c r="AT238" s="13">
        <f>[1]Parametros!$B$6*0.083*SQRT([1]Parametros!$B$2)*(H238*I238)^2/(2*(H238+I238))/1000000</f>
        <v>10.08878303333792</v>
      </c>
      <c r="AU238" s="13" t="str">
        <f t="shared" si="45"/>
        <v>DESPRECIABLE</v>
      </c>
      <c r="AV238" s="13">
        <f>IF(Q238&lt;=AT238,0,Q238*1000000/([1]Parametros!$B$6*2*0.85*(H238-2*([1]Parametros!$B$7+[1]Parametros!$B$9/2))*(I238-2*([1]Parametros!$B$7+[1]Parametros!$B$9/2))*[1]Parametros!$B$4))</f>
        <v>0</v>
      </c>
      <c r="AW238" s="13">
        <f>AV238*2*((H238-2*([1]Parametros!$B$7+[1]Parametros!$B$9/2))+(I238-2*([1]Parametros!$B$7+[1]Parametros!$B$9/2)))*[1]Parametros!$B$4/[1]Parametros!$B$3</f>
        <v>0</v>
      </c>
      <c r="AX238" s="14">
        <v>0</v>
      </c>
      <c r="AY238" s="13" t="str">
        <f t="shared" si="46"/>
        <v>DESPRECIABLE</v>
      </c>
      <c r="AZ238" s="13" t="str">
        <f t="shared" si="47"/>
        <v>CUMPLE</v>
      </c>
      <c r="BA238" s="14">
        <v>9.5</v>
      </c>
      <c r="BB238" s="14">
        <v>71</v>
      </c>
      <c r="BC238" s="13">
        <f>MAX(IF(AK238=0,0,AK238*1000/([1]Parametros!$B$4*MIN(U238,AB238))),MAX(0.062*SQRT([1]Parametros!$B$2)*H238/[1]Parametros!$B$4,0.35*H238/[1]Parametros!$B$4))</f>
        <v>0.375</v>
      </c>
      <c r="BD238" s="13">
        <f t="shared" si="48"/>
        <v>0</v>
      </c>
      <c r="BE238" s="13">
        <f t="shared" si="49"/>
        <v>1.1833333333333333</v>
      </c>
      <c r="BF238" s="13">
        <f>SQRT((AI238*1000/(H238*MIN(U238,AB238)))^2+(Q238*1000000*2*((H238-2*([1]Parametros!$B$7+[1]Parametros!$B$9/2))+(I238-2*([1]Parametros!$B$7+[1]Parametros!$B$9/2)))/(1.7*((H238-2*([1]Parametros!$B$7+[1]Parametros!$B$9/2))*(I238-2*([1]Parametros!$B$7+[1]Parametros!$B$9/2)))^2))^2)</f>
        <v>0.61958664601071411</v>
      </c>
      <c r="BG238" s="13">
        <f>[1]Parametros!$B$6*(AJ238*1000/(H238*MIN(U238,AB238))+0.66*SQRT([1]Parametros!$B$2))</f>
        <v>3.2939603822754151</v>
      </c>
      <c r="BH238" s="13" t="str">
        <f t="shared" si="50"/>
        <v>CUMPLE</v>
      </c>
      <c r="BI238" s="13">
        <f>AX238*[1]Parametros!$B$8</f>
        <v>0</v>
      </c>
      <c r="BJ238" s="15" t="str">
        <f t="shared" si="51"/>
        <v>CUMPLE</v>
      </c>
    </row>
    <row r="239" spans="1:62" x14ac:dyDescent="0.3">
      <c r="A239" s="41" t="s">
        <v>72</v>
      </c>
      <c r="B239" s="42">
        <v>1020</v>
      </c>
      <c r="C239" s="13">
        <v>1</v>
      </c>
      <c r="D239" s="13">
        <v>2.0499999999999998</v>
      </c>
      <c r="E239" s="13">
        <v>2.0499999999999998</v>
      </c>
      <c r="F239" s="13">
        <v>450</v>
      </c>
      <c r="G239" s="13">
        <v>550</v>
      </c>
      <c r="H239" s="13">
        <v>450</v>
      </c>
      <c r="I239" s="13">
        <v>550</v>
      </c>
      <c r="J239" s="14">
        <v>46.790599999999998</v>
      </c>
      <c r="K239" s="13">
        <v>1020</v>
      </c>
      <c r="L239" s="14">
        <v>37.852899999999998</v>
      </c>
      <c r="M239" s="13">
        <v>1020</v>
      </c>
      <c r="N239" s="14">
        <v>40.753</v>
      </c>
      <c r="O239" s="14">
        <v>100.479</v>
      </c>
      <c r="P239" s="13">
        <v>1020</v>
      </c>
      <c r="Q239" s="14">
        <v>7.6409000000000002</v>
      </c>
      <c r="R239" s="13">
        <f>MAX(MAX(1.4/[1]Parametros!$B$3,0.25*SQRT([1]Parametros!$B$2)/[1]Parametros!$B$3)*H239*U239,(0.85*[1]Parametros!$B$2/[1]Parametros!$B$3)*(1-SQRT(1-2*(J239*1000000/([1]Parametros!$B$5*H239*U239^2))/(0.85*[1]Parametros!$B$2)))*H239*U239)</f>
        <v>734.02500000000009</v>
      </c>
      <c r="S239" s="14">
        <v>4</v>
      </c>
      <c r="T239" s="14">
        <v>1</v>
      </c>
      <c r="U239" s="13">
        <f>IF(T239=1,I239-([1]Parametros!$B$7+[1]Parametros!$B$9+[1]Parametros!$B$12/2),I239-(ROUNDUP(S239/2,0)*([1]Parametros!$B$7+[1]Parametros!$B$9+[1]Parametros!$B$12/2)+ROUNDDOWN(S239/2,0)*([1]Parametros!$B$7+[1]Parametros!$B$9+[1]Parametros!$B$12/2+[1]Parametros!$B$12+[1]Parametros!$B$10))/S239)</f>
        <v>489.35</v>
      </c>
      <c r="V239" s="13">
        <f>S239*[1]Parametros!$B$8</f>
        <v>796</v>
      </c>
      <c r="W239" s="13">
        <f>[1]Parametros!$B$5*V239*[1]Parametros!$B$3*(U239-(V239*[1]Parametros!$B$3/(0.85*[1]Parametros!$B$2*H239))/2)/1000000</f>
        <v>142.54333009411764</v>
      </c>
      <c r="X239" s="13" t="str">
        <f t="shared" si="39"/>
        <v>CUMPLE</v>
      </c>
      <c r="Y239" s="13">
        <f>MAX(MAX(1.4/[1]Parametros!$B$3,0.25*SQRT([1]Parametros!$B$2)/[1]Parametros!$B$3)*H239*AB239,(0.85*[1]Parametros!$B$2/[1]Parametros!$B$3)*(1-SQRT(1-2*(L239*1000000/([1]Parametros!$B$5*H239*AB239^2))/(0.85*[1]Parametros!$B$2)))*H239*AB239)</f>
        <v>734.02500000000009</v>
      </c>
      <c r="Z239" s="14">
        <v>4</v>
      </c>
      <c r="AA239" s="14">
        <v>1</v>
      </c>
      <c r="AB239" s="13">
        <f>IF(AA239=1,I239-([1]Parametros!$B$7+[1]Parametros!$B$9+[1]Parametros!$B$12/2),I239-(ROUNDUP(Z239/2,0)*([1]Parametros!$B$7+[1]Parametros!$B$9+[1]Parametros!$B$12/2)+ROUNDDOWN(Z239/2,0)*([1]Parametros!$B$7+[1]Parametros!$B$9+[1]Parametros!$B$12/2+[1]Parametros!$B$12+[1]Parametros!$B$10))/Z239)</f>
        <v>489.35</v>
      </c>
      <c r="AC239" s="13">
        <f>Z239*[1]Parametros!$B$8</f>
        <v>796</v>
      </c>
      <c r="AD239" s="13">
        <f>[1]Parametros!$B$5*AC239*[1]Parametros!$B$3*(AB239-(AC239*[1]Parametros!$B$3/(0.85*[1]Parametros!$B$2*H239))/2)/1000000</f>
        <v>142.54333009411764</v>
      </c>
      <c r="AE239" s="13" t="str">
        <f t="shared" si="40"/>
        <v>CUMPLE</v>
      </c>
      <c r="AF239" s="13">
        <f>V239*1.25*[1]Parametros!$B$3*(U239-(V239*1.25*[1]Parametros!$B$3/(0.85*[1]Parametros!$B$2*H239))/2)/1000000</f>
        <v>196.34621794117646</v>
      </c>
      <c r="AG239" s="13">
        <f>AC239*1.25*[1]Parametros!$B$3*(AB239-(AC239*1.25*[1]Parametros!$B$3/(0.85*[1]Parametros!$B$2*H239))/2)/1000000</f>
        <v>196.34621794117646</v>
      </c>
      <c r="AH239" s="13">
        <f t="shared" si="41"/>
        <v>232.31028579626974</v>
      </c>
      <c r="AI239" s="13">
        <f t="shared" si="42"/>
        <v>232.31028579626974</v>
      </c>
      <c r="AJ239" s="13">
        <f>0.17*SQRT([1]Parametros!$B$2)*H239*MIN(U239,AB239)/1000</f>
        <v>198.08885582262698</v>
      </c>
      <c r="AK239" s="13">
        <f>MAX(AI239/[1]Parametros!$B$6-AJ239,0)</f>
        <v>111.65819190573265</v>
      </c>
      <c r="AL239" s="13">
        <f>0.66*SQRT([1]Parametros!$B$2)*H239*MIN(U239,AB239)/1000</f>
        <v>769.05085201725785</v>
      </c>
      <c r="AM239" s="13" t="str">
        <f t="shared" si="43"/>
        <v>CUMPLE</v>
      </c>
      <c r="AN239" s="13" t="s">
        <v>64</v>
      </c>
      <c r="AO239" s="14">
        <v>2</v>
      </c>
      <c r="AP239" s="13">
        <f>ROUNDDOWN(MIN(IF(BC239+BD239=0,1000000000,AO239*BB239/(BC239+BD239)),MIN(U239,AB239)/4,8*[1]Parametros!$B$12,24*BA239,300,IF(AV239=0,1000000000,2*((H239-2*([1]Parametros!$B$7+[1]Parametros!$B$9/2))+(I239-2*([1]Parametros!$B$7+[1]Parametros!$B$9/2)))/8))/10,0)*10</f>
        <v>120</v>
      </c>
      <c r="AQ239" s="13">
        <f>ROUNDDOWN(MIN(IF(BC239+BD239=0,1000000000,AO239*BB239/(BC239+BD239)),IF(AK239&gt;0.33*SQRT([1]Parametros!$B$2)*H239*MIN(U239,AB239)/1000,MIN(U239,AB239)/4,MIN(U239,AB239)/2),600,IF(AV239=0,1000000000,2*((H239-2*([1]Parametros!$B$7+[1]Parametros!$B$9/2))+(I239-2*([1]Parametros!$B$7+[1]Parametros!$B$9/2)))/8))/10,0)*10</f>
        <v>240</v>
      </c>
      <c r="AR239" s="13">
        <f>[1]Parametros!$B$6*(AJ239+MAX(BE239-BD239,0)*[1]Parametros!$B$4*MIN(U239,AB239)/1000)</f>
        <v>330.97185436697026</v>
      </c>
      <c r="AS239" s="13" t="str">
        <f t="shared" si="44"/>
        <v>CUMPLE</v>
      </c>
      <c r="AT239" s="13">
        <f>[1]Parametros!$B$6*0.083*SQRT([1]Parametros!$B$2)*(H239*I239)^2/(2*(H239+I239))/1000000</f>
        <v>10.08878303333792</v>
      </c>
      <c r="AU239" s="13" t="str">
        <f t="shared" si="45"/>
        <v>DESPRECIABLE</v>
      </c>
      <c r="AV239" s="13">
        <f>IF(Q239&lt;=AT239,0,Q239*1000000/([1]Parametros!$B$6*2*0.85*(H239-2*([1]Parametros!$B$7+[1]Parametros!$B$9/2))*(I239-2*([1]Parametros!$B$7+[1]Parametros!$B$9/2))*[1]Parametros!$B$4))</f>
        <v>0</v>
      </c>
      <c r="AW239" s="13">
        <f>AV239*2*((H239-2*([1]Parametros!$B$7+[1]Parametros!$B$9/2))+(I239-2*([1]Parametros!$B$7+[1]Parametros!$B$9/2)))*[1]Parametros!$B$4/[1]Parametros!$B$3</f>
        <v>0</v>
      </c>
      <c r="AX239" s="14">
        <v>0</v>
      </c>
      <c r="AY239" s="13" t="str">
        <f t="shared" si="46"/>
        <v>DESPRECIABLE</v>
      </c>
      <c r="AZ239" s="13" t="str">
        <f t="shared" si="47"/>
        <v>CUMPLE</v>
      </c>
      <c r="BA239" s="14">
        <v>9.5</v>
      </c>
      <c r="BB239" s="14">
        <v>71</v>
      </c>
      <c r="BC239" s="13">
        <f>MAX(IF(AK239=0,0,AK239*1000/([1]Parametros!$B$4*MIN(U239,AB239))),MAX(0.062*SQRT([1]Parametros!$B$2)*H239/[1]Parametros!$B$4,0.35*H239/[1]Parametros!$B$4))</f>
        <v>0.54327748619759275</v>
      </c>
      <c r="BD239" s="13">
        <f t="shared" si="48"/>
        <v>0</v>
      </c>
      <c r="BE239" s="13">
        <f t="shared" si="49"/>
        <v>1.1833333333333333</v>
      </c>
      <c r="BF239" s="13">
        <f>SQRT((AI239*1000/(H239*MIN(U239,AB239)))^2+(Q239*1000000*2*((H239-2*([1]Parametros!$B$7+[1]Parametros!$B$9/2))+(I239-2*([1]Parametros!$B$7+[1]Parametros!$B$9/2)))/(1.7*((H239-2*([1]Parametros!$B$7+[1]Parametros!$B$9/2))*(I239-2*([1]Parametros!$B$7+[1]Parametros!$B$9/2)))^2))^2)</f>
        <v>1.0900341419537991</v>
      </c>
      <c r="BG239" s="13">
        <f>[1]Parametros!$B$6*(AJ239*1000/(H239*MIN(U239,AB239))+0.66*SQRT([1]Parametros!$B$2))</f>
        <v>3.2939603822754151</v>
      </c>
      <c r="BH239" s="13" t="str">
        <f t="shared" si="50"/>
        <v>CUMPLE</v>
      </c>
      <c r="BI239" s="13">
        <f>AX239*[1]Parametros!$B$8</f>
        <v>0</v>
      </c>
      <c r="BJ239" s="15" t="str">
        <f t="shared" si="51"/>
        <v>CUMPLE</v>
      </c>
    </row>
    <row r="240" spans="1:62" x14ac:dyDescent="0.3">
      <c r="A240" s="41" t="s">
        <v>72</v>
      </c>
      <c r="B240" s="42">
        <v>1021</v>
      </c>
      <c r="C240" s="13">
        <v>1</v>
      </c>
      <c r="D240" s="13">
        <v>2.0499999999999998</v>
      </c>
      <c r="E240" s="13">
        <v>2.0499999999999998</v>
      </c>
      <c r="F240" s="13">
        <v>450</v>
      </c>
      <c r="G240" s="13">
        <v>550</v>
      </c>
      <c r="H240" s="13">
        <v>450</v>
      </c>
      <c r="I240" s="13">
        <v>550</v>
      </c>
      <c r="J240" s="14">
        <v>46.1858</v>
      </c>
      <c r="K240" s="13">
        <v>1021</v>
      </c>
      <c r="L240" s="14">
        <v>37.317500000000003</v>
      </c>
      <c r="M240" s="13">
        <v>1021</v>
      </c>
      <c r="N240" s="14">
        <v>40.377000000000002</v>
      </c>
      <c r="O240" s="14">
        <v>101.169</v>
      </c>
      <c r="P240" s="13">
        <v>1021</v>
      </c>
      <c r="Q240" s="14">
        <v>7.0152999999999999</v>
      </c>
      <c r="R240" s="13">
        <f>MAX(MAX(1.4/[1]Parametros!$B$3,0.25*SQRT([1]Parametros!$B$2)/[1]Parametros!$B$3)*H240*U240,(0.85*[1]Parametros!$B$2/[1]Parametros!$B$3)*(1-SQRT(1-2*(J240*1000000/([1]Parametros!$B$5*H240*U240^2))/(0.85*[1]Parametros!$B$2)))*H240*U240)</f>
        <v>734.02500000000009</v>
      </c>
      <c r="S240" s="14">
        <v>4</v>
      </c>
      <c r="T240" s="14">
        <v>1</v>
      </c>
      <c r="U240" s="13">
        <f>IF(T240=1,I240-([1]Parametros!$B$7+[1]Parametros!$B$9+[1]Parametros!$B$12/2),I240-(ROUNDUP(S240/2,0)*([1]Parametros!$B$7+[1]Parametros!$B$9+[1]Parametros!$B$12/2)+ROUNDDOWN(S240/2,0)*([1]Parametros!$B$7+[1]Parametros!$B$9+[1]Parametros!$B$12/2+[1]Parametros!$B$12+[1]Parametros!$B$10))/S240)</f>
        <v>489.35</v>
      </c>
      <c r="V240" s="13">
        <f>S240*[1]Parametros!$B$8</f>
        <v>796</v>
      </c>
      <c r="W240" s="13">
        <f>[1]Parametros!$B$5*V240*[1]Parametros!$B$3*(U240-(V240*[1]Parametros!$B$3/(0.85*[1]Parametros!$B$2*H240))/2)/1000000</f>
        <v>142.54333009411764</v>
      </c>
      <c r="X240" s="13" t="str">
        <f t="shared" si="39"/>
        <v>CUMPLE</v>
      </c>
      <c r="Y240" s="13">
        <f>MAX(MAX(1.4/[1]Parametros!$B$3,0.25*SQRT([1]Parametros!$B$2)/[1]Parametros!$B$3)*H240*AB240,(0.85*[1]Parametros!$B$2/[1]Parametros!$B$3)*(1-SQRT(1-2*(L240*1000000/([1]Parametros!$B$5*H240*AB240^2))/(0.85*[1]Parametros!$B$2)))*H240*AB240)</f>
        <v>734.02500000000009</v>
      </c>
      <c r="Z240" s="14">
        <v>4</v>
      </c>
      <c r="AA240" s="14">
        <v>1</v>
      </c>
      <c r="AB240" s="13">
        <f>IF(AA240=1,I240-([1]Parametros!$B$7+[1]Parametros!$B$9+[1]Parametros!$B$12/2),I240-(ROUNDUP(Z240/2,0)*([1]Parametros!$B$7+[1]Parametros!$B$9+[1]Parametros!$B$12/2)+ROUNDDOWN(Z240/2,0)*([1]Parametros!$B$7+[1]Parametros!$B$9+[1]Parametros!$B$12/2+[1]Parametros!$B$12+[1]Parametros!$B$10))/Z240)</f>
        <v>489.35</v>
      </c>
      <c r="AC240" s="13">
        <f>Z240*[1]Parametros!$B$8</f>
        <v>796</v>
      </c>
      <c r="AD240" s="13">
        <f>[1]Parametros!$B$5*AC240*[1]Parametros!$B$3*(AB240-(AC240*[1]Parametros!$B$3/(0.85*[1]Parametros!$B$2*H240))/2)/1000000</f>
        <v>142.54333009411764</v>
      </c>
      <c r="AE240" s="13" t="str">
        <f t="shared" si="40"/>
        <v>CUMPLE</v>
      </c>
      <c r="AF240" s="13">
        <f>V240*1.25*[1]Parametros!$B$3*(U240-(V240*1.25*[1]Parametros!$B$3/(0.85*[1]Parametros!$B$2*H240))/2)/1000000</f>
        <v>196.34621794117646</v>
      </c>
      <c r="AG240" s="13">
        <f>AC240*1.25*[1]Parametros!$B$3*(AB240-(AC240*1.25*[1]Parametros!$B$3/(0.85*[1]Parametros!$B$2*H240))/2)/1000000</f>
        <v>196.34621794117646</v>
      </c>
      <c r="AH240" s="13">
        <f t="shared" si="41"/>
        <v>231.93428579626973</v>
      </c>
      <c r="AI240" s="13">
        <f t="shared" si="42"/>
        <v>231.93428579626973</v>
      </c>
      <c r="AJ240" s="13">
        <f>0.17*SQRT([1]Parametros!$B$2)*H240*MIN(U240,AB240)/1000</f>
        <v>198.08885582262698</v>
      </c>
      <c r="AK240" s="13">
        <f>MAX(AI240/[1]Parametros!$B$6-AJ240,0)</f>
        <v>111.15685857239933</v>
      </c>
      <c r="AL240" s="13">
        <f>0.66*SQRT([1]Parametros!$B$2)*H240*MIN(U240,AB240)/1000</f>
        <v>769.05085201725785</v>
      </c>
      <c r="AM240" s="13" t="str">
        <f t="shared" si="43"/>
        <v>CUMPLE</v>
      </c>
      <c r="AN240" s="13" t="s">
        <v>64</v>
      </c>
      <c r="AO240" s="14">
        <v>2</v>
      </c>
      <c r="AP240" s="13">
        <f>ROUNDDOWN(MIN(IF(BC240+BD240=0,1000000000,AO240*BB240/(BC240+BD240)),MIN(U240,AB240)/4,8*[1]Parametros!$B$12,24*BA240,300,IF(AV240=0,1000000000,2*((H240-2*([1]Parametros!$B$7+[1]Parametros!$B$9/2))+(I240-2*([1]Parametros!$B$7+[1]Parametros!$B$9/2)))/8))/10,0)*10</f>
        <v>120</v>
      </c>
      <c r="AQ240" s="13">
        <f>ROUNDDOWN(MIN(IF(BC240+BD240=0,1000000000,AO240*BB240/(BC240+BD240)),IF(AK240&gt;0.33*SQRT([1]Parametros!$B$2)*H240*MIN(U240,AB240)/1000,MIN(U240,AB240)/4,MIN(U240,AB240)/2),600,IF(AV240=0,1000000000,2*((H240-2*([1]Parametros!$B$7+[1]Parametros!$B$9/2))+(I240-2*([1]Parametros!$B$7+[1]Parametros!$B$9/2)))/8))/10,0)*10</f>
        <v>240</v>
      </c>
      <c r="AR240" s="13">
        <f>[1]Parametros!$B$6*(AJ240+MAX(BE240-BD240,0)*[1]Parametros!$B$4*MIN(U240,AB240)/1000)</f>
        <v>330.97185436697026</v>
      </c>
      <c r="AS240" s="13" t="str">
        <f t="shared" si="44"/>
        <v>CUMPLE</v>
      </c>
      <c r="AT240" s="13">
        <f>[1]Parametros!$B$6*0.083*SQRT([1]Parametros!$B$2)*(H240*I240)^2/(2*(H240+I240))/1000000</f>
        <v>10.08878303333792</v>
      </c>
      <c r="AU240" s="13" t="str">
        <f t="shared" si="45"/>
        <v>DESPRECIABLE</v>
      </c>
      <c r="AV240" s="13">
        <f>IF(Q240&lt;=AT240,0,Q240*1000000/([1]Parametros!$B$6*2*0.85*(H240-2*([1]Parametros!$B$7+[1]Parametros!$B$9/2))*(I240-2*([1]Parametros!$B$7+[1]Parametros!$B$9/2))*[1]Parametros!$B$4))</f>
        <v>0</v>
      </c>
      <c r="AW240" s="13">
        <f>AV240*2*((H240-2*([1]Parametros!$B$7+[1]Parametros!$B$9/2))+(I240-2*([1]Parametros!$B$7+[1]Parametros!$B$9/2)))*[1]Parametros!$B$4/[1]Parametros!$B$3</f>
        <v>0</v>
      </c>
      <c r="AX240" s="14">
        <v>0</v>
      </c>
      <c r="AY240" s="13" t="str">
        <f t="shared" si="46"/>
        <v>DESPRECIABLE</v>
      </c>
      <c r="AZ240" s="13" t="str">
        <f t="shared" si="47"/>
        <v>CUMPLE</v>
      </c>
      <c r="BA240" s="14">
        <v>9.5</v>
      </c>
      <c r="BB240" s="14">
        <v>71</v>
      </c>
      <c r="BC240" s="13">
        <f>MAX(IF(AK240=0,0,AK240*1000/([1]Parametros!$B$4*MIN(U240,AB240))),MAX(0.062*SQRT([1]Parametros!$B$2)*H240/[1]Parametros!$B$4,0.35*H240/[1]Parametros!$B$4))</f>
        <v>0.54083822841962048</v>
      </c>
      <c r="BD240" s="13">
        <f t="shared" si="48"/>
        <v>0</v>
      </c>
      <c r="BE240" s="13">
        <f t="shared" si="49"/>
        <v>1.1833333333333333</v>
      </c>
      <c r="BF240" s="13">
        <f>SQRT((AI240*1000/(H240*MIN(U240,AB240)))^2+(Q240*1000000*2*((H240-2*([1]Parametros!$B$7+[1]Parametros!$B$9/2))+(I240-2*([1]Parametros!$B$7+[1]Parametros!$B$9/2)))/(1.7*((H240-2*([1]Parametros!$B$7+[1]Parametros!$B$9/2))*(I240-2*([1]Parametros!$B$7+[1]Parametros!$B$9/2)))^2))^2)</f>
        <v>1.0829403202994574</v>
      </c>
      <c r="BG240" s="13">
        <f>[1]Parametros!$B$6*(AJ240*1000/(H240*MIN(U240,AB240))+0.66*SQRT([1]Parametros!$B$2))</f>
        <v>3.2939603822754151</v>
      </c>
      <c r="BH240" s="13" t="str">
        <f t="shared" si="50"/>
        <v>CUMPLE</v>
      </c>
      <c r="BI240" s="13">
        <f>AX240*[1]Parametros!$B$8</f>
        <v>0</v>
      </c>
      <c r="BJ240" s="15" t="str">
        <f t="shared" si="51"/>
        <v>CUMPLE</v>
      </c>
    </row>
    <row r="241" spans="1:62" x14ac:dyDescent="0.3">
      <c r="A241" s="41" t="s">
        <v>72</v>
      </c>
      <c r="B241" s="42">
        <v>1022</v>
      </c>
      <c r="C241" s="13">
        <v>1</v>
      </c>
      <c r="D241" s="13">
        <v>4.5</v>
      </c>
      <c r="E241" s="13">
        <v>4.5</v>
      </c>
      <c r="F241" s="13">
        <v>450</v>
      </c>
      <c r="G241" s="13">
        <v>550</v>
      </c>
      <c r="H241" s="13">
        <v>450</v>
      </c>
      <c r="I241" s="13">
        <v>550</v>
      </c>
      <c r="J241" s="14">
        <v>71.150000000000006</v>
      </c>
      <c r="K241" s="13">
        <v>1022</v>
      </c>
      <c r="L241" s="14">
        <v>45.485500000000002</v>
      </c>
      <c r="M241" s="13">
        <v>1022</v>
      </c>
      <c r="N241" s="14">
        <v>40.715000000000003</v>
      </c>
      <c r="O241" s="14">
        <v>94.38</v>
      </c>
      <c r="P241" s="13">
        <v>1022</v>
      </c>
      <c r="Q241" s="14">
        <v>6.0368000000000004</v>
      </c>
      <c r="R241" s="13">
        <f>MAX(MAX(1.4/[1]Parametros!$B$3,0.25*SQRT([1]Parametros!$B$2)/[1]Parametros!$B$3)*H241*U241,(0.85*[1]Parametros!$B$2/[1]Parametros!$B$3)*(1-SQRT(1-2*(J241*1000000/([1]Parametros!$B$5*H241*U241^2))/(0.85*[1]Parametros!$B$2)))*H241*U241)</f>
        <v>734.02500000000009</v>
      </c>
      <c r="S241" s="14">
        <v>4</v>
      </c>
      <c r="T241" s="14">
        <v>1</v>
      </c>
      <c r="U241" s="13">
        <f>IF(T241=1,I241-([1]Parametros!$B$7+[1]Parametros!$B$9+[1]Parametros!$B$12/2),I241-(ROUNDUP(S241/2,0)*([1]Parametros!$B$7+[1]Parametros!$B$9+[1]Parametros!$B$12/2)+ROUNDDOWN(S241/2,0)*([1]Parametros!$B$7+[1]Parametros!$B$9+[1]Parametros!$B$12/2+[1]Parametros!$B$12+[1]Parametros!$B$10))/S241)</f>
        <v>489.35</v>
      </c>
      <c r="V241" s="13">
        <f>S241*[1]Parametros!$B$8</f>
        <v>796</v>
      </c>
      <c r="W241" s="13">
        <f>[1]Parametros!$B$5*V241*[1]Parametros!$B$3*(U241-(V241*[1]Parametros!$B$3/(0.85*[1]Parametros!$B$2*H241))/2)/1000000</f>
        <v>142.54333009411764</v>
      </c>
      <c r="X241" s="13" t="str">
        <f t="shared" si="39"/>
        <v>CUMPLE</v>
      </c>
      <c r="Y241" s="13">
        <f>MAX(MAX(1.4/[1]Parametros!$B$3,0.25*SQRT([1]Parametros!$B$2)/[1]Parametros!$B$3)*H241*AB241,(0.85*[1]Parametros!$B$2/[1]Parametros!$B$3)*(1-SQRT(1-2*(L241*1000000/([1]Parametros!$B$5*H241*AB241^2))/(0.85*[1]Parametros!$B$2)))*H241*AB241)</f>
        <v>734.02500000000009</v>
      </c>
      <c r="Z241" s="14">
        <v>4</v>
      </c>
      <c r="AA241" s="14">
        <v>1</v>
      </c>
      <c r="AB241" s="13">
        <f>IF(AA241=1,I241-([1]Parametros!$B$7+[1]Parametros!$B$9+[1]Parametros!$B$12/2),I241-(ROUNDUP(Z241/2,0)*([1]Parametros!$B$7+[1]Parametros!$B$9+[1]Parametros!$B$12/2)+ROUNDDOWN(Z241/2,0)*([1]Parametros!$B$7+[1]Parametros!$B$9+[1]Parametros!$B$12/2+[1]Parametros!$B$12+[1]Parametros!$B$10))/Z241)</f>
        <v>489.35</v>
      </c>
      <c r="AC241" s="13">
        <f>Z241*[1]Parametros!$B$8</f>
        <v>796</v>
      </c>
      <c r="AD241" s="13">
        <f>[1]Parametros!$B$5*AC241*[1]Parametros!$B$3*(AB241-(AC241*[1]Parametros!$B$3/(0.85*[1]Parametros!$B$2*H241))/2)/1000000</f>
        <v>142.54333009411764</v>
      </c>
      <c r="AE241" s="13" t="str">
        <f t="shared" si="40"/>
        <v>CUMPLE</v>
      </c>
      <c r="AF241" s="13">
        <f>V241*1.25*[1]Parametros!$B$3*(U241-(V241*1.25*[1]Parametros!$B$3/(0.85*[1]Parametros!$B$2*H241))/2)/1000000</f>
        <v>196.34621794117646</v>
      </c>
      <c r="AG241" s="13">
        <f>AC241*1.25*[1]Parametros!$B$3*(AB241-(AC241*1.25*[1]Parametros!$B$3/(0.85*[1]Parametros!$B$2*H241))/2)/1000000</f>
        <v>196.34621794117646</v>
      </c>
      <c r="AH241" s="13">
        <f t="shared" si="41"/>
        <v>127.97998575163399</v>
      </c>
      <c r="AI241" s="13">
        <f t="shared" si="42"/>
        <v>127.97998575163399</v>
      </c>
      <c r="AJ241" s="13">
        <f>0.17*SQRT([1]Parametros!$B$2)*H241*MIN(U241,AB241)/1000</f>
        <v>198.08885582262698</v>
      </c>
      <c r="AK241" s="13">
        <f>MAX(AI241/[1]Parametros!$B$6-AJ241,0)</f>
        <v>0</v>
      </c>
      <c r="AL241" s="13">
        <f>0.66*SQRT([1]Parametros!$B$2)*H241*MIN(U241,AB241)/1000</f>
        <v>769.05085201725785</v>
      </c>
      <c r="AM241" s="13" t="str">
        <f t="shared" si="43"/>
        <v>CUMPLE</v>
      </c>
      <c r="AN241" s="13" t="s">
        <v>64</v>
      </c>
      <c r="AO241" s="14">
        <v>2</v>
      </c>
      <c r="AP241" s="13">
        <f>ROUNDDOWN(MIN(IF(BC241+BD241=0,1000000000,AO241*BB241/(BC241+BD241)),MIN(U241,AB241)/4,8*[1]Parametros!$B$12,24*BA241,300,IF(AV241=0,1000000000,2*((H241-2*([1]Parametros!$B$7+[1]Parametros!$B$9/2))+(I241-2*([1]Parametros!$B$7+[1]Parametros!$B$9/2)))/8))/10,0)*10</f>
        <v>120</v>
      </c>
      <c r="AQ241" s="13">
        <f>ROUNDDOWN(MIN(IF(BC241+BD241=0,1000000000,AO241*BB241/(BC241+BD241)),IF(AK241&gt;0.33*SQRT([1]Parametros!$B$2)*H241*MIN(U241,AB241)/1000,MIN(U241,AB241)/4,MIN(U241,AB241)/2),600,IF(AV241=0,1000000000,2*((H241-2*([1]Parametros!$B$7+[1]Parametros!$B$9/2))+(I241-2*([1]Parametros!$B$7+[1]Parametros!$B$9/2)))/8))/10,0)*10</f>
        <v>240</v>
      </c>
      <c r="AR241" s="13">
        <f>[1]Parametros!$B$6*(AJ241+MAX(BE241-BD241,0)*[1]Parametros!$B$4*MIN(U241,AB241)/1000)</f>
        <v>330.97185436697026</v>
      </c>
      <c r="AS241" s="13" t="str">
        <f t="shared" si="44"/>
        <v>CUMPLE</v>
      </c>
      <c r="AT241" s="13">
        <f>[1]Parametros!$B$6*0.083*SQRT([1]Parametros!$B$2)*(H241*I241)^2/(2*(H241+I241))/1000000</f>
        <v>10.08878303333792</v>
      </c>
      <c r="AU241" s="13" t="str">
        <f t="shared" si="45"/>
        <v>DESPRECIABLE</v>
      </c>
      <c r="AV241" s="13">
        <f>IF(Q241&lt;=AT241,0,Q241*1000000/([1]Parametros!$B$6*2*0.85*(H241-2*([1]Parametros!$B$7+[1]Parametros!$B$9/2))*(I241-2*([1]Parametros!$B$7+[1]Parametros!$B$9/2))*[1]Parametros!$B$4))</f>
        <v>0</v>
      </c>
      <c r="AW241" s="13">
        <f>AV241*2*((H241-2*([1]Parametros!$B$7+[1]Parametros!$B$9/2))+(I241-2*([1]Parametros!$B$7+[1]Parametros!$B$9/2)))*[1]Parametros!$B$4/[1]Parametros!$B$3</f>
        <v>0</v>
      </c>
      <c r="AX241" s="14">
        <v>0</v>
      </c>
      <c r="AY241" s="13" t="str">
        <f t="shared" si="46"/>
        <v>DESPRECIABLE</v>
      </c>
      <c r="AZ241" s="13" t="str">
        <f t="shared" si="47"/>
        <v>CUMPLE</v>
      </c>
      <c r="BA241" s="14">
        <v>9.5</v>
      </c>
      <c r="BB241" s="14">
        <v>71</v>
      </c>
      <c r="BC241" s="13">
        <f>MAX(IF(AK241=0,0,AK241*1000/([1]Parametros!$B$4*MIN(U241,AB241))),MAX(0.062*SQRT([1]Parametros!$B$2)*H241/[1]Parametros!$B$4,0.35*H241/[1]Parametros!$B$4))</f>
        <v>0.375</v>
      </c>
      <c r="BD241" s="13">
        <f t="shared" si="48"/>
        <v>0</v>
      </c>
      <c r="BE241" s="13">
        <f t="shared" si="49"/>
        <v>1.1833333333333333</v>
      </c>
      <c r="BF241" s="13">
        <f>SQRT((AI241*1000/(H241*MIN(U241,AB241)))^2+(Q241*1000000*2*((H241-2*([1]Parametros!$B$7+[1]Parametros!$B$9/2))+(I241-2*([1]Parametros!$B$7+[1]Parametros!$B$9/2)))/(1.7*((H241-2*([1]Parametros!$B$7+[1]Parametros!$B$9/2))*(I241-2*([1]Parametros!$B$7+[1]Parametros!$B$9/2)))^2))^2)</f>
        <v>0.6202653004679014</v>
      </c>
      <c r="BG241" s="13">
        <f>[1]Parametros!$B$6*(AJ241*1000/(H241*MIN(U241,AB241))+0.66*SQRT([1]Parametros!$B$2))</f>
        <v>3.2939603822754151</v>
      </c>
      <c r="BH241" s="13" t="str">
        <f t="shared" si="50"/>
        <v>CUMPLE</v>
      </c>
      <c r="BI241" s="13">
        <f>AX241*[1]Parametros!$B$8</f>
        <v>0</v>
      </c>
      <c r="BJ241" s="15" t="str">
        <f t="shared" si="51"/>
        <v>CUMPLE</v>
      </c>
    </row>
    <row r="242" spans="1:62" x14ac:dyDescent="0.3">
      <c r="A242" s="41" t="s">
        <v>72</v>
      </c>
      <c r="B242" s="42">
        <v>1023</v>
      </c>
      <c r="C242" s="13">
        <v>1</v>
      </c>
      <c r="D242" s="13">
        <v>4.5</v>
      </c>
      <c r="E242" s="13">
        <v>4.5</v>
      </c>
      <c r="F242" s="13">
        <v>450</v>
      </c>
      <c r="G242" s="13">
        <v>550</v>
      </c>
      <c r="H242" s="13">
        <v>450</v>
      </c>
      <c r="I242" s="13">
        <v>550</v>
      </c>
      <c r="J242" s="14">
        <v>71.149299999999997</v>
      </c>
      <c r="K242" s="13">
        <v>1023</v>
      </c>
      <c r="L242" s="14">
        <v>45.485100000000003</v>
      </c>
      <c r="M242" s="13">
        <v>1023</v>
      </c>
      <c r="N242" s="14">
        <v>40.715000000000003</v>
      </c>
      <c r="O242" s="14">
        <v>94.38</v>
      </c>
      <c r="P242" s="13">
        <v>1023</v>
      </c>
      <c r="Q242" s="14">
        <v>6.0373999999999999</v>
      </c>
      <c r="R242" s="13">
        <f>MAX(MAX(1.4/[1]Parametros!$B$3,0.25*SQRT([1]Parametros!$B$2)/[1]Parametros!$B$3)*H242*U242,(0.85*[1]Parametros!$B$2/[1]Parametros!$B$3)*(1-SQRT(1-2*(J242*1000000/([1]Parametros!$B$5*H242*U242^2))/(0.85*[1]Parametros!$B$2)))*H242*U242)</f>
        <v>734.02500000000009</v>
      </c>
      <c r="S242" s="14">
        <v>4</v>
      </c>
      <c r="T242" s="14">
        <v>1</v>
      </c>
      <c r="U242" s="13">
        <f>IF(T242=1,I242-([1]Parametros!$B$7+[1]Parametros!$B$9+[1]Parametros!$B$12/2),I242-(ROUNDUP(S242/2,0)*([1]Parametros!$B$7+[1]Parametros!$B$9+[1]Parametros!$B$12/2)+ROUNDDOWN(S242/2,0)*([1]Parametros!$B$7+[1]Parametros!$B$9+[1]Parametros!$B$12/2+[1]Parametros!$B$12+[1]Parametros!$B$10))/S242)</f>
        <v>489.35</v>
      </c>
      <c r="V242" s="13">
        <f>S242*[1]Parametros!$B$8</f>
        <v>796</v>
      </c>
      <c r="W242" s="13">
        <f>[1]Parametros!$B$5*V242*[1]Parametros!$B$3*(U242-(V242*[1]Parametros!$B$3/(0.85*[1]Parametros!$B$2*H242))/2)/1000000</f>
        <v>142.54333009411764</v>
      </c>
      <c r="X242" s="13" t="str">
        <f t="shared" si="39"/>
        <v>CUMPLE</v>
      </c>
      <c r="Y242" s="13">
        <f>MAX(MAX(1.4/[1]Parametros!$B$3,0.25*SQRT([1]Parametros!$B$2)/[1]Parametros!$B$3)*H242*AB242,(0.85*[1]Parametros!$B$2/[1]Parametros!$B$3)*(1-SQRT(1-2*(L242*1000000/([1]Parametros!$B$5*H242*AB242^2))/(0.85*[1]Parametros!$B$2)))*H242*AB242)</f>
        <v>734.02500000000009</v>
      </c>
      <c r="Z242" s="14">
        <v>4</v>
      </c>
      <c r="AA242" s="14">
        <v>1</v>
      </c>
      <c r="AB242" s="13">
        <f>IF(AA242=1,I242-([1]Parametros!$B$7+[1]Parametros!$B$9+[1]Parametros!$B$12/2),I242-(ROUNDUP(Z242/2,0)*([1]Parametros!$B$7+[1]Parametros!$B$9+[1]Parametros!$B$12/2)+ROUNDDOWN(Z242/2,0)*([1]Parametros!$B$7+[1]Parametros!$B$9+[1]Parametros!$B$12/2+[1]Parametros!$B$12+[1]Parametros!$B$10))/Z242)</f>
        <v>489.35</v>
      </c>
      <c r="AC242" s="13">
        <f>Z242*[1]Parametros!$B$8</f>
        <v>796</v>
      </c>
      <c r="AD242" s="13">
        <f>[1]Parametros!$B$5*AC242*[1]Parametros!$B$3*(AB242-(AC242*[1]Parametros!$B$3/(0.85*[1]Parametros!$B$2*H242))/2)/1000000</f>
        <v>142.54333009411764</v>
      </c>
      <c r="AE242" s="13" t="str">
        <f t="shared" si="40"/>
        <v>CUMPLE</v>
      </c>
      <c r="AF242" s="13">
        <f>V242*1.25*[1]Parametros!$B$3*(U242-(V242*1.25*[1]Parametros!$B$3/(0.85*[1]Parametros!$B$2*H242))/2)/1000000</f>
        <v>196.34621794117646</v>
      </c>
      <c r="AG242" s="13">
        <f>AC242*1.25*[1]Parametros!$B$3*(AB242-(AC242*1.25*[1]Parametros!$B$3/(0.85*[1]Parametros!$B$2*H242))/2)/1000000</f>
        <v>196.34621794117646</v>
      </c>
      <c r="AH242" s="13">
        <f t="shared" si="41"/>
        <v>127.97998575163399</v>
      </c>
      <c r="AI242" s="13">
        <f t="shared" si="42"/>
        <v>127.97998575163399</v>
      </c>
      <c r="AJ242" s="13">
        <f>0.17*SQRT([1]Parametros!$B$2)*H242*MIN(U242,AB242)/1000</f>
        <v>198.08885582262698</v>
      </c>
      <c r="AK242" s="13">
        <f>MAX(AI242/[1]Parametros!$B$6-AJ242,0)</f>
        <v>0</v>
      </c>
      <c r="AL242" s="13">
        <f>0.66*SQRT([1]Parametros!$B$2)*H242*MIN(U242,AB242)/1000</f>
        <v>769.05085201725785</v>
      </c>
      <c r="AM242" s="13" t="str">
        <f t="shared" si="43"/>
        <v>CUMPLE</v>
      </c>
      <c r="AN242" s="13" t="s">
        <v>64</v>
      </c>
      <c r="AO242" s="14">
        <v>2</v>
      </c>
      <c r="AP242" s="13">
        <f>ROUNDDOWN(MIN(IF(BC242+BD242=0,1000000000,AO242*BB242/(BC242+BD242)),MIN(U242,AB242)/4,8*[1]Parametros!$B$12,24*BA242,300,IF(AV242=0,1000000000,2*((H242-2*([1]Parametros!$B$7+[1]Parametros!$B$9/2))+(I242-2*([1]Parametros!$B$7+[1]Parametros!$B$9/2)))/8))/10,0)*10</f>
        <v>120</v>
      </c>
      <c r="AQ242" s="13">
        <f>ROUNDDOWN(MIN(IF(BC242+BD242=0,1000000000,AO242*BB242/(BC242+BD242)),IF(AK242&gt;0.33*SQRT([1]Parametros!$B$2)*H242*MIN(U242,AB242)/1000,MIN(U242,AB242)/4,MIN(U242,AB242)/2),600,IF(AV242=0,1000000000,2*((H242-2*([1]Parametros!$B$7+[1]Parametros!$B$9/2))+(I242-2*([1]Parametros!$B$7+[1]Parametros!$B$9/2)))/8))/10,0)*10</f>
        <v>240</v>
      </c>
      <c r="AR242" s="13">
        <f>[1]Parametros!$B$6*(AJ242+MAX(BE242-BD242,0)*[1]Parametros!$B$4*MIN(U242,AB242)/1000)</f>
        <v>330.97185436697026</v>
      </c>
      <c r="AS242" s="13" t="str">
        <f t="shared" si="44"/>
        <v>CUMPLE</v>
      </c>
      <c r="AT242" s="13">
        <f>[1]Parametros!$B$6*0.083*SQRT([1]Parametros!$B$2)*(H242*I242)^2/(2*(H242+I242))/1000000</f>
        <v>10.08878303333792</v>
      </c>
      <c r="AU242" s="13" t="str">
        <f t="shared" si="45"/>
        <v>DESPRECIABLE</v>
      </c>
      <c r="AV242" s="13">
        <f>IF(Q242&lt;=AT242,0,Q242*1000000/([1]Parametros!$B$6*2*0.85*(H242-2*([1]Parametros!$B$7+[1]Parametros!$B$9/2))*(I242-2*([1]Parametros!$B$7+[1]Parametros!$B$9/2))*[1]Parametros!$B$4))</f>
        <v>0</v>
      </c>
      <c r="AW242" s="13">
        <f>AV242*2*((H242-2*([1]Parametros!$B$7+[1]Parametros!$B$9/2))+(I242-2*([1]Parametros!$B$7+[1]Parametros!$B$9/2)))*[1]Parametros!$B$4/[1]Parametros!$B$3</f>
        <v>0</v>
      </c>
      <c r="AX242" s="14">
        <v>0</v>
      </c>
      <c r="AY242" s="13" t="str">
        <f t="shared" si="46"/>
        <v>DESPRECIABLE</v>
      </c>
      <c r="AZ242" s="13" t="str">
        <f t="shared" si="47"/>
        <v>CUMPLE</v>
      </c>
      <c r="BA242" s="14">
        <v>9.5</v>
      </c>
      <c r="BB242" s="14">
        <v>71</v>
      </c>
      <c r="BC242" s="13">
        <f>MAX(IF(AK242=0,0,AK242*1000/([1]Parametros!$B$4*MIN(U242,AB242))),MAX(0.062*SQRT([1]Parametros!$B$2)*H242/[1]Parametros!$B$4,0.35*H242/[1]Parametros!$B$4))</f>
        <v>0.375</v>
      </c>
      <c r="BD242" s="13">
        <f t="shared" si="48"/>
        <v>0</v>
      </c>
      <c r="BE242" s="13">
        <f t="shared" si="49"/>
        <v>1.1833333333333333</v>
      </c>
      <c r="BF242" s="13">
        <f>SQRT((AI242*1000/(H242*MIN(U242,AB242)))^2+(Q242*1000000*2*((H242-2*([1]Parametros!$B$7+[1]Parametros!$B$9/2))+(I242-2*([1]Parametros!$B$7+[1]Parametros!$B$9/2)))/(1.7*((H242-2*([1]Parametros!$B$7+[1]Parametros!$B$9/2))*(I242-2*([1]Parametros!$B$7+[1]Parametros!$B$9/2)))^2))^2)</f>
        <v>0.62027282559066388</v>
      </c>
      <c r="BG242" s="13">
        <f>[1]Parametros!$B$6*(AJ242*1000/(H242*MIN(U242,AB242))+0.66*SQRT([1]Parametros!$B$2))</f>
        <v>3.2939603822754151</v>
      </c>
      <c r="BH242" s="13" t="str">
        <f t="shared" si="50"/>
        <v>CUMPLE</v>
      </c>
      <c r="BI242" s="13">
        <f>AX242*[1]Parametros!$B$8</f>
        <v>0</v>
      </c>
      <c r="BJ242" s="15" t="str">
        <f t="shared" si="51"/>
        <v>CUMPLE</v>
      </c>
    </row>
    <row r="243" spans="1:62" x14ac:dyDescent="0.3">
      <c r="A243" s="41" t="s">
        <v>72</v>
      </c>
      <c r="B243" s="42">
        <v>1024</v>
      </c>
      <c r="C243" s="13">
        <v>1</v>
      </c>
      <c r="D243" s="13">
        <v>2.0499999999999998</v>
      </c>
      <c r="E243" s="13">
        <v>2.0499999999999998</v>
      </c>
      <c r="F243" s="13">
        <v>450</v>
      </c>
      <c r="G243" s="13">
        <v>550</v>
      </c>
      <c r="H243" s="13">
        <v>450</v>
      </c>
      <c r="I243" s="13">
        <v>550</v>
      </c>
      <c r="J243" s="14">
        <v>46.1892</v>
      </c>
      <c r="K243" s="13">
        <v>1024</v>
      </c>
      <c r="L243" s="14">
        <v>37.322499999999998</v>
      </c>
      <c r="M243" s="13">
        <v>1024</v>
      </c>
      <c r="N243" s="14">
        <v>40.380000000000003</v>
      </c>
      <c r="O243" s="14">
        <v>101.172</v>
      </c>
      <c r="P243" s="13">
        <v>1024</v>
      </c>
      <c r="Q243" s="14">
        <v>7.0149999999999997</v>
      </c>
      <c r="R243" s="13">
        <f>MAX(MAX(1.4/[1]Parametros!$B$3,0.25*SQRT([1]Parametros!$B$2)/[1]Parametros!$B$3)*H243*U243,(0.85*[1]Parametros!$B$2/[1]Parametros!$B$3)*(1-SQRT(1-2*(J243*1000000/([1]Parametros!$B$5*H243*U243^2))/(0.85*[1]Parametros!$B$2)))*H243*U243)</f>
        <v>734.02500000000009</v>
      </c>
      <c r="S243" s="14">
        <v>4</v>
      </c>
      <c r="T243" s="14">
        <v>1</v>
      </c>
      <c r="U243" s="13">
        <f>IF(T243=1,I243-([1]Parametros!$B$7+[1]Parametros!$B$9+[1]Parametros!$B$12/2),I243-(ROUNDUP(S243/2,0)*([1]Parametros!$B$7+[1]Parametros!$B$9+[1]Parametros!$B$12/2)+ROUNDDOWN(S243/2,0)*([1]Parametros!$B$7+[1]Parametros!$B$9+[1]Parametros!$B$12/2+[1]Parametros!$B$12+[1]Parametros!$B$10))/S243)</f>
        <v>489.35</v>
      </c>
      <c r="V243" s="13">
        <f>S243*[1]Parametros!$B$8</f>
        <v>796</v>
      </c>
      <c r="W243" s="13">
        <f>[1]Parametros!$B$5*V243*[1]Parametros!$B$3*(U243-(V243*[1]Parametros!$B$3/(0.85*[1]Parametros!$B$2*H243))/2)/1000000</f>
        <v>142.54333009411764</v>
      </c>
      <c r="X243" s="13" t="str">
        <f t="shared" si="39"/>
        <v>CUMPLE</v>
      </c>
      <c r="Y243" s="13">
        <f>MAX(MAX(1.4/[1]Parametros!$B$3,0.25*SQRT([1]Parametros!$B$2)/[1]Parametros!$B$3)*H243*AB243,(0.85*[1]Parametros!$B$2/[1]Parametros!$B$3)*(1-SQRT(1-2*(L243*1000000/([1]Parametros!$B$5*H243*AB243^2))/(0.85*[1]Parametros!$B$2)))*H243*AB243)</f>
        <v>734.02500000000009</v>
      </c>
      <c r="Z243" s="14">
        <v>4</v>
      </c>
      <c r="AA243" s="14">
        <v>1</v>
      </c>
      <c r="AB243" s="13">
        <f>IF(AA243=1,I243-([1]Parametros!$B$7+[1]Parametros!$B$9+[1]Parametros!$B$12/2),I243-(ROUNDUP(Z243/2,0)*([1]Parametros!$B$7+[1]Parametros!$B$9+[1]Parametros!$B$12/2)+ROUNDDOWN(Z243/2,0)*([1]Parametros!$B$7+[1]Parametros!$B$9+[1]Parametros!$B$12/2+[1]Parametros!$B$12+[1]Parametros!$B$10))/Z243)</f>
        <v>489.35</v>
      </c>
      <c r="AC243" s="13">
        <f>Z243*[1]Parametros!$B$8</f>
        <v>796</v>
      </c>
      <c r="AD243" s="13">
        <f>[1]Parametros!$B$5*AC243*[1]Parametros!$B$3*(AB243-(AC243*[1]Parametros!$B$3/(0.85*[1]Parametros!$B$2*H243))/2)/1000000</f>
        <v>142.54333009411764</v>
      </c>
      <c r="AE243" s="13" t="str">
        <f t="shared" si="40"/>
        <v>CUMPLE</v>
      </c>
      <c r="AF243" s="13">
        <f>V243*1.25*[1]Parametros!$B$3*(U243-(V243*1.25*[1]Parametros!$B$3/(0.85*[1]Parametros!$B$2*H243))/2)/1000000</f>
        <v>196.34621794117646</v>
      </c>
      <c r="AG243" s="13">
        <f>AC243*1.25*[1]Parametros!$B$3*(AB243-(AC243*1.25*[1]Parametros!$B$3/(0.85*[1]Parametros!$B$2*H243))/2)/1000000</f>
        <v>196.34621794117646</v>
      </c>
      <c r="AH243" s="13">
        <f t="shared" si="41"/>
        <v>231.93728579626972</v>
      </c>
      <c r="AI243" s="13">
        <f t="shared" si="42"/>
        <v>231.93728579626972</v>
      </c>
      <c r="AJ243" s="13">
        <f>0.17*SQRT([1]Parametros!$B$2)*H243*MIN(U243,AB243)/1000</f>
        <v>198.08885582262698</v>
      </c>
      <c r="AK243" s="13">
        <f>MAX(AI243/[1]Parametros!$B$6-AJ243,0)</f>
        <v>111.16085857239929</v>
      </c>
      <c r="AL243" s="13">
        <f>0.66*SQRT([1]Parametros!$B$2)*H243*MIN(U243,AB243)/1000</f>
        <v>769.05085201725785</v>
      </c>
      <c r="AM243" s="13" t="str">
        <f t="shared" si="43"/>
        <v>CUMPLE</v>
      </c>
      <c r="AN243" s="13" t="s">
        <v>64</v>
      </c>
      <c r="AO243" s="14">
        <v>2</v>
      </c>
      <c r="AP243" s="13">
        <f>ROUNDDOWN(MIN(IF(BC243+BD243=0,1000000000,AO243*BB243/(BC243+BD243)),MIN(U243,AB243)/4,8*[1]Parametros!$B$12,24*BA243,300,IF(AV243=0,1000000000,2*((H243-2*([1]Parametros!$B$7+[1]Parametros!$B$9/2))+(I243-2*([1]Parametros!$B$7+[1]Parametros!$B$9/2)))/8))/10,0)*10</f>
        <v>120</v>
      </c>
      <c r="AQ243" s="13">
        <f>ROUNDDOWN(MIN(IF(BC243+BD243=0,1000000000,AO243*BB243/(BC243+BD243)),IF(AK243&gt;0.33*SQRT([1]Parametros!$B$2)*H243*MIN(U243,AB243)/1000,MIN(U243,AB243)/4,MIN(U243,AB243)/2),600,IF(AV243=0,1000000000,2*((H243-2*([1]Parametros!$B$7+[1]Parametros!$B$9/2))+(I243-2*([1]Parametros!$B$7+[1]Parametros!$B$9/2)))/8))/10,0)*10</f>
        <v>240</v>
      </c>
      <c r="AR243" s="13">
        <f>[1]Parametros!$B$6*(AJ243+MAX(BE243-BD243,0)*[1]Parametros!$B$4*MIN(U243,AB243)/1000)</f>
        <v>330.97185436697026</v>
      </c>
      <c r="AS243" s="13" t="str">
        <f t="shared" si="44"/>
        <v>CUMPLE</v>
      </c>
      <c r="AT243" s="13">
        <f>[1]Parametros!$B$6*0.083*SQRT([1]Parametros!$B$2)*(H243*I243)^2/(2*(H243+I243))/1000000</f>
        <v>10.08878303333792</v>
      </c>
      <c r="AU243" s="13" t="str">
        <f t="shared" si="45"/>
        <v>DESPRECIABLE</v>
      </c>
      <c r="AV243" s="13">
        <f>IF(Q243&lt;=AT243,0,Q243*1000000/([1]Parametros!$B$6*2*0.85*(H243-2*([1]Parametros!$B$7+[1]Parametros!$B$9/2))*(I243-2*([1]Parametros!$B$7+[1]Parametros!$B$9/2))*[1]Parametros!$B$4))</f>
        <v>0</v>
      </c>
      <c r="AW243" s="13">
        <f>AV243*2*((H243-2*([1]Parametros!$B$7+[1]Parametros!$B$9/2))+(I243-2*([1]Parametros!$B$7+[1]Parametros!$B$9/2)))*[1]Parametros!$B$4/[1]Parametros!$B$3</f>
        <v>0</v>
      </c>
      <c r="AX243" s="14">
        <v>0</v>
      </c>
      <c r="AY243" s="13" t="str">
        <f t="shared" si="46"/>
        <v>DESPRECIABLE</v>
      </c>
      <c r="AZ243" s="13" t="str">
        <f t="shared" si="47"/>
        <v>CUMPLE</v>
      </c>
      <c r="BA243" s="14">
        <v>9.5</v>
      </c>
      <c r="BB243" s="14">
        <v>71</v>
      </c>
      <c r="BC243" s="13">
        <f>MAX(IF(AK243=0,0,AK243*1000/([1]Parametros!$B$4*MIN(U243,AB243))),MAX(0.062*SQRT([1]Parametros!$B$2)*H243/[1]Parametros!$B$4,0.35*H243/[1]Parametros!$B$4))</f>
        <v>0.54085769058274236</v>
      </c>
      <c r="BD243" s="13">
        <f t="shared" si="48"/>
        <v>0</v>
      </c>
      <c r="BE243" s="13">
        <f t="shared" si="49"/>
        <v>1.1833333333333333</v>
      </c>
      <c r="BF243" s="13">
        <f>SQRT((AI243*1000/(H243*MIN(U243,AB243)))^2+(Q243*1000000*2*((H243-2*([1]Parametros!$B$7+[1]Parametros!$B$9/2))+(I243-2*([1]Parametros!$B$7+[1]Parametros!$B$9/2)))/(1.7*((H243-2*([1]Parametros!$B$7+[1]Parametros!$B$9/2))*(I243-2*([1]Parametros!$B$7+[1]Parametros!$B$9/2)))^2))^2)</f>
        <v>1.0829510661875215</v>
      </c>
      <c r="BG243" s="13">
        <f>[1]Parametros!$B$6*(AJ243*1000/(H243*MIN(U243,AB243))+0.66*SQRT([1]Parametros!$B$2))</f>
        <v>3.2939603822754151</v>
      </c>
      <c r="BH243" s="13" t="str">
        <f t="shared" si="50"/>
        <v>CUMPLE</v>
      </c>
      <c r="BI243" s="13">
        <f>AX243*[1]Parametros!$B$8</f>
        <v>0</v>
      </c>
      <c r="BJ243" s="15" t="str">
        <f t="shared" si="51"/>
        <v>CUMPLE</v>
      </c>
    </row>
    <row r="244" spans="1:62" x14ac:dyDescent="0.3">
      <c r="A244" s="43" t="s">
        <v>74</v>
      </c>
      <c r="B244" s="44">
        <v>201</v>
      </c>
      <c r="C244" s="13">
        <v>1</v>
      </c>
      <c r="D244" s="13">
        <v>2</v>
      </c>
      <c r="E244" s="13">
        <v>2</v>
      </c>
      <c r="F244" s="13">
        <v>500</v>
      </c>
      <c r="G244" s="13">
        <v>550</v>
      </c>
      <c r="H244" s="13">
        <v>500</v>
      </c>
      <c r="I244" s="13">
        <v>550</v>
      </c>
      <c r="J244" s="14">
        <v>179.27510000000001</v>
      </c>
      <c r="K244" s="13">
        <v>201</v>
      </c>
      <c r="L244" s="14">
        <v>127.22499999999999</v>
      </c>
      <c r="M244" s="13">
        <v>201</v>
      </c>
      <c r="N244" s="14">
        <v>162.62200000000001</v>
      </c>
      <c r="O244" s="14">
        <v>583.92899999999997</v>
      </c>
      <c r="P244" s="13">
        <v>201</v>
      </c>
      <c r="Q244" s="14">
        <v>3.8815</v>
      </c>
      <c r="R244" s="13">
        <f>MAX(MAX(1.4/[1]Parametros!$B$3,0.25*SQRT([1]Parametros!$B$2)/[1]Parametros!$B$3)*H244*U244,(0.85*[1]Parametros!$B$2/[1]Parametros!$B$3)*(1-SQRT(1-2*(J244*1000000/([1]Parametros!$B$5*H244*U244^2))/(0.85*[1]Parametros!$B$2)))*H244*U244)</f>
        <v>1005.6609236105448</v>
      </c>
      <c r="S244" s="14">
        <v>6</v>
      </c>
      <c r="T244" s="14">
        <v>1</v>
      </c>
      <c r="U244" s="13">
        <f>IF(T244=1,I244-([1]Parametros!$B$7+[1]Parametros!$B$9+[1]Parametros!$B$12/2),I244-(ROUNDUP(S244/2,0)*([1]Parametros!$B$7+[1]Parametros!$B$9+[1]Parametros!$B$12/2)+ROUNDDOWN(S244/2,0)*([1]Parametros!$B$7+[1]Parametros!$B$9+[1]Parametros!$B$12/2+[1]Parametros!$B$12+[1]Parametros!$B$10))/S244)</f>
        <v>489.35</v>
      </c>
      <c r="V244" s="13">
        <f>S244*[1]Parametros!$B$8</f>
        <v>1194</v>
      </c>
      <c r="W244" s="13">
        <f>[1]Parametros!$B$5*V244*[1]Parametros!$B$3*(U244-(V244*[1]Parametros!$B$3/(0.85*[1]Parametros!$B$2*H244))/2)/1000000</f>
        <v>211.34948347058827</v>
      </c>
      <c r="X244" s="13" t="str">
        <f t="shared" si="39"/>
        <v>CUMPLE</v>
      </c>
      <c r="Y244" s="13">
        <f>MAX(MAX(1.4/[1]Parametros!$B$3,0.25*SQRT([1]Parametros!$B$2)/[1]Parametros!$B$3)*H244*AB244,(0.85*[1]Parametros!$B$2/[1]Parametros!$B$3)*(1-SQRT(1-2*(L244*1000000/([1]Parametros!$B$5*H244*AB244^2))/(0.85*[1]Parametros!$B$2)))*H244*AB244)</f>
        <v>815.58333333333326</v>
      </c>
      <c r="Z244" s="14">
        <v>5</v>
      </c>
      <c r="AA244" s="14">
        <v>1</v>
      </c>
      <c r="AB244" s="13">
        <f>IF(AA244=1,I244-([1]Parametros!$B$7+[1]Parametros!$B$9+[1]Parametros!$B$12/2),I244-(ROUNDUP(Z244/2,0)*([1]Parametros!$B$7+[1]Parametros!$B$9+[1]Parametros!$B$12/2)+ROUNDDOWN(Z244/2,0)*([1]Parametros!$B$7+[1]Parametros!$B$9+[1]Parametros!$B$12/2+[1]Parametros!$B$12+[1]Parametros!$B$10))/Z244)</f>
        <v>489.35</v>
      </c>
      <c r="AC244" s="13">
        <f>Z244*[1]Parametros!$B$8</f>
        <v>995</v>
      </c>
      <c r="AD244" s="13">
        <f>[1]Parametros!$B$5*AC244*[1]Parametros!$B$3*(AB244-(AC244*[1]Parametros!$B$3/(0.85*[1]Parametros!$B$2*H244))/2)/1000000</f>
        <v>177.44537938235294</v>
      </c>
      <c r="AE244" s="13" t="str">
        <f t="shared" si="40"/>
        <v>CUMPLE</v>
      </c>
      <c r="AF244" s="13">
        <f>V244*1.25*[1]Parametros!$B$3*(U244-(V244*1.25*[1]Parametros!$B$3/(0.85*[1]Parametros!$B$2*H244))/2)/1000000</f>
        <v>290.23892470588237</v>
      </c>
      <c r="AG244" s="13">
        <f>AC244*1.25*[1]Parametros!$B$3*(AB244-(AC244*1.25*[1]Parametros!$B$3/(0.85*[1]Parametros!$B$2*H244))/2)/1000000</f>
        <v>244.15884319852941</v>
      </c>
      <c r="AH244" s="13">
        <f t="shared" si="41"/>
        <v>429.82088395220592</v>
      </c>
      <c r="AI244" s="13">
        <f t="shared" si="42"/>
        <v>583.92899999999997</v>
      </c>
      <c r="AJ244" s="13">
        <f>0.17*SQRT([1]Parametros!$B$2)*H244*MIN(U244,AB244)/1000</f>
        <v>220.09872869180776</v>
      </c>
      <c r="AK244" s="13">
        <f>MAX(AI244/[1]Parametros!$B$6-AJ244,0)</f>
        <v>558.47327130819224</v>
      </c>
      <c r="AL244" s="13">
        <f>0.66*SQRT([1]Parametros!$B$2)*H244*MIN(U244,AB244)/1000</f>
        <v>854.500946685842</v>
      </c>
      <c r="AM244" s="13" t="str">
        <f t="shared" si="43"/>
        <v>CUMPLE</v>
      </c>
      <c r="AN244" s="13" t="s">
        <v>68</v>
      </c>
      <c r="AO244" s="14">
        <v>2</v>
      </c>
      <c r="AP244" s="13">
        <f>ROUNDDOWN(MIN(IF(BC244+BD244=0,1000000000,AO244*BB244/(BC244+BD244)),MIN(U244,AB244)/4,8*[1]Parametros!$B$12,24*BA244,300,IF(AV244=0,1000000000,2*((H244-2*([1]Parametros!$B$7+[1]Parametros!$B$9/2))+(I244-2*([1]Parametros!$B$7+[1]Parametros!$B$9/2)))/8))/10,0)*10</f>
        <v>90</v>
      </c>
      <c r="AQ244" s="13">
        <f>ROUNDDOWN(MIN(IF(BC244+BD244=0,1000000000,AO244*BB244/(BC244+BD244)),IF(AK244&gt;0.33*SQRT([1]Parametros!$B$2)*H244*MIN(U244,AB244)/1000,MIN(U244,AB244)/4,MIN(U244,AB244)/2),600,IF(AV244=0,1000000000,2*((H244-2*([1]Parametros!$B$7+[1]Parametros!$B$9/2))+(I244-2*([1]Parametros!$B$7+[1]Parametros!$B$9/2)))/8))/10,0)*10</f>
        <v>90</v>
      </c>
      <c r="AR244" s="13">
        <f>[1]Parametros!$B$6*(AJ244+MAX(BE244-BD244,0)*[1]Parametros!$B$4*MIN(U244,AB244)/1000)</f>
        <v>606.95709651885591</v>
      </c>
      <c r="AS244" s="13" t="str">
        <f t="shared" si="44"/>
        <v>CUMPLE</v>
      </c>
      <c r="AT244" s="13">
        <f>[1]Parametros!$B$6*0.083*SQRT([1]Parametros!$B$2)*(H244*I244)^2/(2*(H244+I244))/1000000</f>
        <v>11.862178757598967</v>
      </c>
      <c r="AU244" s="13" t="str">
        <f t="shared" si="45"/>
        <v>DESPRECIABLE</v>
      </c>
      <c r="AV244" s="13">
        <f>IF(Q244&lt;=AT244,0,Q244*1000000/([1]Parametros!$B$6*2*0.85*(H244-2*([1]Parametros!$B$7+[1]Parametros!$B$9/2))*(I244-2*([1]Parametros!$B$7+[1]Parametros!$B$9/2))*[1]Parametros!$B$4))</f>
        <v>0</v>
      </c>
      <c r="AW244" s="13">
        <f>AV244*2*((H244-2*([1]Parametros!$B$7+[1]Parametros!$B$9/2))+(I244-2*([1]Parametros!$B$7+[1]Parametros!$B$9/2)))*[1]Parametros!$B$4/[1]Parametros!$B$3</f>
        <v>0</v>
      </c>
      <c r="AX244" s="14">
        <v>0</v>
      </c>
      <c r="AY244" s="13" t="str">
        <f t="shared" si="46"/>
        <v>DESPRECIABLE</v>
      </c>
      <c r="AZ244" s="13" t="str">
        <f t="shared" si="47"/>
        <v>CUMPLE</v>
      </c>
      <c r="BA244" s="14">
        <v>12.7</v>
      </c>
      <c r="BB244" s="14">
        <v>129</v>
      </c>
      <c r="BC244" s="13">
        <f>MAX(IF(AK244=0,0,AK244*1000/([1]Parametros!$B$4*MIN(U244,AB244))),MAX(0.062*SQRT([1]Parametros!$B$2)*H244/[1]Parametros!$B$4,0.35*H244/[1]Parametros!$B$4))</f>
        <v>2.7172744763860335</v>
      </c>
      <c r="BD244" s="13">
        <f t="shared" si="48"/>
        <v>0</v>
      </c>
      <c r="BE244" s="13">
        <f t="shared" si="49"/>
        <v>2.8666666666666667</v>
      </c>
      <c r="BF244" s="13">
        <f>SQRT((AI244*1000/(H244*MIN(U244,AB244)))^2+(Q244*1000000*2*((H244-2*([1]Parametros!$B$7+[1]Parametros!$B$9/2))+(I244-2*([1]Parametros!$B$7+[1]Parametros!$B$9/2)))/(1.7*((H244-2*([1]Parametros!$B$7+[1]Parametros!$B$9/2))*(I244-2*([1]Parametros!$B$7+[1]Parametros!$B$9/2)))^2))^2)</f>
        <v>2.3892614578155089</v>
      </c>
      <c r="BG244" s="13">
        <f>[1]Parametros!$B$6*(AJ244*1000/(H244*MIN(U244,AB244))+0.66*SQRT([1]Parametros!$B$2))</f>
        <v>3.2939603822754151</v>
      </c>
      <c r="BH244" s="13" t="str">
        <f t="shared" si="50"/>
        <v>CUMPLE</v>
      </c>
      <c r="BI244" s="13">
        <f>AX244*[1]Parametros!$B$8</f>
        <v>0</v>
      </c>
      <c r="BJ244" s="15" t="str">
        <f t="shared" si="51"/>
        <v>CUMPLE</v>
      </c>
    </row>
    <row r="245" spans="1:62" x14ac:dyDescent="0.3">
      <c r="A245" s="43" t="s">
        <v>74</v>
      </c>
      <c r="B245" s="44">
        <v>202</v>
      </c>
      <c r="C245" s="13">
        <v>1</v>
      </c>
      <c r="D245" s="13">
        <v>3.05</v>
      </c>
      <c r="E245" s="13">
        <v>3.05</v>
      </c>
      <c r="F245" s="13">
        <v>500</v>
      </c>
      <c r="G245" s="13">
        <v>550</v>
      </c>
      <c r="H245" s="13">
        <v>500</v>
      </c>
      <c r="I245" s="13">
        <v>550</v>
      </c>
      <c r="J245" s="14">
        <v>170.2081</v>
      </c>
      <c r="K245" s="13">
        <v>202</v>
      </c>
      <c r="L245" s="14">
        <v>111.809</v>
      </c>
      <c r="M245" s="13">
        <v>202</v>
      </c>
      <c r="N245" s="14">
        <v>136.459</v>
      </c>
      <c r="O245" s="14">
        <v>425.53300000000002</v>
      </c>
      <c r="P245" s="13">
        <v>202</v>
      </c>
      <c r="Q245" s="14">
        <v>3.4737</v>
      </c>
      <c r="R245" s="13">
        <f>MAX(MAX(1.4/[1]Parametros!$B$3,0.25*SQRT([1]Parametros!$B$2)/[1]Parametros!$B$3)*H245*U245,(0.85*[1]Parametros!$B$2/[1]Parametros!$B$3)*(1-SQRT(1-2*(J245*1000000/([1]Parametros!$B$5*H245*U245^2))/(0.85*[1]Parametros!$B$2)))*H245*U245)</f>
        <v>952.91803337061992</v>
      </c>
      <c r="S245" s="14">
        <v>5</v>
      </c>
      <c r="T245" s="14">
        <v>1</v>
      </c>
      <c r="U245" s="13">
        <f>IF(T245=1,I245-([1]Parametros!$B$7+[1]Parametros!$B$9+[1]Parametros!$B$12/2),I245-(ROUNDUP(S245/2,0)*([1]Parametros!$B$7+[1]Parametros!$B$9+[1]Parametros!$B$12/2)+ROUNDDOWN(S245/2,0)*([1]Parametros!$B$7+[1]Parametros!$B$9+[1]Parametros!$B$12/2+[1]Parametros!$B$12+[1]Parametros!$B$10))/S245)</f>
        <v>489.35</v>
      </c>
      <c r="V245" s="13">
        <f>S245*[1]Parametros!$B$8</f>
        <v>995</v>
      </c>
      <c r="W245" s="13">
        <f>[1]Parametros!$B$5*V245*[1]Parametros!$B$3*(U245-(V245*[1]Parametros!$B$3/(0.85*[1]Parametros!$B$2*H245))/2)/1000000</f>
        <v>177.44537938235294</v>
      </c>
      <c r="X245" s="13" t="str">
        <f t="shared" si="39"/>
        <v>CUMPLE</v>
      </c>
      <c r="Y245" s="13">
        <f>MAX(MAX(1.4/[1]Parametros!$B$3,0.25*SQRT([1]Parametros!$B$2)/[1]Parametros!$B$3)*H245*AB245,(0.85*[1]Parametros!$B$2/[1]Parametros!$B$3)*(1-SQRT(1-2*(L245*1000000/([1]Parametros!$B$5*H245*AB245^2))/(0.85*[1]Parametros!$B$2)))*H245*AB245)</f>
        <v>815.58333333333326</v>
      </c>
      <c r="Z245" s="14">
        <v>5</v>
      </c>
      <c r="AA245" s="14">
        <v>1</v>
      </c>
      <c r="AB245" s="13">
        <f>IF(AA245=1,I245-([1]Parametros!$B$7+[1]Parametros!$B$9+[1]Parametros!$B$12/2),I245-(ROUNDUP(Z245/2,0)*([1]Parametros!$B$7+[1]Parametros!$B$9+[1]Parametros!$B$12/2)+ROUNDDOWN(Z245/2,0)*([1]Parametros!$B$7+[1]Parametros!$B$9+[1]Parametros!$B$12/2+[1]Parametros!$B$12+[1]Parametros!$B$10))/Z245)</f>
        <v>489.35</v>
      </c>
      <c r="AC245" s="13">
        <f>Z245*[1]Parametros!$B$8</f>
        <v>995</v>
      </c>
      <c r="AD245" s="13">
        <f>[1]Parametros!$B$5*AC245*[1]Parametros!$B$3*(AB245-(AC245*[1]Parametros!$B$3/(0.85*[1]Parametros!$B$2*H245))/2)/1000000</f>
        <v>177.44537938235294</v>
      </c>
      <c r="AE245" s="13" t="str">
        <f t="shared" si="40"/>
        <v>CUMPLE</v>
      </c>
      <c r="AF245" s="13">
        <f>V245*1.25*[1]Parametros!$B$3*(U245-(V245*1.25*[1]Parametros!$B$3/(0.85*[1]Parametros!$B$2*H245))/2)/1000000</f>
        <v>244.15884319852941</v>
      </c>
      <c r="AG245" s="13">
        <f>AC245*1.25*[1]Parametros!$B$3*(AB245-(AC245*1.25*[1]Parametros!$B$3/(0.85*[1]Parametros!$B$2*H245))/2)/1000000</f>
        <v>244.15884319852941</v>
      </c>
      <c r="AH245" s="13">
        <f t="shared" si="41"/>
        <v>296.56315947444557</v>
      </c>
      <c r="AI245" s="13">
        <f t="shared" si="42"/>
        <v>425.53300000000002</v>
      </c>
      <c r="AJ245" s="13">
        <f>0.17*SQRT([1]Parametros!$B$2)*H245*MIN(U245,AB245)/1000</f>
        <v>220.09872869180776</v>
      </c>
      <c r="AK245" s="13">
        <f>MAX(AI245/[1]Parametros!$B$6-AJ245,0)</f>
        <v>347.27860464152559</v>
      </c>
      <c r="AL245" s="13">
        <f>0.66*SQRT([1]Parametros!$B$2)*H245*MIN(U245,AB245)/1000</f>
        <v>854.500946685842</v>
      </c>
      <c r="AM245" s="13" t="str">
        <f t="shared" si="43"/>
        <v>CUMPLE</v>
      </c>
      <c r="AN245" s="13" t="s">
        <v>64</v>
      </c>
      <c r="AO245" s="14">
        <v>2</v>
      </c>
      <c r="AP245" s="13">
        <f>ROUNDDOWN(MIN(IF(BC245+BD245=0,1000000000,AO245*BB245/(BC245+BD245)),MIN(U245,AB245)/4,8*[1]Parametros!$B$12,24*BA245,300,IF(AV245=0,1000000000,2*((H245-2*([1]Parametros!$B$7+[1]Parametros!$B$9/2))+(I245-2*([1]Parametros!$B$7+[1]Parametros!$B$9/2)))/8))/10,0)*10</f>
        <v>80</v>
      </c>
      <c r="AQ245" s="13">
        <f>ROUNDDOWN(MIN(IF(BC245+BD245=0,1000000000,AO245*BB245/(BC245+BD245)),IF(AK245&gt;0.33*SQRT([1]Parametros!$B$2)*H245*MIN(U245,AB245)/1000,MIN(U245,AB245)/4,MIN(U245,AB245)/2),600,IF(AV245=0,1000000000,2*((H245-2*([1]Parametros!$B$7+[1]Parametros!$B$9/2))+(I245-2*([1]Parametros!$B$7+[1]Parametros!$B$9/2)))/8))/10,0)*10</f>
        <v>80</v>
      </c>
      <c r="AR245" s="13">
        <f>[1]Parametros!$B$6*(AJ245+MAX(BE245-BD245,0)*[1]Parametros!$B$4*MIN(U245,AB245)/1000)</f>
        <v>438.68186526885586</v>
      </c>
      <c r="AS245" s="13" t="str">
        <f t="shared" si="44"/>
        <v>CUMPLE</v>
      </c>
      <c r="AT245" s="13">
        <f>[1]Parametros!$B$6*0.083*SQRT([1]Parametros!$B$2)*(H245*I245)^2/(2*(H245+I245))/1000000</f>
        <v>11.862178757598967</v>
      </c>
      <c r="AU245" s="13" t="str">
        <f t="shared" si="45"/>
        <v>DESPRECIABLE</v>
      </c>
      <c r="AV245" s="13">
        <f>IF(Q245&lt;=AT245,0,Q245*1000000/([1]Parametros!$B$6*2*0.85*(H245-2*([1]Parametros!$B$7+[1]Parametros!$B$9/2))*(I245-2*([1]Parametros!$B$7+[1]Parametros!$B$9/2))*[1]Parametros!$B$4))</f>
        <v>0</v>
      </c>
      <c r="AW245" s="13">
        <f>AV245*2*((H245-2*([1]Parametros!$B$7+[1]Parametros!$B$9/2))+(I245-2*([1]Parametros!$B$7+[1]Parametros!$B$9/2)))*[1]Parametros!$B$4/[1]Parametros!$B$3</f>
        <v>0</v>
      </c>
      <c r="AX245" s="14">
        <v>0</v>
      </c>
      <c r="AY245" s="13" t="str">
        <f t="shared" si="46"/>
        <v>DESPRECIABLE</v>
      </c>
      <c r="AZ245" s="13" t="str">
        <f t="shared" si="47"/>
        <v>CUMPLE</v>
      </c>
      <c r="BA245" s="14">
        <v>9.5</v>
      </c>
      <c r="BB245" s="14">
        <v>71</v>
      </c>
      <c r="BC245" s="13">
        <f>MAX(IF(AK245=0,0,AK245*1000/([1]Parametros!$B$4*MIN(U245,AB245))),MAX(0.062*SQRT([1]Parametros!$B$2)*H245/[1]Parametros!$B$4,0.35*H245/[1]Parametros!$B$4))</f>
        <v>1.6896982130889158</v>
      </c>
      <c r="BD245" s="13">
        <f t="shared" si="48"/>
        <v>0</v>
      </c>
      <c r="BE245" s="13">
        <f t="shared" si="49"/>
        <v>1.7749999999999999</v>
      </c>
      <c r="BF245" s="13">
        <f>SQRT((AI245*1000/(H245*MIN(U245,AB245)))^2+(Q245*1000000*2*((H245-2*([1]Parametros!$B$7+[1]Parametros!$B$9/2))+(I245-2*([1]Parametros!$B$7+[1]Parametros!$B$9/2)))/(1.7*((H245-2*([1]Parametros!$B$7+[1]Parametros!$B$9/2))*(I245-2*([1]Parametros!$B$7+[1]Parametros!$B$9/2)))^2))^2)</f>
        <v>1.7421561360988764</v>
      </c>
      <c r="BG245" s="13">
        <f>[1]Parametros!$B$6*(AJ245*1000/(H245*MIN(U245,AB245))+0.66*SQRT([1]Parametros!$B$2))</f>
        <v>3.2939603822754151</v>
      </c>
      <c r="BH245" s="13" t="str">
        <f t="shared" si="50"/>
        <v>CUMPLE</v>
      </c>
      <c r="BI245" s="13">
        <f>AX245*[1]Parametros!$B$8</f>
        <v>0</v>
      </c>
      <c r="BJ245" s="15" t="str">
        <f t="shared" si="51"/>
        <v>CUMPLE</v>
      </c>
    </row>
    <row r="246" spans="1:62" x14ac:dyDescent="0.3">
      <c r="A246" s="43" t="s">
        <v>74</v>
      </c>
      <c r="B246" s="44">
        <v>203</v>
      </c>
      <c r="C246" s="13">
        <v>1</v>
      </c>
      <c r="D246" s="13">
        <v>2</v>
      </c>
      <c r="E246" s="13">
        <v>2</v>
      </c>
      <c r="F246" s="13">
        <v>500</v>
      </c>
      <c r="G246" s="13">
        <v>550</v>
      </c>
      <c r="H246" s="13">
        <v>500</v>
      </c>
      <c r="I246" s="13">
        <v>550</v>
      </c>
      <c r="J246" s="14">
        <v>159.88050000000001</v>
      </c>
      <c r="K246" s="13">
        <v>203</v>
      </c>
      <c r="L246" s="14">
        <v>125.9905</v>
      </c>
      <c r="M246" s="13">
        <v>203</v>
      </c>
      <c r="N246" s="14">
        <v>152.31899999999999</v>
      </c>
      <c r="O246" s="14">
        <v>567.26199999999994</v>
      </c>
      <c r="P246" s="13">
        <v>203</v>
      </c>
      <c r="Q246" s="14">
        <v>7.3369</v>
      </c>
      <c r="R246" s="13">
        <f>MAX(MAX(1.4/[1]Parametros!$B$3,0.25*SQRT([1]Parametros!$B$2)/[1]Parametros!$B$3)*H246*U246,(0.85*[1]Parametros!$B$2/[1]Parametros!$B$3)*(1-SQRT(1-2*(J246*1000000/([1]Parametros!$B$5*H246*U246^2))/(0.85*[1]Parametros!$B$2)))*H246*U246)</f>
        <v>893.10345558723361</v>
      </c>
      <c r="S246" s="14">
        <v>5</v>
      </c>
      <c r="T246" s="14">
        <v>1</v>
      </c>
      <c r="U246" s="13">
        <f>IF(T246=1,I246-([1]Parametros!$B$7+[1]Parametros!$B$9+[1]Parametros!$B$12/2),I246-(ROUNDUP(S246/2,0)*([1]Parametros!$B$7+[1]Parametros!$B$9+[1]Parametros!$B$12/2)+ROUNDDOWN(S246/2,0)*([1]Parametros!$B$7+[1]Parametros!$B$9+[1]Parametros!$B$12/2+[1]Parametros!$B$12+[1]Parametros!$B$10))/S246)</f>
        <v>489.35</v>
      </c>
      <c r="V246" s="13">
        <f>S246*[1]Parametros!$B$8</f>
        <v>995</v>
      </c>
      <c r="W246" s="13">
        <f>[1]Parametros!$B$5*V246*[1]Parametros!$B$3*(U246-(V246*[1]Parametros!$B$3/(0.85*[1]Parametros!$B$2*H246))/2)/1000000</f>
        <v>177.44537938235294</v>
      </c>
      <c r="X246" s="13" t="str">
        <f t="shared" si="39"/>
        <v>CUMPLE</v>
      </c>
      <c r="Y246" s="13">
        <f>MAX(MAX(1.4/[1]Parametros!$B$3,0.25*SQRT([1]Parametros!$B$2)/[1]Parametros!$B$3)*H246*AB246,(0.85*[1]Parametros!$B$2/[1]Parametros!$B$3)*(1-SQRT(1-2*(L246*1000000/([1]Parametros!$B$5*H246*AB246^2))/(0.85*[1]Parametros!$B$2)))*H246*AB246)</f>
        <v>815.58333333333326</v>
      </c>
      <c r="Z246" s="14">
        <v>5</v>
      </c>
      <c r="AA246" s="14">
        <v>1</v>
      </c>
      <c r="AB246" s="13">
        <f>IF(AA246=1,I246-([1]Parametros!$B$7+[1]Parametros!$B$9+[1]Parametros!$B$12/2),I246-(ROUNDUP(Z246/2,0)*([1]Parametros!$B$7+[1]Parametros!$B$9+[1]Parametros!$B$12/2)+ROUNDDOWN(Z246/2,0)*([1]Parametros!$B$7+[1]Parametros!$B$9+[1]Parametros!$B$12/2+[1]Parametros!$B$12+[1]Parametros!$B$10))/Z246)</f>
        <v>489.35</v>
      </c>
      <c r="AC246" s="13">
        <f>Z246*[1]Parametros!$B$8</f>
        <v>995</v>
      </c>
      <c r="AD246" s="13">
        <f>[1]Parametros!$B$5*AC246*[1]Parametros!$B$3*(AB246-(AC246*[1]Parametros!$B$3/(0.85*[1]Parametros!$B$2*H246))/2)/1000000</f>
        <v>177.44537938235294</v>
      </c>
      <c r="AE246" s="13" t="str">
        <f t="shared" si="40"/>
        <v>CUMPLE</v>
      </c>
      <c r="AF246" s="13">
        <f>V246*1.25*[1]Parametros!$B$3*(U246-(V246*1.25*[1]Parametros!$B$3/(0.85*[1]Parametros!$B$2*H246))/2)/1000000</f>
        <v>244.15884319852941</v>
      </c>
      <c r="AG246" s="13">
        <f>AC246*1.25*[1]Parametros!$B$3*(AB246-(AC246*1.25*[1]Parametros!$B$3/(0.85*[1]Parametros!$B$2*H246))/2)/1000000</f>
        <v>244.15884319852941</v>
      </c>
      <c r="AH246" s="13">
        <f t="shared" si="41"/>
        <v>396.4778431985294</v>
      </c>
      <c r="AI246" s="13">
        <f t="shared" si="42"/>
        <v>567.26199999999994</v>
      </c>
      <c r="AJ246" s="13">
        <f>0.17*SQRT([1]Parametros!$B$2)*H246*MIN(U246,AB246)/1000</f>
        <v>220.09872869180776</v>
      </c>
      <c r="AK246" s="13">
        <f>MAX(AI246/[1]Parametros!$B$6-AJ246,0)</f>
        <v>536.25060464152546</v>
      </c>
      <c r="AL246" s="13">
        <f>0.66*SQRT([1]Parametros!$B$2)*H246*MIN(U246,AB246)/1000</f>
        <v>854.500946685842</v>
      </c>
      <c r="AM246" s="13" t="str">
        <f t="shared" si="43"/>
        <v>CUMPLE</v>
      </c>
      <c r="AN246" s="13" t="s">
        <v>68</v>
      </c>
      <c r="AO246" s="14">
        <v>2</v>
      </c>
      <c r="AP246" s="13">
        <f>ROUNDDOWN(MIN(IF(BC246+BD246=0,1000000000,AO246*BB246/(BC246+BD246)),MIN(U246,AB246)/4,8*[1]Parametros!$B$12,24*BA246,300,IF(AV246=0,1000000000,2*((H246-2*([1]Parametros!$B$7+[1]Parametros!$B$9/2))+(I246-2*([1]Parametros!$B$7+[1]Parametros!$B$9/2)))/8))/10,0)*10</f>
        <v>90</v>
      </c>
      <c r="AQ246" s="13">
        <f>ROUNDDOWN(MIN(IF(BC246+BD246=0,1000000000,AO246*BB246/(BC246+BD246)),IF(AK246&gt;0.33*SQRT([1]Parametros!$B$2)*H246*MIN(U246,AB246)/1000,MIN(U246,AB246)/4,MIN(U246,AB246)/2),600,IF(AV246=0,1000000000,2*((H246-2*([1]Parametros!$B$7+[1]Parametros!$B$9/2))+(I246-2*([1]Parametros!$B$7+[1]Parametros!$B$9/2)))/8))/10,0)*10</f>
        <v>90</v>
      </c>
      <c r="AR246" s="13">
        <f>[1]Parametros!$B$6*(AJ246+MAX(BE246-BD246,0)*[1]Parametros!$B$4*MIN(U246,AB246)/1000)</f>
        <v>606.95709651885591</v>
      </c>
      <c r="AS246" s="13" t="str">
        <f t="shared" si="44"/>
        <v>CUMPLE</v>
      </c>
      <c r="AT246" s="13">
        <f>[1]Parametros!$B$6*0.083*SQRT([1]Parametros!$B$2)*(H246*I246)^2/(2*(H246+I246))/1000000</f>
        <v>11.862178757598967</v>
      </c>
      <c r="AU246" s="13" t="str">
        <f t="shared" si="45"/>
        <v>DESPRECIABLE</v>
      </c>
      <c r="AV246" s="13">
        <f>IF(Q246&lt;=AT246,0,Q246*1000000/([1]Parametros!$B$6*2*0.85*(H246-2*([1]Parametros!$B$7+[1]Parametros!$B$9/2))*(I246-2*([1]Parametros!$B$7+[1]Parametros!$B$9/2))*[1]Parametros!$B$4))</f>
        <v>0</v>
      </c>
      <c r="AW246" s="13">
        <f>AV246*2*((H246-2*([1]Parametros!$B$7+[1]Parametros!$B$9/2))+(I246-2*([1]Parametros!$B$7+[1]Parametros!$B$9/2)))*[1]Parametros!$B$4/[1]Parametros!$B$3</f>
        <v>0</v>
      </c>
      <c r="AX246" s="14">
        <v>0</v>
      </c>
      <c r="AY246" s="13" t="str">
        <f t="shared" si="46"/>
        <v>DESPRECIABLE</v>
      </c>
      <c r="AZ246" s="13" t="str">
        <f t="shared" si="47"/>
        <v>CUMPLE</v>
      </c>
      <c r="BA246" s="14">
        <v>12.7</v>
      </c>
      <c r="BB246" s="14">
        <v>129</v>
      </c>
      <c r="BC246" s="13">
        <f>MAX(IF(AK246=0,0,AK246*1000/([1]Parametros!$B$4*MIN(U246,AB246))),MAX(0.062*SQRT([1]Parametros!$B$2)*H246/[1]Parametros!$B$4,0.35*H246/[1]Parametros!$B$4))</f>
        <v>2.6091491854672397</v>
      </c>
      <c r="BD246" s="13">
        <f t="shared" si="48"/>
        <v>0</v>
      </c>
      <c r="BE246" s="13">
        <f t="shared" si="49"/>
        <v>2.8666666666666667</v>
      </c>
      <c r="BF246" s="13">
        <f>SQRT((AI246*1000/(H246*MIN(U246,AB246)))^2+(Q246*1000000*2*((H246-2*([1]Parametros!$B$7+[1]Parametros!$B$9/2))+(I246-2*([1]Parametros!$B$7+[1]Parametros!$B$9/2)))/(1.7*((H246-2*([1]Parametros!$B$7+[1]Parametros!$B$9/2))*(I246-2*([1]Parametros!$B$7+[1]Parametros!$B$9/2)))^2))^2)</f>
        <v>2.3283891997711725</v>
      </c>
      <c r="BG246" s="13">
        <f>[1]Parametros!$B$6*(AJ246*1000/(H246*MIN(U246,AB246))+0.66*SQRT([1]Parametros!$B$2))</f>
        <v>3.2939603822754151</v>
      </c>
      <c r="BH246" s="13" t="str">
        <f t="shared" si="50"/>
        <v>CUMPLE</v>
      </c>
      <c r="BI246" s="13">
        <f>AX246*[1]Parametros!$B$8</f>
        <v>0</v>
      </c>
      <c r="BJ246" s="15" t="str">
        <f t="shared" si="51"/>
        <v>CUMPLE</v>
      </c>
    </row>
    <row r="247" spans="1:62" x14ac:dyDescent="0.3">
      <c r="A247" s="43" t="s">
        <v>74</v>
      </c>
      <c r="B247" s="44">
        <v>204</v>
      </c>
      <c r="C247" s="13">
        <v>1</v>
      </c>
      <c r="D247" s="13">
        <v>1.9</v>
      </c>
      <c r="E247" s="13">
        <v>1.9</v>
      </c>
      <c r="F247" s="13">
        <v>500</v>
      </c>
      <c r="G247" s="13">
        <v>550</v>
      </c>
      <c r="H247" s="13">
        <v>500</v>
      </c>
      <c r="I247" s="13">
        <v>550</v>
      </c>
      <c r="J247" s="14">
        <v>166.9333</v>
      </c>
      <c r="K247" s="13">
        <v>204</v>
      </c>
      <c r="L247" s="14">
        <v>134.60939999999999</v>
      </c>
      <c r="M247" s="13">
        <v>204</v>
      </c>
      <c r="N247" s="14">
        <v>161.44300000000001</v>
      </c>
      <c r="O247" s="14">
        <v>614.32600000000002</v>
      </c>
      <c r="P247" s="13">
        <v>204</v>
      </c>
      <c r="Q247" s="14">
        <v>4.3205</v>
      </c>
      <c r="R247" s="13">
        <f>MAX(MAX(1.4/[1]Parametros!$B$3,0.25*SQRT([1]Parametros!$B$2)/[1]Parametros!$B$3)*H247*U247,(0.85*[1]Parametros!$B$2/[1]Parametros!$B$3)*(1-SQRT(1-2*(J247*1000000/([1]Parametros!$B$5*H247*U247^2))/(0.85*[1]Parametros!$B$2)))*H247*U247)</f>
        <v>933.92134831741703</v>
      </c>
      <c r="S247" s="14">
        <v>5</v>
      </c>
      <c r="T247" s="14">
        <v>1</v>
      </c>
      <c r="U247" s="13">
        <f>IF(T247=1,I247-([1]Parametros!$B$7+[1]Parametros!$B$9+[1]Parametros!$B$12/2),I247-(ROUNDUP(S247/2,0)*([1]Parametros!$B$7+[1]Parametros!$B$9+[1]Parametros!$B$12/2)+ROUNDDOWN(S247/2,0)*([1]Parametros!$B$7+[1]Parametros!$B$9+[1]Parametros!$B$12/2+[1]Parametros!$B$12+[1]Parametros!$B$10))/S247)</f>
        <v>489.35</v>
      </c>
      <c r="V247" s="13">
        <f>S247*[1]Parametros!$B$8</f>
        <v>995</v>
      </c>
      <c r="W247" s="13">
        <f>[1]Parametros!$B$5*V247*[1]Parametros!$B$3*(U247-(V247*[1]Parametros!$B$3/(0.85*[1]Parametros!$B$2*H247))/2)/1000000</f>
        <v>177.44537938235294</v>
      </c>
      <c r="X247" s="13" t="str">
        <f t="shared" si="39"/>
        <v>CUMPLE</v>
      </c>
      <c r="Y247" s="13">
        <f>MAX(MAX(1.4/[1]Parametros!$B$3,0.25*SQRT([1]Parametros!$B$2)/[1]Parametros!$B$3)*H247*AB247,(0.85*[1]Parametros!$B$2/[1]Parametros!$B$3)*(1-SQRT(1-2*(L247*1000000/([1]Parametros!$B$5*H247*AB247^2))/(0.85*[1]Parametros!$B$2)))*H247*AB247)</f>
        <v>815.58333333333326</v>
      </c>
      <c r="Z247" s="14">
        <v>5</v>
      </c>
      <c r="AA247" s="14">
        <v>1</v>
      </c>
      <c r="AB247" s="13">
        <f>IF(AA247=1,I247-([1]Parametros!$B$7+[1]Parametros!$B$9+[1]Parametros!$B$12/2),I247-(ROUNDUP(Z247/2,0)*([1]Parametros!$B$7+[1]Parametros!$B$9+[1]Parametros!$B$12/2)+ROUNDDOWN(Z247/2,0)*([1]Parametros!$B$7+[1]Parametros!$B$9+[1]Parametros!$B$12/2+[1]Parametros!$B$12+[1]Parametros!$B$10))/Z247)</f>
        <v>489.35</v>
      </c>
      <c r="AC247" s="13">
        <f>Z247*[1]Parametros!$B$8</f>
        <v>995</v>
      </c>
      <c r="AD247" s="13">
        <f>[1]Parametros!$B$5*AC247*[1]Parametros!$B$3*(AB247-(AC247*[1]Parametros!$B$3/(0.85*[1]Parametros!$B$2*H247))/2)/1000000</f>
        <v>177.44537938235294</v>
      </c>
      <c r="AE247" s="13" t="str">
        <f t="shared" si="40"/>
        <v>CUMPLE</v>
      </c>
      <c r="AF247" s="13">
        <f>V247*1.25*[1]Parametros!$B$3*(U247-(V247*1.25*[1]Parametros!$B$3/(0.85*[1]Parametros!$B$2*H247))/2)/1000000</f>
        <v>244.15884319852941</v>
      </c>
      <c r="AG247" s="13">
        <f>AC247*1.25*[1]Parametros!$B$3*(AB247-(AC247*1.25*[1]Parametros!$B$3/(0.85*[1]Parametros!$B$2*H247))/2)/1000000</f>
        <v>244.15884319852941</v>
      </c>
      <c r="AH247" s="13">
        <f t="shared" si="41"/>
        <v>418.45230863003098</v>
      </c>
      <c r="AI247" s="13">
        <f t="shared" si="42"/>
        <v>614.32600000000002</v>
      </c>
      <c r="AJ247" s="13">
        <f>0.17*SQRT([1]Parametros!$B$2)*H247*MIN(U247,AB247)/1000</f>
        <v>220.09872869180776</v>
      </c>
      <c r="AK247" s="13">
        <f>MAX(AI247/[1]Parametros!$B$6-AJ247,0)</f>
        <v>599.00260464152564</v>
      </c>
      <c r="AL247" s="13">
        <f>0.66*SQRT([1]Parametros!$B$2)*H247*MIN(U247,AB247)/1000</f>
        <v>854.500946685842</v>
      </c>
      <c r="AM247" s="13" t="str">
        <f t="shared" si="43"/>
        <v>CUMPLE</v>
      </c>
      <c r="AN247" s="13" t="s">
        <v>68</v>
      </c>
      <c r="AO247" s="14">
        <v>2</v>
      </c>
      <c r="AP247" s="13">
        <f>ROUNDDOWN(MIN(IF(BC247+BD247=0,1000000000,AO247*BB247/(BC247+BD247)),MIN(U247,AB247)/4,8*[1]Parametros!$B$12,24*BA247,300,IF(AV247=0,1000000000,2*((H247-2*([1]Parametros!$B$7+[1]Parametros!$B$9/2))+(I247-2*([1]Parametros!$B$7+[1]Parametros!$B$9/2)))/8))/10,0)*10</f>
        <v>80</v>
      </c>
      <c r="AQ247" s="13">
        <f>ROUNDDOWN(MIN(IF(BC247+BD247=0,1000000000,AO247*BB247/(BC247+BD247)),IF(AK247&gt;0.33*SQRT([1]Parametros!$B$2)*H247*MIN(U247,AB247)/1000,MIN(U247,AB247)/4,MIN(U247,AB247)/2),600,IF(AV247=0,1000000000,2*((H247-2*([1]Parametros!$B$7+[1]Parametros!$B$9/2))+(I247-2*([1]Parametros!$B$7+[1]Parametros!$B$9/2)))/8))/10,0)*10</f>
        <v>80</v>
      </c>
      <c r="AR247" s="13">
        <f>[1]Parametros!$B$6*(AJ247+MAX(BE247-BD247,0)*[1]Parametros!$B$4*MIN(U247,AB247)/1000)</f>
        <v>662.19247776885595</v>
      </c>
      <c r="AS247" s="13" t="str">
        <f t="shared" si="44"/>
        <v>CUMPLE</v>
      </c>
      <c r="AT247" s="13">
        <f>[1]Parametros!$B$6*0.083*SQRT([1]Parametros!$B$2)*(H247*I247)^2/(2*(H247+I247))/1000000</f>
        <v>11.862178757598967</v>
      </c>
      <c r="AU247" s="13" t="str">
        <f t="shared" si="45"/>
        <v>DESPRECIABLE</v>
      </c>
      <c r="AV247" s="13">
        <f>IF(Q247&lt;=AT247,0,Q247*1000000/([1]Parametros!$B$6*2*0.85*(H247-2*([1]Parametros!$B$7+[1]Parametros!$B$9/2))*(I247-2*([1]Parametros!$B$7+[1]Parametros!$B$9/2))*[1]Parametros!$B$4))</f>
        <v>0</v>
      </c>
      <c r="AW247" s="13">
        <f>AV247*2*((H247-2*([1]Parametros!$B$7+[1]Parametros!$B$9/2))+(I247-2*([1]Parametros!$B$7+[1]Parametros!$B$9/2)))*[1]Parametros!$B$4/[1]Parametros!$B$3</f>
        <v>0</v>
      </c>
      <c r="AX247" s="14">
        <v>0</v>
      </c>
      <c r="AY247" s="13" t="str">
        <f t="shared" si="46"/>
        <v>DESPRECIABLE</v>
      </c>
      <c r="AZ247" s="13" t="str">
        <f t="shared" si="47"/>
        <v>CUMPLE</v>
      </c>
      <c r="BA247" s="14">
        <v>12.7</v>
      </c>
      <c r="BB247" s="14">
        <v>129</v>
      </c>
      <c r="BC247" s="13">
        <f>MAX(IF(AK247=0,0,AK247*1000/([1]Parametros!$B$4*MIN(U247,AB247))),MAX(0.062*SQRT([1]Parametros!$B$2)*H247/[1]Parametros!$B$4,0.35*H247/[1]Parametros!$B$4))</f>
        <v>2.914471600527063</v>
      </c>
      <c r="BD247" s="13">
        <f t="shared" si="48"/>
        <v>0</v>
      </c>
      <c r="BE247" s="13">
        <f t="shared" si="49"/>
        <v>3.2250000000000001</v>
      </c>
      <c r="BF247" s="13">
        <f>SQRT((AI247*1000/(H247*MIN(U247,AB247)))^2+(Q247*1000000*2*((H247-2*([1]Parametros!$B$7+[1]Parametros!$B$9/2))+(I247-2*([1]Parametros!$B$7+[1]Parametros!$B$9/2)))/(1.7*((H247-2*([1]Parametros!$B$7+[1]Parametros!$B$9/2))*(I247-2*([1]Parametros!$B$7+[1]Parametros!$B$9/2)))^2))^2)</f>
        <v>2.5139773092333382</v>
      </c>
      <c r="BG247" s="13">
        <f>[1]Parametros!$B$6*(AJ247*1000/(H247*MIN(U247,AB247))+0.66*SQRT([1]Parametros!$B$2))</f>
        <v>3.2939603822754151</v>
      </c>
      <c r="BH247" s="13" t="str">
        <f t="shared" si="50"/>
        <v>CUMPLE</v>
      </c>
      <c r="BI247" s="13">
        <f>AX247*[1]Parametros!$B$8</f>
        <v>0</v>
      </c>
      <c r="BJ247" s="15" t="str">
        <f t="shared" si="51"/>
        <v>CUMPLE</v>
      </c>
    </row>
    <row r="248" spans="1:62" x14ac:dyDescent="0.3">
      <c r="A248" s="43" t="s">
        <v>74</v>
      </c>
      <c r="B248" s="44">
        <v>205</v>
      </c>
      <c r="C248" s="13">
        <v>1</v>
      </c>
      <c r="D248" s="13">
        <v>3.4</v>
      </c>
      <c r="E248" s="13">
        <v>3.4</v>
      </c>
      <c r="F248" s="13">
        <v>500</v>
      </c>
      <c r="G248" s="13">
        <v>550</v>
      </c>
      <c r="H248" s="13">
        <v>500</v>
      </c>
      <c r="I248" s="13">
        <v>550</v>
      </c>
      <c r="J248" s="14">
        <v>179.08949999999999</v>
      </c>
      <c r="K248" s="13">
        <v>205</v>
      </c>
      <c r="L248" s="14">
        <v>119.2604</v>
      </c>
      <c r="M248" s="13">
        <v>205</v>
      </c>
      <c r="N248" s="14">
        <v>136.959</v>
      </c>
      <c r="O248" s="14">
        <v>405.07</v>
      </c>
      <c r="P248" s="13">
        <v>205</v>
      </c>
      <c r="Q248" s="14">
        <v>9.2231000000000005</v>
      </c>
      <c r="R248" s="13">
        <f>MAX(MAX(1.4/[1]Parametros!$B$3,0.25*SQRT([1]Parametros!$B$2)/[1]Parametros!$B$3)*H248*U248,(0.85*[1]Parametros!$B$2/[1]Parametros!$B$3)*(1-SQRT(1-2*(J248*1000000/([1]Parametros!$B$5*H248*U248^2))/(0.85*[1]Parametros!$B$2)))*H248*U248)</f>
        <v>1004.5791167234764</v>
      </c>
      <c r="S248" s="14">
        <v>6</v>
      </c>
      <c r="T248" s="14">
        <v>1</v>
      </c>
      <c r="U248" s="13">
        <f>IF(T248=1,I248-([1]Parametros!$B$7+[1]Parametros!$B$9+[1]Parametros!$B$12/2),I248-(ROUNDUP(S248/2,0)*([1]Parametros!$B$7+[1]Parametros!$B$9+[1]Parametros!$B$12/2)+ROUNDDOWN(S248/2,0)*([1]Parametros!$B$7+[1]Parametros!$B$9+[1]Parametros!$B$12/2+[1]Parametros!$B$12+[1]Parametros!$B$10))/S248)</f>
        <v>489.35</v>
      </c>
      <c r="V248" s="13">
        <f>S248*[1]Parametros!$B$8</f>
        <v>1194</v>
      </c>
      <c r="W248" s="13">
        <f>[1]Parametros!$B$5*V248*[1]Parametros!$B$3*(U248-(V248*[1]Parametros!$B$3/(0.85*[1]Parametros!$B$2*H248))/2)/1000000</f>
        <v>211.34948347058827</v>
      </c>
      <c r="X248" s="13" t="str">
        <f t="shared" si="39"/>
        <v>CUMPLE</v>
      </c>
      <c r="Y248" s="13">
        <f>MAX(MAX(1.4/[1]Parametros!$B$3,0.25*SQRT([1]Parametros!$B$2)/[1]Parametros!$B$3)*H248*AB248,(0.85*[1]Parametros!$B$2/[1]Parametros!$B$3)*(1-SQRT(1-2*(L248*1000000/([1]Parametros!$B$5*H248*AB248^2))/(0.85*[1]Parametros!$B$2)))*H248*AB248)</f>
        <v>815.58333333333326</v>
      </c>
      <c r="Z248" s="14">
        <v>5</v>
      </c>
      <c r="AA248" s="14">
        <v>1</v>
      </c>
      <c r="AB248" s="13">
        <f>IF(AA248=1,I248-([1]Parametros!$B$7+[1]Parametros!$B$9+[1]Parametros!$B$12/2),I248-(ROUNDUP(Z248/2,0)*([1]Parametros!$B$7+[1]Parametros!$B$9+[1]Parametros!$B$12/2)+ROUNDDOWN(Z248/2,0)*([1]Parametros!$B$7+[1]Parametros!$B$9+[1]Parametros!$B$12/2+[1]Parametros!$B$12+[1]Parametros!$B$10))/Z248)</f>
        <v>489.35</v>
      </c>
      <c r="AC248" s="13">
        <f>Z248*[1]Parametros!$B$8</f>
        <v>995</v>
      </c>
      <c r="AD248" s="13">
        <f>[1]Parametros!$B$5*AC248*[1]Parametros!$B$3*(AB248-(AC248*[1]Parametros!$B$3/(0.85*[1]Parametros!$B$2*H248))/2)/1000000</f>
        <v>177.44537938235294</v>
      </c>
      <c r="AE248" s="13" t="str">
        <f t="shared" si="40"/>
        <v>CUMPLE</v>
      </c>
      <c r="AF248" s="13">
        <f>V248*1.25*[1]Parametros!$B$3*(U248-(V248*1.25*[1]Parametros!$B$3/(0.85*[1]Parametros!$B$2*H248))/2)/1000000</f>
        <v>290.23892470588237</v>
      </c>
      <c r="AG248" s="13">
        <f>AC248*1.25*[1]Parametros!$B$3*(AB248-(AC248*1.25*[1]Parametros!$B$3/(0.85*[1]Parametros!$B$2*H248))/2)/1000000</f>
        <v>244.15884319852941</v>
      </c>
      <c r="AH248" s="13">
        <f t="shared" si="41"/>
        <v>294.13481408953288</v>
      </c>
      <c r="AI248" s="13">
        <f t="shared" si="42"/>
        <v>405.07</v>
      </c>
      <c r="AJ248" s="13">
        <f>0.17*SQRT([1]Parametros!$B$2)*H248*MIN(U248,AB248)/1000</f>
        <v>220.09872869180776</v>
      </c>
      <c r="AK248" s="13">
        <f>MAX(AI248/[1]Parametros!$B$6-AJ248,0)</f>
        <v>319.9946046415256</v>
      </c>
      <c r="AL248" s="13">
        <f>0.66*SQRT([1]Parametros!$B$2)*H248*MIN(U248,AB248)/1000</f>
        <v>854.500946685842</v>
      </c>
      <c r="AM248" s="13" t="str">
        <f t="shared" si="43"/>
        <v>CUMPLE</v>
      </c>
      <c r="AN248" s="13" t="s">
        <v>64</v>
      </c>
      <c r="AO248" s="14">
        <v>2</v>
      </c>
      <c r="AP248" s="13">
        <f>ROUNDDOWN(MIN(IF(BC248+BD248=0,1000000000,AO248*BB248/(BC248+BD248)),MIN(U248,AB248)/4,8*[1]Parametros!$B$12,24*BA248,300,IF(AV248=0,1000000000,2*((H248-2*([1]Parametros!$B$7+[1]Parametros!$B$9/2))+(I248-2*([1]Parametros!$B$7+[1]Parametros!$B$9/2)))/8))/10,0)*10</f>
        <v>90</v>
      </c>
      <c r="AQ248" s="13">
        <f>ROUNDDOWN(MIN(IF(BC248+BD248=0,1000000000,AO248*BB248/(BC248+BD248)),IF(AK248&gt;0.33*SQRT([1]Parametros!$B$2)*H248*MIN(U248,AB248)/1000,MIN(U248,AB248)/4,MIN(U248,AB248)/2),600,IF(AV248=0,1000000000,2*((H248-2*([1]Parametros!$B$7+[1]Parametros!$B$9/2))+(I248-2*([1]Parametros!$B$7+[1]Parametros!$B$9/2)))/8))/10,0)*10</f>
        <v>90</v>
      </c>
      <c r="AR248" s="13">
        <f>[1]Parametros!$B$6*(AJ248+MAX(BE248-BD248,0)*[1]Parametros!$B$4*MIN(U248,AB248)/1000)</f>
        <v>408.28099651885583</v>
      </c>
      <c r="AS248" s="13" t="str">
        <f t="shared" si="44"/>
        <v>CUMPLE</v>
      </c>
      <c r="AT248" s="13">
        <f>[1]Parametros!$B$6*0.083*SQRT([1]Parametros!$B$2)*(H248*I248)^2/(2*(H248+I248))/1000000</f>
        <v>11.862178757598967</v>
      </c>
      <c r="AU248" s="13" t="str">
        <f t="shared" si="45"/>
        <v>DESPRECIABLE</v>
      </c>
      <c r="AV248" s="13">
        <f>IF(Q248&lt;=AT248,0,Q248*1000000/([1]Parametros!$B$6*2*0.85*(H248-2*([1]Parametros!$B$7+[1]Parametros!$B$9/2))*(I248-2*([1]Parametros!$B$7+[1]Parametros!$B$9/2))*[1]Parametros!$B$4))</f>
        <v>0</v>
      </c>
      <c r="AW248" s="13">
        <f>AV248*2*((H248-2*([1]Parametros!$B$7+[1]Parametros!$B$9/2))+(I248-2*([1]Parametros!$B$7+[1]Parametros!$B$9/2)))*[1]Parametros!$B$4/[1]Parametros!$B$3</f>
        <v>0</v>
      </c>
      <c r="AX248" s="14">
        <v>0</v>
      </c>
      <c r="AY248" s="13" t="str">
        <f t="shared" si="46"/>
        <v>DESPRECIABLE</v>
      </c>
      <c r="AZ248" s="13" t="str">
        <f t="shared" si="47"/>
        <v>CUMPLE</v>
      </c>
      <c r="BA248" s="14">
        <v>9.5</v>
      </c>
      <c r="BB248" s="14">
        <v>71</v>
      </c>
      <c r="BC248" s="13">
        <f>MAX(IF(AK248=0,0,AK248*1000/([1]Parametros!$B$4*MIN(U248,AB248))),MAX(0.062*SQRT([1]Parametros!$B$2)*H248/[1]Parametros!$B$4,0.35*H248/[1]Parametros!$B$4))</f>
        <v>1.5569467984329339</v>
      </c>
      <c r="BD248" s="13">
        <f t="shared" si="48"/>
        <v>0</v>
      </c>
      <c r="BE248" s="13">
        <f t="shared" si="49"/>
        <v>1.5777777777777777</v>
      </c>
      <c r="BF248" s="13">
        <f>SQRT((AI248*1000/(H248*MIN(U248,AB248)))^2+(Q248*1000000*2*((H248-2*([1]Parametros!$B$7+[1]Parametros!$B$9/2))+(I248-2*([1]Parametros!$B$7+[1]Parametros!$B$9/2)))/(1.7*((H248-2*([1]Parametros!$B$7+[1]Parametros!$B$9/2))*(I248-2*([1]Parametros!$B$7+[1]Parametros!$B$9/2)))^2))^2)</f>
        <v>1.6774835018539254</v>
      </c>
      <c r="BG248" s="13">
        <f>[1]Parametros!$B$6*(AJ248*1000/(H248*MIN(U248,AB248))+0.66*SQRT([1]Parametros!$B$2))</f>
        <v>3.2939603822754151</v>
      </c>
      <c r="BH248" s="13" t="str">
        <f t="shared" si="50"/>
        <v>CUMPLE</v>
      </c>
      <c r="BI248" s="13">
        <f>AX248*[1]Parametros!$B$8</f>
        <v>0</v>
      </c>
      <c r="BJ248" s="15" t="str">
        <f t="shared" si="51"/>
        <v>CUMPLE</v>
      </c>
    </row>
    <row r="249" spans="1:62" x14ac:dyDescent="0.3">
      <c r="A249" s="43" t="s">
        <v>74</v>
      </c>
      <c r="B249" s="44">
        <v>206</v>
      </c>
      <c r="C249" s="13">
        <v>1</v>
      </c>
      <c r="D249" s="13">
        <v>3.4</v>
      </c>
      <c r="E249" s="13">
        <v>3.4</v>
      </c>
      <c r="F249" s="13">
        <v>500</v>
      </c>
      <c r="G249" s="13">
        <v>550</v>
      </c>
      <c r="H249" s="13">
        <v>500</v>
      </c>
      <c r="I249" s="13">
        <v>550</v>
      </c>
      <c r="J249" s="14">
        <v>179.1069</v>
      </c>
      <c r="K249" s="13">
        <v>206</v>
      </c>
      <c r="L249" s="14">
        <v>119.3236</v>
      </c>
      <c r="M249" s="13">
        <v>206</v>
      </c>
      <c r="N249" s="14">
        <v>136.989</v>
      </c>
      <c r="O249" s="14">
        <v>405.197</v>
      </c>
      <c r="P249" s="13">
        <v>206</v>
      </c>
      <c r="Q249" s="14">
        <v>9.2486999999999995</v>
      </c>
      <c r="R249" s="13">
        <f>MAX(MAX(1.4/[1]Parametros!$B$3,0.25*SQRT([1]Parametros!$B$2)/[1]Parametros!$B$3)*H249*U249,(0.85*[1]Parametros!$B$2/[1]Parametros!$B$3)*(1-SQRT(1-2*(J249*1000000/([1]Parametros!$B$5*H249*U249^2))/(0.85*[1]Parametros!$B$2)))*H249*U249)</f>
        <v>1004.6805322533337</v>
      </c>
      <c r="S249" s="14">
        <v>6</v>
      </c>
      <c r="T249" s="14">
        <v>1</v>
      </c>
      <c r="U249" s="13">
        <f>IF(T249=1,I249-([1]Parametros!$B$7+[1]Parametros!$B$9+[1]Parametros!$B$12/2),I249-(ROUNDUP(S249/2,0)*([1]Parametros!$B$7+[1]Parametros!$B$9+[1]Parametros!$B$12/2)+ROUNDDOWN(S249/2,0)*([1]Parametros!$B$7+[1]Parametros!$B$9+[1]Parametros!$B$12/2+[1]Parametros!$B$12+[1]Parametros!$B$10))/S249)</f>
        <v>489.35</v>
      </c>
      <c r="V249" s="13">
        <f>S249*[1]Parametros!$B$8</f>
        <v>1194</v>
      </c>
      <c r="W249" s="13">
        <f>[1]Parametros!$B$5*V249*[1]Parametros!$B$3*(U249-(V249*[1]Parametros!$B$3/(0.85*[1]Parametros!$B$2*H249))/2)/1000000</f>
        <v>211.34948347058827</v>
      </c>
      <c r="X249" s="13" t="str">
        <f t="shared" si="39"/>
        <v>CUMPLE</v>
      </c>
      <c r="Y249" s="13">
        <f>MAX(MAX(1.4/[1]Parametros!$B$3,0.25*SQRT([1]Parametros!$B$2)/[1]Parametros!$B$3)*H249*AB249,(0.85*[1]Parametros!$B$2/[1]Parametros!$B$3)*(1-SQRT(1-2*(L249*1000000/([1]Parametros!$B$5*H249*AB249^2))/(0.85*[1]Parametros!$B$2)))*H249*AB249)</f>
        <v>815.58333333333326</v>
      </c>
      <c r="Z249" s="14">
        <v>5</v>
      </c>
      <c r="AA249" s="14">
        <v>1</v>
      </c>
      <c r="AB249" s="13">
        <f>IF(AA249=1,I249-([1]Parametros!$B$7+[1]Parametros!$B$9+[1]Parametros!$B$12/2),I249-(ROUNDUP(Z249/2,0)*([1]Parametros!$B$7+[1]Parametros!$B$9+[1]Parametros!$B$12/2)+ROUNDDOWN(Z249/2,0)*([1]Parametros!$B$7+[1]Parametros!$B$9+[1]Parametros!$B$12/2+[1]Parametros!$B$12+[1]Parametros!$B$10))/Z249)</f>
        <v>489.35</v>
      </c>
      <c r="AC249" s="13">
        <f>Z249*[1]Parametros!$B$8</f>
        <v>995</v>
      </c>
      <c r="AD249" s="13">
        <f>[1]Parametros!$B$5*AC249*[1]Parametros!$B$3*(AB249-(AC249*[1]Parametros!$B$3/(0.85*[1]Parametros!$B$2*H249))/2)/1000000</f>
        <v>177.44537938235294</v>
      </c>
      <c r="AE249" s="13" t="str">
        <f t="shared" si="40"/>
        <v>CUMPLE</v>
      </c>
      <c r="AF249" s="13">
        <f>V249*1.25*[1]Parametros!$B$3*(U249-(V249*1.25*[1]Parametros!$B$3/(0.85*[1]Parametros!$B$2*H249))/2)/1000000</f>
        <v>290.23892470588237</v>
      </c>
      <c r="AG249" s="13">
        <f>AC249*1.25*[1]Parametros!$B$3*(AB249-(AC249*1.25*[1]Parametros!$B$3/(0.85*[1]Parametros!$B$2*H249))/2)/1000000</f>
        <v>244.15884319852941</v>
      </c>
      <c r="AH249" s="13">
        <f t="shared" si="41"/>
        <v>294.16481408953291</v>
      </c>
      <c r="AI249" s="13">
        <f t="shared" si="42"/>
        <v>405.197</v>
      </c>
      <c r="AJ249" s="13">
        <f>0.17*SQRT([1]Parametros!$B$2)*H249*MIN(U249,AB249)/1000</f>
        <v>220.09872869180776</v>
      </c>
      <c r="AK249" s="13">
        <f>MAX(AI249/[1]Parametros!$B$6-AJ249,0)</f>
        <v>320.16393797485887</v>
      </c>
      <c r="AL249" s="13">
        <f>0.66*SQRT([1]Parametros!$B$2)*H249*MIN(U249,AB249)/1000</f>
        <v>854.500946685842</v>
      </c>
      <c r="AM249" s="13" t="str">
        <f t="shared" si="43"/>
        <v>CUMPLE</v>
      </c>
      <c r="AN249" s="13" t="s">
        <v>64</v>
      </c>
      <c r="AO249" s="14">
        <v>2</v>
      </c>
      <c r="AP249" s="13">
        <f>ROUNDDOWN(MIN(IF(BC249+BD249=0,1000000000,AO249*BB249/(BC249+BD249)),MIN(U249,AB249)/4,8*[1]Parametros!$B$12,24*BA249,300,IF(AV249=0,1000000000,2*((H249-2*([1]Parametros!$B$7+[1]Parametros!$B$9/2))+(I249-2*([1]Parametros!$B$7+[1]Parametros!$B$9/2)))/8))/10,0)*10</f>
        <v>90</v>
      </c>
      <c r="AQ249" s="13">
        <f>ROUNDDOWN(MIN(IF(BC249+BD249=0,1000000000,AO249*BB249/(BC249+BD249)),IF(AK249&gt;0.33*SQRT([1]Parametros!$B$2)*H249*MIN(U249,AB249)/1000,MIN(U249,AB249)/4,MIN(U249,AB249)/2),600,IF(AV249=0,1000000000,2*((H249-2*([1]Parametros!$B$7+[1]Parametros!$B$9/2))+(I249-2*([1]Parametros!$B$7+[1]Parametros!$B$9/2)))/8))/10,0)*10</f>
        <v>90</v>
      </c>
      <c r="AR249" s="13">
        <f>[1]Parametros!$B$6*(AJ249+MAX(BE249-BD249,0)*[1]Parametros!$B$4*MIN(U249,AB249)/1000)</f>
        <v>408.28099651885583</v>
      </c>
      <c r="AS249" s="13" t="str">
        <f t="shared" si="44"/>
        <v>CUMPLE</v>
      </c>
      <c r="AT249" s="13">
        <f>[1]Parametros!$B$6*0.083*SQRT([1]Parametros!$B$2)*(H249*I249)^2/(2*(H249+I249))/1000000</f>
        <v>11.862178757598967</v>
      </c>
      <c r="AU249" s="13" t="str">
        <f t="shared" si="45"/>
        <v>DESPRECIABLE</v>
      </c>
      <c r="AV249" s="13">
        <f>IF(Q249&lt;=AT249,0,Q249*1000000/([1]Parametros!$B$6*2*0.85*(H249-2*([1]Parametros!$B$7+[1]Parametros!$B$9/2))*(I249-2*([1]Parametros!$B$7+[1]Parametros!$B$9/2))*[1]Parametros!$B$4))</f>
        <v>0</v>
      </c>
      <c r="AW249" s="13">
        <f>AV249*2*((H249-2*([1]Parametros!$B$7+[1]Parametros!$B$9/2))+(I249-2*([1]Parametros!$B$7+[1]Parametros!$B$9/2)))*[1]Parametros!$B$4/[1]Parametros!$B$3</f>
        <v>0</v>
      </c>
      <c r="AX249" s="14">
        <v>0</v>
      </c>
      <c r="AY249" s="13" t="str">
        <f t="shared" si="46"/>
        <v>DESPRECIABLE</v>
      </c>
      <c r="AZ249" s="13" t="str">
        <f t="shared" si="47"/>
        <v>CUMPLE</v>
      </c>
      <c r="BA249" s="14">
        <v>9.5</v>
      </c>
      <c r="BB249" s="14">
        <v>71</v>
      </c>
      <c r="BC249" s="13">
        <f>MAX(IF(AK249=0,0,AK249*1000/([1]Parametros!$B$4*MIN(U249,AB249))),MAX(0.062*SQRT([1]Parametros!$B$2)*H249/[1]Parametros!$B$4,0.35*H249/[1]Parametros!$B$4))</f>
        <v>1.5577706966717699</v>
      </c>
      <c r="BD249" s="13">
        <f t="shared" si="48"/>
        <v>0</v>
      </c>
      <c r="BE249" s="13">
        <f t="shared" si="49"/>
        <v>1.5777777777777777</v>
      </c>
      <c r="BF249" s="13">
        <f>SQRT((AI249*1000/(H249*MIN(U249,AB249)))^2+(Q249*1000000*2*((H249-2*([1]Parametros!$B$7+[1]Parametros!$B$9/2))+(I249-2*([1]Parametros!$B$7+[1]Parametros!$B$9/2)))/(1.7*((H249-2*([1]Parametros!$B$7+[1]Parametros!$B$9/2))*(I249-2*([1]Parametros!$B$7+[1]Parametros!$B$9/2)))^2))^2)</f>
        <v>1.6781168984217563</v>
      </c>
      <c r="BG249" s="13">
        <f>[1]Parametros!$B$6*(AJ249*1000/(H249*MIN(U249,AB249))+0.66*SQRT([1]Parametros!$B$2))</f>
        <v>3.2939603822754151</v>
      </c>
      <c r="BH249" s="13" t="str">
        <f t="shared" si="50"/>
        <v>CUMPLE</v>
      </c>
      <c r="BI249" s="13">
        <f>AX249*[1]Parametros!$B$8</f>
        <v>0</v>
      </c>
      <c r="BJ249" s="15" t="str">
        <f t="shared" si="51"/>
        <v>CUMPLE</v>
      </c>
    </row>
    <row r="250" spans="1:62" x14ac:dyDescent="0.3">
      <c r="A250" s="43" t="s">
        <v>74</v>
      </c>
      <c r="B250" s="44">
        <v>207</v>
      </c>
      <c r="C250" s="13">
        <v>1</v>
      </c>
      <c r="D250" s="13">
        <v>1.9</v>
      </c>
      <c r="E250" s="13">
        <v>1.9</v>
      </c>
      <c r="F250" s="13">
        <v>500</v>
      </c>
      <c r="G250" s="13">
        <v>550</v>
      </c>
      <c r="H250" s="13">
        <v>500</v>
      </c>
      <c r="I250" s="13">
        <v>550</v>
      </c>
      <c r="J250" s="14">
        <v>167.02770000000001</v>
      </c>
      <c r="K250" s="13">
        <v>207</v>
      </c>
      <c r="L250" s="14">
        <v>134.6756</v>
      </c>
      <c r="M250" s="13">
        <v>207</v>
      </c>
      <c r="N250" s="14">
        <v>161.52500000000001</v>
      </c>
      <c r="O250" s="14">
        <v>614.43200000000002</v>
      </c>
      <c r="P250" s="13">
        <v>207</v>
      </c>
      <c r="Q250" s="14">
        <v>4.3364000000000003</v>
      </c>
      <c r="R250" s="13">
        <f>MAX(MAX(1.4/[1]Parametros!$B$3,0.25*SQRT([1]Parametros!$B$2)/[1]Parametros!$B$3)*H250*U250,(0.85*[1]Parametros!$B$2/[1]Parametros!$B$3)*(1-SQRT(1-2*(J250*1000000/([1]Parametros!$B$5*H250*U250^2))/(0.85*[1]Parametros!$B$2)))*H250*U250)</f>
        <v>934.46855967187537</v>
      </c>
      <c r="S250" s="14">
        <v>5</v>
      </c>
      <c r="T250" s="14">
        <v>1</v>
      </c>
      <c r="U250" s="13">
        <f>IF(T250=1,I250-([1]Parametros!$B$7+[1]Parametros!$B$9+[1]Parametros!$B$12/2),I250-(ROUNDUP(S250/2,0)*([1]Parametros!$B$7+[1]Parametros!$B$9+[1]Parametros!$B$12/2)+ROUNDDOWN(S250/2,0)*([1]Parametros!$B$7+[1]Parametros!$B$9+[1]Parametros!$B$12/2+[1]Parametros!$B$12+[1]Parametros!$B$10))/S250)</f>
        <v>489.35</v>
      </c>
      <c r="V250" s="13">
        <f>S250*[1]Parametros!$B$8</f>
        <v>995</v>
      </c>
      <c r="W250" s="13">
        <f>[1]Parametros!$B$5*V250*[1]Parametros!$B$3*(U250-(V250*[1]Parametros!$B$3/(0.85*[1]Parametros!$B$2*H250))/2)/1000000</f>
        <v>177.44537938235294</v>
      </c>
      <c r="X250" s="13" t="str">
        <f t="shared" si="39"/>
        <v>CUMPLE</v>
      </c>
      <c r="Y250" s="13">
        <f>MAX(MAX(1.4/[1]Parametros!$B$3,0.25*SQRT([1]Parametros!$B$2)/[1]Parametros!$B$3)*H250*AB250,(0.85*[1]Parametros!$B$2/[1]Parametros!$B$3)*(1-SQRT(1-2*(L250*1000000/([1]Parametros!$B$5*H250*AB250^2))/(0.85*[1]Parametros!$B$2)))*H250*AB250)</f>
        <v>815.58333333333326</v>
      </c>
      <c r="Z250" s="14">
        <v>5</v>
      </c>
      <c r="AA250" s="14">
        <v>1</v>
      </c>
      <c r="AB250" s="13">
        <f>IF(AA250=1,I250-([1]Parametros!$B$7+[1]Parametros!$B$9+[1]Parametros!$B$12/2),I250-(ROUNDUP(Z250/2,0)*([1]Parametros!$B$7+[1]Parametros!$B$9+[1]Parametros!$B$12/2)+ROUNDDOWN(Z250/2,0)*([1]Parametros!$B$7+[1]Parametros!$B$9+[1]Parametros!$B$12/2+[1]Parametros!$B$12+[1]Parametros!$B$10))/Z250)</f>
        <v>489.35</v>
      </c>
      <c r="AC250" s="13">
        <f>Z250*[1]Parametros!$B$8</f>
        <v>995</v>
      </c>
      <c r="AD250" s="13">
        <f>[1]Parametros!$B$5*AC250*[1]Parametros!$B$3*(AB250-(AC250*[1]Parametros!$B$3/(0.85*[1]Parametros!$B$2*H250))/2)/1000000</f>
        <v>177.44537938235294</v>
      </c>
      <c r="AE250" s="13" t="str">
        <f t="shared" si="40"/>
        <v>CUMPLE</v>
      </c>
      <c r="AF250" s="13">
        <f>V250*1.25*[1]Parametros!$B$3*(U250-(V250*1.25*[1]Parametros!$B$3/(0.85*[1]Parametros!$B$2*H250))/2)/1000000</f>
        <v>244.15884319852941</v>
      </c>
      <c r="AG250" s="13">
        <f>AC250*1.25*[1]Parametros!$B$3*(AB250-(AC250*1.25*[1]Parametros!$B$3/(0.85*[1]Parametros!$B$2*H250))/2)/1000000</f>
        <v>244.15884319852941</v>
      </c>
      <c r="AH250" s="13">
        <f t="shared" si="41"/>
        <v>418.53430863003098</v>
      </c>
      <c r="AI250" s="13">
        <f t="shared" si="42"/>
        <v>614.43200000000002</v>
      </c>
      <c r="AJ250" s="13">
        <f>0.17*SQRT([1]Parametros!$B$2)*H250*MIN(U250,AB250)/1000</f>
        <v>220.09872869180776</v>
      </c>
      <c r="AK250" s="13">
        <f>MAX(AI250/[1]Parametros!$B$6-AJ250,0)</f>
        <v>599.14393797485889</v>
      </c>
      <c r="AL250" s="13">
        <f>0.66*SQRT([1]Parametros!$B$2)*H250*MIN(U250,AB250)/1000</f>
        <v>854.500946685842</v>
      </c>
      <c r="AM250" s="13" t="str">
        <f t="shared" si="43"/>
        <v>CUMPLE</v>
      </c>
      <c r="AN250" s="13" t="s">
        <v>68</v>
      </c>
      <c r="AO250" s="14">
        <v>2</v>
      </c>
      <c r="AP250" s="13">
        <f>ROUNDDOWN(MIN(IF(BC250+BD250=0,1000000000,AO250*BB250/(BC250+BD250)),MIN(U250,AB250)/4,8*[1]Parametros!$B$12,24*BA250,300,IF(AV250=0,1000000000,2*((H250-2*([1]Parametros!$B$7+[1]Parametros!$B$9/2))+(I250-2*([1]Parametros!$B$7+[1]Parametros!$B$9/2)))/8))/10,0)*10</f>
        <v>80</v>
      </c>
      <c r="AQ250" s="13">
        <f>ROUNDDOWN(MIN(IF(BC250+BD250=0,1000000000,AO250*BB250/(BC250+BD250)),IF(AK250&gt;0.33*SQRT([1]Parametros!$B$2)*H250*MIN(U250,AB250)/1000,MIN(U250,AB250)/4,MIN(U250,AB250)/2),600,IF(AV250=0,1000000000,2*((H250-2*([1]Parametros!$B$7+[1]Parametros!$B$9/2))+(I250-2*([1]Parametros!$B$7+[1]Parametros!$B$9/2)))/8))/10,0)*10</f>
        <v>80</v>
      </c>
      <c r="AR250" s="13">
        <f>[1]Parametros!$B$6*(AJ250+MAX(BE250-BD250,0)*[1]Parametros!$B$4*MIN(U250,AB250)/1000)</f>
        <v>662.19247776885595</v>
      </c>
      <c r="AS250" s="13" t="str">
        <f t="shared" si="44"/>
        <v>CUMPLE</v>
      </c>
      <c r="AT250" s="13">
        <f>[1]Parametros!$B$6*0.083*SQRT([1]Parametros!$B$2)*(H250*I250)^2/(2*(H250+I250))/1000000</f>
        <v>11.862178757598967</v>
      </c>
      <c r="AU250" s="13" t="str">
        <f t="shared" si="45"/>
        <v>DESPRECIABLE</v>
      </c>
      <c r="AV250" s="13">
        <f>IF(Q250&lt;=AT250,0,Q250*1000000/([1]Parametros!$B$6*2*0.85*(H250-2*([1]Parametros!$B$7+[1]Parametros!$B$9/2))*(I250-2*([1]Parametros!$B$7+[1]Parametros!$B$9/2))*[1]Parametros!$B$4))</f>
        <v>0</v>
      </c>
      <c r="AW250" s="13">
        <f>AV250*2*((H250-2*([1]Parametros!$B$7+[1]Parametros!$B$9/2))+(I250-2*([1]Parametros!$B$7+[1]Parametros!$B$9/2)))*[1]Parametros!$B$4/[1]Parametros!$B$3</f>
        <v>0</v>
      </c>
      <c r="AX250" s="14">
        <v>0</v>
      </c>
      <c r="AY250" s="13" t="str">
        <f t="shared" si="46"/>
        <v>DESPRECIABLE</v>
      </c>
      <c r="AZ250" s="13" t="str">
        <f t="shared" si="47"/>
        <v>CUMPLE</v>
      </c>
      <c r="BA250" s="14">
        <v>12.7</v>
      </c>
      <c r="BB250" s="14">
        <v>129</v>
      </c>
      <c r="BC250" s="13">
        <f>MAX(IF(AK250=0,0,AK250*1000/([1]Parametros!$B$4*MIN(U250,AB250))),MAX(0.062*SQRT([1]Parametros!$B$2)*H250/[1]Parametros!$B$4,0.35*H250/[1]Parametros!$B$4))</f>
        <v>2.915159263624044</v>
      </c>
      <c r="BD250" s="13">
        <f t="shared" si="48"/>
        <v>0</v>
      </c>
      <c r="BE250" s="13">
        <f t="shared" si="49"/>
        <v>3.2250000000000001</v>
      </c>
      <c r="BF250" s="13">
        <f>SQRT((AI250*1000/(H250*MIN(U250,AB250)))^2+(Q250*1000000*2*((H250-2*([1]Parametros!$B$7+[1]Parametros!$B$9/2))+(I250-2*([1]Parametros!$B$7+[1]Parametros!$B$9/2)))/(1.7*((H250-2*([1]Parametros!$B$7+[1]Parametros!$B$9/2))*(I250-2*([1]Parametros!$B$7+[1]Parametros!$B$9/2)))^2))^2)</f>
        <v>2.5144335167114482</v>
      </c>
      <c r="BG250" s="13">
        <f>[1]Parametros!$B$6*(AJ250*1000/(H250*MIN(U250,AB250))+0.66*SQRT([1]Parametros!$B$2))</f>
        <v>3.2939603822754151</v>
      </c>
      <c r="BH250" s="13" t="str">
        <f t="shared" si="50"/>
        <v>CUMPLE</v>
      </c>
      <c r="BI250" s="13">
        <f>AX250*[1]Parametros!$B$8</f>
        <v>0</v>
      </c>
      <c r="BJ250" s="15" t="str">
        <f t="shared" si="51"/>
        <v>CUMPLE</v>
      </c>
    </row>
    <row r="251" spans="1:62" x14ac:dyDescent="0.3">
      <c r="A251" s="43" t="s">
        <v>74</v>
      </c>
      <c r="B251" s="44">
        <v>208</v>
      </c>
      <c r="C251" s="13">
        <v>1</v>
      </c>
      <c r="D251" s="13">
        <v>2</v>
      </c>
      <c r="E251" s="13">
        <v>2</v>
      </c>
      <c r="F251" s="13">
        <v>500</v>
      </c>
      <c r="G251" s="13">
        <v>550</v>
      </c>
      <c r="H251" s="13">
        <v>500</v>
      </c>
      <c r="I251" s="13">
        <v>550</v>
      </c>
      <c r="J251" s="14">
        <v>159.78380000000001</v>
      </c>
      <c r="K251" s="13">
        <v>208</v>
      </c>
      <c r="L251" s="14">
        <v>125.9367</v>
      </c>
      <c r="M251" s="13">
        <v>208</v>
      </c>
      <c r="N251" s="14">
        <v>152.24600000000001</v>
      </c>
      <c r="O251" s="14">
        <v>567.19600000000003</v>
      </c>
      <c r="P251" s="13">
        <v>208</v>
      </c>
      <c r="Q251" s="14">
        <v>7.3354999999999997</v>
      </c>
      <c r="R251" s="13">
        <f>MAX(MAX(1.4/[1]Parametros!$B$3,0.25*SQRT([1]Parametros!$B$2)/[1]Parametros!$B$3)*H251*U251,(0.85*[1]Parametros!$B$2/[1]Parametros!$B$3)*(1-SQRT(1-2*(J251*1000000/([1]Parametros!$B$5*H251*U251^2))/(0.85*[1]Parametros!$B$2)))*H251*U251)</f>
        <v>892.54469945118558</v>
      </c>
      <c r="S251" s="14">
        <v>5</v>
      </c>
      <c r="T251" s="14">
        <v>1</v>
      </c>
      <c r="U251" s="13">
        <f>IF(T251=1,I251-([1]Parametros!$B$7+[1]Parametros!$B$9+[1]Parametros!$B$12/2),I251-(ROUNDUP(S251/2,0)*([1]Parametros!$B$7+[1]Parametros!$B$9+[1]Parametros!$B$12/2)+ROUNDDOWN(S251/2,0)*([1]Parametros!$B$7+[1]Parametros!$B$9+[1]Parametros!$B$12/2+[1]Parametros!$B$12+[1]Parametros!$B$10))/S251)</f>
        <v>489.35</v>
      </c>
      <c r="V251" s="13">
        <f>S251*[1]Parametros!$B$8</f>
        <v>995</v>
      </c>
      <c r="W251" s="13">
        <f>[1]Parametros!$B$5*V251*[1]Parametros!$B$3*(U251-(V251*[1]Parametros!$B$3/(0.85*[1]Parametros!$B$2*H251))/2)/1000000</f>
        <v>177.44537938235294</v>
      </c>
      <c r="X251" s="13" t="str">
        <f t="shared" si="39"/>
        <v>CUMPLE</v>
      </c>
      <c r="Y251" s="13">
        <f>MAX(MAX(1.4/[1]Parametros!$B$3,0.25*SQRT([1]Parametros!$B$2)/[1]Parametros!$B$3)*H251*AB251,(0.85*[1]Parametros!$B$2/[1]Parametros!$B$3)*(1-SQRT(1-2*(L251*1000000/([1]Parametros!$B$5*H251*AB251^2))/(0.85*[1]Parametros!$B$2)))*H251*AB251)</f>
        <v>815.58333333333326</v>
      </c>
      <c r="Z251" s="14">
        <v>5</v>
      </c>
      <c r="AA251" s="14">
        <v>1</v>
      </c>
      <c r="AB251" s="13">
        <f>IF(AA251=1,I251-([1]Parametros!$B$7+[1]Parametros!$B$9+[1]Parametros!$B$12/2),I251-(ROUNDUP(Z251/2,0)*([1]Parametros!$B$7+[1]Parametros!$B$9+[1]Parametros!$B$12/2)+ROUNDDOWN(Z251/2,0)*([1]Parametros!$B$7+[1]Parametros!$B$9+[1]Parametros!$B$12/2+[1]Parametros!$B$12+[1]Parametros!$B$10))/Z251)</f>
        <v>489.35</v>
      </c>
      <c r="AC251" s="13">
        <f>Z251*[1]Parametros!$B$8</f>
        <v>995</v>
      </c>
      <c r="AD251" s="13">
        <f>[1]Parametros!$B$5*AC251*[1]Parametros!$B$3*(AB251-(AC251*[1]Parametros!$B$3/(0.85*[1]Parametros!$B$2*H251))/2)/1000000</f>
        <v>177.44537938235294</v>
      </c>
      <c r="AE251" s="13" t="str">
        <f t="shared" si="40"/>
        <v>CUMPLE</v>
      </c>
      <c r="AF251" s="13">
        <f>V251*1.25*[1]Parametros!$B$3*(U251-(V251*1.25*[1]Parametros!$B$3/(0.85*[1]Parametros!$B$2*H251))/2)/1000000</f>
        <v>244.15884319852941</v>
      </c>
      <c r="AG251" s="13">
        <f>AC251*1.25*[1]Parametros!$B$3*(AB251-(AC251*1.25*[1]Parametros!$B$3/(0.85*[1]Parametros!$B$2*H251))/2)/1000000</f>
        <v>244.15884319852941</v>
      </c>
      <c r="AH251" s="13">
        <f t="shared" si="41"/>
        <v>396.40484319852942</v>
      </c>
      <c r="AI251" s="13">
        <f t="shared" si="42"/>
        <v>567.19600000000003</v>
      </c>
      <c r="AJ251" s="13">
        <f>0.17*SQRT([1]Parametros!$B$2)*H251*MIN(U251,AB251)/1000</f>
        <v>220.09872869180776</v>
      </c>
      <c r="AK251" s="13">
        <f>MAX(AI251/[1]Parametros!$B$6-AJ251,0)</f>
        <v>536.1626046415256</v>
      </c>
      <c r="AL251" s="13">
        <f>0.66*SQRT([1]Parametros!$B$2)*H251*MIN(U251,AB251)/1000</f>
        <v>854.500946685842</v>
      </c>
      <c r="AM251" s="13" t="str">
        <f t="shared" si="43"/>
        <v>CUMPLE</v>
      </c>
      <c r="AN251" s="13" t="s">
        <v>68</v>
      </c>
      <c r="AO251" s="14">
        <v>2</v>
      </c>
      <c r="AP251" s="13">
        <f>ROUNDDOWN(MIN(IF(BC251+BD251=0,1000000000,AO251*BB251/(BC251+BD251)),MIN(U251,AB251)/4,8*[1]Parametros!$B$12,24*BA251,300,IF(AV251=0,1000000000,2*((H251-2*([1]Parametros!$B$7+[1]Parametros!$B$9/2))+(I251-2*([1]Parametros!$B$7+[1]Parametros!$B$9/2)))/8))/10,0)*10</f>
        <v>90</v>
      </c>
      <c r="AQ251" s="13">
        <f>ROUNDDOWN(MIN(IF(BC251+BD251=0,1000000000,AO251*BB251/(BC251+BD251)),IF(AK251&gt;0.33*SQRT([1]Parametros!$B$2)*H251*MIN(U251,AB251)/1000,MIN(U251,AB251)/4,MIN(U251,AB251)/2),600,IF(AV251=0,1000000000,2*((H251-2*([1]Parametros!$B$7+[1]Parametros!$B$9/2))+(I251-2*([1]Parametros!$B$7+[1]Parametros!$B$9/2)))/8))/10,0)*10</f>
        <v>90</v>
      </c>
      <c r="AR251" s="13">
        <f>[1]Parametros!$B$6*(AJ251+MAX(BE251-BD251,0)*[1]Parametros!$B$4*MIN(U251,AB251)/1000)</f>
        <v>606.95709651885591</v>
      </c>
      <c r="AS251" s="13" t="str">
        <f t="shared" si="44"/>
        <v>CUMPLE</v>
      </c>
      <c r="AT251" s="13">
        <f>[1]Parametros!$B$6*0.083*SQRT([1]Parametros!$B$2)*(H251*I251)^2/(2*(H251+I251))/1000000</f>
        <v>11.862178757598967</v>
      </c>
      <c r="AU251" s="13" t="str">
        <f t="shared" si="45"/>
        <v>DESPRECIABLE</v>
      </c>
      <c r="AV251" s="13">
        <f>IF(Q251&lt;=AT251,0,Q251*1000000/([1]Parametros!$B$6*2*0.85*(H251-2*([1]Parametros!$B$7+[1]Parametros!$B$9/2))*(I251-2*([1]Parametros!$B$7+[1]Parametros!$B$9/2))*[1]Parametros!$B$4))</f>
        <v>0</v>
      </c>
      <c r="AW251" s="13">
        <f>AV251*2*((H251-2*([1]Parametros!$B$7+[1]Parametros!$B$9/2))+(I251-2*([1]Parametros!$B$7+[1]Parametros!$B$9/2)))*[1]Parametros!$B$4/[1]Parametros!$B$3</f>
        <v>0</v>
      </c>
      <c r="AX251" s="14">
        <v>0</v>
      </c>
      <c r="AY251" s="13" t="str">
        <f t="shared" si="46"/>
        <v>DESPRECIABLE</v>
      </c>
      <c r="AZ251" s="13" t="str">
        <f t="shared" si="47"/>
        <v>CUMPLE</v>
      </c>
      <c r="BA251" s="14">
        <v>12.7</v>
      </c>
      <c r="BB251" s="14">
        <v>129</v>
      </c>
      <c r="BC251" s="13">
        <f>MAX(IF(AK251=0,0,AK251*1000/([1]Parametros!$B$4*MIN(U251,AB251))),MAX(0.062*SQRT([1]Parametros!$B$2)*H251/[1]Parametros!$B$4,0.35*H251/[1]Parametros!$B$4))</f>
        <v>2.6087210178785543</v>
      </c>
      <c r="BD251" s="13">
        <f t="shared" si="48"/>
        <v>0</v>
      </c>
      <c r="BE251" s="13">
        <f t="shared" si="49"/>
        <v>2.8666666666666667</v>
      </c>
      <c r="BF251" s="13">
        <f>SQRT((AI251*1000/(H251*MIN(U251,AB251)))^2+(Q251*1000000*2*((H251-2*([1]Parametros!$B$7+[1]Parametros!$B$9/2))+(I251-2*([1]Parametros!$B$7+[1]Parametros!$B$9/2)))/(1.7*((H251-2*([1]Parametros!$B$7+[1]Parametros!$B$9/2))*(I251-2*([1]Parametros!$B$7+[1]Parametros!$B$9/2)))^2))^2)</f>
        <v>2.3281168155498166</v>
      </c>
      <c r="BG251" s="13">
        <f>[1]Parametros!$B$6*(AJ251*1000/(H251*MIN(U251,AB251))+0.66*SQRT([1]Parametros!$B$2))</f>
        <v>3.2939603822754151</v>
      </c>
      <c r="BH251" s="13" t="str">
        <f t="shared" si="50"/>
        <v>CUMPLE</v>
      </c>
      <c r="BI251" s="13">
        <f>AX251*[1]Parametros!$B$8</f>
        <v>0</v>
      </c>
      <c r="BJ251" s="15" t="str">
        <f t="shared" si="51"/>
        <v>CUMPLE</v>
      </c>
    </row>
    <row r="252" spans="1:62" x14ac:dyDescent="0.3">
      <c r="A252" s="43" t="s">
        <v>74</v>
      </c>
      <c r="B252" s="44">
        <v>209</v>
      </c>
      <c r="C252" s="13">
        <v>1</v>
      </c>
      <c r="D252" s="13">
        <v>3.05</v>
      </c>
      <c r="E252" s="13">
        <v>3.05</v>
      </c>
      <c r="F252" s="13">
        <v>500</v>
      </c>
      <c r="G252" s="13">
        <v>550</v>
      </c>
      <c r="H252" s="13">
        <v>500</v>
      </c>
      <c r="I252" s="13">
        <v>550</v>
      </c>
      <c r="J252" s="14">
        <v>170.3107</v>
      </c>
      <c r="K252" s="13">
        <v>209</v>
      </c>
      <c r="L252" s="14">
        <v>111.7449</v>
      </c>
      <c r="M252" s="13">
        <v>209</v>
      </c>
      <c r="N252" s="14">
        <v>136.51400000000001</v>
      </c>
      <c r="O252" s="14">
        <v>425.58300000000003</v>
      </c>
      <c r="P252" s="13">
        <v>209</v>
      </c>
      <c r="Q252" s="14">
        <v>3.4752000000000001</v>
      </c>
      <c r="R252" s="13">
        <f>MAX(MAX(1.4/[1]Parametros!$B$3,0.25*SQRT([1]Parametros!$B$2)/[1]Parametros!$B$3)*H252*U252,(0.85*[1]Parametros!$B$2/[1]Parametros!$B$3)*(1-SQRT(1-2*(J252*1000000/([1]Parametros!$B$5*H252*U252^2))/(0.85*[1]Parametros!$B$2)))*H252*U252)</f>
        <v>953.51365406350374</v>
      </c>
      <c r="S252" s="14">
        <v>5</v>
      </c>
      <c r="T252" s="14">
        <v>1</v>
      </c>
      <c r="U252" s="13">
        <f>IF(T252=1,I252-([1]Parametros!$B$7+[1]Parametros!$B$9+[1]Parametros!$B$12/2),I252-(ROUNDUP(S252/2,0)*([1]Parametros!$B$7+[1]Parametros!$B$9+[1]Parametros!$B$12/2)+ROUNDDOWN(S252/2,0)*([1]Parametros!$B$7+[1]Parametros!$B$9+[1]Parametros!$B$12/2+[1]Parametros!$B$12+[1]Parametros!$B$10))/S252)</f>
        <v>489.35</v>
      </c>
      <c r="V252" s="13">
        <f>S252*[1]Parametros!$B$8</f>
        <v>995</v>
      </c>
      <c r="W252" s="13">
        <f>[1]Parametros!$B$5*V252*[1]Parametros!$B$3*(U252-(V252*[1]Parametros!$B$3/(0.85*[1]Parametros!$B$2*H252))/2)/1000000</f>
        <v>177.44537938235294</v>
      </c>
      <c r="X252" s="13" t="str">
        <f t="shared" si="39"/>
        <v>CUMPLE</v>
      </c>
      <c r="Y252" s="13">
        <f>MAX(MAX(1.4/[1]Parametros!$B$3,0.25*SQRT([1]Parametros!$B$2)/[1]Parametros!$B$3)*H252*AB252,(0.85*[1]Parametros!$B$2/[1]Parametros!$B$3)*(1-SQRT(1-2*(L252*1000000/([1]Parametros!$B$5*H252*AB252^2))/(0.85*[1]Parametros!$B$2)))*H252*AB252)</f>
        <v>815.58333333333326</v>
      </c>
      <c r="Z252" s="14">
        <v>5</v>
      </c>
      <c r="AA252" s="14">
        <v>1</v>
      </c>
      <c r="AB252" s="13">
        <f>IF(AA252=1,I252-([1]Parametros!$B$7+[1]Parametros!$B$9+[1]Parametros!$B$12/2),I252-(ROUNDUP(Z252/2,0)*([1]Parametros!$B$7+[1]Parametros!$B$9+[1]Parametros!$B$12/2)+ROUNDDOWN(Z252/2,0)*([1]Parametros!$B$7+[1]Parametros!$B$9+[1]Parametros!$B$12/2+[1]Parametros!$B$12+[1]Parametros!$B$10))/Z252)</f>
        <v>489.35</v>
      </c>
      <c r="AC252" s="13">
        <f>Z252*[1]Parametros!$B$8</f>
        <v>995</v>
      </c>
      <c r="AD252" s="13">
        <f>[1]Parametros!$B$5*AC252*[1]Parametros!$B$3*(AB252-(AC252*[1]Parametros!$B$3/(0.85*[1]Parametros!$B$2*H252))/2)/1000000</f>
        <v>177.44537938235294</v>
      </c>
      <c r="AE252" s="13" t="str">
        <f t="shared" si="40"/>
        <v>CUMPLE</v>
      </c>
      <c r="AF252" s="13">
        <f>V252*1.25*[1]Parametros!$B$3*(U252-(V252*1.25*[1]Parametros!$B$3/(0.85*[1]Parametros!$B$2*H252))/2)/1000000</f>
        <v>244.15884319852941</v>
      </c>
      <c r="AG252" s="13">
        <f>AC252*1.25*[1]Parametros!$B$3*(AB252-(AC252*1.25*[1]Parametros!$B$3/(0.85*[1]Parametros!$B$2*H252))/2)/1000000</f>
        <v>244.15884319852941</v>
      </c>
      <c r="AH252" s="13">
        <f t="shared" si="41"/>
        <v>296.61815947444552</v>
      </c>
      <c r="AI252" s="13">
        <f t="shared" si="42"/>
        <v>425.58300000000003</v>
      </c>
      <c r="AJ252" s="13">
        <f>0.17*SQRT([1]Parametros!$B$2)*H252*MIN(U252,AB252)/1000</f>
        <v>220.09872869180776</v>
      </c>
      <c r="AK252" s="13">
        <f>MAX(AI252/[1]Parametros!$B$6-AJ252,0)</f>
        <v>347.34527130819231</v>
      </c>
      <c r="AL252" s="13">
        <f>0.66*SQRT([1]Parametros!$B$2)*H252*MIN(U252,AB252)/1000</f>
        <v>854.500946685842</v>
      </c>
      <c r="AM252" s="13" t="str">
        <f t="shared" si="43"/>
        <v>CUMPLE</v>
      </c>
      <c r="AN252" s="13" t="s">
        <v>64</v>
      </c>
      <c r="AO252" s="14">
        <v>2</v>
      </c>
      <c r="AP252" s="13">
        <f>ROUNDDOWN(MIN(IF(BC252+BD252=0,1000000000,AO252*BB252/(BC252+BD252)),MIN(U252,AB252)/4,8*[1]Parametros!$B$12,24*BA252,300,IF(AV252=0,1000000000,2*((H252-2*([1]Parametros!$B$7+[1]Parametros!$B$9/2))+(I252-2*([1]Parametros!$B$7+[1]Parametros!$B$9/2)))/8))/10,0)*10</f>
        <v>80</v>
      </c>
      <c r="AQ252" s="13">
        <f>ROUNDDOWN(MIN(IF(BC252+BD252=0,1000000000,AO252*BB252/(BC252+BD252)),IF(AK252&gt;0.33*SQRT([1]Parametros!$B$2)*H252*MIN(U252,AB252)/1000,MIN(U252,AB252)/4,MIN(U252,AB252)/2),600,IF(AV252=0,1000000000,2*((H252-2*([1]Parametros!$B$7+[1]Parametros!$B$9/2))+(I252-2*([1]Parametros!$B$7+[1]Parametros!$B$9/2)))/8))/10,0)*10</f>
        <v>80</v>
      </c>
      <c r="AR252" s="13">
        <f>[1]Parametros!$B$6*(AJ252+MAX(BE252-BD252,0)*[1]Parametros!$B$4*MIN(U252,AB252)/1000)</f>
        <v>438.68186526885586</v>
      </c>
      <c r="AS252" s="13" t="str">
        <f t="shared" si="44"/>
        <v>CUMPLE</v>
      </c>
      <c r="AT252" s="13">
        <f>[1]Parametros!$B$6*0.083*SQRT([1]Parametros!$B$2)*(H252*I252)^2/(2*(H252+I252))/1000000</f>
        <v>11.862178757598967</v>
      </c>
      <c r="AU252" s="13" t="str">
        <f t="shared" si="45"/>
        <v>DESPRECIABLE</v>
      </c>
      <c r="AV252" s="13">
        <f>IF(Q252&lt;=AT252,0,Q252*1000000/([1]Parametros!$B$6*2*0.85*(H252-2*([1]Parametros!$B$7+[1]Parametros!$B$9/2))*(I252-2*([1]Parametros!$B$7+[1]Parametros!$B$9/2))*[1]Parametros!$B$4))</f>
        <v>0</v>
      </c>
      <c r="AW252" s="13">
        <f>AV252*2*((H252-2*([1]Parametros!$B$7+[1]Parametros!$B$9/2))+(I252-2*([1]Parametros!$B$7+[1]Parametros!$B$9/2)))*[1]Parametros!$B$4/[1]Parametros!$B$3</f>
        <v>0</v>
      </c>
      <c r="AX252" s="14">
        <v>0</v>
      </c>
      <c r="AY252" s="13" t="str">
        <f t="shared" si="46"/>
        <v>DESPRECIABLE</v>
      </c>
      <c r="AZ252" s="13" t="str">
        <f t="shared" si="47"/>
        <v>CUMPLE</v>
      </c>
      <c r="BA252" s="14">
        <v>9.5</v>
      </c>
      <c r="BB252" s="14">
        <v>71</v>
      </c>
      <c r="BC252" s="13">
        <f>MAX(IF(AK252=0,0,AK252*1000/([1]Parametros!$B$4*MIN(U252,AB252))),MAX(0.062*SQRT([1]Parametros!$B$2)*H252/[1]Parametros!$B$4,0.35*H252/[1]Parametros!$B$4))</f>
        <v>1.6900225824742845</v>
      </c>
      <c r="BD252" s="13">
        <f t="shared" si="48"/>
        <v>0</v>
      </c>
      <c r="BE252" s="13">
        <f t="shared" si="49"/>
        <v>1.7749999999999999</v>
      </c>
      <c r="BF252" s="13">
        <f>SQRT((AI252*1000/(H252*MIN(U252,AB252)))^2+(Q252*1000000*2*((H252-2*([1]Parametros!$B$7+[1]Parametros!$B$9/2))+(I252-2*([1]Parametros!$B$7+[1]Parametros!$B$9/2)))/(1.7*((H252-2*([1]Parametros!$B$7+[1]Parametros!$B$9/2))*(I252-2*([1]Parametros!$B$7+[1]Parametros!$B$9/2)))^2))^2)</f>
        <v>1.7423627107378594</v>
      </c>
      <c r="BG252" s="13">
        <f>[1]Parametros!$B$6*(AJ252*1000/(H252*MIN(U252,AB252))+0.66*SQRT([1]Parametros!$B$2))</f>
        <v>3.2939603822754151</v>
      </c>
      <c r="BH252" s="13" t="str">
        <f t="shared" si="50"/>
        <v>CUMPLE</v>
      </c>
      <c r="BI252" s="13">
        <f>AX252*[1]Parametros!$B$8</f>
        <v>0</v>
      </c>
      <c r="BJ252" s="15" t="str">
        <f t="shared" si="51"/>
        <v>CUMPLE</v>
      </c>
    </row>
    <row r="253" spans="1:62" x14ac:dyDescent="0.3">
      <c r="A253" s="43" t="s">
        <v>74</v>
      </c>
      <c r="B253" s="44">
        <v>210</v>
      </c>
      <c r="C253" s="13">
        <v>1</v>
      </c>
      <c r="D253" s="13">
        <v>2</v>
      </c>
      <c r="E253" s="13">
        <v>2</v>
      </c>
      <c r="F253" s="13">
        <v>500</v>
      </c>
      <c r="G253" s="13">
        <v>550</v>
      </c>
      <c r="H253" s="13">
        <v>500</v>
      </c>
      <c r="I253" s="13">
        <v>550</v>
      </c>
      <c r="J253" s="14">
        <v>179.37469999999999</v>
      </c>
      <c r="K253" s="13">
        <v>210</v>
      </c>
      <c r="L253" s="14">
        <v>127.2774</v>
      </c>
      <c r="M253" s="13">
        <v>210</v>
      </c>
      <c r="N253" s="14">
        <v>162.69399999999999</v>
      </c>
      <c r="O253" s="14">
        <v>584.00599999999997</v>
      </c>
      <c r="P253" s="13">
        <v>210</v>
      </c>
      <c r="Q253" s="14">
        <v>3.879</v>
      </c>
      <c r="R253" s="13">
        <f>MAX(MAX(1.4/[1]Parametros!$B$3,0.25*SQRT([1]Parametros!$B$2)/[1]Parametros!$B$3)*H253*U253,(0.85*[1]Parametros!$B$2/[1]Parametros!$B$3)*(1-SQRT(1-2*(J253*1000000/([1]Parametros!$B$5*H253*U253^2))/(0.85*[1]Parametros!$B$2)))*H253*U253)</f>
        <v>1006.2414997456726</v>
      </c>
      <c r="S253" s="14">
        <v>6</v>
      </c>
      <c r="T253" s="14">
        <v>1</v>
      </c>
      <c r="U253" s="13">
        <f>IF(T253=1,I253-([1]Parametros!$B$7+[1]Parametros!$B$9+[1]Parametros!$B$12/2),I253-(ROUNDUP(S253/2,0)*([1]Parametros!$B$7+[1]Parametros!$B$9+[1]Parametros!$B$12/2)+ROUNDDOWN(S253/2,0)*([1]Parametros!$B$7+[1]Parametros!$B$9+[1]Parametros!$B$12/2+[1]Parametros!$B$12+[1]Parametros!$B$10))/S253)</f>
        <v>489.35</v>
      </c>
      <c r="V253" s="13">
        <f>S253*[1]Parametros!$B$8</f>
        <v>1194</v>
      </c>
      <c r="W253" s="13">
        <f>[1]Parametros!$B$5*V253*[1]Parametros!$B$3*(U253-(V253*[1]Parametros!$B$3/(0.85*[1]Parametros!$B$2*H253))/2)/1000000</f>
        <v>211.34948347058827</v>
      </c>
      <c r="X253" s="13" t="str">
        <f t="shared" si="39"/>
        <v>CUMPLE</v>
      </c>
      <c r="Y253" s="13">
        <f>MAX(MAX(1.4/[1]Parametros!$B$3,0.25*SQRT([1]Parametros!$B$2)/[1]Parametros!$B$3)*H253*AB253,(0.85*[1]Parametros!$B$2/[1]Parametros!$B$3)*(1-SQRT(1-2*(L253*1000000/([1]Parametros!$B$5*H253*AB253^2))/(0.85*[1]Parametros!$B$2)))*H253*AB253)</f>
        <v>815.58333333333326</v>
      </c>
      <c r="Z253" s="14">
        <v>5</v>
      </c>
      <c r="AA253" s="14">
        <v>1</v>
      </c>
      <c r="AB253" s="13">
        <f>IF(AA253=1,I253-([1]Parametros!$B$7+[1]Parametros!$B$9+[1]Parametros!$B$12/2),I253-(ROUNDUP(Z253/2,0)*([1]Parametros!$B$7+[1]Parametros!$B$9+[1]Parametros!$B$12/2)+ROUNDDOWN(Z253/2,0)*([1]Parametros!$B$7+[1]Parametros!$B$9+[1]Parametros!$B$12/2+[1]Parametros!$B$12+[1]Parametros!$B$10))/Z253)</f>
        <v>489.35</v>
      </c>
      <c r="AC253" s="13">
        <f>Z253*[1]Parametros!$B$8</f>
        <v>995</v>
      </c>
      <c r="AD253" s="13">
        <f>[1]Parametros!$B$5*AC253*[1]Parametros!$B$3*(AB253-(AC253*[1]Parametros!$B$3/(0.85*[1]Parametros!$B$2*H253))/2)/1000000</f>
        <v>177.44537938235294</v>
      </c>
      <c r="AE253" s="13" t="str">
        <f t="shared" si="40"/>
        <v>CUMPLE</v>
      </c>
      <c r="AF253" s="13">
        <f>V253*1.25*[1]Parametros!$B$3*(U253-(V253*1.25*[1]Parametros!$B$3/(0.85*[1]Parametros!$B$2*H253))/2)/1000000</f>
        <v>290.23892470588237</v>
      </c>
      <c r="AG253" s="13">
        <f>AC253*1.25*[1]Parametros!$B$3*(AB253-(AC253*1.25*[1]Parametros!$B$3/(0.85*[1]Parametros!$B$2*H253))/2)/1000000</f>
        <v>244.15884319852941</v>
      </c>
      <c r="AH253" s="13">
        <f t="shared" si="41"/>
        <v>429.89288395220592</v>
      </c>
      <c r="AI253" s="13">
        <f t="shared" si="42"/>
        <v>584.00599999999997</v>
      </c>
      <c r="AJ253" s="13">
        <f>0.17*SQRT([1]Parametros!$B$2)*H253*MIN(U253,AB253)/1000</f>
        <v>220.09872869180776</v>
      </c>
      <c r="AK253" s="13">
        <f>MAX(AI253/[1]Parametros!$B$6-AJ253,0)</f>
        <v>558.5759379748589</v>
      </c>
      <c r="AL253" s="13">
        <f>0.66*SQRT([1]Parametros!$B$2)*H253*MIN(U253,AB253)/1000</f>
        <v>854.500946685842</v>
      </c>
      <c r="AM253" s="13" t="str">
        <f t="shared" si="43"/>
        <v>CUMPLE</v>
      </c>
      <c r="AN253" s="13" t="s">
        <v>68</v>
      </c>
      <c r="AO253" s="14">
        <v>2</v>
      </c>
      <c r="AP253" s="13">
        <f>ROUNDDOWN(MIN(IF(BC253+BD253=0,1000000000,AO253*BB253/(BC253+BD253)),MIN(U253,AB253)/4,8*[1]Parametros!$B$12,24*BA253,300,IF(AV253=0,1000000000,2*((H253-2*([1]Parametros!$B$7+[1]Parametros!$B$9/2))+(I253-2*([1]Parametros!$B$7+[1]Parametros!$B$9/2)))/8))/10,0)*10</f>
        <v>90</v>
      </c>
      <c r="AQ253" s="13">
        <f>ROUNDDOWN(MIN(IF(BC253+BD253=0,1000000000,AO253*BB253/(BC253+BD253)),IF(AK253&gt;0.33*SQRT([1]Parametros!$B$2)*H253*MIN(U253,AB253)/1000,MIN(U253,AB253)/4,MIN(U253,AB253)/2),600,IF(AV253=0,1000000000,2*((H253-2*([1]Parametros!$B$7+[1]Parametros!$B$9/2))+(I253-2*([1]Parametros!$B$7+[1]Parametros!$B$9/2)))/8))/10,0)*10</f>
        <v>90</v>
      </c>
      <c r="AR253" s="13">
        <f>[1]Parametros!$B$6*(AJ253+MAX(BE253-BD253,0)*[1]Parametros!$B$4*MIN(U253,AB253)/1000)</f>
        <v>606.95709651885591</v>
      </c>
      <c r="AS253" s="13" t="str">
        <f t="shared" si="44"/>
        <v>CUMPLE</v>
      </c>
      <c r="AT253" s="13">
        <f>[1]Parametros!$B$6*0.083*SQRT([1]Parametros!$B$2)*(H253*I253)^2/(2*(H253+I253))/1000000</f>
        <v>11.862178757598967</v>
      </c>
      <c r="AU253" s="13" t="str">
        <f t="shared" si="45"/>
        <v>DESPRECIABLE</v>
      </c>
      <c r="AV253" s="13">
        <f>IF(Q253&lt;=AT253,0,Q253*1000000/([1]Parametros!$B$6*2*0.85*(H253-2*([1]Parametros!$B$7+[1]Parametros!$B$9/2))*(I253-2*([1]Parametros!$B$7+[1]Parametros!$B$9/2))*[1]Parametros!$B$4))</f>
        <v>0</v>
      </c>
      <c r="AW253" s="13">
        <f>AV253*2*((H253-2*([1]Parametros!$B$7+[1]Parametros!$B$9/2))+(I253-2*([1]Parametros!$B$7+[1]Parametros!$B$9/2)))*[1]Parametros!$B$4/[1]Parametros!$B$3</f>
        <v>0</v>
      </c>
      <c r="AX253" s="14">
        <v>0</v>
      </c>
      <c r="AY253" s="13" t="str">
        <f t="shared" si="46"/>
        <v>DESPRECIABLE</v>
      </c>
      <c r="AZ253" s="13" t="str">
        <f t="shared" si="47"/>
        <v>CUMPLE</v>
      </c>
      <c r="BA253" s="14">
        <v>12.7</v>
      </c>
      <c r="BB253" s="14">
        <v>129</v>
      </c>
      <c r="BC253" s="13">
        <f>MAX(IF(AK253=0,0,AK253*1000/([1]Parametros!$B$4*MIN(U253,AB253))),MAX(0.062*SQRT([1]Parametros!$B$2)*H253/[1]Parametros!$B$4,0.35*H253/[1]Parametros!$B$4))</f>
        <v>2.7177740052395007</v>
      </c>
      <c r="BD253" s="13">
        <f t="shared" si="48"/>
        <v>0</v>
      </c>
      <c r="BE253" s="13">
        <f t="shared" si="49"/>
        <v>2.8666666666666667</v>
      </c>
      <c r="BF253" s="13">
        <f>SQRT((AI253*1000/(H253*MIN(U253,AB253)))^2+(Q253*1000000*2*((H253-2*([1]Parametros!$B$7+[1]Parametros!$B$9/2))+(I253-2*([1]Parametros!$B$7+[1]Parametros!$B$9/2)))/(1.7*((H253-2*([1]Parametros!$B$7+[1]Parametros!$B$9/2))*(I253-2*([1]Parametros!$B$7+[1]Parametros!$B$9/2)))^2))^2)</f>
        <v>2.3895723139623506</v>
      </c>
      <c r="BG253" s="13">
        <f>[1]Parametros!$B$6*(AJ253*1000/(H253*MIN(U253,AB253))+0.66*SQRT([1]Parametros!$B$2))</f>
        <v>3.2939603822754151</v>
      </c>
      <c r="BH253" s="13" t="str">
        <f t="shared" si="50"/>
        <v>CUMPLE</v>
      </c>
      <c r="BI253" s="13">
        <f>AX253*[1]Parametros!$B$8</f>
        <v>0</v>
      </c>
      <c r="BJ253" s="15" t="str">
        <f t="shared" si="51"/>
        <v>CUMPLE</v>
      </c>
    </row>
    <row r="254" spans="1:62" x14ac:dyDescent="0.3">
      <c r="A254" s="43" t="s">
        <v>74</v>
      </c>
      <c r="B254" s="44">
        <v>245</v>
      </c>
      <c r="C254" s="13">
        <v>1</v>
      </c>
      <c r="D254" s="13">
        <v>2</v>
      </c>
      <c r="E254" s="13">
        <v>2</v>
      </c>
      <c r="F254" s="13">
        <v>500</v>
      </c>
      <c r="G254" s="13">
        <v>550</v>
      </c>
      <c r="H254" s="13">
        <v>500</v>
      </c>
      <c r="I254" s="13">
        <v>550</v>
      </c>
      <c r="J254" s="14">
        <v>179.26230000000001</v>
      </c>
      <c r="K254" s="13">
        <v>245</v>
      </c>
      <c r="L254" s="14">
        <v>127.21850000000001</v>
      </c>
      <c r="M254" s="13">
        <v>245</v>
      </c>
      <c r="N254" s="14">
        <v>162.613</v>
      </c>
      <c r="O254" s="14">
        <v>583.91999999999996</v>
      </c>
      <c r="P254" s="13">
        <v>245</v>
      </c>
      <c r="Q254" s="14">
        <v>3.8814000000000002</v>
      </c>
      <c r="R254" s="13">
        <f>MAX(MAX(1.4/[1]Parametros!$B$3,0.25*SQRT([1]Parametros!$B$2)/[1]Parametros!$B$3)*H254*U254,(0.85*[1]Parametros!$B$2/[1]Parametros!$B$3)*(1-SQRT(1-2*(J254*1000000/([1]Parametros!$B$5*H254*U254^2))/(0.85*[1]Parametros!$B$2)))*H254*U254)</f>
        <v>1005.5863133172323</v>
      </c>
      <c r="S254" s="14">
        <v>6</v>
      </c>
      <c r="T254" s="14">
        <v>1</v>
      </c>
      <c r="U254" s="13">
        <f>IF(T254=1,I254-([1]Parametros!$B$7+[1]Parametros!$B$9+[1]Parametros!$B$12/2),I254-(ROUNDUP(S254/2,0)*([1]Parametros!$B$7+[1]Parametros!$B$9+[1]Parametros!$B$12/2)+ROUNDDOWN(S254/2,0)*([1]Parametros!$B$7+[1]Parametros!$B$9+[1]Parametros!$B$12/2+[1]Parametros!$B$12+[1]Parametros!$B$10))/S254)</f>
        <v>489.35</v>
      </c>
      <c r="V254" s="13">
        <f>S254*[1]Parametros!$B$8</f>
        <v>1194</v>
      </c>
      <c r="W254" s="13">
        <f>[1]Parametros!$B$5*V254*[1]Parametros!$B$3*(U254-(V254*[1]Parametros!$B$3/(0.85*[1]Parametros!$B$2*H254))/2)/1000000</f>
        <v>211.34948347058827</v>
      </c>
      <c r="X254" s="13" t="str">
        <f t="shared" si="39"/>
        <v>CUMPLE</v>
      </c>
      <c r="Y254" s="13">
        <f>MAX(MAX(1.4/[1]Parametros!$B$3,0.25*SQRT([1]Parametros!$B$2)/[1]Parametros!$B$3)*H254*AB254,(0.85*[1]Parametros!$B$2/[1]Parametros!$B$3)*(1-SQRT(1-2*(L254*1000000/([1]Parametros!$B$5*H254*AB254^2))/(0.85*[1]Parametros!$B$2)))*H254*AB254)</f>
        <v>815.58333333333326</v>
      </c>
      <c r="Z254" s="14">
        <v>5</v>
      </c>
      <c r="AA254" s="14">
        <v>1</v>
      </c>
      <c r="AB254" s="13">
        <f>IF(AA254=1,I254-([1]Parametros!$B$7+[1]Parametros!$B$9+[1]Parametros!$B$12/2),I254-(ROUNDUP(Z254/2,0)*([1]Parametros!$B$7+[1]Parametros!$B$9+[1]Parametros!$B$12/2)+ROUNDDOWN(Z254/2,0)*([1]Parametros!$B$7+[1]Parametros!$B$9+[1]Parametros!$B$12/2+[1]Parametros!$B$12+[1]Parametros!$B$10))/Z254)</f>
        <v>489.35</v>
      </c>
      <c r="AC254" s="13">
        <f>Z254*[1]Parametros!$B$8</f>
        <v>995</v>
      </c>
      <c r="AD254" s="13">
        <f>[1]Parametros!$B$5*AC254*[1]Parametros!$B$3*(AB254-(AC254*[1]Parametros!$B$3/(0.85*[1]Parametros!$B$2*H254))/2)/1000000</f>
        <v>177.44537938235294</v>
      </c>
      <c r="AE254" s="13" t="str">
        <f t="shared" si="40"/>
        <v>CUMPLE</v>
      </c>
      <c r="AF254" s="13">
        <f>V254*1.25*[1]Parametros!$B$3*(U254-(V254*1.25*[1]Parametros!$B$3/(0.85*[1]Parametros!$B$2*H254))/2)/1000000</f>
        <v>290.23892470588237</v>
      </c>
      <c r="AG254" s="13">
        <f>AC254*1.25*[1]Parametros!$B$3*(AB254-(AC254*1.25*[1]Parametros!$B$3/(0.85*[1]Parametros!$B$2*H254))/2)/1000000</f>
        <v>244.15884319852941</v>
      </c>
      <c r="AH254" s="13">
        <f t="shared" si="41"/>
        <v>429.8118839522059</v>
      </c>
      <c r="AI254" s="13">
        <f t="shared" si="42"/>
        <v>583.91999999999996</v>
      </c>
      <c r="AJ254" s="13">
        <f>0.17*SQRT([1]Parametros!$B$2)*H254*MIN(U254,AB254)/1000</f>
        <v>220.09872869180776</v>
      </c>
      <c r="AK254" s="13">
        <f>MAX(AI254/[1]Parametros!$B$6-AJ254,0)</f>
        <v>558.46127130819218</v>
      </c>
      <c r="AL254" s="13">
        <f>0.66*SQRT([1]Parametros!$B$2)*H254*MIN(U254,AB254)/1000</f>
        <v>854.500946685842</v>
      </c>
      <c r="AM254" s="13" t="str">
        <f t="shared" si="43"/>
        <v>CUMPLE</v>
      </c>
      <c r="AN254" s="13" t="s">
        <v>68</v>
      </c>
      <c r="AO254" s="14">
        <v>2</v>
      </c>
      <c r="AP254" s="13">
        <f>ROUNDDOWN(MIN(IF(BC254+BD254=0,1000000000,AO254*BB254/(BC254+BD254)),MIN(U254,AB254)/4,8*[1]Parametros!$B$12,24*BA254,300,IF(AV254=0,1000000000,2*((H254-2*([1]Parametros!$B$7+[1]Parametros!$B$9/2))+(I254-2*([1]Parametros!$B$7+[1]Parametros!$B$9/2)))/8))/10,0)*10</f>
        <v>90</v>
      </c>
      <c r="AQ254" s="13">
        <f>ROUNDDOWN(MIN(IF(BC254+BD254=0,1000000000,AO254*BB254/(BC254+BD254)),IF(AK254&gt;0.33*SQRT([1]Parametros!$B$2)*H254*MIN(U254,AB254)/1000,MIN(U254,AB254)/4,MIN(U254,AB254)/2),600,IF(AV254=0,1000000000,2*((H254-2*([1]Parametros!$B$7+[1]Parametros!$B$9/2))+(I254-2*([1]Parametros!$B$7+[1]Parametros!$B$9/2)))/8))/10,0)*10</f>
        <v>90</v>
      </c>
      <c r="AR254" s="13">
        <f>[1]Parametros!$B$6*(AJ254+MAX(BE254-BD254,0)*[1]Parametros!$B$4*MIN(U254,AB254)/1000)</f>
        <v>606.95709651885591</v>
      </c>
      <c r="AS254" s="13" t="str">
        <f t="shared" si="44"/>
        <v>CUMPLE</v>
      </c>
      <c r="AT254" s="13">
        <f>[1]Parametros!$B$6*0.083*SQRT([1]Parametros!$B$2)*(H254*I254)^2/(2*(H254+I254))/1000000</f>
        <v>11.862178757598967</v>
      </c>
      <c r="AU254" s="13" t="str">
        <f t="shared" si="45"/>
        <v>DESPRECIABLE</v>
      </c>
      <c r="AV254" s="13">
        <f>IF(Q254&lt;=AT254,0,Q254*1000000/([1]Parametros!$B$6*2*0.85*(H254-2*([1]Parametros!$B$7+[1]Parametros!$B$9/2))*(I254-2*([1]Parametros!$B$7+[1]Parametros!$B$9/2))*[1]Parametros!$B$4))</f>
        <v>0</v>
      </c>
      <c r="AW254" s="13">
        <f>AV254*2*((H254-2*([1]Parametros!$B$7+[1]Parametros!$B$9/2))+(I254-2*([1]Parametros!$B$7+[1]Parametros!$B$9/2)))*[1]Parametros!$B$4/[1]Parametros!$B$3</f>
        <v>0</v>
      </c>
      <c r="AX254" s="14">
        <v>0</v>
      </c>
      <c r="AY254" s="13" t="str">
        <f t="shared" si="46"/>
        <v>DESPRECIABLE</v>
      </c>
      <c r="AZ254" s="13" t="str">
        <f t="shared" si="47"/>
        <v>CUMPLE</v>
      </c>
      <c r="BA254" s="14">
        <v>12.7</v>
      </c>
      <c r="BB254" s="14">
        <v>129</v>
      </c>
      <c r="BC254" s="13">
        <f>MAX(IF(AK254=0,0,AK254*1000/([1]Parametros!$B$4*MIN(U254,AB254))),MAX(0.062*SQRT([1]Parametros!$B$2)*H254/[1]Parametros!$B$4,0.35*H254/[1]Parametros!$B$4))</f>
        <v>2.7172160898966666</v>
      </c>
      <c r="BD254" s="13">
        <f t="shared" si="48"/>
        <v>0</v>
      </c>
      <c r="BE254" s="13">
        <f t="shared" si="49"/>
        <v>2.8666666666666667</v>
      </c>
      <c r="BF254" s="13">
        <f>SQRT((AI254*1000/(H254*MIN(U254,AB254)))^2+(Q254*1000000*2*((H254-2*([1]Parametros!$B$7+[1]Parametros!$B$9/2))+(I254-2*([1]Parametros!$B$7+[1]Parametros!$B$9/2)))/(1.7*((H254-2*([1]Parametros!$B$7+[1]Parametros!$B$9/2))*(I254-2*([1]Parametros!$B$7+[1]Parametros!$B$9/2)))^2))^2)</f>
        <v>2.3892245764208537</v>
      </c>
      <c r="BG254" s="13">
        <f>[1]Parametros!$B$6*(AJ254*1000/(H254*MIN(U254,AB254))+0.66*SQRT([1]Parametros!$B$2))</f>
        <v>3.2939603822754151</v>
      </c>
      <c r="BH254" s="13" t="str">
        <f t="shared" si="50"/>
        <v>CUMPLE</v>
      </c>
      <c r="BI254" s="13">
        <f>AX254*[1]Parametros!$B$8</f>
        <v>0</v>
      </c>
      <c r="BJ254" s="15" t="str">
        <f t="shared" si="51"/>
        <v>CUMPLE</v>
      </c>
    </row>
    <row r="255" spans="1:62" x14ac:dyDescent="0.3">
      <c r="A255" s="43" t="s">
        <v>74</v>
      </c>
      <c r="B255" s="44">
        <v>246</v>
      </c>
      <c r="C255" s="13">
        <v>1</v>
      </c>
      <c r="D255" s="13">
        <v>3.05</v>
      </c>
      <c r="E255" s="13">
        <v>3.05</v>
      </c>
      <c r="F255" s="13">
        <v>500</v>
      </c>
      <c r="G255" s="13">
        <v>550</v>
      </c>
      <c r="H255" s="13">
        <v>500</v>
      </c>
      <c r="I255" s="13">
        <v>550</v>
      </c>
      <c r="J255" s="14">
        <v>170.19380000000001</v>
      </c>
      <c r="K255" s="13">
        <v>246</v>
      </c>
      <c r="L255" s="14">
        <v>111.81740000000001</v>
      </c>
      <c r="M255" s="13">
        <v>246</v>
      </c>
      <c r="N255" s="14">
        <v>136.45099999999999</v>
      </c>
      <c r="O255" s="14">
        <v>425.52499999999998</v>
      </c>
      <c r="P255" s="13">
        <v>246</v>
      </c>
      <c r="Q255" s="14">
        <v>3.472</v>
      </c>
      <c r="R255" s="13">
        <f>MAX(MAX(1.4/[1]Parametros!$B$3,0.25*SQRT([1]Parametros!$B$2)/[1]Parametros!$B$3)*H255*U255,(0.85*[1]Parametros!$B$2/[1]Parametros!$B$3)*(1-SQRT(1-2*(J255*1000000/([1]Parametros!$B$5*H255*U255^2))/(0.85*[1]Parametros!$B$2)))*H255*U255)</f>
        <v>952.83502019246066</v>
      </c>
      <c r="S255" s="14">
        <v>5</v>
      </c>
      <c r="T255" s="14">
        <v>1</v>
      </c>
      <c r="U255" s="13">
        <f>IF(T255=1,I255-([1]Parametros!$B$7+[1]Parametros!$B$9+[1]Parametros!$B$12/2),I255-(ROUNDUP(S255/2,0)*([1]Parametros!$B$7+[1]Parametros!$B$9+[1]Parametros!$B$12/2)+ROUNDDOWN(S255/2,0)*([1]Parametros!$B$7+[1]Parametros!$B$9+[1]Parametros!$B$12/2+[1]Parametros!$B$12+[1]Parametros!$B$10))/S255)</f>
        <v>489.35</v>
      </c>
      <c r="V255" s="13">
        <f>S255*[1]Parametros!$B$8</f>
        <v>995</v>
      </c>
      <c r="W255" s="13">
        <f>[1]Parametros!$B$5*V255*[1]Parametros!$B$3*(U255-(V255*[1]Parametros!$B$3/(0.85*[1]Parametros!$B$2*H255))/2)/1000000</f>
        <v>177.44537938235294</v>
      </c>
      <c r="X255" s="13" t="str">
        <f t="shared" si="39"/>
        <v>CUMPLE</v>
      </c>
      <c r="Y255" s="13">
        <f>MAX(MAX(1.4/[1]Parametros!$B$3,0.25*SQRT([1]Parametros!$B$2)/[1]Parametros!$B$3)*H255*AB255,(0.85*[1]Parametros!$B$2/[1]Parametros!$B$3)*(1-SQRT(1-2*(L255*1000000/([1]Parametros!$B$5*H255*AB255^2))/(0.85*[1]Parametros!$B$2)))*H255*AB255)</f>
        <v>815.58333333333326</v>
      </c>
      <c r="Z255" s="14">
        <v>5</v>
      </c>
      <c r="AA255" s="14">
        <v>1</v>
      </c>
      <c r="AB255" s="13">
        <f>IF(AA255=1,I255-([1]Parametros!$B$7+[1]Parametros!$B$9+[1]Parametros!$B$12/2),I255-(ROUNDUP(Z255/2,0)*([1]Parametros!$B$7+[1]Parametros!$B$9+[1]Parametros!$B$12/2)+ROUNDDOWN(Z255/2,0)*([1]Parametros!$B$7+[1]Parametros!$B$9+[1]Parametros!$B$12/2+[1]Parametros!$B$12+[1]Parametros!$B$10))/Z255)</f>
        <v>489.35</v>
      </c>
      <c r="AC255" s="13">
        <f>Z255*[1]Parametros!$B$8</f>
        <v>995</v>
      </c>
      <c r="AD255" s="13">
        <f>[1]Parametros!$B$5*AC255*[1]Parametros!$B$3*(AB255-(AC255*[1]Parametros!$B$3/(0.85*[1]Parametros!$B$2*H255))/2)/1000000</f>
        <v>177.44537938235294</v>
      </c>
      <c r="AE255" s="13" t="str">
        <f t="shared" si="40"/>
        <v>CUMPLE</v>
      </c>
      <c r="AF255" s="13">
        <f>V255*1.25*[1]Parametros!$B$3*(U255-(V255*1.25*[1]Parametros!$B$3/(0.85*[1]Parametros!$B$2*H255))/2)/1000000</f>
        <v>244.15884319852941</v>
      </c>
      <c r="AG255" s="13">
        <f>AC255*1.25*[1]Parametros!$B$3*(AB255-(AC255*1.25*[1]Parametros!$B$3/(0.85*[1]Parametros!$B$2*H255))/2)/1000000</f>
        <v>244.15884319852941</v>
      </c>
      <c r="AH255" s="13">
        <f t="shared" si="41"/>
        <v>296.55515947444553</v>
      </c>
      <c r="AI255" s="13">
        <f t="shared" si="42"/>
        <v>425.52499999999998</v>
      </c>
      <c r="AJ255" s="13">
        <f>0.17*SQRT([1]Parametros!$B$2)*H255*MIN(U255,AB255)/1000</f>
        <v>220.09872869180776</v>
      </c>
      <c r="AK255" s="13">
        <f>MAX(AI255/[1]Parametros!$B$6-AJ255,0)</f>
        <v>347.26793797485891</v>
      </c>
      <c r="AL255" s="13">
        <f>0.66*SQRT([1]Parametros!$B$2)*H255*MIN(U255,AB255)/1000</f>
        <v>854.500946685842</v>
      </c>
      <c r="AM255" s="13" t="str">
        <f t="shared" si="43"/>
        <v>CUMPLE</v>
      </c>
      <c r="AN255" s="13" t="s">
        <v>64</v>
      </c>
      <c r="AO255" s="14">
        <v>2</v>
      </c>
      <c r="AP255" s="13">
        <f>ROUNDDOWN(MIN(IF(BC255+BD255=0,1000000000,AO255*BB255/(BC255+BD255)),MIN(U255,AB255)/4,8*[1]Parametros!$B$12,24*BA255,300,IF(AV255=0,1000000000,2*((H255-2*([1]Parametros!$B$7+[1]Parametros!$B$9/2))+(I255-2*([1]Parametros!$B$7+[1]Parametros!$B$9/2)))/8))/10,0)*10</f>
        <v>80</v>
      </c>
      <c r="AQ255" s="13">
        <f>ROUNDDOWN(MIN(IF(BC255+BD255=0,1000000000,AO255*BB255/(BC255+BD255)),IF(AK255&gt;0.33*SQRT([1]Parametros!$B$2)*H255*MIN(U255,AB255)/1000,MIN(U255,AB255)/4,MIN(U255,AB255)/2),600,IF(AV255=0,1000000000,2*((H255-2*([1]Parametros!$B$7+[1]Parametros!$B$9/2))+(I255-2*([1]Parametros!$B$7+[1]Parametros!$B$9/2)))/8))/10,0)*10</f>
        <v>80</v>
      </c>
      <c r="AR255" s="13">
        <f>[1]Parametros!$B$6*(AJ255+MAX(BE255-BD255,0)*[1]Parametros!$B$4*MIN(U255,AB255)/1000)</f>
        <v>438.68186526885586</v>
      </c>
      <c r="AS255" s="13" t="str">
        <f t="shared" si="44"/>
        <v>CUMPLE</v>
      </c>
      <c r="AT255" s="13">
        <f>[1]Parametros!$B$6*0.083*SQRT([1]Parametros!$B$2)*(H255*I255)^2/(2*(H255+I255))/1000000</f>
        <v>11.862178757598967</v>
      </c>
      <c r="AU255" s="13" t="str">
        <f t="shared" si="45"/>
        <v>DESPRECIABLE</v>
      </c>
      <c r="AV255" s="13">
        <f>IF(Q255&lt;=AT255,0,Q255*1000000/([1]Parametros!$B$6*2*0.85*(H255-2*([1]Parametros!$B$7+[1]Parametros!$B$9/2))*(I255-2*([1]Parametros!$B$7+[1]Parametros!$B$9/2))*[1]Parametros!$B$4))</f>
        <v>0</v>
      </c>
      <c r="AW255" s="13">
        <f>AV255*2*((H255-2*([1]Parametros!$B$7+[1]Parametros!$B$9/2))+(I255-2*([1]Parametros!$B$7+[1]Parametros!$B$9/2)))*[1]Parametros!$B$4/[1]Parametros!$B$3</f>
        <v>0</v>
      </c>
      <c r="AX255" s="14">
        <v>0</v>
      </c>
      <c r="AY255" s="13" t="str">
        <f t="shared" si="46"/>
        <v>DESPRECIABLE</v>
      </c>
      <c r="AZ255" s="13" t="str">
        <f t="shared" si="47"/>
        <v>CUMPLE</v>
      </c>
      <c r="BA255" s="14">
        <v>9.5</v>
      </c>
      <c r="BB255" s="14">
        <v>71</v>
      </c>
      <c r="BC255" s="13">
        <f>MAX(IF(AK255=0,0,AK255*1000/([1]Parametros!$B$4*MIN(U255,AB255))),MAX(0.062*SQRT([1]Parametros!$B$2)*H255/[1]Parametros!$B$4,0.35*H255/[1]Parametros!$B$4))</f>
        <v>1.6896463139872566</v>
      </c>
      <c r="BD255" s="13">
        <f t="shared" si="48"/>
        <v>0</v>
      </c>
      <c r="BE255" s="13">
        <f t="shared" si="49"/>
        <v>1.7749999999999999</v>
      </c>
      <c r="BF255" s="13">
        <f>SQRT((AI255*1000/(H255*MIN(U255,AB255)))^2+(Q255*1000000*2*((H255-2*([1]Parametros!$B$7+[1]Parametros!$B$9/2))+(I255-2*([1]Parametros!$B$7+[1]Parametros!$B$9/2)))/(1.7*((H255-2*([1]Parametros!$B$7+[1]Parametros!$B$9/2))*(I255-2*([1]Parametros!$B$7+[1]Parametros!$B$9/2)))^2))^2)</f>
        <v>1.7421205822789545</v>
      </c>
      <c r="BG255" s="13">
        <f>[1]Parametros!$B$6*(AJ255*1000/(H255*MIN(U255,AB255))+0.66*SQRT([1]Parametros!$B$2))</f>
        <v>3.2939603822754151</v>
      </c>
      <c r="BH255" s="13" t="str">
        <f t="shared" si="50"/>
        <v>CUMPLE</v>
      </c>
      <c r="BI255" s="13">
        <f>AX255*[1]Parametros!$B$8</f>
        <v>0</v>
      </c>
      <c r="BJ255" s="15" t="str">
        <f t="shared" si="51"/>
        <v>CUMPLE</v>
      </c>
    </row>
    <row r="256" spans="1:62" x14ac:dyDescent="0.3">
      <c r="A256" s="43" t="s">
        <v>74</v>
      </c>
      <c r="B256" s="44">
        <v>247</v>
      </c>
      <c r="C256" s="13">
        <v>1</v>
      </c>
      <c r="D256" s="13">
        <v>2</v>
      </c>
      <c r="E256" s="13">
        <v>2</v>
      </c>
      <c r="F256" s="13">
        <v>500</v>
      </c>
      <c r="G256" s="13">
        <v>550</v>
      </c>
      <c r="H256" s="13">
        <v>500</v>
      </c>
      <c r="I256" s="13">
        <v>550</v>
      </c>
      <c r="J256" s="14">
        <v>159.89510000000001</v>
      </c>
      <c r="K256" s="13">
        <v>247</v>
      </c>
      <c r="L256" s="14">
        <v>125.9991</v>
      </c>
      <c r="M256" s="13">
        <v>247</v>
      </c>
      <c r="N256" s="14">
        <v>152.33000000000001</v>
      </c>
      <c r="O256" s="14">
        <v>567.27300000000002</v>
      </c>
      <c r="P256" s="13">
        <v>247</v>
      </c>
      <c r="Q256" s="14">
        <v>7.3414000000000001</v>
      </c>
      <c r="R256" s="13">
        <f>MAX(MAX(1.4/[1]Parametros!$B$3,0.25*SQRT([1]Parametros!$B$2)/[1]Parametros!$B$3)*H256*U256,(0.85*[1]Parametros!$B$2/[1]Parametros!$B$3)*(1-SQRT(1-2*(J256*1000000/([1]Parametros!$B$5*H256*U256^2))/(0.85*[1]Parametros!$B$2)))*H256*U256)</f>
        <v>893.18782003204149</v>
      </c>
      <c r="S256" s="14">
        <v>5</v>
      </c>
      <c r="T256" s="14">
        <v>1</v>
      </c>
      <c r="U256" s="13">
        <f>IF(T256=1,I256-([1]Parametros!$B$7+[1]Parametros!$B$9+[1]Parametros!$B$12/2),I256-(ROUNDUP(S256/2,0)*([1]Parametros!$B$7+[1]Parametros!$B$9+[1]Parametros!$B$12/2)+ROUNDDOWN(S256/2,0)*([1]Parametros!$B$7+[1]Parametros!$B$9+[1]Parametros!$B$12/2+[1]Parametros!$B$12+[1]Parametros!$B$10))/S256)</f>
        <v>489.35</v>
      </c>
      <c r="V256" s="13">
        <f>S256*[1]Parametros!$B$8</f>
        <v>995</v>
      </c>
      <c r="W256" s="13">
        <f>[1]Parametros!$B$5*V256*[1]Parametros!$B$3*(U256-(V256*[1]Parametros!$B$3/(0.85*[1]Parametros!$B$2*H256))/2)/1000000</f>
        <v>177.44537938235294</v>
      </c>
      <c r="X256" s="13" t="str">
        <f t="shared" si="39"/>
        <v>CUMPLE</v>
      </c>
      <c r="Y256" s="13">
        <f>MAX(MAX(1.4/[1]Parametros!$B$3,0.25*SQRT([1]Parametros!$B$2)/[1]Parametros!$B$3)*H256*AB256,(0.85*[1]Parametros!$B$2/[1]Parametros!$B$3)*(1-SQRT(1-2*(L256*1000000/([1]Parametros!$B$5*H256*AB256^2))/(0.85*[1]Parametros!$B$2)))*H256*AB256)</f>
        <v>815.58333333333326</v>
      </c>
      <c r="Z256" s="14">
        <v>5</v>
      </c>
      <c r="AA256" s="14">
        <v>1</v>
      </c>
      <c r="AB256" s="13">
        <f>IF(AA256=1,I256-([1]Parametros!$B$7+[1]Parametros!$B$9+[1]Parametros!$B$12/2),I256-(ROUNDUP(Z256/2,0)*([1]Parametros!$B$7+[1]Parametros!$B$9+[1]Parametros!$B$12/2)+ROUNDDOWN(Z256/2,0)*([1]Parametros!$B$7+[1]Parametros!$B$9+[1]Parametros!$B$12/2+[1]Parametros!$B$12+[1]Parametros!$B$10))/Z256)</f>
        <v>489.35</v>
      </c>
      <c r="AC256" s="13">
        <f>Z256*[1]Parametros!$B$8</f>
        <v>995</v>
      </c>
      <c r="AD256" s="13">
        <f>[1]Parametros!$B$5*AC256*[1]Parametros!$B$3*(AB256-(AC256*[1]Parametros!$B$3/(0.85*[1]Parametros!$B$2*H256))/2)/1000000</f>
        <v>177.44537938235294</v>
      </c>
      <c r="AE256" s="13" t="str">
        <f t="shared" si="40"/>
        <v>CUMPLE</v>
      </c>
      <c r="AF256" s="13">
        <f>V256*1.25*[1]Parametros!$B$3*(U256-(V256*1.25*[1]Parametros!$B$3/(0.85*[1]Parametros!$B$2*H256))/2)/1000000</f>
        <v>244.15884319852941</v>
      </c>
      <c r="AG256" s="13">
        <f>AC256*1.25*[1]Parametros!$B$3*(AB256-(AC256*1.25*[1]Parametros!$B$3/(0.85*[1]Parametros!$B$2*H256))/2)/1000000</f>
        <v>244.15884319852941</v>
      </c>
      <c r="AH256" s="13">
        <f t="shared" si="41"/>
        <v>396.48884319852942</v>
      </c>
      <c r="AI256" s="13">
        <f t="shared" si="42"/>
        <v>567.27300000000002</v>
      </c>
      <c r="AJ256" s="13">
        <f>0.17*SQRT([1]Parametros!$B$2)*H256*MIN(U256,AB256)/1000</f>
        <v>220.09872869180776</v>
      </c>
      <c r="AK256" s="13">
        <f>MAX(AI256/[1]Parametros!$B$6-AJ256,0)</f>
        <v>536.26527130819227</v>
      </c>
      <c r="AL256" s="13">
        <f>0.66*SQRT([1]Parametros!$B$2)*H256*MIN(U256,AB256)/1000</f>
        <v>854.500946685842</v>
      </c>
      <c r="AM256" s="13" t="str">
        <f t="shared" si="43"/>
        <v>CUMPLE</v>
      </c>
      <c r="AN256" s="13" t="s">
        <v>68</v>
      </c>
      <c r="AO256" s="14">
        <v>2</v>
      </c>
      <c r="AP256" s="13">
        <f>ROUNDDOWN(MIN(IF(BC256+BD256=0,1000000000,AO256*BB256/(BC256+BD256)),MIN(U256,AB256)/4,8*[1]Parametros!$B$12,24*BA256,300,IF(AV256=0,1000000000,2*((H256-2*([1]Parametros!$B$7+[1]Parametros!$B$9/2))+(I256-2*([1]Parametros!$B$7+[1]Parametros!$B$9/2)))/8))/10,0)*10</f>
        <v>90</v>
      </c>
      <c r="AQ256" s="13">
        <f>ROUNDDOWN(MIN(IF(BC256+BD256=0,1000000000,AO256*BB256/(BC256+BD256)),IF(AK256&gt;0.33*SQRT([1]Parametros!$B$2)*H256*MIN(U256,AB256)/1000,MIN(U256,AB256)/4,MIN(U256,AB256)/2),600,IF(AV256=0,1000000000,2*((H256-2*([1]Parametros!$B$7+[1]Parametros!$B$9/2))+(I256-2*([1]Parametros!$B$7+[1]Parametros!$B$9/2)))/8))/10,0)*10</f>
        <v>90</v>
      </c>
      <c r="AR256" s="13">
        <f>[1]Parametros!$B$6*(AJ256+MAX(BE256-BD256,0)*[1]Parametros!$B$4*MIN(U256,AB256)/1000)</f>
        <v>606.95709651885591</v>
      </c>
      <c r="AS256" s="13" t="str">
        <f t="shared" si="44"/>
        <v>CUMPLE</v>
      </c>
      <c r="AT256" s="13">
        <f>[1]Parametros!$B$6*0.083*SQRT([1]Parametros!$B$2)*(H256*I256)^2/(2*(H256+I256))/1000000</f>
        <v>11.862178757598967</v>
      </c>
      <c r="AU256" s="13" t="str">
        <f t="shared" si="45"/>
        <v>DESPRECIABLE</v>
      </c>
      <c r="AV256" s="13">
        <f>IF(Q256&lt;=AT256,0,Q256*1000000/([1]Parametros!$B$6*2*0.85*(H256-2*([1]Parametros!$B$7+[1]Parametros!$B$9/2))*(I256-2*([1]Parametros!$B$7+[1]Parametros!$B$9/2))*[1]Parametros!$B$4))</f>
        <v>0</v>
      </c>
      <c r="AW256" s="13">
        <f>AV256*2*((H256-2*([1]Parametros!$B$7+[1]Parametros!$B$9/2))+(I256-2*([1]Parametros!$B$7+[1]Parametros!$B$9/2)))*[1]Parametros!$B$4/[1]Parametros!$B$3</f>
        <v>0</v>
      </c>
      <c r="AX256" s="14">
        <v>0</v>
      </c>
      <c r="AY256" s="13" t="str">
        <f t="shared" si="46"/>
        <v>DESPRECIABLE</v>
      </c>
      <c r="AZ256" s="13" t="str">
        <f t="shared" si="47"/>
        <v>CUMPLE</v>
      </c>
      <c r="BA256" s="14">
        <v>12.7</v>
      </c>
      <c r="BB256" s="14">
        <v>129</v>
      </c>
      <c r="BC256" s="13">
        <f>MAX(IF(AK256=0,0,AK256*1000/([1]Parametros!$B$4*MIN(U256,AB256))),MAX(0.062*SQRT([1]Parametros!$B$2)*H256/[1]Parametros!$B$4,0.35*H256/[1]Parametros!$B$4))</f>
        <v>2.609220546732022</v>
      </c>
      <c r="BD256" s="13">
        <f t="shared" si="48"/>
        <v>0</v>
      </c>
      <c r="BE256" s="13">
        <f t="shared" si="49"/>
        <v>2.8666666666666667</v>
      </c>
      <c r="BF256" s="13">
        <f>SQRT((AI256*1000/(H256*MIN(U256,AB256)))^2+(Q256*1000000*2*((H256-2*([1]Parametros!$B$7+[1]Parametros!$B$9/2))+(I256-2*([1]Parametros!$B$7+[1]Parametros!$B$9/2)))/(1.7*((H256-2*([1]Parametros!$B$7+[1]Parametros!$B$9/2))*(I256-2*([1]Parametros!$B$7+[1]Parametros!$B$9/2)))^2))^2)</f>
        <v>2.3284461584455078</v>
      </c>
      <c r="BG256" s="13">
        <f>[1]Parametros!$B$6*(AJ256*1000/(H256*MIN(U256,AB256))+0.66*SQRT([1]Parametros!$B$2))</f>
        <v>3.2939603822754151</v>
      </c>
      <c r="BH256" s="13" t="str">
        <f t="shared" si="50"/>
        <v>CUMPLE</v>
      </c>
      <c r="BI256" s="13">
        <f>AX256*[1]Parametros!$B$8</f>
        <v>0</v>
      </c>
      <c r="BJ256" s="15" t="str">
        <f t="shared" si="51"/>
        <v>CUMPLE</v>
      </c>
    </row>
    <row r="257" spans="1:62" x14ac:dyDescent="0.3">
      <c r="A257" s="43" t="s">
        <v>74</v>
      </c>
      <c r="B257" s="44">
        <v>248</v>
      </c>
      <c r="C257" s="13">
        <v>1</v>
      </c>
      <c r="D257" s="13">
        <v>1.9</v>
      </c>
      <c r="E257" s="13">
        <v>1.9</v>
      </c>
      <c r="F257" s="13">
        <v>500</v>
      </c>
      <c r="G257" s="13">
        <v>550</v>
      </c>
      <c r="H257" s="13">
        <v>500</v>
      </c>
      <c r="I257" s="13">
        <v>550</v>
      </c>
      <c r="J257" s="14">
        <v>166.9179</v>
      </c>
      <c r="K257" s="13">
        <v>248</v>
      </c>
      <c r="L257" s="14">
        <v>134.601</v>
      </c>
      <c r="M257" s="13">
        <v>248</v>
      </c>
      <c r="N257" s="14">
        <v>161.43100000000001</v>
      </c>
      <c r="O257" s="14">
        <v>614.31399999999996</v>
      </c>
      <c r="P257" s="13">
        <v>248</v>
      </c>
      <c r="Q257" s="14">
        <v>4.3194999999999997</v>
      </c>
      <c r="R257" s="13">
        <f>MAX(MAX(1.4/[1]Parametros!$B$3,0.25*SQRT([1]Parametros!$B$2)/[1]Parametros!$B$3)*H257*U257,(0.85*[1]Parametros!$B$2/[1]Parametros!$B$3)*(1-SQRT(1-2*(J257*1000000/([1]Parametros!$B$5*H257*U257^2))/(0.85*[1]Parametros!$B$2)))*H257*U257)</f>
        <v>933.83208086546233</v>
      </c>
      <c r="S257" s="14">
        <v>5</v>
      </c>
      <c r="T257" s="14">
        <v>1</v>
      </c>
      <c r="U257" s="13">
        <f>IF(T257=1,I257-([1]Parametros!$B$7+[1]Parametros!$B$9+[1]Parametros!$B$12/2),I257-(ROUNDUP(S257/2,0)*([1]Parametros!$B$7+[1]Parametros!$B$9+[1]Parametros!$B$12/2)+ROUNDDOWN(S257/2,0)*([1]Parametros!$B$7+[1]Parametros!$B$9+[1]Parametros!$B$12/2+[1]Parametros!$B$12+[1]Parametros!$B$10))/S257)</f>
        <v>489.35</v>
      </c>
      <c r="V257" s="13">
        <f>S257*[1]Parametros!$B$8</f>
        <v>995</v>
      </c>
      <c r="W257" s="13">
        <f>[1]Parametros!$B$5*V257*[1]Parametros!$B$3*(U257-(V257*[1]Parametros!$B$3/(0.85*[1]Parametros!$B$2*H257))/2)/1000000</f>
        <v>177.44537938235294</v>
      </c>
      <c r="X257" s="13" t="str">
        <f t="shared" si="39"/>
        <v>CUMPLE</v>
      </c>
      <c r="Y257" s="13">
        <f>MAX(MAX(1.4/[1]Parametros!$B$3,0.25*SQRT([1]Parametros!$B$2)/[1]Parametros!$B$3)*H257*AB257,(0.85*[1]Parametros!$B$2/[1]Parametros!$B$3)*(1-SQRT(1-2*(L257*1000000/([1]Parametros!$B$5*H257*AB257^2))/(0.85*[1]Parametros!$B$2)))*H257*AB257)</f>
        <v>815.58333333333326</v>
      </c>
      <c r="Z257" s="14">
        <v>5</v>
      </c>
      <c r="AA257" s="14">
        <v>1</v>
      </c>
      <c r="AB257" s="13">
        <f>IF(AA257=1,I257-([1]Parametros!$B$7+[1]Parametros!$B$9+[1]Parametros!$B$12/2),I257-(ROUNDUP(Z257/2,0)*([1]Parametros!$B$7+[1]Parametros!$B$9+[1]Parametros!$B$12/2)+ROUNDDOWN(Z257/2,0)*([1]Parametros!$B$7+[1]Parametros!$B$9+[1]Parametros!$B$12/2+[1]Parametros!$B$12+[1]Parametros!$B$10))/Z257)</f>
        <v>489.35</v>
      </c>
      <c r="AC257" s="13">
        <f>Z257*[1]Parametros!$B$8</f>
        <v>995</v>
      </c>
      <c r="AD257" s="13">
        <f>[1]Parametros!$B$5*AC257*[1]Parametros!$B$3*(AB257-(AC257*[1]Parametros!$B$3/(0.85*[1]Parametros!$B$2*H257))/2)/1000000</f>
        <v>177.44537938235294</v>
      </c>
      <c r="AE257" s="13" t="str">
        <f t="shared" si="40"/>
        <v>CUMPLE</v>
      </c>
      <c r="AF257" s="13">
        <f>V257*1.25*[1]Parametros!$B$3*(U257-(V257*1.25*[1]Parametros!$B$3/(0.85*[1]Parametros!$B$2*H257))/2)/1000000</f>
        <v>244.15884319852941</v>
      </c>
      <c r="AG257" s="13">
        <f>AC257*1.25*[1]Parametros!$B$3*(AB257-(AC257*1.25*[1]Parametros!$B$3/(0.85*[1]Parametros!$B$2*H257))/2)/1000000</f>
        <v>244.15884319852941</v>
      </c>
      <c r="AH257" s="13">
        <f t="shared" si="41"/>
        <v>418.44030863003093</v>
      </c>
      <c r="AI257" s="13">
        <f t="shared" si="42"/>
        <v>614.31399999999996</v>
      </c>
      <c r="AJ257" s="13">
        <f>0.17*SQRT([1]Parametros!$B$2)*H257*MIN(U257,AB257)/1000</f>
        <v>220.09872869180776</v>
      </c>
      <c r="AK257" s="13">
        <f>MAX(AI257/[1]Parametros!$B$6-AJ257,0)</f>
        <v>598.98660464152556</v>
      </c>
      <c r="AL257" s="13">
        <f>0.66*SQRT([1]Parametros!$B$2)*H257*MIN(U257,AB257)/1000</f>
        <v>854.500946685842</v>
      </c>
      <c r="AM257" s="13" t="str">
        <f t="shared" si="43"/>
        <v>CUMPLE</v>
      </c>
      <c r="AN257" s="13" t="s">
        <v>68</v>
      </c>
      <c r="AO257" s="14">
        <v>2</v>
      </c>
      <c r="AP257" s="13">
        <f>ROUNDDOWN(MIN(IF(BC257+BD257=0,1000000000,AO257*BB257/(BC257+BD257)),MIN(U257,AB257)/4,8*[1]Parametros!$B$12,24*BA257,300,IF(AV257=0,1000000000,2*((H257-2*([1]Parametros!$B$7+[1]Parametros!$B$9/2))+(I257-2*([1]Parametros!$B$7+[1]Parametros!$B$9/2)))/8))/10,0)*10</f>
        <v>80</v>
      </c>
      <c r="AQ257" s="13">
        <f>ROUNDDOWN(MIN(IF(BC257+BD257=0,1000000000,AO257*BB257/(BC257+BD257)),IF(AK257&gt;0.33*SQRT([1]Parametros!$B$2)*H257*MIN(U257,AB257)/1000,MIN(U257,AB257)/4,MIN(U257,AB257)/2),600,IF(AV257=0,1000000000,2*((H257-2*([1]Parametros!$B$7+[1]Parametros!$B$9/2))+(I257-2*([1]Parametros!$B$7+[1]Parametros!$B$9/2)))/8))/10,0)*10</f>
        <v>80</v>
      </c>
      <c r="AR257" s="13">
        <f>[1]Parametros!$B$6*(AJ257+MAX(BE257-BD257,0)*[1]Parametros!$B$4*MIN(U257,AB257)/1000)</f>
        <v>662.19247776885595</v>
      </c>
      <c r="AS257" s="13" t="str">
        <f t="shared" si="44"/>
        <v>CUMPLE</v>
      </c>
      <c r="AT257" s="13">
        <f>[1]Parametros!$B$6*0.083*SQRT([1]Parametros!$B$2)*(H257*I257)^2/(2*(H257+I257))/1000000</f>
        <v>11.862178757598967</v>
      </c>
      <c r="AU257" s="13" t="str">
        <f t="shared" si="45"/>
        <v>DESPRECIABLE</v>
      </c>
      <c r="AV257" s="13">
        <f>IF(Q257&lt;=AT257,0,Q257*1000000/([1]Parametros!$B$6*2*0.85*(H257-2*([1]Parametros!$B$7+[1]Parametros!$B$9/2))*(I257-2*([1]Parametros!$B$7+[1]Parametros!$B$9/2))*[1]Parametros!$B$4))</f>
        <v>0</v>
      </c>
      <c r="AW257" s="13">
        <f>AV257*2*((H257-2*([1]Parametros!$B$7+[1]Parametros!$B$9/2))+(I257-2*([1]Parametros!$B$7+[1]Parametros!$B$9/2)))*[1]Parametros!$B$4/[1]Parametros!$B$3</f>
        <v>0</v>
      </c>
      <c r="AX257" s="14">
        <v>0</v>
      </c>
      <c r="AY257" s="13" t="str">
        <f t="shared" si="46"/>
        <v>DESPRECIABLE</v>
      </c>
      <c r="AZ257" s="13" t="str">
        <f t="shared" si="47"/>
        <v>CUMPLE</v>
      </c>
      <c r="BA257" s="14">
        <v>12.7</v>
      </c>
      <c r="BB257" s="14">
        <v>129</v>
      </c>
      <c r="BC257" s="13">
        <f>MAX(IF(AK257=0,0,AK257*1000/([1]Parametros!$B$4*MIN(U257,AB257))),MAX(0.062*SQRT([1]Parametros!$B$2)*H257/[1]Parametros!$B$4,0.35*H257/[1]Parametros!$B$4))</f>
        <v>2.9143937518745737</v>
      </c>
      <c r="BD257" s="13">
        <f t="shared" si="48"/>
        <v>0</v>
      </c>
      <c r="BE257" s="13">
        <f t="shared" si="49"/>
        <v>3.2250000000000001</v>
      </c>
      <c r="BF257" s="13">
        <f>SQRT((AI257*1000/(H257*MIN(U257,AB257)))^2+(Q257*1000000*2*((H257-2*([1]Parametros!$B$7+[1]Parametros!$B$9/2))+(I257-2*([1]Parametros!$B$7+[1]Parametros!$B$9/2)))/(1.7*((H257-2*([1]Parametros!$B$7+[1]Parametros!$B$9/2))*(I257-2*([1]Parametros!$B$7+[1]Parametros!$B$9/2)))^2))^2)</f>
        <v>2.5139268496127567</v>
      </c>
      <c r="BG257" s="13">
        <f>[1]Parametros!$B$6*(AJ257*1000/(H257*MIN(U257,AB257))+0.66*SQRT([1]Parametros!$B$2))</f>
        <v>3.2939603822754151</v>
      </c>
      <c r="BH257" s="13" t="str">
        <f t="shared" si="50"/>
        <v>CUMPLE</v>
      </c>
      <c r="BI257" s="13">
        <f>AX257*[1]Parametros!$B$8</f>
        <v>0</v>
      </c>
      <c r="BJ257" s="15" t="str">
        <f t="shared" si="51"/>
        <v>CUMPLE</v>
      </c>
    </row>
    <row r="258" spans="1:62" x14ac:dyDescent="0.3">
      <c r="A258" s="43" t="s">
        <v>74</v>
      </c>
      <c r="B258" s="44">
        <v>249</v>
      </c>
      <c r="C258" s="13">
        <v>1</v>
      </c>
      <c r="D258" s="13">
        <v>3.4</v>
      </c>
      <c r="E258" s="13">
        <v>3.4</v>
      </c>
      <c r="F258" s="13">
        <v>500</v>
      </c>
      <c r="G258" s="13">
        <v>550</v>
      </c>
      <c r="H258" s="13">
        <v>500</v>
      </c>
      <c r="I258" s="13">
        <v>550</v>
      </c>
      <c r="J258" s="14">
        <v>179.1028</v>
      </c>
      <c r="K258" s="13">
        <v>249</v>
      </c>
      <c r="L258" s="14">
        <v>119.2526</v>
      </c>
      <c r="M258" s="13">
        <v>249</v>
      </c>
      <c r="N258" s="14">
        <v>136.953</v>
      </c>
      <c r="O258" s="14">
        <v>405.06400000000002</v>
      </c>
      <c r="P258" s="13">
        <v>249</v>
      </c>
      <c r="Q258" s="14">
        <v>9.2236999999999991</v>
      </c>
      <c r="R258" s="13">
        <f>MAX(MAX(1.4/[1]Parametros!$B$3,0.25*SQRT([1]Parametros!$B$2)/[1]Parametros!$B$3)*H258*U258,(0.85*[1]Parametros!$B$2/[1]Parametros!$B$3)*(1-SQRT(1-2*(J258*1000000/([1]Parametros!$B$5*H258*U258^2))/(0.85*[1]Parametros!$B$2)))*H258*U258)</f>
        <v>1004.6566354185295</v>
      </c>
      <c r="S258" s="14">
        <v>6</v>
      </c>
      <c r="T258" s="14">
        <v>1</v>
      </c>
      <c r="U258" s="13">
        <f>IF(T258=1,I258-([1]Parametros!$B$7+[1]Parametros!$B$9+[1]Parametros!$B$12/2),I258-(ROUNDUP(S258/2,0)*([1]Parametros!$B$7+[1]Parametros!$B$9+[1]Parametros!$B$12/2)+ROUNDDOWN(S258/2,0)*([1]Parametros!$B$7+[1]Parametros!$B$9+[1]Parametros!$B$12/2+[1]Parametros!$B$12+[1]Parametros!$B$10))/S258)</f>
        <v>489.35</v>
      </c>
      <c r="V258" s="13">
        <f>S258*[1]Parametros!$B$8</f>
        <v>1194</v>
      </c>
      <c r="W258" s="13">
        <f>[1]Parametros!$B$5*V258*[1]Parametros!$B$3*(U258-(V258*[1]Parametros!$B$3/(0.85*[1]Parametros!$B$2*H258))/2)/1000000</f>
        <v>211.34948347058827</v>
      </c>
      <c r="X258" s="13" t="str">
        <f t="shared" si="39"/>
        <v>CUMPLE</v>
      </c>
      <c r="Y258" s="13">
        <f>MAX(MAX(1.4/[1]Parametros!$B$3,0.25*SQRT([1]Parametros!$B$2)/[1]Parametros!$B$3)*H258*AB258,(0.85*[1]Parametros!$B$2/[1]Parametros!$B$3)*(1-SQRT(1-2*(L258*1000000/([1]Parametros!$B$5*H258*AB258^2))/(0.85*[1]Parametros!$B$2)))*H258*AB258)</f>
        <v>815.58333333333326</v>
      </c>
      <c r="Z258" s="14">
        <v>5</v>
      </c>
      <c r="AA258" s="14">
        <v>1</v>
      </c>
      <c r="AB258" s="13">
        <f>IF(AA258=1,I258-([1]Parametros!$B$7+[1]Parametros!$B$9+[1]Parametros!$B$12/2),I258-(ROUNDUP(Z258/2,0)*([1]Parametros!$B$7+[1]Parametros!$B$9+[1]Parametros!$B$12/2)+ROUNDDOWN(Z258/2,0)*([1]Parametros!$B$7+[1]Parametros!$B$9+[1]Parametros!$B$12/2+[1]Parametros!$B$12+[1]Parametros!$B$10))/Z258)</f>
        <v>489.35</v>
      </c>
      <c r="AC258" s="13">
        <f>Z258*[1]Parametros!$B$8</f>
        <v>995</v>
      </c>
      <c r="AD258" s="13">
        <f>[1]Parametros!$B$5*AC258*[1]Parametros!$B$3*(AB258-(AC258*[1]Parametros!$B$3/(0.85*[1]Parametros!$B$2*H258))/2)/1000000</f>
        <v>177.44537938235294</v>
      </c>
      <c r="AE258" s="13" t="str">
        <f t="shared" si="40"/>
        <v>CUMPLE</v>
      </c>
      <c r="AF258" s="13">
        <f>V258*1.25*[1]Parametros!$B$3*(U258-(V258*1.25*[1]Parametros!$B$3/(0.85*[1]Parametros!$B$2*H258))/2)/1000000</f>
        <v>290.23892470588237</v>
      </c>
      <c r="AG258" s="13">
        <f>AC258*1.25*[1]Parametros!$B$3*(AB258-(AC258*1.25*[1]Parametros!$B$3/(0.85*[1]Parametros!$B$2*H258))/2)/1000000</f>
        <v>244.15884319852941</v>
      </c>
      <c r="AH258" s="13">
        <f t="shared" si="41"/>
        <v>294.12881408953285</v>
      </c>
      <c r="AI258" s="13">
        <f t="shared" si="42"/>
        <v>405.06400000000002</v>
      </c>
      <c r="AJ258" s="13">
        <f>0.17*SQRT([1]Parametros!$B$2)*H258*MIN(U258,AB258)/1000</f>
        <v>220.09872869180776</v>
      </c>
      <c r="AK258" s="13">
        <f>MAX(AI258/[1]Parametros!$B$6-AJ258,0)</f>
        <v>319.98660464152556</v>
      </c>
      <c r="AL258" s="13">
        <f>0.66*SQRT([1]Parametros!$B$2)*H258*MIN(U258,AB258)/1000</f>
        <v>854.500946685842</v>
      </c>
      <c r="AM258" s="13" t="str">
        <f t="shared" si="43"/>
        <v>CUMPLE</v>
      </c>
      <c r="AN258" s="13" t="s">
        <v>64</v>
      </c>
      <c r="AO258" s="14">
        <v>2</v>
      </c>
      <c r="AP258" s="13">
        <f>ROUNDDOWN(MIN(IF(BC258+BD258=0,1000000000,AO258*BB258/(BC258+BD258)),MIN(U258,AB258)/4,8*[1]Parametros!$B$12,24*BA258,300,IF(AV258=0,1000000000,2*((H258-2*([1]Parametros!$B$7+[1]Parametros!$B$9/2))+(I258-2*([1]Parametros!$B$7+[1]Parametros!$B$9/2)))/8))/10,0)*10</f>
        <v>90</v>
      </c>
      <c r="AQ258" s="13">
        <f>ROUNDDOWN(MIN(IF(BC258+BD258=0,1000000000,AO258*BB258/(BC258+BD258)),IF(AK258&gt;0.33*SQRT([1]Parametros!$B$2)*H258*MIN(U258,AB258)/1000,MIN(U258,AB258)/4,MIN(U258,AB258)/2),600,IF(AV258=0,1000000000,2*((H258-2*([1]Parametros!$B$7+[1]Parametros!$B$9/2))+(I258-2*([1]Parametros!$B$7+[1]Parametros!$B$9/2)))/8))/10,0)*10</f>
        <v>90</v>
      </c>
      <c r="AR258" s="13">
        <f>[1]Parametros!$B$6*(AJ258+MAX(BE258-BD258,0)*[1]Parametros!$B$4*MIN(U258,AB258)/1000)</f>
        <v>408.28099651885583</v>
      </c>
      <c r="AS258" s="13" t="str">
        <f t="shared" si="44"/>
        <v>CUMPLE</v>
      </c>
      <c r="AT258" s="13">
        <f>[1]Parametros!$B$6*0.083*SQRT([1]Parametros!$B$2)*(H258*I258)^2/(2*(H258+I258))/1000000</f>
        <v>11.862178757598967</v>
      </c>
      <c r="AU258" s="13" t="str">
        <f t="shared" si="45"/>
        <v>DESPRECIABLE</v>
      </c>
      <c r="AV258" s="13">
        <f>IF(Q258&lt;=AT258,0,Q258*1000000/([1]Parametros!$B$6*2*0.85*(H258-2*([1]Parametros!$B$7+[1]Parametros!$B$9/2))*(I258-2*([1]Parametros!$B$7+[1]Parametros!$B$9/2))*[1]Parametros!$B$4))</f>
        <v>0</v>
      </c>
      <c r="AW258" s="13">
        <f>AV258*2*((H258-2*([1]Parametros!$B$7+[1]Parametros!$B$9/2))+(I258-2*([1]Parametros!$B$7+[1]Parametros!$B$9/2)))*[1]Parametros!$B$4/[1]Parametros!$B$3</f>
        <v>0</v>
      </c>
      <c r="AX258" s="14">
        <v>0</v>
      </c>
      <c r="AY258" s="13" t="str">
        <f t="shared" si="46"/>
        <v>DESPRECIABLE</v>
      </c>
      <c r="AZ258" s="13" t="str">
        <f t="shared" si="47"/>
        <v>CUMPLE</v>
      </c>
      <c r="BA258" s="14">
        <v>9.5</v>
      </c>
      <c r="BB258" s="14">
        <v>71</v>
      </c>
      <c r="BC258" s="13">
        <f>MAX(IF(AK258=0,0,AK258*1000/([1]Parametros!$B$4*MIN(U258,AB258))),MAX(0.062*SQRT([1]Parametros!$B$2)*H258/[1]Parametros!$B$4,0.35*H258/[1]Parametros!$B$4))</f>
        <v>1.5569078741066893</v>
      </c>
      <c r="BD258" s="13">
        <f t="shared" si="48"/>
        <v>0</v>
      </c>
      <c r="BE258" s="13">
        <f t="shared" si="49"/>
        <v>1.5777777777777777</v>
      </c>
      <c r="BF258" s="13">
        <f>SQRT((AI258*1000/(H258*MIN(U258,AB258)))^2+(Q258*1000000*2*((H258-2*([1]Parametros!$B$7+[1]Parametros!$B$9/2))+(I258-2*([1]Parametros!$B$7+[1]Parametros!$B$9/2)))/(1.7*((H258-2*([1]Parametros!$B$7+[1]Parametros!$B$9/2))*(I258-2*([1]Parametros!$B$7+[1]Parametros!$B$9/2)))^2))^2)</f>
        <v>1.6774621363603202</v>
      </c>
      <c r="BG258" s="13">
        <f>[1]Parametros!$B$6*(AJ258*1000/(H258*MIN(U258,AB258))+0.66*SQRT([1]Parametros!$B$2))</f>
        <v>3.2939603822754151</v>
      </c>
      <c r="BH258" s="13" t="str">
        <f t="shared" si="50"/>
        <v>CUMPLE</v>
      </c>
      <c r="BI258" s="13">
        <f>AX258*[1]Parametros!$B$8</f>
        <v>0</v>
      </c>
      <c r="BJ258" s="15" t="str">
        <f t="shared" si="51"/>
        <v>CUMPLE</v>
      </c>
    </row>
    <row r="259" spans="1:62" x14ac:dyDescent="0.3">
      <c r="A259" s="43" t="s">
        <v>74</v>
      </c>
      <c r="B259" s="44">
        <v>250</v>
      </c>
      <c r="C259" s="13">
        <v>1</v>
      </c>
      <c r="D259" s="13">
        <v>3.4</v>
      </c>
      <c r="E259" s="13">
        <v>3.4</v>
      </c>
      <c r="F259" s="13">
        <v>500</v>
      </c>
      <c r="G259" s="13">
        <v>550</v>
      </c>
      <c r="H259" s="13">
        <v>500</v>
      </c>
      <c r="I259" s="13">
        <v>550</v>
      </c>
      <c r="J259" s="14">
        <v>179.0934</v>
      </c>
      <c r="K259" s="13">
        <v>250</v>
      </c>
      <c r="L259" s="14">
        <v>119.33150000000001</v>
      </c>
      <c r="M259" s="13">
        <v>250</v>
      </c>
      <c r="N259" s="14">
        <v>136.99600000000001</v>
      </c>
      <c r="O259" s="14">
        <v>405.20400000000001</v>
      </c>
      <c r="P259" s="13">
        <v>250</v>
      </c>
      <c r="Q259" s="14">
        <v>9.2477999999999998</v>
      </c>
      <c r="R259" s="13">
        <f>MAX(MAX(1.4/[1]Parametros!$B$3,0.25*SQRT([1]Parametros!$B$2)/[1]Parametros!$B$3)*H259*U259,(0.85*[1]Parametros!$B$2/[1]Parametros!$B$3)*(1-SQRT(1-2*(J259*1000000/([1]Parametros!$B$5*H259*U259^2))/(0.85*[1]Parametros!$B$2)))*H259*U259)</f>
        <v>1004.601847720974</v>
      </c>
      <c r="S259" s="14">
        <v>6</v>
      </c>
      <c r="T259" s="14">
        <v>1</v>
      </c>
      <c r="U259" s="13">
        <f>IF(T259=1,I259-([1]Parametros!$B$7+[1]Parametros!$B$9+[1]Parametros!$B$12/2),I259-(ROUNDUP(S259/2,0)*([1]Parametros!$B$7+[1]Parametros!$B$9+[1]Parametros!$B$12/2)+ROUNDDOWN(S259/2,0)*([1]Parametros!$B$7+[1]Parametros!$B$9+[1]Parametros!$B$12/2+[1]Parametros!$B$12+[1]Parametros!$B$10))/S259)</f>
        <v>489.35</v>
      </c>
      <c r="V259" s="13">
        <f>S259*[1]Parametros!$B$8</f>
        <v>1194</v>
      </c>
      <c r="W259" s="13">
        <f>[1]Parametros!$B$5*V259*[1]Parametros!$B$3*(U259-(V259*[1]Parametros!$B$3/(0.85*[1]Parametros!$B$2*H259))/2)/1000000</f>
        <v>211.34948347058827</v>
      </c>
      <c r="X259" s="13" t="str">
        <f t="shared" si="39"/>
        <v>CUMPLE</v>
      </c>
      <c r="Y259" s="13">
        <f>MAX(MAX(1.4/[1]Parametros!$B$3,0.25*SQRT([1]Parametros!$B$2)/[1]Parametros!$B$3)*H259*AB259,(0.85*[1]Parametros!$B$2/[1]Parametros!$B$3)*(1-SQRT(1-2*(L259*1000000/([1]Parametros!$B$5*H259*AB259^2))/(0.85*[1]Parametros!$B$2)))*H259*AB259)</f>
        <v>815.58333333333326</v>
      </c>
      <c r="Z259" s="14">
        <v>5</v>
      </c>
      <c r="AA259" s="14">
        <v>1</v>
      </c>
      <c r="AB259" s="13">
        <f>IF(AA259=1,I259-([1]Parametros!$B$7+[1]Parametros!$B$9+[1]Parametros!$B$12/2),I259-(ROUNDUP(Z259/2,0)*([1]Parametros!$B$7+[1]Parametros!$B$9+[1]Parametros!$B$12/2)+ROUNDDOWN(Z259/2,0)*([1]Parametros!$B$7+[1]Parametros!$B$9+[1]Parametros!$B$12/2+[1]Parametros!$B$12+[1]Parametros!$B$10))/Z259)</f>
        <v>489.35</v>
      </c>
      <c r="AC259" s="13">
        <f>Z259*[1]Parametros!$B$8</f>
        <v>995</v>
      </c>
      <c r="AD259" s="13">
        <f>[1]Parametros!$B$5*AC259*[1]Parametros!$B$3*(AB259-(AC259*[1]Parametros!$B$3/(0.85*[1]Parametros!$B$2*H259))/2)/1000000</f>
        <v>177.44537938235294</v>
      </c>
      <c r="AE259" s="13" t="str">
        <f t="shared" si="40"/>
        <v>CUMPLE</v>
      </c>
      <c r="AF259" s="13">
        <f>V259*1.25*[1]Parametros!$B$3*(U259-(V259*1.25*[1]Parametros!$B$3/(0.85*[1]Parametros!$B$2*H259))/2)/1000000</f>
        <v>290.23892470588237</v>
      </c>
      <c r="AG259" s="13">
        <f>AC259*1.25*[1]Parametros!$B$3*(AB259-(AC259*1.25*[1]Parametros!$B$3/(0.85*[1]Parametros!$B$2*H259))/2)/1000000</f>
        <v>244.15884319852941</v>
      </c>
      <c r="AH259" s="13">
        <f t="shared" si="41"/>
        <v>294.17181408953286</v>
      </c>
      <c r="AI259" s="13">
        <f t="shared" si="42"/>
        <v>405.20400000000001</v>
      </c>
      <c r="AJ259" s="13">
        <f>0.17*SQRT([1]Parametros!$B$2)*H259*MIN(U259,AB259)/1000</f>
        <v>220.09872869180776</v>
      </c>
      <c r="AK259" s="13">
        <f>MAX(AI259/[1]Parametros!$B$6-AJ259,0)</f>
        <v>320.17327130819228</v>
      </c>
      <c r="AL259" s="13">
        <f>0.66*SQRT([1]Parametros!$B$2)*H259*MIN(U259,AB259)/1000</f>
        <v>854.500946685842</v>
      </c>
      <c r="AM259" s="13" t="str">
        <f t="shared" si="43"/>
        <v>CUMPLE</v>
      </c>
      <c r="AN259" s="13" t="s">
        <v>64</v>
      </c>
      <c r="AO259" s="14">
        <v>2</v>
      </c>
      <c r="AP259" s="13">
        <f>ROUNDDOWN(MIN(IF(BC259+BD259=0,1000000000,AO259*BB259/(BC259+BD259)),MIN(U259,AB259)/4,8*[1]Parametros!$B$12,24*BA259,300,IF(AV259=0,1000000000,2*((H259-2*([1]Parametros!$B$7+[1]Parametros!$B$9/2))+(I259-2*([1]Parametros!$B$7+[1]Parametros!$B$9/2)))/8))/10,0)*10</f>
        <v>90</v>
      </c>
      <c r="AQ259" s="13">
        <f>ROUNDDOWN(MIN(IF(BC259+BD259=0,1000000000,AO259*BB259/(BC259+BD259)),IF(AK259&gt;0.33*SQRT([1]Parametros!$B$2)*H259*MIN(U259,AB259)/1000,MIN(U259,AB259)/4,MIN(U259,AB259)/2),600,IF(AV259=0,1000000000,2*((H259-2*([1]Parametros!$B$7+[1]Parametros!$B$9/2))+(I259-2*([1]Parametros!$B$7+[1]Parametros!$B$9/2)))/8))/10,0)*10</f>
        <v>90</v>
      </c>
      <c r="AR259" s="13">
        <f>[1]Parametros!$B$6*(AJ259+MAX(BE259-BD259,0)*[1]Parametros!$B$4*MIN(U259,AB259)/1000)</f>
        <v>408.28099651885583</v>
      </c>
      <c r="AS259" s="13" t="str">
        <f t="shared" si="44"/>
        <v>CUMPLE</v>
      </c>
      <c r="AT259" s="13">
        <f>[1]Parametros!$B$6*0.083*SQRT([1]Parametros!$B$2)*(H259*I259)^2/(2*(H259+I259))/1000000</f>
        <v>11.862178757598967</v>
      </c>
      <c r="AU259" s="13" t="str">
        <f t="shared" si="45"/>
        <v>DESPRECIABLE</v>
      </c>
      <c r="AV259" s="13">
        <f>IF(Q259&lt;=AT259,0,Q259*1000000/([1]Parametros!$B$6*2*0.85*(H259-2*([1]Parametros!$B$7+[1]Parametros!$B$9/2))*(I259-2*([1]Parametros!$B$7+[1]Parametros!$B$9/2))*[1]Parametros!$B$4))</f>
        <v>0</v>
      </c>
      <c r="AW259" s="13">
        <f>AV259*2*((H259-2*([1]Parametros!$B$7+[1]Parametros!$B$9/2))+(I259-2*([1]Parametros!$B$7+[1]Parametros!$B$9/2)))*[1]Parametros!$B$4/[1]Parametros!$B$3</f>
        <v>0</v>
      </c>
      <c r="AX259" s="14">
        <v>0</v>
      </c>
      <c r="AY259" s="13" t="str">
        <f t="shared" si="46"/>
        <v>DESPRECIABLE</v>
      </c>
      <c r="AZ259" s="13" t="str">
        <f t="shared" si="47"/>
        <v>CUMPLE</v>
      </c>
      <c r="BA259" s="14">
        <v>9.5</v>
      </c>
      <c r="BB259" s="14">
        <v>71</v>
      </c>
      <c r="BC259" s="13">
        <f>MAX(IF(AK259=0,0,AK259*1000/([1]Parametros!$B$4*MIN(U259,AB259))),MAX(0.062*SQRT([1]Parametros!$B$2)*H259/[1]Parametros!$B$4,0.35*H259/[1]Parametros!$B$4))</f>
        <v>1.557816108385722</v>
      </c>
      <c r="BD259" s="13">
        <f t="shared" si="48"/>
        <v>0</v>
      </c>
      <c r="BE259" s="13">
        <f t="shared" si="49"/>
        <v>1.5777777777777777</v>
      </c>
      <c r="BF259" s="13">
        <f>SQRT((AI259*1000/(H259*MIN(U259,AB259)))^2+(Q259*1000000*2*((H259-2*([1]Parametros!$B$7+[1]Parametros!$B$9/2))+(I259-2*([1]Parametros!$B$7+[1]Parametros!$B$9/2)))/(1.7*((H259-2*([1]Parametros!$B$7+[1]Parametros!$B$9/2))*(I259-2*([1]Parametros!$B$7+[1]Parametros!$B$9/2)))^2))^2)</f>
        <v>1.6781408679437551</v>
      </c>
      <c r="BG259" s="13">
        <f>[1]Parametros!$B$6*(AJ259*1000/(H259*MIN(U259,AB259))+0.66*SQRT([1]Parametros!$B$2))</f>
        <v>3.2939603822754151</v>
      </c>
      <c r="BH259" s="13" t="str">
        <f t="shared" si="50"/>
        <v>CUMPLE</v>
      </c>
      <c r="BI259" s="13">
        <f>AX259*[1]Parametros!$B$8</f>
        <v>0</v>
      </c>
      <c r="BJ259" s="15" t="str">
        <f t="shared" si="51"/>
        <v>CUMPLE</v>
      </c>
    </row>
    <row r="260" spans="1:62" x14ac:dyDescent="0.3">
      <c r="A260" s="43" t="s">
        <v>74</v>
      </c>
      <c r="B260" s="44">
        <v>251</v>
      </c>
      <c r="C260" s="13">
        <v>1</v>
      </c>
      <c r="D260" s="13">
        <v>1.9</v>
      </c>
      <c r="E260" s="13">
        <v>1.9</v>
      </c>
      <c r="F260" s="13">
        <v>500</v>
      </c>
      <c r="G260" s="13">
        <v>550</v>
      </c>
      <c r="H260" s="13">
        <v>500</v>
      </c>
      <c r="I260" s="13">
        <v>550</v>
      </c>
      <c r="J260" s="14">
        <v>167.04159999999999</v>
      </c>
      <c r="K260" s="13">
        <v>251</v>
      </c>
      <c r="L260" s="14">
        <v>134.68369999999999</v>
      </c>
      <c r="M260" s="13">
        <v>251</v>
      </c>
      <c r="N260" s="14">
        <v>161.536</v>
      </c>
      <c r="O260" s="14">
        <v>614.44299999999998</v>
      </c>
      <c r="P260" s="13">
        <v>251</v>
      </c>
      <c r="Q260" s="14">
        <v>4.3369999999999997</v>
      </c>
      <c r="R260" s="13">
        <f>MAX(MAX(1.4/[1]Parametros!$B$3,0.25*SQRT([1]Parametros!$B$2)/[1]Parametros!$B$3)*H260*U260,(0.85*[1]Parametros!$B$2/[1]Parametros!$B$3)*(1-SQRT(1-2*(J260*1000000/([1]Parametros!$B$5*H260*U260^2))/(0.85*[1]Parametros!$B$2)))*H260*U260)</f>
        <v>934.54913618112653</v>
      </c>
      <c r="S260" s="14">
        <v>5</v>
      </c>
      <c r="T260" s="14">
        <v>1</v>
      </c>
      <c r="U260" s="13">
        <f>IF(T260=1,I260-([1]Parametros!$B$7+[1]Parametros!$B$9+[1]Parametros!$B$12/2),I260-(ROUNDUP(S260/2,0)*([1]Parametros!$B$7+[1]Parametros!$B$9+[1]Parametros!$B$12/2)+ROUNDDOWN(S260/2,0)*([1]Parametros!$B$7+[1]Parametros!$B$9+[1]Parametros!$B$12/2+[1]Parametros!$B$12+[1]Parametros!$B$10))/S260)</f>
        <v>489.35</v>
      </c>
      <c r="V260" s="13">
        <f>S260*[1]Parametros!$B$8</f>
        <v>995</v>
      </c>
      <c r="W260" s="13">
        <f>[1]Parametros!$B$5*V260*[1]Parametros!$B$3*(U260-(V260*[1]Parametros!$B$3/(0.85*[1]Parametros!$B$2*H260))/2)/1000000</f>
        <v>177.44537938235294</v>
      </c>
      <c r="X260" s="13" t="str">
        <f t="shared" ref="X260:X323" si="52">IF(W260&gt;=J260,"CUMPLE","NO CUMPLE")</f>
        <v>CUMPLE</v>
      </c>
      <c r="Y260" s="13">
        <f>MAX(MAX(1.4/[1]Parametros!$B$3,0.25*SQRT([1]Parametros!$B$2)/[1]Parametros!$B$3)*H260*AB260,(0.85*[1]Parametros!$B$2/[1]Parametros!$B$3)*(1-SQRT(1-2*(L260*1000000/([1]Parametros!$B$5*H260*AB260^2))/(0.85*[1]Parametros!$B$2)))*H260*AB260)</f>
        <v>815.58333333333326</v>
      </c>
      <c r="Z260" s="14">
        <v>5</v>
      </c>
      <c r="AA260" s="14">
        <v>1</v>
      </c>
      <c r="AB260" s="13">
        <f>IF(AA260=1,I260-([1]Parametros!$B$7+[1]Parametros!$B$9+[1]Parametros!$B$12/2),I260-(ROUNDUP(Z260/2,0)*([1]Parametros!$B$7+[1]Parametros!$B$9+[1]Parametros!$B$12/2)+ROUNDDOWN(Z260/2,0)*([1]Parametros!$B$7+[1]Parametros!$B$9+[1]Parametros!$B$12/2+[1]Parametros!$B$12+[1]Parametros!$B$10))/Z260)</f>
        <v>489.35</v>
      </c>
      <c r="AC260" s="13">
        <f>Z260*[1]Parametros!$B$8</f>
        <v>995</v>
      </c>
      <c r="AD260" s="13">
        <f>[1]Parametros!$B$5*AC260*[1]Parametros!$B$3*(AB260-(AC260*[1]Parametros!$B$3/(0.85*[1]Parametros!$B$2*H260))/2)/1000000</f>
        <v>177.44537938235294</v>
      </c>
      <c r="AE260" s="13" t="str">
        <f t="shared" ref="AE260:AE323" si="53">IF(AD260&gt;=L260,"CUMPLE","NO CUMPLE")</f>
        <v>CUMPLE</v>
      </c>
      <c r="AF260" s="13">
        <f>V260*1.25*[1]Parametros!$B$3*(U260-(V260*1.25*[1]Parametros!$B$3/(0.85*[1]Parametros!$B$2*H260))/2)/1000000</f>
        <v>244.15884319852941</v>
      </c>
      <c r="AG260" s="13">
        <f>AC260*1.25*[1]Parametros!$B$3*(AB260-(AC260*1.25*[1]Parametros!$B$3/(0.85*[1]Parametros!$B$2*H260))/2)/1000000</f>
        <v>244.15884319852941</v>
      </c>
      <c r="AH260" s="13">
        <f t="shared" ref="AH260:AH323" si="54">N260+(AF260+AG260)/D260</f>
        <v>418.54530863003095</v>
      </c>
      <c r="AI260" s="13">
        <f t="shared" ref="AI260:AI323" si="55">MAX(O260,AH260)</f>
        <v>614.44299999999998</v>
      </c>
      <c r="AJ260" s="13">
        <f>0.17*SQRT([1]Parametros!$B$2)*H260*MIN(U260,AB260)/1000</f>
        <v>220.09872869180776</v>
      </c>
      <c r="AK260" s="13">
        <f>MAX(AI260/[1]Parametros!$B$6-AJ260,0)</f>
        <v>599.15860464152559</v>
      </c>
      <c r="AL260" s="13">
        <f>0.66*SQRT([1]Parametros!$B$2)*H260*MIN(U260,AB260)/1000</f>
        <v>854.500946685842</v>
      </c>
      <c r="AM260" s="13" t="str">
        <f t="shared" ref="AM260:AM323" si="56">IF(AK260&lt;=AL260,"CUMPLE","NO CUMPLE")</f>
        <v>CUMPLE</v>
      </c>
      <c r="AN260" s="13" t="s">
        <v>68</v>
      </c>
      <c r="AO260" s="14">
        <v>2</v>
      </c>
      <c r="AP260" s="13">
        <f>ROUNDDOWN(MIN(IF(BC260+BD260=0,1000000000,AO260*BB260/(BC260+BD260)),MIN(U260,AB260)/4,8*[1]Parametros!$B$12,24*BA260,300,IF(AV260=0,1000000000,2*((H260-2*([1]Parametros!$B$7+[1]Parametros!$B$9/2))+(I260-2*([1]Parametros!$B$7+[1]Parametros!$B$9/2)))/8))/10,0)*10</f>
        <v>80</v>
      </c>
      <c r="AQ260" s="13">
        <f>ROUNDDOWN(MIN(IF(BC260+BD260=0,1000000000,AO260*BB260/(BC260+BD260)),IF(AK260&gt;0.33*SQRT([1]Parametros!$B$2)*H260*MIN(U260,AB260)/1000,MIN(U260,AB260)/4,MIN(U260,AB260)/2),600,IF(AV260=0,1000000000,2*((H260-2*([1]Parametros!$B$7+[1]Parametros!$B$9/2))+(I260-2*([1]Parametros!$B$7+[1]Parametros!$B$9/2)))/8))/10,0)*10</f>
        <v>80</v>
      </c>
      <c r="AR260" s="13">
        <f>[1]Parametros!$B$6*(AJ260+MAX(BE260-BD260,0)*[1]Parametros!$B$4*MIN(U260,AB260)/1000)</f>
        <v>662.19247776885595</v>
      </c>
      <c r="AS260" s="13" t="str">
        <f t="shared" ref="AS260:AS323" si="57">IF(AND(ISERROR(SEARCH("referencia",AN260)),AM260="CUMPLE",AR260&gt;=AI260),"CUMPLE","NO CUMPLE")</f>
        <v>CUMPLE</v>
      </c>
      <c r="AT260" s="13">
        <f>[1]Parametros!$B$6*0.083*SQRT([1]Parametros!$B$2)*(H260*I260)^2/(2*(H260+I260))/1000000</f>
        <v>11.862178757598967</v>
      </c>
      <c r="AU260" s="13" t="str">
        <f t="shared" ref="AU260:AU323" si="58">IF(Q260&lt;=AT260,"DESPRECIABLE","DISEÑAR")</f>
        <v>DESPRECIABLE</v>
      </c>
      <c r="AV260" s="13">
        <f>IF(Q260&lt;=AT260,0,Q260*1000000/([1]Parametros!$B$6*2*0.85*(H260-2*([1]Parametros!$B$7+[1]Parametros!$B$9/2))*(I260-2*([1]Parametros!$B$7+[1]Parametros!$B$9/2))*[1]Parametros!$B$4))</f>
        <v>0</v>
      </c>
      <c r="AW260" s="13">
        <f>AV260*2*((H260-2*([1]Parametros!$B$7+[1]Parametros!$B$9/2))+(I260-2*([1]Parametros!$B$7+[1]Parametros!$B$9/2)))*[1]Parametros!$B$4/[1]Parametros!$B$3</f>
        <v>0</v>
      </c>
      <c r="AX260" s="14">
        <v>0</v>
      </c>
      <c r="AY260" s="13" t="str">
        <f t="shared" ref="AY260:AY323" si="59">IF(AV260=0,"DESPRECIABLE",IF(AND(ISERROR(SEARCH("referencia",AN260)),BB260/AP260&gt;=AV260,BI260&gt;=AW260,BH260="CUMPLE"),"CUMPLE","NO CUMPLE"))</f>
        <v>DESPRECIABLE</v>
      </c>
      <c r="AZ260" s="13" t="str">
        <f t="shared" ref="AZ260:AZ323" si="60">IF(AND(X260="CUMPLE",AE260="CUMPLE",AS260="CUMPLE",OR(AY260="CUMPLE",AY260="DESPRECIABLE"),BH260="CUMPLE",BJ260="CUMPLE"),"CUMPLE","NO CUMPLE")</f>
        <v>CUMPLE</v>
      </c>
      <c r="BA260" s="14">
        <v>12.7</v>
      </c>
      <c r="BB260" s="14">
        <v>129</v>
      </c>
      <c r="BC260" s="13">
        <f>MAX(IF(AK260=0,0,AK260*1000/([1]Parametros!$B$4*MIN(U260,AB260))),MAX(0.062*SQRT([1]Parametros!$B$2)*H260/[1]Parametros!$B$4,0.35*H260/[1]Parametros!$B$4))</f>
        <v>2.9152306248888249</v>
      </c>
      <c r="BD260" s="13">
        <f t="shared" ref="BD260:BD323" si="61">2*AV260</f>
        <v>0</v>
      </c>
      <c r="BE260" s="13">
        <f t="shared" ref="BE260:BE323" si="62">AO260*BB260/AP260</f>
        <v>3.2250000000000001</v>
      </c>
      <c r="BF260" s="13">
        <f>SQRT((AI260*1000/(H260*MIN(U260,AB260)))^2+(Q260*1000000*2*((H260-2*([1]Parametros!$B$7+[1]Parametros!$B$9/2))+(I260-2*([1]Parametros!$B$7+[1]Parametros!$B$9/2)))/(1.7*((H260-2*([1]Parametros!$B$7+[1]Parametros!$B$9/2))*(I260-2*([1]Parametros!$B$7+[1]Parametros!$B$9/2)))^2))^2)</f>
        <v>2.5144793063931221</v>
      </c>
      <c r="BG260" s="13">
        <f>[1]Parametros!$B$6*(AJ260*1000/(H260*MIN(U260,AB260))+0.66*SQRT([1]Parametros!$B$2))</f>
        <v>3.2939603822754151</v>
      </c>
      <c r="BH260" s="13" t="str">
        <f t="shared" ref="BH260:BH323" si="63">IF(BF260&lt;=BG260,"CUMPLE","NO CUMPLE")</f>
        <v>CUMPLE</v>
      </c>
      <c r="BI260" s="13">
        <f>AX260*[1]Parametros!$B$8</f>
        <v>0</v>
      </c>
      <c r="BJ260" s="15" t="str">
        <f t="shared" ref="BJ260:BJ323" si="64">IF(BI260&gt;=AW260,"CUMPLE","NO CUMPLE")</f>
        <v>CUMPLE</v>
      </c>
    </row>
    <row r="261" spans="1:62" x14ac:dyDescent="0.3">
      <c r="A261" s="43" t="s">
        <v>74</v>
      </c>
      <c r="B261" s="44">
        <v>252</v>
      </c>
      <c r="C261" s="13">
        <v>1</v>
      </c>
      <c r="D261" s="13">
        <v>2</v>
      </c>
      <c r="E261" s="13">
        <v>2</v>
      </c>
      <c r="F261" s="13">
        <v>500</v>
      </c>
      <c r="G261" s="13">
        <v>550</v>
      </c>
      <c r="H261" s="13">
        <v>500</v>
      </c>
      <c r="I261" s="13">
        <v>550</v>
      </c>
      <c r="J261" s="14">
        <v>159.77019999999999</v>
      </c>
      <c r="K261" s="13">
        <v>252</v>
      </c>
      <c r="L261" s="14">
        <v>125.9286</v>
      </c>
      <c r="M261" s="13">
        <v>252</v>
      </c>
      <c r="N261" s="14">
        <v>152.23599999999999</v>
      </c>
      <c r="O261" s="14">
        <v>567.18499999999995</v>
      </c>
      <c r="P261" s="13">
        <v>252</v>
      </c>
      <c r="Q261" s="14">
        <v>7.3337000000000003</v>
      </c>
      <c r="R261" s="13">
        <f>MAX(MAX(1.4/[1]Parametros!$B$3,0.25*SQRT([1]Parametros!$B$2)/[1]Parametros!$B$3)*H261*U261,(0.85*[1]Parametros!$B$2/[1]Parametros!$B$3)*(1-SQRT(1-2*(J261*1000000/([1]Parametros!$B$5*H261*U261^2))/(0.85*[1]Parametros!$B$2)))*H261*U261)</f>
        <v>892.46611727147877</v>
      </c>
      <c r="S261" s="14">
        <v>5</v>
      </c>
      <c r="T261" s="14">
        <v>1</v>
      </c>
      <c r="U261" s="13">
        <f>IF(T261=1,I261-([1]Parametros!$B$7+[1]Parametros!$B$9+[1]Parametros!$B$12/2),I261-(ROUNDUP(S261/2,0)*([1]Parametros!$B$7+[1]Parametros!$B$9+[1]Parametros!$B$12/2)+ROUNDDOWN(S261/2,0)*([1]Parametros!$B$7+[1]Parametros!$B$9+[1]Parametros!$B$12/2+[1]Parametros!$B$12+[1]Parametros!$B$10))/S261)</f>
        <v>489.35</v>
      </c>
      <c r="V261" s="13">
        <f>S261*[1]Parametros!$B$8</f>
        <v>995</v>
      </c>
      <c r="W261" s="13">
        <f>[1]Parametros!$B$5*V261*[1]Parametros!$B$3*(U261-(V261*[1]Parametros!$B$3/(0.85*[1]Parametros!$B$2*H261))/2)/1000000</f>
        <v>177.44537938235294</v>
      </c>
      <c r="X261" s="13" t="str">
        <f t="shared" si="52"/>
        <v>CUMPLE</v>
      </c>
      <c r="Y261" s="13">
        <f>MAX(MAX(1.4/[1]Parametros!$B$3,0.25*SQRT([1]Parametros!$B$2)/[1]Parametros!$B$3)*H261*AB261,(0.85*[1]Parametros!$B$2/[1]Parametros!$B$3)*(1-SQRT(1-2*(L261*1000000/([1]Parametros!$B$5*H261*AB261^2))/(0.85*[1]Parametros!$B$2)))*H261*AB261)</f>
        <v>815.58333333333326</v>
      </c>
      <c r="Z261" s="14">
        <v>5</v>
      </c>
      <c r="AA261" s="14">
        <v>1</v>
      </c>
      <c r="AB261" s="13">
        <f>IF(AA261=1,I261-([1]Parametros!$B$7+[1]Parametros!$B$9+[1]Parametros!$B$12/2),I261-(ROUNDUP(Z261/2,0)*([1]Parametros!$B$7+[1]Parametros!$B$9+[1]Parametros!$B$12/2)+ROUNDDOWN(Z261/2,0)*([1]Parametros!$B$7+[1]Parametros!$B$9+[1]Parametros!$B$12/2+[1]Parametros!$B$12+[1]Parametros!$B$10))/Z261)</f>
        <v>489.35</v>
      </c>
      <c r="AC261" s="13">
        <f>Z261*[1]Parametros!$B$8</f>
        <v>995</v>
      </c>
      <c r="AD261" s="13">
        <f>[1]Parametros!$B$5*AC261*[1]Parametros!$B$3*(AB261-(AC261*[1]Parametros!$B$3/(0.85*[1]Parametros!$B$2*H261))/2)/1000000</f>
        <v>177.44537938235294</v>
      </c>
      <c r="AE261" s="13" t="str">
        <f t="shared" si="53"/>
        <v>CUMPLE</v>
      </c>
      <c r="AF261" s="13">
        <f>V261*1.25*[1]Parametros!$B$3*(U261-(V261*1.25*[1]Parametros!$B$3/(0.85*[1]Parametros!$B$2*H261))/2)/1000000</f>
        <v>244.15884319852941</v>
      </c>
      <c r="AG261" s="13">
        <f>AC261*1.25*[1]Parametros!$B$3*(AB261-(AC261*1.25*[1]Parametros!$B$3/(0.85*[1]Parametros!$B$2*H261))/2)/1000000</f>
        <v>244.15884319852941</v>
      </c>
      <c r="AH261" s="13">
        <f t="shared" si="54"/>
        <v>396.39484319852943</v>
      </c>
      <c r="AI261" s="13">
        <f t="shared" si="55"/>
        <v>567.18499999999995</v>
      </c>
      <c r="AJ261" s="13">
        <f>0.17*SQRT([1]Parametros!$B$2)*H261*MIN(U261,AB261)/1000</f>
        <v>220.09872869180776</v>
      </c>
      <c r="AK261" s="13">
        <f>MAX(AI261/[1]Parametros!$B$6-AJ261,0)</f>
        <v>536.14793797485879</v>
      </c>
      <c r="AL261" s="13">
        <f>0.66*SQRT([1]Parametros!$B$2)*H261*MIN(U261,AB261)/1000</f>
        <v>854.500946685842</v>
      </c>
      <c r="AM261" s="13" t="str">
        <f t="shared" si="56"/>
        <v>CUMPLE</v>
      </c>
      <c r="AN261" s="13" t="s">
        <v>68</v>
      </c>
      <c r="AO261" s="14">
        <v>2</v>
      </c>
      <c r="AP261" s="13">
        <f>ROUNDDOWN(MIN(IF(BC261+BD261=0,1000000000,AO261*BB261/(BC261+BD261)),MIN(U261,AB261)/4,8*[1]Parametros!$B$12,24*BA261,300,IF(AV261=0,1000000000,2*((H261-2*([1]Parametros!$B$7+[1]Parametros!$B$9/2))+(I261-2*([1]Parametros!$B$7+[1]Parametros!$B$9/2)))/8))/10,0)*10</f>
        <v>90</v>
      </c>
      <c r="AQ261" s="13">
        <f>ROUNDDOWN(MIN(IF(BC261+BD261=0,1000000000,AO261*BB261/(BC261+BD261)),IF(AK261&gt;0.33*SQRT([1]Parametros!$B$2)*H261*MIN(U261,AB261)/1000,MIN(U261,AB261)/4,MIN(U261,AB261)/2),600,IF(AV261=0,1000000000,2*((H261-2*([1]Parametros!$B$7+[1]Parametros!$B$9/2))+(I261-2*([1]Parametros!$B$7+[1]Parametros!$B$9/2)))/8))/10,0)*10</f>
        <v>90</v>
      </c>
      <c r="AR261" s="13">
        <f>[1]Parametros!$B$6*(AJ261+MAX(BE261-BD261,0)*[1]Parametros!$B$4*MIN(U261,AB261)/1000)</f>
        <v>606.95709651885591</v>
      </c>
      <c r="AS261" s="13" t="str">
        <f t="shared" si="57"/>
        <v>CUMPLE</v>
      </c>
      <c r="AT261" s="13">
        <f>[1]Parametros!$B$6*0.083*SQRT([1]Parametros!$B$2)*(H261*I261)^2/(2*(H261+I261))/1000000</f>
        <v>11.862178757598967</v>
      </c>
      <c r="AU261" s="13" t="str">
        <f t="shared" si="58"/>
        <v>DESPRECIABLE</v>
      </c>
      <c r="AV261" s="13">
        <f>IF(Q261&lt;=AT261,0,Q261*1000000/([1]Parametros!$B$6*2*0.85*(H261-2*([1]Parametros!$B$7+[1]Parametros!$B$9/2))*(I261-2*([1]Parametros!$B$7+[1]Parametros!$B$9/2))*[1]Parametros!$B$4))</f>
        <v>0</v>
      </c>
      <c r="AW261" s="13">
        <f>AV261*2*((H261-2*([1]Parametros!$B$7+[1]Parametros!$B$9/2))+(I261-2*([1]Parametros!$B$7+[1]Parametros!$B$9/2)))*[1]Parametros!$B$4/[1]Parametros!$B$3</f>
        <v>0</v>
      </c>
      <c r="AX261" s="14">
        <v>0</v>
      </c>
      <c r="AY261" s="13" t="str">
        <f t="shared" si="59"/>
        <v>DESPRECIABLE</v>
      </c>
      <c r="AZ261" s="13" t="str">
        <f t="shared" si="60"/>
        <v>CUMPLE</v>
      </c>
      <c r="BA261" s="14">
        <v>12.7</v>
      </c>
      <c r="BB261" s="14">
        <v>129</v>
      </c>
      <c r="BC261" s="13">
        <f>MAX(IF(AK261=0,0,AK261*1000/([1]Parametros!$B$4*MIN(U261,AB261))),MAX(0.062*SQRT([1]Parametros!$B$2)*H261/[1]Parametros!$B$4,0.35*H261/[1]Parametros!$B$4))</f>
        <v>2.6086496566137725</v>
      </c>
      <c r="BD261" s="13">
        <f t="shared" si="61"/>
        <v>0</v>
      </c>
      <c r="BE261" s="13">
        <f t="shared" si="62"/>
        <v>2.8666666666666667</v>
      </c>
      <c r="BF261" s="13">
        <f>SQRT((AI261*1000/(H261*MIN(U261,AB261)))^2+(Q261*1000000*2*((H261-2*([1]Parametros!$B$7+[1]Parametros!$B$9/2))+(I261-2*([1]Parametros!$B$7+[1]Parametros!$B$9/2)))/(1.7*((H261-2*([1]Parametros!$B$7+[1]Parametros!$B$9/2))*(I261-2*([1]Parametros!$B$7+[1]Parametros!$B$9/2)))^2))^2)</f>
        <v>2.3280671751183171</v>
      </c>
      <c r="BG261" s="13">
        <f>[1]Parametros!$B$6*(AJ261*1000/(H261*MIN(U261,AB261))+0.66*SQRT([1]Parametros!$B$2))</f>
        <v>3.2939603822754151</v>
      </c>
      <c r="BH261" s="13" t="str">
        <f t="shared" si="63"/>
        <v>CUMPLE</v>
      </c>
      <c r="BI261" s="13">
        <f>AX261*[1]Parametros!$B$8</f>
        <v>0</v>
      </c>
      <c r="BJ261" s="15" t="str">
        <f t="shared" si="64"/>
        <v>CUMPLE</v>
      </c>
    </row>
    <row r="262" spans="1:62" x14ac:dyDescent="0.3">
      <c r="A262" s="43" t="s">
        <v>74</v>
      </c>
      <c r="B262" s="44">
        <v>253</v>
      </c>
      <c r="C262" s="13">
        <v>1</v>
      </c>
      <c r="D262" s="13">
        <v>3.05</v>
      </c>
      <c r="E262" s="13">
        <v>3.05</v>
      </c>
      <c r="F262" s="13">
        <v>500</v>
      </c>
      <c r="G262" s="13">
        <v>550</v>
      </c>
      <c r="H262" s="13">
        <v>500</v>
      </c>
      <c r="I262" s="13">
        <v>550</v>
      </c>
      <c r="J262" s="14">
        <v>170.32400000000001</v>
      </c>
      <c r="K262" s="13">
        <v>253</v>
      </c>
      <c r="L262" s="14">
        <v>111.73699999999999</v>
      </c>
      <c r="M262" s="13">
        <v>253</v>
      </c>
      <c r="N262" s="14">
        <v>136.52099999999999</v>
      </c>
      <c r="O262" s="14">
        <v>425.59</v>
      </c>
      <c r="P262" s="13">
        <v>253</v>
      </c>
      <c r="Q262" s="14">
        <v>3.4748000000000001</v>
      </c>
      <c r="R262" s="13">
        <f>MAX(MAX(1.4/[1]Parametros!$B$3,0.25*SQRT([1]Parametros!$B$2)/[1]Parametros!$B$3)*H262*U262,(0.85*[1]Parametros!$B$2/[1]Parametros!$B$3)*(1-SQRT(1-2*(J262*1000000/([1]Parametros!$B$5*H262*U262^2))/(0.85*[1]Parametros!$B$2)))*H262*U262)</f>
        <v>953.59086616509535</v>
      </c>
      <c r="S262" s="14">
        <v>5</v>
      </c>
      <c r="T262" s="14">
        <v>1</v>
      </c>
      <c r="U262" s="13">
        <f>IF(T262=1,I262-([1]Parametros!$B$7+[1]Parametros!$B$9+[1]Parametros!$B$12/2),I262-(ROUNDUP(S262/2,0)*([1]Parametros!$B$7+[1]Parametros!$B$9+[1]Parametros!$B$12/2)+ROUNDDOWN(S262/2,0)*([1]Parametros!$B$7+[1]Parametros!$B$9+[1]Parametros!$B$12/2+[1]Parametros!$B$12+[1]Parametros!$B$10))/S262)</f>
        <v>489.35</v>
      </c>
      <c r="V262" s="13">
        <f>S262*[1]Parametros!$B$8</f>
        <v>995</v>
      </c>
      <c r="W262" s="13">
        <f>[1]Parametros!$B$5*V262*[1]Parametros!$B$3*(U262-(V262*[1]Parametros!$B$3/(0.85*[1]Parametros!$B$2*H262))/2)/1000000</f>
        <v>177.44537938235294</v>
      </c>
      <c r="X262" s="13" t="str">
        <f t="shared" si="52"/>
        <v>CUMPLE</v>
      </c>
      <c r="Y262" s="13">
        <f>MAX(MAX(1.4/[1]Parametros!$B$3,0.25*SQRT([1]Parametros!$B$2)/[1]Parametros!$B$3)*H262*AB262,(0.85*[1]Parametros!$B$2/[1]Parametros!$B$3)*(1-SQRT(1-2*(L262*1000000/([1]Parametros!$B$5*H262*AB262^2))/(0.85*[1]Parametros!$B$2)))*H262*AB262)</f>
        <v>815.58333333333326</v>
      </c>
      <c r="Z262" s="14">
        <v>5</v>
      </c>
      <c r="AA262" s="14">
        <v>1</v>
      </c>
      <c r="AB262" s="13">
        <f>IF(AA262=1,I262-([1]Parametros!$B$7+[1]Parametros!$B$9+[1]Parametros!$B$12/2),I262-(ROUNDUP(Z262/2,0)*([1]Parametros!$B$7+[1]Parametros!$B$9+[1]Parametros!$B$12/2)+ROUNDDOWN(Z262/2,0)*([1]Parametros!$B$7+[1]Parametros!$B$9+[1]Parametros!$B$12/2+[1]Parametros!$B$12+[1]Parametros!$B$10))/Z262)</f>
        <v>489.35</v>
      </c>
      <c r="AC262" s="13">
        <f>Z262*[1]Parametros!$B$8</f>
        <v>995</v>
      </c>
      <c r="AD262" s="13">
        <f>[1]Parametros!$B$5*AC262*[1]Parametros!$B$3*(AB262-(AC262*[1]Parametros!$B$3/(0.85*[1]Parametros!$B$2*H262))/2)/1000000</f>
        <v>177.44537938235294</v>
      </c>
      <c r="AE262" s="13" t="str">
        <f t="shared" si="53"/>
        <v>CUMPLE</v>
      </c>
      <c r="AF262" s="13">
        <f>V262*1.25*[1]Parametros!$B$3*(U262-(V262*1.25*[1]Parametros!$B$3/(0.85*[1]Parametros!$B$2*H262))/2)/1000000</f>
        <v>244.15884319852941</v>
      </c>
      <c r="AG262" s="13">
        <f>AC262*1.25*[1]Parametros!$B$3*(AB262-(AC262*1.25*[1]Parametros!$B$3/(0.85*[1]Parametros!$B$2*H262))/2)/1000000</f>
        <v>244.15884319852941</v>
      </c>
      <c r="AH262" s="13">
        <f t="shared" si="54"/>
        <v>296.62515947444552</v>
      </c>
      <c r="AI262" s="13">
        <f t="shared" si="55"/>
        <v>425.59</v>
      </c>
      <c r="AJ262" s="13">
        <f>0.17*SQRT([1]Parametros!$B$2)*H262*MIN(U262,AB262)/1000</f>
        <v>220.09872869180776</v>
      </c>
      <c r="AK262" s="13">
        <f>MAX(AI262/[1]Parametros!$B$6-AJ262,0)</f>
        <v>347.3546046415255</v>
      </c>
      <c r="AL262" s="13">
        <f>0.66*SQRT([1]Parametros!$B$2)*H262*MIN(U262,AB262)/1000</f>
        <v>854.500946685842</v>
      </c>
      <c r="AM262" s="13" t="str">
        <f t="shared" si="56"/>
        <v>CUMPLE</v>
      </c>
      <c r="AN262" s="13" t="s">
        <v>64</v>
      </c>
      <c r="AO262" s="14">
        <v>2</v>
      </c>
      <c r="AP262" s="13">
        <f>ROUNDDOWN(MIN(IF(BC262+BD262=0,1000000000,AO262*BB262/(BC262+BD262)),MIN(U262,AB262)/4,8*[1]Parametros!$B$12,24*BA262,300,IF(AV262=0,1000000000,2*((H262-2*([1]Parametros!$B$7+[1]Parametros!$B$9/2))+(I262-2*([1]Parametros!$B$7+[1]Parametros!$B$9/2)))/8))/10,0)*10</f>
        <v>80</v>
      </c>
      <c r="AQ262" s="13">
        <f>ROUNDDOWN(MIN(IF(BC262+BD262=0,1000000000,AO262*BB262/(BC262+BD262)),IF(AK262&gt;0.33*SQRT([1]Parametros!$B$2)*H262*MIN(U262,AB262)/1000,MIN(U262,AB262)/4,MIN(U262,AB262)/2),600,IF(AV262=0,1000000000,2*((H262-2*([1]Parametros!$B$7+[1]Parametros!$B$9/2))+(I262-2*([1]Parametros!$B$7+[1]Parametros!$B$9/2)))/8))/10,0)*10</f>
        <v>80</v>
      </c>
      <c r="AR262" s="13">
        <f>[1]Parametros!$B$6*(AJ262+MAX(BE262-BD262,0)*[1]Parametros!$B$4*MIN(U262,AB262)/1000)</f>
        <v>438.68186526885586</v>
      </c>
      <c r="AS262" s="13" t="str">
        <f t="shared" si="57"/>
        <v>CUMPLE</v>
      </c>
      <c r="AT262" s="13">
        <f>[1]Parametros!$B$6*0.083*SQRT([1]Parametros!$B$2)*(H262*I262)^2/(2*(H262+I262))/1000000</f>
        <v>11.862178757598967</v>
      </c>
      <c r="AU262" s="13" t="str">
        <f t="shared" si="58"/>
        <v>DESPRECIABLE</v>
      </c>
      <c r="AV262" s="13">
        <f>IF(Q262&lt;=AT262,0,Q262*1000000/([1]Parametros!$B$6*2*0.85*(H262-2*([1]Parametros!$B$7+[1]Parametros!$B$9/2))*(I262-2*([1]Parametros!$B$7+[1]Parametros!$B$9/2))*[1]Parametros!$B$4))</f>
        <v>0</v>
      </c>
      <c r="AW262" s="13">
        <f>AV262*2*((H262-2*([1]Parametros!$B$7+[1]Parametros!$B$9/2))+(I262-2*([1]Parametros!$B$7+[1]Parametros!$B$9/2)))*[1]Parametros!$B$4/[1]Parametros!$B$3</f>
        <v>0</v>
      </c>
      <c r="AX262" s="14">
        <v>0</v>
      </c>
      <c r="AY262" s="13" t="str">
        <f t="shared" si="59"/>
        <v>DESPRECIABLE</v>
      </c>
      <c r="AZ262" s="13" t="str">
        <f t="shared" si="60"/>
        <v>CUMPLE</v>
      </c>
      <c r="BA262" s="14">
        <v>9.5</v>
      </c>
      <c r="BB262" s="14">
        <v>71</v>
      </c>
      <c r="BC262" s="13">
        <f>MAX(IF(AK262=0,0,AK262*1000/([1]Parametros!$B$4*MIN(U262,AB262))),MAX(0.062*SQRT([1]Parametros!$B$2)*H262/[1]Parametros!$B$4,0.35*H262/[1]Parametros!$B$4))</f>
        <v>1.6900679941882355</v>
      </c>
      <c r="BD262" s="13">
        <f t="shared" si="61"/>
        <v>0</v>
      </c>
      <c r="BE262" s="13">
        <f t="shared" si="62"/>
        <v>1.7749999999999999</v>
      </c>
      <c r="BF262" s="13">
        <f>SQRT((AI262*1000/(H262*MIN(U262,AB262)))^2+(Q262*1000000*2*((H262-2*([1]Parametros!$B$7+[1]Parametros!$B$9/2))+(I262-2*([1]Parametros!$B$7+[1]Parametros!$B$9/2)))/(1.7*((H262-2*([1]Parametros!$B$7+[1]Parametros!$B$9/2))*(I262-2*([1]Parametros!$B$7+[1]Parametros!$B$9/2)))^2))^2)</f>
        <v>1.7423905853530586</v>
      </c>
      <c r="BG262" s="13">
        <f>[1]Parametros!$B$6*(AJ262*1000/(H262*MIN(U262,AB262))+0.66*SQRT([1]Parametros!$B$2))</f>
        <v>3.2939603822754151</v>
      </c>
      <c r="BH262" s="13" t="str">
        <f t="shared" si="63"/>
        <v>CUMPLE</v>
      </c>
      <c r="BI262" s="13">
        <f>AX262*[1]Parametros!$B$8</f>
        <v>0</v>
      </c>
      <c r="BJ262" s="15" t="str">
        <f t="shared" si="64"/>
        <v>CUMPLE</v>
      </c>
    </row>
    <row r="263" spans="1:62" x14ac:dyDescent="0.3">
      <c r="A263" s="43" t="s">
        <v>74</v>
      </c>
      <c r="B263" s="44">
        <v>254</v>
      </c>
      <c r="C263" s="13">
        <v>1</v>
      </c>
      <c r="D263" s="13">
        <v>2</v>
      </c>
      <c r="E263" s="13">
        <v>2</v>
      </c>
      <c r="F263" s="13">
        <v>500</v>
      </c>
      <c r="G263" s="13">
        <v>550</v>
      </c>
      <c r="H263" s="13">
        <v>500</v>
      </c>
      <c r="I263" s="13">
        <v>550</v>
      </c>
      <c r="J263" s="14">
        <v>179.38749999999999</v>
      </c>
      <c r="K263" s="13">
        <v>254</v>
      </c>
      <c r="L263" s="14">
        <v>127.28400000000001</v>
      </c>
      <c r="M263" s="13">
        <v>254</v>
      </c>
      <c r="N263" s="14">
        <v>162.703</v>
      </c>
      <c r="O263" s="14">
        <v>584.01599999999996</v>
      </c>
      <c r="P263" s="13">
        <v>254</v>
      </c>
      <c r="Q263" s="14">
        <v>3.8795000000000002</v>
      </c>
      <c r="R263" s="13">
        <f>MAX(MAX(1.4/[1]Parametros!$B$3,0.25*SQRT([1]Parametros!$B$2)/[1]Parametros!$B$3)*H263*U263,(0.85*[1]Parametros!$B$2/[1]Parametros!$B$3)*(1-SQRT(1-2*(J263*1000000/([1]Parametros!$B$5*H263*U263^2))/(0.85*[1]Parametros!$B$2)))*H263*U263)</f>
        <v>1006.3161138406145</v>
      </c>
      <c r="S263" s="14">
        <v>6</v>
      </c>
      <c r="T263" s="14">
        <v>1</v>
      </c>
      <c r="U263" s="13">
        <f>IF(T263=1,I263-([1]Parametros!$B$7+[1]Parametros!$B$9+[1]Parametros!$B$12/2),I263-(ROUNDUP(S263/2,0)*([1]Parametros!$B$7+[1]Parametros!$B$9+[1]Parametros!$B$12/2)+ROUNDDOWN(S263/2,0)*([1]Parametros!$B$7+[1]Parametros!$B$9+[1]Parametros!$B$12/2+[1]Parametros!$B$12+[1]Parametros!$B$10))/S263)</f>
        <v>489.35</v>
      </c>
      <c r="V263" s="13">
        <f>S263*[1]Parametros!$B$8</f>
        <v>1194</v>
      </c>
      <c r="W263" s="13">
        <f>[1]Parametros!$B$5*V263*[1]Parametros!$B$3*(U263-(V263*[1]Parametros!$B$3/(0.85*[1]Parametros!$B$2*H263))/2)/1000000</f>
        <v>211.34948347058827</v>
      </c>
      <c r="X263" s="13" t="str">
        <f t="shared" si="52"/>
        <v>CUMPLE</v>
      </c>
      <c r="Y263" s="13">
        <f>MAX(MAX(1.4/[1]Parametros!$B$3,0.25*SQRT([1]Parametros!$B$2)/[1]Parametros!$B$3)*H263*AB263,(0.85*[1]Parametros!$B$2/[1]Parametros!$B$3)*(1-SQRT(1-2*(L263*1000000/([1]Parametros!$B$5*H263*AB263^2))/(0.85*[1]Parametros!$B$2)))*H263*AB263)</f>
        <v>815.58333333333326</v>
      </c>
      <c r="Z263" s="14">
        <v>5</v>
      </c>
      <c r="AA263" s="14">
        <v>1</v>
      </c>
      <c r="AB263" s="13">
        <f>IF(AA263=1,I263-([1]Parametros!$B$7+[1]Parametros!$B$9+[1]Parametros!$B$12/2),I263-(ROUNDUP(Z263/2,0)*([1]Parametros!$B$7+[1]Parametros!$B$9+[1]Parametros!$B$12/2)+ROUNDDOWN(Z263/2,0)*([1]Parametros!$B$7+[1]Parametros!$B$9+[1]Parametros!$B$12/2+[1]Parametros!$B$12+[1]Parametros!$B$10))/Z263)</f>
        <v>489.35</v>
      </c>
      <c r="AC263" s="13">
        <f>Z263*[1]Parametros!$B$8</f>
        <v>995</v>
      </c>
      <c r="AD263" s="13">
        <f>[1]Parametros!$B$5*AC263*[1]Parametros!$B$3*(AB263-(AC263*[1]Parametros!$B$3/(0.85*[1]Parametros!$B$2*H263))/2)/1000000</f>
        <v>177.44537938235294</v>
      </c>
      <c r="AE263" s="13" t="str">
        <f t="shared" si="53"/>
        <v>CUMPLE</v>
      </c>
      <c r="AF263" s="13">
        <f>V263*1.25*[1]Parametros!$B$3*(U263-(V263*1.25*[1]Parametros!$B$3/(0.85*[1]Parametros!$B$2*H263))/2)/1000000</f>
        <v>290.23892470588237</v>
      </c>
      <c r="AG263" s="13">
        <f>AC263*1.25*[1]Parametros!$B$3*(AB263-(AC263*1.25*[1]Parametros!$B$3/(0.85*[1]Parametros!$B$2*H263))/2)/1000000</f>
        <v>244.15884319852941</v>
      </c>
      <c r="AH263" s="13">
        <f t="shared" si="54"/>
        <v>429.90188395220594</v>
      </c>
      <c r="AI263" s="13">
        <f t="shared" si="55"/>
        <v>584.01599999999996</v>
      </c>
      <c r="AJ263" s="13">
        <f>0.17*SQRT([1]Parametros!$B$2)*H263*MIN(U263,AB263)/1000</f>
        <v>220.09872869180776</v>
      </c>
      <c r="AK263" s="13">
        <f>MAX(AI263/[1]Parametros!$B$6-AJ263,0)</f>
        <v>558.58927130819222</v>
      </c>
      <c r="AL263" s="13">
        <f>0.66*SQRT([1]Parametros!$B$2)*H263*MIN(U263,AB263)/1000</f>
        <v>854.500946685842</v>
      </c>
      <c r="AM263" s="13" t="str">
        <f t="shared" si="56"/>
        <v>CUMPLE</v>
      </c>
      <c r="AN263" s="13" t="s">
        <v>68</v>
      </c>
      <c r="AO263" s="14">
        <v>2</v>
      </c>
      <c r="AP263" s="13">
        <f>ROUNDDOWN(MIN(IF(BC263+BD263=0,1000000000,AO263*BB263/(BC263+BD263)),MIN(U263,AB263)/4,8*[1]Parametros!$B$12,24*BA263,300,IF(AV263=0,1000000000,2*((H263-2*([1]Parametros!$B$7+[1]Parametros!$B$9/2))+(I263-2*([1]Parametros!$B$7+[1]Parametros!$B$9/2)))/8))/10,0)*10</f>
        <v>90</v>
      </c>
      <c r="AQ263" s="13">
        <f>ROUNDDOWN(MIN(IF(BC263+BD263=0,1000000000,AO263*BB263/(BC263+BD263)),IF(AK263&gt;0.33*SQRT([1]Parametros!$B$2)*H263*MIN(U263,AB263)/1000,MIN(U263,AB263)/4,MIN(U263,AB263)/2),600,IF(AV263=0,1000000000,2*((H263-2*([1]Parametros!$B$7+[1]Parametros!$B$9/2))+(I263-2*([1]Parametros!$B$7+[1]Parametros!$B$9/2)))/8))/10,0)*10</f>
        <v>90</v>
      </c>
      <c r="AR263" s="13">
        <f>[1]Parametros!$B$6*(AJ263+MAX(BE263-BD263,0)*[1]Parametros!$B$4*MIN(U263,AB263)/1000)</f>
        <v>606.95709651885591</v>
      </c>
      <c r="AS263" s="13" t="str">
        <f t="shared" si="57"/>
        <v>CUMPLE</v>
      </c>
      <c r="AT263" s="13">
        <f>[1]Parametros!$B$6*0.083*SQRT([1]Parametros!$B$2)*(H263*I263)^2/(2*(H263+I263))/1000000</f>
        <v>11.862178757598967</v>
      </c>
      <c r="AU263" s="13" t="str">
        <f t="shared" si="58"/>
        <v>DESPRECIABLE</v>
      </c>
      <c r="AV263" s="13">
        <f>IF(Q263&lt;=AT263,0,Q263*1000000/([1]Parametros!$B$6*2*0.85*(H263-2*([1]Parametros!$B$7+[1]Parametros!$B$9/2))*(I263-2*([1]Parametros!$B$7+[1]Parametros!$B$9/2))*[1]Parametros!$B$4))</f>
        <v>0</v>
      </c>
      <c r="AW263" s="13">
        <f>AV263*2*((H263-2*([1]Parametros!$B$7+[1]Parametros!$B$9/2))+(I263-2*([1]Parametros!$B$7+[1]Parametros!$B$9/2)))*[1]Parametros!$B$4/[1]Parametros!$B$3</f>
        <v>0</v>
      </c>
      <c r="AX263" s="14">
        <v>0</v>
      </c>
      <c r="AY263" s="13" t="str">
        <f t="shared" si="59"/>
        <v>DESPRECIABLE</v>
      </c>
      <c r="AZ263" s="13" t="str">
        <f t="shared" si="60"/>
        <v>CUMPLE</v>
      </c>
      <c r="BA263" s="14">
        <v>12.7</v>
      </c>
      <c r="BB263" s="14">
        <v>129</v>
      </c>
      <c r="BC263" s="13">
        <f>MAX(IF(AK263=0,0,AK263*1000/([1]Parametros!$B$4*MIN(U263,AB263))),MAX(0.062*SQRT([1]Parametros!$B$2)*H263/[1]Parametros!$B$4,0.35*H263/[1]Parametros!$B$4))</f>
        <v>2.7178388791165742</v>
      </c>
      <c r="BD263" s="13">
        <f t="shared" si="61"/>
        <v>0</v>
      </c>
      <c r="BE263" s="13">
        <f t="shared" si="62"/>
        <v>2.8666666666666667</v>
      </c>
      <c r="BF263" s="13">
        <f>SQRT((AI263*1000/(H263*MIN(U263,AB263)))^2+(Q263*1000000*2*((H263-2*([1]Parametros!$B$7+[1]Parametros!$B$9/2))+(I263-2*([1]Parametros!$B$7+[1]Parametros!$B$9/2)))/(1.7*((H263-2*([1]Parametros!$B$7+[1]Parametros!$B$9/2))*(I263-2*([1]Parametros!$B$7+[1]Parametros!$B$9/2)))^2))^2)</f>
        <v>2.3896138359698718</v>
      </c>
      <c r="BG263" s="13">
        <f>[1]Parametros!$B$6*(AJ263*1000/(H263*MIN(U263,AB263))+0.66*SQRT([1]Parametros!$B$2))</f>
        <v>3.2939603822754151</v>
      </c>
      <c r="BH263" s="13" t="str">
        <f t="shared" si="63"/>
        <v>CUMPLE</v>
      </c>
      <c r="BI263" s="13">
        <f>AX263*[1]Parametros!$B$8</f>
        <v>0</v>
      </c>
      <c r="BJ263" s="15" t="str">
        <f t="shared" si="64"/>
        <v>CUMPLE</v>
      </c>
    </row>
    <row r="264" spans="1:62" x14ac:dyDescent="0.3">
      <c r="A264" s="43" t="s">
        <v>74</v>
      </c>
      <c r="B264" s="44">
        <v>759</v>
      </c>
      <c r="C264" s="13">
        <v>1</v>
      </c>
      <c r="D264" s="13">
        <v>2</v>
      </c>
      <c r="E264" s="13">
        <v>2</v>
      </c>
      <c r="F264" s="13">
        <v>500</v>
      </c>
      <c r="G264" s="13">
        <v>550</v>
      </c>
      <c r="H264" s="13">
        <v>500</v>
      </c>
      <c r="I264" s="13">
        <v>550</v>
      </c>
      <c r="J264" s="14">
        <v>142.9341</v>
      </c>
      <c r="K264" s="13">
        <v>759</v>
      </c>
      <c r="L264" s="14">
        <v>92.078800000000001</v>
      </c>
      <c r="M264" s="13">
        <v>759</v>
      </c>
      <c r="N264" s="14">
        <v>135.30199999999999</v>
      </c>
      <c r="O264" s="14">
        <v>429.59300000000002</v>
      </c>
      <c r="P264" s="13">
        <v>759</v>
      </c>
      <c r="Q264" s="14">
        <v>3.5013999999999998</v>
      </c>
      <c r="R264" s="13">
        <f>MAX(MAX(1.4/[1]Parametros!$B$3,0.25*SQRT([1]Parametros!$B$2)/[1]Parametros!$B$3)*H264*U264,(0.85*[1]Parametros!$B$2/[1]Parametros!$B$3)*(1-SQRT(1-2*(J264*1000000/([1]Parametros!$B$5*H264*U264^2))/(0.85*[1]Parametros!$B$2)))*H264*U264)</f>
        <v>815.58333333333326</v>
      </c>
      <c r="S264" s="14">
        <v>5</v>
      </c>
      <c r="T264" s="14">
        <v>1</v>
      </c>
      <c r="U264" s="13">
        <f>IF(T264=1,I264-([1]Parametros!$B$7+[1]Parametros!$B$9+[1]Parametros!$B$12/2),I264-(ROUNDUP(S264/2,0)*([1]Parametros!$B$7+[1]Parametros!$B$9+[1]Parametros!$B$12/2)+ROUNDDOWN(S264/2,0)*([1]Parametros!$B$7+[1]Parametros!$B$9+[1]Parametros!$B$12/2+[1]Parametros!$B$12+[1]Parametros!$B$10))/S264)</f>
        <v>489.35</v>
      </c>
      <c r="V264" s="13">
        <f>S264*[1]Parametros!$B$8</f>
        <v>995</v>
      </c>
      <c r="W264" s="13">
        <f>[1]Parametros!$B$5*V264*[1]Parametros!$B$3*(U264-(V264*[1]Parametros!$B$3/(0.85*[1]Parametros!$B$2*H264))/2)/1000000</f>
        <v>177.44537938235294</v>
      </c>
      <c r="X264" s="13" t="str">
        <f t="shared" si="52"/>
        <v>CUMPLE</v>
      </c>
      <c r="Y264" s="13">
        <f>MAX(MAX(1.4/[1]Parametros!$B$3,0.25*SQRT([1]Parametros!$B$2)/[1]Parametros!$B$3)*H264*AB264,(0.85*[1]Parametros!$B$2/[1]Parametros!$B$3)*(1-SQRT(1-2*(L264*1000000/([1]Parametros!$B$5*H264*AB264^2))/(0.85*[1]Parametros!$B$2)))*H264*AB264)</f>
        <v>815.58333333333326</v>
      </c>
      <c r="Z264" s="14">
        <v>5</v>
      </c>
      <c r="AA264" s="14">
        <v>1</v>
      </c>
      <c r="AB264" s="13">
        <f>IF(AA264=1,I264-([1]Parametros!$B$7+[1]Parametros!$B$9+[1]Parametros!$B$12/2),I264-(ROUNDUP(Z264/2,0)*([1]Parametros!$B$7+[1]Parametros!$B$9+[1]Parametros!$B$12/2)+ROUNDDOWN(Z264/2,0)*([1]Parametros!$B$7+[1]Parametros!$B$9+[1]Parametros!$B$12/2+[1]Parametros!$B$12+[1]Parametros!$B$10))/Z264)</f>
        <v>489.35</v>
      </c>
      <c r="AC264" s="13">
        <f>Z264*[1]Parametros!$B$8</f>
        <v>995</v>
      </c>
      <c r="AD264" s="13">
        <f>[1]Parametros!$B$5*AC264*[1]Parametros!$B$3*(AB264-(AC264*[1]Parametros!$B$3/(0.85*[1]Parametros!$B$2*H264))/2)/1000000</f>
        <v>177.44537938235294</v>
      </c>
      <c r="AE264" s="13" t="str">
        <f t="shared" si="53"/>
        <v>CUMPLE</v>
      </c>
      <c r="AF264" s="13">
        <f>V264*1.25*[1]Parametros!$B$3*(U264-(V264*1.25*[1]Parametros!$B$3/(0.85*[1]Parametros!$B$2*H264))/2)/1000000</f>
        <v>244.15884319852941</v>
      </c>
      <c r="AG264" s="13">
        <f>AC264*1.25*[1]Parametros!$B$3*(AB264-(AC264*1.25*[1]Parametros!$B$3/(0.85*[1]Parametros!$B$2*H264))/2)/1000000</f>
        <v>244.15884319852941</v>
      </c>
      <c r="AH264" s="13">
        <f t="shared" si="54"/>
        <v>379.4608431985294</v>
      </c>
      <c r="AI264" s="13">
        <f t="shared" si="55"/>
        <v>429.59300000000002</v>
      </c>
      <c r="AJ264" s="13">
        <f>0.17*SQRT([1]Parametros!$B$2)*H264*MIN(U264,AB264)/1000</f>
        <v>220.09872869180776</v>
      </c>
      <c r="AK264" s="13">
        <f>MAX(AI264/[1]Parametros!$B$6-AJ264,0)</f>
        <v>352.69193797485889</v>
      </c>
      <c r="AL264" s="13">
        <f>0.66*SQRT([1]Parametros!$B$2)*H264*MIN(U264,AB264)/1000</f>
        <v>854.500946685842</v>
      </c>
      <c r="AM264" s="13" t="str">
        <f t="shared" si="56"/>
        <v>CUMPLE</v>
      </c>
      <c r="AN264" s="13" t="s">
        <v>64</v>
      </c>
      <c r="AO264" s="14">
        <v>2</v>
      </c>
      <c r="AP264" s="13">
        <f>ROUNDDOWN(MIN(IF(BC264+BD264=0,1000000000,AO264*BB264/(BC264+BD264)),MIN(U264,AB264)/4,8*[1]Parametros!$B$12,24*BA264,300,IF(AV264=0,1000000000,2*((H264-2*([1]Parametros!$B$7+[1]Parametros!$B$9/2))+(I264-2*([1]Parametros!$B$7+[1]Parametros!$B$9/2)))/8))/10,0)*10</f>
        <v>80</v>
      </c>
      <c r="AQ264" s="13">
        <f>ROUNDDOWN(MIN(IF(BC264+BD264=0,1000000000,AO264*BB264/(BC264+BD264)),IF(AK264&gt;0.33*SQRT([1]Parametros!$B$2)*H264*MIN(U264,AB264)/1000,MIN(U264,AB264)/4,MIN(U264,AB264)/2),600,IF(AV264=0,1000000000,2*((H264-2*([1]Parametros!$B$7+[1]Parametros!$B$9/2))+(I264-2*([1]Parametros!$B$7+[1]Parametros!$B$9/2)))/8))/10,0)*10</f>
        <v>80</v>
      </c>
      <c r="AR264" s="13">
        <f>[1]Parametros!$B$6*(AJ264+MAX(BE264-BD264,0)*[1]Parametros!$B$4*MIN(U264,AB264)/1000)</f>
        <v>438.68186526885586</v>
      </c>
      <c r="AS264" s="13" t="str">
        <f t="shared" si="57"/>
        <v>CUMPLE</v>
      </c>
      <c r="AT264" s="13">
        <f>[1]Parametros!$B$6*0.083*SQRT([1]Parametros!$B$2)*(H264*I264)^2/(2*(H264+I264))/1000000</f>
        <v>11.862178757598967</v>
      </c>
      <c r="AU264" s="13" t="str">
        <f t="shared" si="58"/>
        <v>DESPRECIABLE</v>
      </c>
      <c r="AV264" s="13">
        <f>IF(Q264&lt;=AT264,0,Q264*1000000/([1]Parametros!$B$6*2*0.85*(H264-2*([1]Parametros!$B$7+[1]Parametros!$B$9/2))*(I264-2*([1]Parametros!$B$7+[1]Parametros!$B$9/2))*[1]Parametros!$B$4))</f>
        <v>0</v>
      </c>
      <c r="AW264" s="13">
        <f>AV264*2*((H264-2*([1]Parametros!$B$7+[1]Parametros!$B$9/2))+(I264-2*([1]Parametros!$B$7+[1]Parametros!$B$9/2)))*[1]Parametros!$B$4/[1]Parametros!$B$3</f>
        <v>0</v>
      </c>
      <c r="AX264" s="14">
        <v>0</v>
      </c>
      <c r="AY264" s="13" t="str">
        <f t="shared" si="59"/>
        <v>DESPRECIABLE</v>
      </c>
      <c r="AZ264" s="13" t="str">
        <f t="shared" si="60"/>
        <v>CUMPLE</v>
      </c>
      <c r="BA264" s="14">
        <v>9.5</v>
      </c>
      <c r="BB264" s="14">
        <v>71</v>
      </c>
      <c r="BC264" s="13">
        <f>MAX(IF(AK264=0,0,AK264*1000/([1]Parametros!$B$4*MIN(U264,AB264))),MAX(0.062*SQRT([1]Parametros!$B$2)*H264/[1]Parametros!$B$4,0.35*H264/[1]Parametros!$B$4))</f>
        <v>1.7160370071808517</v>
      </c>
      <c r="BD264" s="13">
        <f t="shared" si="61"/>
        <v>0</v>
      </c>
      <c r="BE264" s="13">
        <f t="shared" si="62"/>
        <v>1.7749999999999999</v>
      </c>
      <c r="BF264" s="13">
        <f>SQRT((AI264*1000/(H264*MIN(U264,AB264)))^2+(Q264*1000000*2*((H264-2*([1]Parametros!$B$7+[1]Parametros!$B$9/2))+(I264-2*([1]Parametros!$B$7+[1]Parametros!$B$9/2)))/(1.7*((H264-2*([1]Parametros!$B$7+[1]Parametros!$B$9/2))*(I264-2*([1]Parametros!$B$7+[1]Parametros!$B$9/2)))^2))^2)</f>
        <v>1.7587686836709699</v>
      </c>
      <c r="BG264" s="13">
        <f>[1]Parametros!$B$6*(AJ264*1000/(H264*MIN(U264,AB264))+0.66*SQRT([1]Parametros!$B$2))</f>
        <v>3.2939603822754151</v>
      </c>
      <c r="BH264" s="13" t="str">
        <f t="shared" si="63"/>
        <v>CUMPLE</v>
      </c>
      <c r="BI264" s="13">
        <f>AX264*[1]Parametros!$B$8</f>
        <v>0</v>
      </c>
      <c r="BJ264" s="15" t="str">
        <f t="shared" si="64"/>
        <v>CUMPLE</v>
      </c>
    </row>
    <row r="265" spans="1:62" x14ac:dyDescent="0.3">
      <c r="A265" s="43" t="s">
        <v>74</v>
      </c>
      <c r="B265" s="44">
        <v>760</v>
      </c>
      <c r="C265" s="13">
        <v>1</v>
      </c>
      <c r="D265" s="13">
        <v>3.05</v>
      </c>
      <c r="E265" s="13">
        <v>3.05</v>
      </c>
      <c r="F265" s="13">
        <v>500</v>
      </c>
      <c r="G265" s="13">
        <v>550</v>
      </c>
      <c r="H265" s="13">
        <v>500</v>
      </c>
      <c r="I265" s="13">
        <v>550</v>
      </c>
      <c r="J265" s="14">
        <v>146.34970000000001</v>
      </c>
      <c r="K265" s="13">
        <v>760</v>
      </c>
      <c r="L265" s="14">
        <v>87.9358</v>
      </c>
      <c r="M265" s="13">
        <v>760</v>
      </c>
      <c r="N265" s="14">
        <v>123.678</v>
      </c>
      <c r="O265" s="14">
        <v>360.35199999999998</v>
      </c>
      <c r="P265" s="13">
        <v>760</v>
      </c>
      <c r="Q265" s="14">
        <v>2.5874999999999999</v>
      </c>
      <c r="R265" s="13">
        <f>MAX(MAX(1.4/[1]Parametros!$B$3,0.25*SQRT([1]Parametros!$B$2)/[1]Parametros!$B$3)*H265*U265,(0.85*[1]Parametros!$B$2/[1]Parametros!$B$3)*(1-SQRT(1-2*(J265*1000000/([1]Parametros!$B$5*H265*U265^2))/(0.85*[1]Parametros!$B$2)))*H265*U265)</f>
        <v>815.58333333333326</v>
      </c>
      <c r="S265" s="14">
        <v>5</v>
      </c>
      <c r="T265" s="14">
        <v>1</v>
      </c>
      <c r="U265" s="13">
        <f>IF(T265=1,I265-([1]Parametros!$B$7+[1]Parametros!$B$9+[1]Parametros!$B$12/2),I265-(ROUNDUP(S265/2,0)*([1]Parametros!$B$7+[1]Parametros!$B$9+[1]Parametros!$B$12/2)+ROUNDDOWN(S265/2,0)*([1]Parametros!$B$7+[1]Parametros!$B$9+[1]Parametros!$B$12/2+[1]Parametros!$B$12+[1]Parametros!$B$10))/S265)</f>
        <v>489.35</v>
      </c>
      <c r="V265" s="13">
        <f>S265*[1]Parametros!$B$8</f>
        <v>995</v>
      </c>
      <c r="W265" s="13">
        <f>[1]Parametros!$B$5*V265*[1]Parametros!$B$3*(U265-(V265*[1]Parametros!$B$3/(0.85*[1]Parametros!$B$2*H265))/2)/1000000</f>
        <v>177.44537938235294</v>
      </c>
      <c r="X265" s="13" t="str">
        <f t="shared" si="52"/>
        <v>CUMPLE</v>
      </c>
      <c r="Y265" s="13">
        <f>MAX(MAX(1.4/[1]Parametros!$B$3,0.25*SQRT([1]Parametros!$B$2)/[1]Parametros!$B$3)*H265*AB265,(0.85*[1]Parametros!$B$2/[1]Parametros!$B$3)*(1-SQRT(1-2*(L265*1000000/([1]Parametros!$B$5*H265*AB265^2))/(0.85*[1]Parametros!$B$2)))*H265*AB265)</f>
        <v>815.58333333333326</v>
      </c>
      <c r="Z265" s="14">
        <v>5</v>
      </c>
      <c r="AA265" s="14">
        <v>1</v>
      </c>
      <c r="AB265" s="13">
        <f>IF(AA265=1,I265-([1]Parametros!$B$7+[1]Parametros!$B$9+[1]Parametros!$B$12/2),I265-(ROUNDUP(Z265/2,0)*([1]Parametros!$B$7+[1]Parametros!$B$9+[1]Parametros!$B$12/2)+ROUNDDOWN(Z265/2,0)*([1]Parametros!$B$7+[1]Parametros!$B$9+[1]Parametros!$B$12/2+[1]Parametros!$B$12+[1]Parametros!$B$10))/Z265)</f>
        <v>489.35</v>
      </c>
      <c r="AC265" s="13">
        <f>Z265*[1]Parametros!$B$8</f>
        <v>995</v>
      </c>
      <c r="AD265" s="13">
        <f>[1]Parametros!$B$5*AC265*[1]Parametros!$B$3*(AB265-(AC265*[1]Parametros!$B$3/(0.85*[1]Parametros!$B$2*H265))/2)/1000000</f>
        <v>177.44537938235294</v>
      </c>
      <c r="AE265" s="13" t="str">
        <f t="shared" si="53"/>
        <v>CUMPLE</v>
      </c>
      <c r="AF265" s="13">
        <f>V265*1.25*[1]Parametros!$B$3*(U265-(V265*1.25*[1]Parametros!$B$3/(0.85*[1]Parametros!$B$2*H265))/2)/1000000</f>
        <v>244.15884319852941</v>
      </c>
      <c r="AG265" s="13">
        <f>AC265*1.25*[1]Parametros!$B$3*(AB265-(AC265*1.25*[1]Parametros!$B$3/(0.85*[1]Parametros!$B$2*H265))/2)/1000000</f>
        <v>244.15884319852941</v>
      </c>
      <c r="AH265" s="13">
        <f t="shared" si="54"/>
        <v>283.78215947444551</v>
      </c>
      <c r="AI265" s="13">
        <f t="shared" si="55"/>
        <v>360.35199999999998</v>
      </c>
      <c r="AJ265" s="13">
        <f>0.17*SQRT([1]Parametros!$B$2)*H265*MIN(U265,AB265)/1000</f>
        <v>220.09872869180776</v>
      </c>
      <c r="AK265" s="13">
        <f>MAX(AI265/[1]Parametros!$B$6-AJ265,0)</f>
        <v>260.37060464152552</v>
      </c>
      <c r="AL265" s="13">
        <f>0.66*SQRT([1]Parametros!$B$2)*H265*MIN(U265,AB265)/1000</f>
        <v>854.500946685842</v>
      </c>
      <c r="AM265" s="13" t="str">
        <f t="shared" si="56"/>
        <v>CUMPLE</v>
      </c>
      <c r="AN265" s="13" t="s">
        <v>64</v>
      </c>
      <c r="AO265" s="14">
        <v>2</v>
      </c>
      <c r="AP265" s="13">
        <f>ROUNDDOWN(MIN(IF(BC265+BD265=0,1000000000,AO265*BB265/(BC265+BD265)),MIN(U265,AB265)/4,8*[1]Parametros!$B$12,24*BA265,300,IF(AV265=0,1000000000,2*((H265-2*([1]Parametros!$B$7+[1]Parametros!$B$9/2))+(I265-2*([1]Parametros!$B$7+[1]Parametros!$B$9/2)))/8))/10,0)*10</f>
        <v>110</v>
      </c>
      <c r="AQ265" s="13">
        <f>ROUNDDOWN(MIN(IF(BC265+BD265=0,1000000000,AO265*BB265/(BC265+BD265)),IF(AK265&gt;0.33*SQRT([1]Parametros!$B$2)*H265*MIN(U265,AB265)/1000,MIN(U265,AB265)/4,MIN(U265,AB265)/2),600,IF(AV265=0,1000000000,2*((H265-2*([1]Parametros!$B$7+[1]Parametros!$B$9/2))+(I265-2*([1]Parametros!$B$7+[1]Parametros!$B$9/2)))/8))/10,0)*10</f>
        <v>110</v>
      </c>
      <c r="AR265" s="13">
        <f>[1]Parametros!$B$6*(AJ265+MAX(BE265-BD265,0)*[1]Parametros!$B$4*MIN(U265,AB265)/1000)</f>
        <v>364.06155106431038</v>
      </c>
      <c r="AS265" s="13" t="str">
        <f t="shared" si="57"/>
        <v>CUMPLE</v>
      </c>
      <c r="AT265" s="13">
        <f>[1]Parametros!$B$6*0.083*SQRT([1]Parametros!$B$2)*(H265*I265)^2/(2*(H265+I265))/1000000</f>
        <v>11.862178757598967</v>
      </c>
      <c r="AU265" s="13" t="str">
        <f t="shared" si="58"/>
        <v>DESPRECIABLE</v>
      </c>
      <c r="AV265" s="13">
        <f>IF(Q265&lt;=AT265,0,Q265*1000000/([1]Parametros!$B$6*2*0.85*(H265-2*([1]Parametros!$B$7+[1]Parametros!$B$9/2))*(I265-2*([1]Parametros!$B$7+[1]Parametros!$B$9/2))*[1]Parametros!$B$4))</f>
        <v>0</v>
      </c>
      <c r="AW265" s="13">
        <f>AV265*2*((H265-2*([1]Parametros!$B$7+[1]Parametros!$B$9/2))+(I265-2*([1]Parametros!$B$7+[1]Parametros!$B$9/2)))*[1]Parametros!$B$4/[1]Parametros!$B$3</f>
        <v>0</v>
      </c>
      <c r="AX265" s="14">
        <v>0</v>
      </c>
      <c r="AY265" s="13" t="str">
        <f t="shared" si="59"/>
        <v>DESPRECIABLE</v>
      </c>
      <c r="AZ265" s="13" t="str">
        <f t="shared" si="60"/>
        <v>CUMPLE</v>
      </c>
      <c r="BA265" s="14">
        <v>9.5</v>
      </c>
      <c r="BB265" s="14">
        <v>71</v>
      </c>
      <c r="BC265" s="13">
        <f>MAX(IF(AK265=0,0,AK265*1000/([1]Parametros!$B$4*MIN(U265,AB265))),MAX(0.062*SQRT([1]Parametros!$B$2)*H265/[1]Parametros!$B$4,0.35*H265/[1]Parametros!$B$4))</f>
        <v>1.2668437949346096</v>
      </c>
      <c r="BD265" s="13">
        <f t="shared" si="61"/>
        <v>0</v>
      </c>
      <c r="BE265" s="13">
        <f t="shared" si="62"/>
        <v>1.290909090909091</v>
      </c>
      <c r="BF265" s="13">
        <f>SQRT((AI265*1000/(H265*MIN(U265,AB265)))^2+(Q265*1000000*2*((H265-2*([1]Parametros!$B$7+[1]Parametros!$B$9/2))+(I265-2*([1]Parametros!$B$7+[1]Parametros!$B$9/2)))/(1.7*((H265-2*([1]Parametros!$B$7+[1]Parametros!$B$9/2))*(I265-2*([1]Parametros!$B$7+[1]Parametros!$B$9/2)))^2))^2)</f>
        <v>1.4747308760671589</v>
      </c>
      <c r="BG265" s="13">
        <f>[1]Parametros!$B$6*(AJ265*1000/(H265*MIN(U265,AB265))+0.66*SQRT([1]Parametros!$B$2))</f>
        <v>3.2939603822754151</v>
      </c>
      <c r="BH265" s="13" t="str">
        <f t="shared" si="63"/>
        <v>CUMPLE</v>
      </c>
      <c r="BI265" s="13">
        <f>AX265*[1]Parametros!$B$8</f>
        <v>0</v>
      </c>
      <c r="BJ265" s="15" t="str">
        <f t="shared" si="64"/>
        <v>CUMPLE</v>
      </c>
    </row>
    <row r="266" spans="1:62" x14ac:dyDescent="0.3">
      <c r="A266" s="43" t="s">
        <v>74</v>
      </c>
      <c r="B266" s="44">
        <v>761</v>
      </c>
      <c r="C266" s="13">
        <v>1</v>
      </c>
      <c r="D266" s="13">
        <v>2</v>
      </c>
      <c r="E266" s="13">
        <v>2</v>
      </c>
      <c r="F266" s="13">
        <v>500</v>
      </c>
      <c r="G266" s="13">
        <v>550</v>
      </c>
      <c r="H266" s="13">
        <v>500</v>
      </c>
      <c r="I266" s="13">
        <v>550</v>
      </c>
      <c r="J266" s="14">
        <v>129.2013</v>
      </c>
      <c r="K266" s="13">
        <v>761</v>
      </c>
      <c r="L266" s="14">
        <v>92.585300000000004</v>
      </c>
      <c r="M266" s="13">
        <v>761</v>
      </c>
      <c r="N266" s="14">
        <v>127.946</v>
      </c>
      <c r="O266" s="14">
        <v>439.50799999999998</v>
      </c>
      <c r="P266" s="13">
        <v>761</v>
      </c>
      <c r="Q266" s="14">
        <v>5.5890000000000004</v>
      </c>
      <c r="R266" s="13">
        <f>MAX(MAX(1.4/[1]Parametros!$B$3,0.25*SQRT([1]Parametros!$B$2)/[1]Parametros!$B$3)*H266*U266,(0.85*[1]Parametros!$B$2/[1]Parametros!$B$3)*(1-SQRT(1-2*(J266*1000000/([1]Parametros!$B$5*H266*U266^2))/(0.85*[1]Parametros!$B$2)))*H266*U266)</f>
        <v>815.58333333333326</v>
      </c>
      <c r="S266" s="14">
        <v>5</v>
      </c>
      <c r="T266" s="14">
        <v>1</v>
      </c>
      <c r="U266" s="13">
        <f>IF(T266=1,I266-([1]Parametros!$B$7+[1]Parametros!$B$9+[1]Parametros!$B$12/2),I266-(ROUNDUP(S266/2,0)*([1]Parametros!$B$7+[1]Parametros!$B$9+[1]Parametros!$B$12/2)+ROUNDDOWN(S266/2,0)*([1]Parametros!$B$7+[1]Parametros!$B$9+[1]Parametros!$B$12/2+[1]Parametros!$B$12+[1]Parametros!$B$10))/S266)</f>
        <v>489.35</v>
      </c>
      <c r="V266" s="13">
        <f>S266*[1]Parametros!$B$8</f>
        <v>995</v>
      </c>
      <c r="W266" s="13">
        <f>[1]Parametros!$B$5*V266*[1]Parametros!$B$3*(U266-(V266*[1]Parametros!$B$3/(0.85*[1]Parametros!$B$2*H266))/2)/1000000</f>
        <v>177.44537938235294</v>
      </c>
      <c r="X266" s="13" t="str">
        <f t="shared" si="52"/>
        <v>CUMPLE</v>
      </c>
      <c r="Y266" s="13">
        <f>MAX(MAX(1.4/[1]Parametros!$B$3,0.25*SQRT([1]Parametros!$B$2)/[1]Parametros!$B$3)*H266*AB266,(0.85*[1]Parametros!$B$2/[1]Parametros!$B$3)*(1-SQRT(1-2*(L266*1000000/([1]Parametros!$B$5*H266*AB266^2))/(0.85*[1]Parametros!$B$2)))*H266*AB266)</f>
        <v>815.58333333333326</v>
      </c>
      <c r="Z266" s="14">
        <v>5</v>
      </c>
      <c r="AA266" s="14">
        <v>1</v>
      </c>
      <c r="AB266" s="13">
        <f>IF(AA266=1,I266-([1]Parametros!$B$7+[1]Parametros!$B$9+[1]Parametros!$B$12/2),I266-(ROUNDUP(Z266/2,0)*([1]Parametros!$B$7+[1]Parametros!$B$9+[1]Parametros!$B$12/2)+ROUNDDOWN(Z266/2,0)*([1]Parametros!$B$7+[1]Parametros!$B$9+[1]Parametros!$B$12/2+[1]Parametros!$B$12+[1]Parametros!$B$10))/Z266)</f>
        <v>489.35</v>
      </c>
      <c r="AC266" s="13">
        <f>Z266*[1]Parametros!$B$8</f>
        <v>995</v>
      </c>
      <c r="AD266" s="13">
        <f>[1]Parametros!$B$5*AC266*[1]Parametros!$B$3*(AB266-(AC266*[1]Parametros!$B$3/(0.85*[1]Parametros!$B$2*H266))/2)/1000000</f>
        <v>177.44537938235294</v>
      </c>
      <c r="AE266" s="13" t="str">
        <f t="shared" si="53"/>
        <v>CUMPLE</v>
      </c>
      <c r="AF266" s="13">
        <f>V266*1.25*[1]Parametros!$B$3*(U266-(V266*1.25*[1]Parametros!$B$3/(0.85*[1]Parametros!$B$2*H266))/2)/1000000</f>
        <v>244.15884319852941</v>
      </c>
      <c r="AG266" s="13">
        <f>AC266*1.25*[1]Parametros!$B$3*(AB266-(AC266*1.25*[1]Parametros!$B$3/(0.85*[1]Parametros!$B$2*H266))/2)/1000000</f>
        <v>244.15884319852941</v>
      </c>
      <c r="AH266" s="13">
        <f t="shared" si="54"/>
        <v>372.10484319852941</v>
      </c>
      <c r="AI266" s="13">
        <f t="shared" si="55"/>
        <v>439.50799999999998</v>
      </c>
      <c r="AJ266" s="13">
        <f>0.17*SQRT([1]Parametros!$B$2)*H266*MIN(U266,AB266)/1000</f>
        <v>220.09872869180776</v>
      </c>
      <c r="AK266" s="13">
        <f>MAX(AI266/[1]Parametros!$B$6-AJ266,0)</f>
        <v>365.91193797485892</v>
      </c>
      <c r="AL266" s="13">
        <f>0.66*SQRT([1]Parametros!$B$2)*H266*MIN(U266,AB266)/1000</f>
        <v>854.500946685842</v>
      </c>
      <c r="AM266" s="13" t="str">
        <f t="shared" si="56"/>
        <v>CUMPLE</v>
      </c>
      <c r="AN266" s="13" t="s">
        <v>68</v>
      </c>
      <c r="AO266" s="14">
        <v>2</v>
      </c>
      <c r="AP266" s="13">
        <f>ROUNDDOWN(MIN(IF(BC266+BD266=0,1000000000,AO266*BB266/(BC266+BD266)),MIN(U266,AB266)/4,8*[1]Parametros!$B$12,24*BA266,300,IF(AV266=0,1000000000,2*((H266-2*([1]Parametros!$B$7+[1]Parametros!$B$9/2))+(I266-2*([1]Parametros!$B$7+[1]Parametros!$B$9/2)))/8))/10,0)*10</f>
        <v>120</v>
      </c>
      <c r="AQ266" s="13">
        <f>ROUNDDOWN(MIN(IF(BC266+BD266=0,1000000000,AO266*BB266/(BC266+BD266)),IF(AK266&gt;0.33*SQRT([1]Parametros!$B$2)*H266*MIN(U266,AB266)/1000,MIN(U266,AB266)/4,MIN(U266,AB266)/2),600,IF(AV266=0,1000000000,2*((H266-2*([1]Parametros!$B$7+[1]Parametros!$B$9/2))+(I266-2*([1]Parametros!$B$7+[1]Parametros!$B$9/2)))/8))/10,0)*10</f>
        <v>140</v>
      </c>
      <c r="AR266" s="13">
        <f>[1]Parametros!$B$6*(AJ266+MAX(BE266-BD266,0)*[1]Parametros!$B$4*MIN(U266,AB266)/1000)</f>
        <v>496.48633401885581</v>
      </c>
      <c r="AS266" s="13" t="str">
        <f t="shared" si="57"/>
        <v>CUMPLE</v>
      </c>
      <c r="AT266" s="13">
        <f>[1]Parametros!$B$6*0.083*SQRT([1]Parametros!$B$2)*(H266*I266)^2/(2*(H266+I266))/1000000</f>
        <v>11.862178757598967</v>
      </c>
      <c r="AU266" s="13" t="str">
        <f t="shared" si="58"/>
        <v>DESPRECIABLE</v>
      </c>
      <c r="AV266" s="13">
        <f>IF(Q266&lt;=AT266,0,Q266*1000000/([1]Parametros!$B$6*2*0.85*(H266-2*([1]Parametros!$B$7+[1]Parametros!$B$9/2))*(I266-2*([1]Parametros!$B$7+[1]Parametros!$B$9/2))*[1]Parametros!$B$4))</f>
        <v>0</v>
      </c>
      <c r="AW266" s="13">
        <f>AV266*2*((H266-2*([1]Parametros!$B$7+[1]Parametros!$B$9/2))+(I266-2*([1]Parametros!$B$7+[1]Parametros!$B$9/2)))*[1]Parametros!$B$4/[1]Parametros!$B$3</f>
        <v>0</v>
      </c>
      <c r="AX266" s="14">
        <v>0</v>
      </c>
      <c r="AY266" s="13" t="str">
        <f t="shared" si="59"/>
        <v>DESPRECIABLE</v>
      </c>
      <c r="AZ266" s="13" t="str">
        <f t="shared" si="60"/>
        <v>CUMPLE</v>
      </c>
      <c r="BA266" s="14">
        <v>12.7</v>
      </c>
      <c r="BB266" s="14">
        <v>129</v>
      </c>
      <c r="BC266" s="13">
        <f>MAX(IF(AK266=0,0,AK266*1000/([1]Parametros!$B$4*MIN(U266,AB266))),MAX(0.062*SQRT([1]Parametros!$B$2)*H266/[1]Parametros!$B$4,0.35*H266/[1]Parametros!$B$4))</f>
        <v>1.7803594562994589</v>
      </c>
      <c r="BD266" s="13">
        <f t="shared" si="61"/>
        <v>0</v>
      </c>
      <c r="BE266" s="13">
        <f t="shared" si="62"/>
        <v>2.15</v>
      </c>
      <c r="BF266" s="13">
        <f>SQRT((AI266*1000/(H266*MIN(U266,AB266)))^2+(Q266*1000000*2*((H266-2*([1]Parametros!$B$7+[1]Parametros!$B$9/2))+(I266-2*([1]Parametros!$B$7+[1]Parametros!$B$9/2)))/(1.7*((H266-2*([1]Parametros!$B$7+[1]Parametros!$B$9/2))*(I266-2*([1]Parametros!$B$7+[1]Parametros!$B$9/2)))^2))^2)</f>
        <v>1.803752210404705</v>
      </c>
      <c r="BG266" s="13">
        <f>[1]Parametros!$B$6*(AJ266*1000/(H266*MIN(U266,AB266))+0.66*SQRT([1]Parametros!$B$2))</f>
        <v>3.2939603822754151</v>
      </c>
      <c r="BH266" s="13" t="str">
        <f t="shared" si="63"/>
        <v>CUMPLE</v>
      </c>
      <c r="BI266" s="13">
        <f>AX266*[1]Parametros!$B$8</f>
        <v>0</v>
      </c>
      <c r="BJ266" s="15" t="str">
        <f t="shared" si="64"/>
        <v>CUMPLE</v>
      </c>
    </row>
    <row r="267" spans="1:62" x14ac:dyDescent="0.3">
      <c r="A267" s="43" t="s">
        <v>74</v>
      </c>
      <c r="B267" s="44">
        <v>762</v>
      </c>
      <c r="C267" s="13">
        <v>1</v>
      </c>
      <c r="D267" s="13">
        <v>1.9</v>
      </c>
      <c r="E267" s="13">
        <v>1.9</v>
      </c>
      <c r="F267" s="13">
        <v>500</v>
      </c>
      <c r="G267" s="13">
        <v>550</v>
      </c>
      <c r="H267" s="13">
        <v>500</v>
      </c>
      <c r="I267" s="13">
        <v>550</v>
      </c>
      <c r="J267" s="14">
        <v>136.2337</v>
      </c>
      <c r="K267" s="13">
        <v>762</v>
      </c>
      <c r="L267" s="14">
        <v>101.8648</v>
      </c>
      <c r="M267" s="13">
        <v>762</v>
      </c>
      <c r="N267" s="14">
        <v>136.761</v>
      </c>
      <c r="O267" s="14">
        <v>479.24299999999999</v>
      </c>
      <c r="P267" s="13">
        <v>762</v>
      </c>
      <c r="Q267" s="14">
        <v>3.3660000000000001</v>
      </c>
      <c r="R267" s="13">
        <f>MAX(MAX(1.4/[1]Parametros!$B$3,0.25*SQRT([1]Parametros!$B$2)/[1]Parametros!$B$3)*H267*U267,(0.85*[1]Parametros!$B$2/[1]Parametros!$B$3)*(1-SQRT(1-2*(J267*1000000/([1]Parametros!$B$5*H267*U267^2))/(0.85*[1]Parametros!$B$2)))*H267*U267)</f>
        <v>815.58333333333326</v>
      </c>
      <c r="S267" s="14">
        <v>5</v>
      </c>
      <c r="T267" s="14">
        <v>1</v>
      </c>
      <c r="U267" s="13">
        <f>IF(T267=1,I267-([1]Parametros!$B$7+[1]Parametros!$B$9+[1]Parametros!$B$12/2),I267-(ROUNDUP(S267/2,0)*([1]Parametros!$B$7+[1]Parametros!$B$9+[1]Parametros!$B$12/2)+ROUNDDOWN(S267/2,0)*([1]Parametros!$B$7+[1]Parametros!$B$9+[1]Parametros!$B$12/2+[1]Parametros!$B$12+[1]Parametros!$B$10))/S267)</f>
        <v>489.35</v>
      </c>
      <c r="V267" s="13">
        <f>S267*[1]Parametros!$B$8</f>
        <v>995</v>
      </c>
      <c r="W267" s="13">
        <f>[1]Parametros!$B$5*V267*[1]Parametros!$B$3*(U267-(V267*[1]Parametros!$B$3/(0.85*[1]Parametros!$B$2*H267))/2)/1000000</f>
        <v>177.44537938235294</v>
      </c>
      <c r="X267" s="13" t="str">
        <f t="shared" si="52"/>
        <v>CUMPLE</v>
      </c>
      <c r="Y267" s="13">
        <f>MAX(MAX(1.4/[1]Parametros!$B$3,0.25*SQRT([1]Parametros!$B$2)/[1]Parametros!$B$3)*H267*AB267,(0.85*[1]Parametros!$B$2/[1]Parametros!$B$3)*(1-SQRT(1-2*(L267*1000000/([1]Parametros!$B$5*H267*AB267^2))/(0.85*[1]Parametros!$B$2)))*H267*AB267)</f>
        <v>815.58333333333326</v>
      </c>
      <c r="Z267" s="14">
        <v>5</v>
      </c>
      <c r="AA267" s="14">
        <v>1</v>
      </c>
      <c r="AB267" s="13">
        <f>IF(AA267=1,I267-([1]Parametros!$B$7+[1]Parametros!$B$9+[1]Parametros!$B$12/2),I267-(ROUNDUP(Z267/2,0)*([1]Parametros!$B$7+[1]Parametros!$B$9+[1]Parametros!$B$12/2)+ROUNDDOWN(Z267/2,0)*([1]Parametros!$B$7+[1]Parametros!$B$9+[1]Parametros!$B$12/2+[1]Parametros!$B$12+[1]Parametros!$B$10))/Z267)</f>
        <v>489.35</v>
      </c>
      <c r="AC267" s="13">
        <f>Z267*[1]Parametros!$B$8</f>
        <v>995</v>
      </c>
      <c r="AD267" s="13">
        <f>[1]Parametros!$B$5*AC267*[1]Parametros!$B$3*(AB267-(AC267*[1]Parametros!$B$3/(0.85*[1]Parametros!$B$2*H267))/2)/1000000</f>
        <v>177.44537938235294</v>
      </c>
      <c r="AE267" s="13" t="str">
        <f t="shared" si="53"/>
        <v>CUMPLE</v>
      </c>
      <c r="AF267" s="13">
        <f>V267*1.25*[1]Parametros!$B$3*(U267-(V267*1.25*[1]Parametros!$B$3/(0.85*[1]Parametros!$B$2*H267))/2)/1000000</f>
        <v>244.15884319852941</v>
      </c>
      <c r="AG267" s="13">
        <f>AC267*1.25*[1]Parametros!$B$3*(AB267-(AC267*1.25*[1]Parametros!$B$3/(0.85*[1]Parametros!$B$2*H267))/2)/1000000</f>
        <v>244.15884319852941</v>
      </c>
      <c r="AH267" s="13">
        <f t="shared" si="54"/>
        <v>393.77030863003097</v>
      </c>
      <c r="AI267" s="13">
        <f t="shared" si="55"/>
        <v>479.24299999999999</v>
      </c>
      <c r="AJ267" s="13">
        <f>0.17*SQRT([1]Parametros!$B$2)*H267*MIN(U267,AB267)/1000</f>
        <v>220.09872869180776</v>
      </c>
      <c r="AK267" s="13">
        <f>MAX(AI267/[1]Parametros!$B$6-AJ267,0)</f>
        <v>418.89193797485893</v>
      </c>
      <c r="AL267" s="13">
        <f>0.66*SQRT([1]Parametros!$B$2)*H267*MIN(U267,AB267)/1000</f>
        <v>854.500946685842</v>
      </c>
      <c r="AM267" s="13" t="str">
        <f t="shared" si="56"/>
        <v>CUMPLE</v>
      </c>
      <c r="AN267" s="13" t="s">
        <v>68</v>
      </c>
      <c r="AO267" s="14">
        <v>2</v>
      </c>
      <c r="AP267" s="13">
        <f>ROUNDDOWN(MIN(IF(BC267+BD267=0,1000000000,AO267*BB267/(BC267+BD267)),MIN(U267,AB267)/4,8*[1]Parametros!$B$12,24*BA267,300,IF(AV267=0,1000000000,2*((H267-2*([1]Parametros!$B$7+[1]Parametros!$B$9/2))+(I267-2*([1]Parametros!$B$7+[1]Parametros!$B$9/2)))/8))/10,0)*10</f>
        <v>120</v>
      </c>
      <c r="AQ267" s="13">
        <f>ROUNDDOWN(MIN(IF(BC267+BD267=0,1000000000,AO267*BB267/(BC267+BD267)),IF(AK267&gt;0.33*SQRT([1]Parametros!$B$2)*H267*MIN(U267,AB267)/1000,MIN(U267,AB267)/4,MIN(U267,AB267)/2),600,IF(AV267=0,1000000000,2*((H267-2*([1]Parametros!$B$7+[1]Parametros!$B$9/2))+(I267-2*([1]Parametros!$B$7+[1]Parametros!$B$9/2)))/8))/10,0)*10</f>
        <v>120</v>
      </c>
      <c r="AR267" s="13">
        <f>[1]Parametros!$B$6*(AJ267+MAX(BE267-BD267,0)*[1]Parametros!$B$4*MIN(U267,AB267)/1000)</f>
        <v>496.48633401885581</v>
      </c>
      <c r="AS267" s="13" t="str">
        <f t="shared" si="57"/>
        <v>CUMPLE</v>
      </c>
      <c r="AT267" s="13">
        <f>[1]Parametros!$B$6*0.083*SQRT([1]Parametros!$B$2)*(H267*I267)^2/(2*(H267+I267))/1000000</f>
        <v>11.862178757598967</v>
      </c>
      <c r="AU267" s="13" t="str">
        <f t="shared" si="58"/>
        <v>DESPRECIABLE</v>
      </c>
      <c r="AV267" s="13">
        <f>IF(Q267&lt;=AT267,0,Q267*1000000/([1]Parametros!$B$6*2*0.85*(H267-2*([1]Parametros!$B$7+[1]Parametros!$B$9/2))*(I267-2*([1]Parametros!$B$7+[1]Parametros!$B$9/2))*[1]Parametros!$B$4))</f>
        <v>0</v>
      </c>
      <c r="AW267" s="13">
        <f>AV267*2*((H267-2*([1]Parametros!$B$7+[1]Parametros!$B$9/2))+(I267-2*([1]Parametros!$B$7+[1]Parametros!$B$9/2)))*[1]Parametros!$B$4/[1]Parametros!$B$3</f>
        <v>0</v>
      </c>
      <c r="AX267" s="14">
        <v>0</v>
      </c>
      <c r="AY267" s="13" t="str">
        <f t="shared" si="59"/>
        <v>DESPRECIABLE</v>
      </c>
      <c r="AZ267" s="13" t="str">
        <f t="shared" si="60"/>
        <v>CUMPLE</v>
      </c>
      <c r="BA267" s="14">
        <v>12.7</v>
      </c>
      <c r="BB267" s="14">
        <v>129</v>
      </c>
      <c r="BC267" s="13">
        <f>MAX(IF(AK267=0,0,AK267*1000/([1]Parametros!$B$4*MIN(U267,AB267))),MAX(0.062*SQRT([1]Parametros!$B$2)*H267/[1]Parametros!$B$4,0.35*H267/[1]Parametros!$B$4))</f>
        <v>2.0381358068519413</v>
      </c>
      <c r="BD267" s="13">
        <f t="shared" si="61"/>
        <v>0</v>
      </c>
      <c r="BE267" s="13">
        <f t="shared" si="62"/>
        <v>2.15</v>
      </c>
      <c r="BF267" s="13">
        <f>SQRT((AI267*1000/(H267*MIN(U267,AB267)))^2+(Q267*1000000*2*((H267-2*([1]Parametros!$B$7+[1]Parametros!$B$9/2))+(I267-2*([1]Parametros!$B$7+[1]Parametros!$B$9/2)))/(1.7*((H267-2*([1]Parametros!$B$7+[1]Parametros!$B$9/2))*(I267-2*([1]Parametros!$B$7+[1]Parametros!$B$9/2)))^2))^2)</f>
        <v>1.9611769162629811</v>
      </c>
      <c r="BG267" s="13">
        <f>[1]Parametros!$B$6*(AJ267*1000/(H267*MIN(U267,AB267))+0.66*SQRT([1]Parametros!$B$2))</f>
        <v>3.2939603822754151</v>
      </c>
      <c r="BH267" s="13" t="str">
        <f t="shared" si="63"/>
        <v>CUMPLE</v>
      </c>
      <c r="BI267" s="13">
        <f>AX267*[1]Parametros!$B$8</f>
        <v>0</v>
      </c>
      <c r="BJ267" s="15" t="str">
        <f t="shared" si="64"/>
        <v>CUMPLE</v>
      </c>
    </row>
    <row r="268" spans="1:62" x14ac:dyDescent="0.3">
      <c r="A268" s="43" t="s">
        <v>74</v>
      </c>
      <c r="B268" s="44">
        <v>763</v>
      </c>
      <c r="C268" s="13">
        <v>1</v>
      </c>
      <c r="D268" s="13">
        <v>3.4</v>
      </c>
      <c r="E268" s="13">
        <v>3.4</v>
      </c>
      <c r="F268" s="13">
        <v>500</v>
      </c>
      <c r="G268" s="13">
        <v>550</v>
      </c>
      <c r="H268" s="13">
        <v>500</v>
      </c>
      <c r="I268" s="13">
        <v>550</v>
      </c>
      <c r="J268" s="14">
        <v>151.5787</v>
      </c>
      <c r="K268" s="13">
        <v>763</v>
      </c>
      <c r="L268" s="14">
        <v>81.773200000000003</v>
      </c>
      <c r="M268" s="13">
        <v>763</v>
      </c>
      <c r="N268" s="14">
        <v>122.569</v>
      </c>
      <c r="O268" s="14">
        <v>329.245</v>
      </c>
      <c r="P268" s="13">
        <v>763</v>
      </c>
      <c r="Q268" s="14">
        <v>7.1802000000000001</v>
      </c>
      <c r="R268" s="13">
        <f>MAX(MAX(1.4/[1]Parametros!$B$3,0.25*SQRT([1]Parametros!$B$2)/[1]Parametros!$B$3)*H268*U268,(0.85*[1]Parametros!$B$2/[1]Parametros!$B$3)*(1-SQRT(1-2*(J268*1000000/([1]Parametros!$B$5*H268*U268^2))/(0.85*[1]Parametros!$B$2)))*H268*U268)</f>
        <v>845.22097506134514</v>
      </c>
      <c r="S268" s="14">
        <v>5</v>
      </c>
      <c r="T268" s="14">
        <v>1</v>
      </c>
      <c r="U268" s="13">
        <f>IF(T268=1,I268-([1]Parametros!$B$7+[1]Parametros!$B$9+[1]Parametros!$B$12/2),I268-(ROUNDUP(S268/2,0)*([1]Parametros!$B$7+[1]Parametros!$B$9+[1]Parametros!$B$12/2)+ROUNDDOWN(S268/2,0)*([1]Parametros!$B$7+[1]Parametros!$B$9+[1]Parametros!$B$12/2+[1]Parametros!$B$12+[1]Parametros!$B$10))/S268)</f>
        <v>489.35</v>
      </c>
      <c r="V268" s="13">
        <f>S268*[1]Parametros!$B$8</f>
        <v>995</v>
      </c>
      <c r="W268" s="13">
        <f>[1]Parametros!$B$5*V268*[1]Parametros!$B$3*(U268-(V268*[1]Parametros!$B$3/(0.85*[1]Parametros!$B$2*H268))/2)/1000000</f>
        <v>177.44537938235294</v>
      </c>
      <c r="X268" s="13" t="str">
        <f t="shared" si="52"/>
        <v>CUMPLE</v>
      </c>
      <c r="Y268" s="13">
        <f>MAX(MAX(1.4/[1]Parametros!$B$3,0.25*SQRT([1]Parametros!$B$2)/[1]Parametros!$B$3)*H268*AB268,(0.85*[1]Parametros!$B$2/[1]Parametros!$B$3)*(1-SQRT(1-2*(L268*1000000/([1]Parametros!$B$5*H268*AB268^2))/(0.85*[1]Parametros!$B$2)))*H268*AB268)</f>
        <v>815.58333333333326</v>
      </c>
      <c r="Z268" s="14">
        <v>5</v>
      </c>
      <c r="AA268" s="14">
        <v>1</v>
      </c>
      <c r="AB268" s="13">
        <f>IF(AA268=1,I268-([1]Parametros!$B$7+[1]Parametros!$B$9+[1]Parametros!$B$12/2),I268-(ROUNDUP(Z268/2,0)*([1]Parametros!$B$7+[1]Parametros!$B$9+[1]Parametros!$B$12/2)+ROUNDDOWN(Z268/2,0)*([1]Parametros!$B$7+[1]Parametros!$B$9+[1]Parametros!$B$12/2+[1]Parametros!$B$12+[1]Parametros!$B$10))/Z268)</f>
        <v>489.35</v>
      </c>
      <c r="AC268" s="13">
        <f>Z268*[1]Parametros!$B$8</f>
        <v>995</v>
      </c>
      <c r="AD268" s="13">
        <f>[1]Parametros!$B$5*AC268*[1]Parametros!$B$3*(AB268-(AC268*[1]Parametros!$B$3/(0.85*[1]Parametros!$B$2*H268))/2)/1000000</f>
        <v>177.44537938235294</v>
      </c>
      <c r="AE268" s="13" t="str">
        <f t="shared" si="53"/>
        <v>CUMPLE</v>
      </c>
      <c r="AF268" s="13">
        <f>V268*1.25*[1]Parametros!$B$3*(U268-(V268*1.25*[1]Parametros!$B$3/(0.85*[1]Parametros!$B$2*H268))/2)/1000000</f>
        <v>244.15884319852941</v>
      </c>
      <c r="AG268" s="13">
        <f>AC268*1.25*[1]Parametros!$B$3*(AB268-(AC268*1.25*[1]Parametros!$B$3/(0.85*[1]Parametros!$B$2*H268))/2)/1000000</f>
        <v>244.15884319852941</v>
      </c>
      <c r="AH268" s="13">
        <f t="shared" si="54"/>
        <v>266.19184894031144</v>
      </c>
      <c r="AI268" s="13">
        <f t="shared" si="55"/>
        <v>329.245</v>
      </c>
      <c r="AJ268" s="13">
        <f>0.17*SQRT([1]Parametros!$B$2)*H268*MIN(U268,AB268)/1000</f>
        <v>220.09872869180776</v>
      </c>
      <c r="AK268" s="13">
        <f>MAX(AI268/[1]Parametros!$B$6-AJ268,0)</f>
        <v>218.89460464152558</v>
      </c>
      <c r="AL268" s="13">
        <f>0.66*SQRT([1]Parametros!$B$2)*H268*MIN(U268,AB268)/1000</f>
        <v>854.500946685842</v>
      </c>
      <c r="AM268" s="13" t="str">
        <f t="shared" si="56"/>
        <v>CUMPLE</v>
      </c>
      <c r="AN268" s="13" t="s">
        <v>64</v>
      </c>
      <c r="AO268" s="14">
        <v>2</v>
      </c>
      <c r="AP268" s="13">
        <f>ROUNDDOWN(MIN(IF(BC268+BD268=0,1000000000,AO268*BB268/(BC268+BD268)),MIN(U268,AB268)/4,8*[1]Parametros!$B$12,24*BA268,300,IF(AV268=0,1000000000,2*((H268-2*([1]Parametros!$B$7+[1]Parametros!$B$9/2))+(I268-2*([1]Parametros!$B$7+[1]Parametros!$B$9/2)))/8))/10,0)*10</f>
        <v>120</v>
      </c>
      <c r="AQ268" s="13">
        <f>ROUNDDOWN(MIN(IF(BC268+BD268=0,1000000000,AO268*BB268/(BC268+BD268)),IF(AK268&gt;0.33*SQRT([1]Parametros!$B$2)*H268*MIN(U268,AB268)/1000,MIN(U268,AB268)/4,MIN(U268,AB268)/2),600,IF(AV268=0,1000000000,2*((H268-2*([1]Parametros!$B$7+[1]Parametros!$B$9/2))+(I268-2*([1]Parametros!$B$7+[1]Parametros!$B$9/2)))/8))/10,0)*10</f>
        <v>130</v>
      </c>
      <c r="AR268" s="13">
        <f>[1]Parametros!$B$6*(AJ268+MAX(BE268-BD268,0)*[1]Parametros!$B$4*MIN(U268,AB268)/1000)</f>
        <v>347.47925901885583</v>
      </c>
      <c r="AS268" s="13" t="str">
        <f t="shared" si="57"/>
        <v>CUMPLE</v>
      </c>
      <c r="AT268" s="13">
        <f>[1]Parametros!$B$6*0.083*SQRT([1]Parametros!$B$2)*(H268*I268)^2/(2*(H268+I268))/1000000</f>
        <v>11.862178757598967</v>
      </c>
      <c r="AU268" s="13" t="str">
        <f t="shared" si="58"/>
        <v>DESPRECIABLE</v>
      </c>
      <c r="AV268" s="13">
        <f>IF(Q268&lt;=AT268,0,Q268*1000000/([1]Parametros!$B$6*2*0.85*(H268-2*([1]Parametros!$B$7+[1]Parametros!$B$9/2))*(I268-2*([1]Parametros!$B$7+[1]Parametros!$B$9/2))*[1]Parametros!$B$4))</f>
        <v>0</v>
      </c>
      <c r="AW268" s="13">
        <f>AV268*2*((H268-2*([1]Parametros!$B$7+[1]Parametros!$B$9/2))+(I268-2*([1]Parametros!$B$7+[1]Parametros!$B$9/2)))*[1]Parametros!$B$4/[1]Parametros!$B$3</f>
        <v>0</v>
      </c>
      <c r="AX268" s="14">
        <v>0</v>
      </c>
      <c r="AY268" s="13" t="str">
        <f t="shared" si="59"/>
        <v>DESPRECIABLE</v>
      </c>
      <c r="AZ268" s="13" t="str">
        <f t="shared" si="60"/>
        <v>CUMPLE</v>
      </c>
      <c r="BA268" s="14">
        <v>9.5</v>
      </c>
      <c r="BB268" s="14">
        <v>71</v>
      </c>
      <c r="BC268" s="13">
        <f>MAX(IF(AK268=0,0,AK268*1000/([1]Parametros!$B$4*MIN(U268,AB268))),MAX(0.062*SQRT([1]Parametros!$B$2)*H268/[1]Parametros!$B$4,0.35*H268/[1]Parametros!$B$4))</f>
        <v>1.0650406255213454</v>
      </c>
      <c r="BD268" s="13">
        <f t="shared" si="61"/>
        <v>0</v>
      </c>
      <c r="BE268" s="13">
        <f t="shared" si="62"/>
        <v>1.1833333333333333</v>
      </c>
      <c r="BF268" s="13">
        <f>SQRT((AI268*1000/(H268*MIN(U268,AB268)))^2+(Q268*1000000*2*((H268-2*([1]Parametros!$B$7+[1]Parametros!$B$9/2))+(I268-2*([1]Parametros!$B$7+[1]Parametros!$B$9/2)))/(1.7*((H268-2*([1]Parametros!$B$7+[1]Parametros!$B$9/2))*(I268-2*([1]Parametros!$B$7+[1]Parametros!$B$9/2)))^2))^2)</f>
        <v>1.3620107301633571</v>
      </c>
      <c r="BG268" s="13">
        <f>[1]Parametros!$B$6*(AJ268*1000/(H268*MIN(U268,AB268))+0.66*SQRT([1]Parametros!$B$2))</f>
        <v>3.2939603822754151</v>
      </c>
      <c r="BH268" s="13" t="str">
        <f t="shared" si="63"/>
        <v>CUMPLE</v>
      </c>
      <c r="BI268" s="13">
        <f>AX268*[1]Parametros!$B$8</f>
        <v>0</v>
      </c>
      <c r="BJ268" s="15" t="str">
        <f t="shared" si="64"/>
        <v>CUMPLE</v>
      </c>
    </row>
    <row r="269" spans="1:62" x14ac:dyDescent="0.3">
      <c r="A269" s="43" t="s">
        <v>74</v>
      </c>
      <c r="B269" s="44">
        <v>764</v>
      </c>
      <c r="C269" s="13">
        <v>1</v>
      </c>
      <c r="D269" s="13">
        <v>3.4</v>
      </c>
      <c r="E269" s="13">
        <v>3.4</v>
      </c>
      <c r="F269" s="13">
        <v>500</v>
      </c>
      <c r="G269" s="13">
        <v>550</v>
      </c>
      <c r="H269" s="13">
        <v>500</v>
      </c>
      <c r="I269" s="13">
        <v>550</v>
      </c>
      <c r="J269" s="14">
        <v>151.6354</v>
      </c>
      <c r="K269" s="13">
        <v>764</v>
      </c>
      <c r="L269" s="14">
        <v>81.850499999999997</v>
      </c>
      <c r="M269" s="13">
        <v>764</v>
      </c>
      <c r="N269" s="14">
        <v>122.605</v>
      </c>
      <c r="O269" s="14">
        <v>329.42</v>
      </c>
      <c r="P269" s="13">
        <v>764</v>
      </c>
      <c r="Q269" s="14">
        <v>7.2618</v>
      </c>
      <c r="R269" s="13">
        <f>MAX(MAX(1.4/[1]Parametros!$B$3,0.25*SQRT([1]Parametros!$B$2)/[1]Parametros!$B$3)*H269*U269,(0.85*[1]Parametros!$B$2/[1]Parametros!$B$3)*(1-SQRT(1-2*(J269*1000000/([1]Parametros!$B$5*H269*U269^2))/(0.85*[1]Parametros!$B$2)))*H269*U269)</f>
        <v>845.5474076738891</v>
      </c>
      <c r="S269" s="14">
        <v>5</v>
      </c>
      <c r="T269" s="14">
        <v>1</v>
      </c>
      <c r="U269" s="13">
        <f>IF(T269=1,I269-([1]Parametros!$B$7+[1]Parametros!$B$9+[1]Parametros!$B$12/2),I269-(ROUNDUP(S269/2,0)*([1]Parametros!$B$7+[1]Parametros!$B$9+[1]Parametros!$B$12/2)+ROUNDDOWN(S269/2,0)*([1]Parametros!$B$7+[1]Parametros!$B$9+[1]Parametros!$B$12/2+[1]Parametros!$B$12+[1]Parametros!$B$10))/S269)</f>
        <v>489.35</v>
      </c>
      <c r="V269" s="13">
        <f>S269*[1]Parametros!$B$8</f>
        <v>995</v>
      </c>
      <c r="W269" s="13">
        <f>[1]Parametros!$B$5*V269*[1]Parametros!$B$3*(U269-(V269*[1]Parametros!$B$3/(0.85*[1]Parametros!$B$2*H269))/2)/1000000</f>
        <v>177.44537938235294</v>
      </c>
      <c r="X269" s="13" t="str">
        <f t="shared" si="52"/>
        <v>CUMPLE</v>
      </c>
      <c r="Y269" s="13">
        <f>MAX(MAX(1.4/[1]Parametros!$B$3,0.25*SQRT([1]Parametros!$B$2)/[1]Parametros!$B$3)*H269*AB269,(0.85*[1]Parametros!$B$2/[1]Parametros!$B$3)*(1-SQRT(1-2*(L269*1000000/([1]Parametros!$B$5*H269*AB269^2))/(0.85*[1]Parametros!$B$2)))*H269*AB269)</f>
        <v>815.58333333333326</v>
      </c>
      <c r="Z269" s="14">
        <v>5</v>
      </c>
      <c r="AA269" s="14">
        <v>1</v>
      </c>
      <c r="AB269" s="13">
        <f>IF(AA269=1,I269-([1]Parametros!$B$7+[1]Parametros!$B$9+[1]Parametros!$B$12/2),I269-(ROUNDUP(Z269/2,0)*([1]Parametros!$B$7+[1]Parametros!$B$9+[1]Parametros!$B$12/2)+ROUNDDOWN(Z269/2,0)*([1]Parametros!$B$7+[1]Parametros!$B$9+[1]Parametros!$B$12/2+[1]Parametros!$B$12+[1]Parametros!$B$10))/Z269)</f>
        <v>489.35</v>
      </c>
      <c r="AC269" s="13">
        <f>Z269*[1]Parametros!$B$8</f>
        <v>995</v>
      </c>
      <c r="AD269" s="13">
        <f>[1]Parametros!$B$5*AC269*[1]Parametros!$B$3*(AB269-(AC269*[1]Parametros!$B$3/(0.85*[1]Parametros!$B$2*H269))/2)/1000000</f>
        <v>177.44537938235294</v>
      </c>
      <c r="AE269" s="13" t="str">
        <f t="shared" si="53"/>
        <v>CUMPLE</v>
      </c>
      <c r="AF269" s="13">
        <f>V269*1.25*[1]Parametros!$B$3*(U269-(V269*1.25*[1]Parametros!$B$3/(0.85*[1]Parametros!$B$2*H269))/2)/1000000</f>
        <v>244.15884319852941</v>
      </c>
      <c r="AG269" s="13">
        <f>AC269*1.25*[1]Parametros!$B$3*(AB269-(AC269*1.25*[1]Parametros!$B$3/(0.85*[1]Parametros!$B$2*H269))/2)/1000000</f>
        <v>244.15884319852941</v>
      </c>
      <c r="AH269" s="13">
        <f t="shared" si="54"/>
        <v>266.22784894031145</v>
      </c>
      <c r="AI269" s="13">
        <f t="shared" si="55"/>
        <v>329.42</v>
      </c>
      <c r="AJ269" s="13">
        <f>0.17*SQRT([1]Parametros!$B$2)*H269*MIN(U269,AB269)/1000</f>
        <v>220.09872869180776</v>
      </c>
      <c r="AK269" s="13">
        <f>MAX(AI269/[1]Parametros!$B$6-AJ269,0)</f>
        <v>219.12793797485892</v>
      </c>
      <c r="AL269" s="13">
        <f>0.66*SQRT([1]Parametros!$B$2)*H269*MIN(U269,AB269)/1000</f>
        <v>854.500946685842</v>
      </c>
      <c r="AM269" s="13" t="str">
        <f t="shared" si="56"/>
        <v>CUMPLE</v>
      </c>
      <c r="AN269" s="13" t="s">
        <v>64</v>
      </c>
      <c r="AO269" s="14">
        <v>2</v>
      </c>
      <c r="AP269" s="13">
        <f>ROUNDDOWN(MIN(IF(BC269+BD269=0,1000000000,AO269*BB269/(BC269+BD269)),MIN(U269,AB269)/4,8*[1]Parametros!$B$12,24*BA269,300,IF(AV269=0,1000000000,2*((H269-2*([1]Parametros!$B$7+[1]Parametros!$B$9/2))+(I269-2*([1]Parametros!$B$7+[1]Parametros!$B$9/2)))/8))/10,0)*10</f>
        <v>120</v>
      </c>
      <c r="AQ269" s="13">
        <f>ROUNDDOWN(MIN(IF(BC269+BD269=0,1000000000,AO269*BB269/(BC269+BD269)),IF(AK269&gt;0.33*SQRT([1]Parametros!$B$2)*H269*MIN(U269,AB269)/1000,MIN(U269,AB269)/4,MIN(U269,AB269)/2),600,IF(AV269=0,1000000000,2*((H269-2*([1]Parametros!$B$7+[1]Parametros!$B$9/2))+(I269-2*([1]Parametros!$B$7+[1]Parametros!$B$9/2)))/8))/10,0)*10</f>
        <v>130</v>
      </c>
      <c r="AR269" s="13">
        <f>[1]Parametros!$B$6*(AJ269+MAX(BE269-BD269,0)*[1]Parametros!$B$4*MIN(U269,AB269)/1000)</f>
        <v>347.47925901885583</v>
      </c>
      <c r="AS269" s="13" t="str">
        <f t="shared" si="57"/>
        <v>CUMPLE</v>
      </c>
      <c r="AT269" s="13">
        <f>[1]Parametros!$B$6*0.083*SQRT([1]Parametros!$B$2)*(H269*I269)^2/(2*(H269+I269))/1000000</f>
        <v>11.862178757598967</v>
      </c>
      <c r="AU269" s="13" t="str">
        <f t="shared" si="58"/>
        <v>DESPRECIABLE</v>
      </c>
      <c r="AV269" s="13">
        <f>IF(Q269&lt;=AT269,0,Q269*1000000/([1]Parametros!$B$6*2*0.85*(H269-2*([1]Parametros!$B$7+[1]Parametros!$B$9/2))*(I269-2*([1]Parametros!$B$7+[1]Parametros!$B$9/2))*[1]Parametros!$B$4))</f>
        <v>0</v>
      </c>
      <c r="AW269" s="13">
        <f>AV269*2*((H269-2*([1]Parametros!$B$7+[1]Parametros!$B$9/2))+(I269-2*([1]Parametros!$B$7+[1]Parametros!$B$9/2)))*[1]Parametros!$B$4/[1]Parametros!$B$3</f>
        <v>0</v>
      </c>
      <c r="AX269" s="14">
        <v>0</v>
      </c>
      <c r="AY269" s="13" t="str">
        <f t="shared" si="59"/>
        <v>DESPRECIABLE</v>
      </c>
      <c r="AZ269" s="13" t="str">
        <f t="shared" si="60"/>
        <v>CUMPLE</v>
      </c>
      <c r="BA269" s="14">
        <v>9.5</v>
      </c>
      <c r="BB269" s="14">
        <v>71</v>
      </c>
      <c r="BC269" s="13">
        <f>MAX(IF(AK269=0,0,AK269*1000/([1]Parametros!$B$4*MIN(U269,AB269))),MAX(0.062*SQRT([1]Parametros!$B$2)*H269/[1]Parametros!$B$4,0.35*H269/[1]Parametros!$B$4))</f>
        <v>1.0661759183701358</v>
      </c>
      <c r="BD269" s="13">
        <f t="shared" si="61"/>
        <v>0</v>
      </c>
      <c r="BE269" s="13">
        <f t="shared" si="62"/>
        <v>1.1833333333333333</v>
      </c>
      <c r="BF269" s="13">
        <f>SQRT((AI269*1000/(H269*MIN(U269,AB269)))^2+(Q269*1000000*2*((H269-2*([1]Parametros!$B$7+[1]Parametros!$B$9/2))+(I269-2*([1]Parametros!$B$7+[1]Parametros!$B$9/2)))/(1.7*((H269-2*([1]Parametros!$B$7+[1]Parametros!$B$9/2))*(I269-2*([1]Parametros!$B$7+[1]Parametros!$B$9/2)))^2))^2)</f>
        <v>1.3630890393508581</v>
      </c>
      <c r="BG269" s="13">
        <f>[1]Parametros!$B$6*(AJ269*1000/(H269*MIN(U269,AB269))+0.66*SQRT([1]Parametros!$B$2))</f>
        <v>3.2939603822754151</v>
      </c>
      <c r="BH269" s="13" t="str">
        <f t="shared" si="63"/>
        <v>CUMPLE</v>
      </c>
      <c r="BI269" s="13">
        <f>AX269*[1]Parametros!$B$8</f>
        <v>0</v>
      </c>
      <c r="BJ269" s="15" t="str">
        <f t="shared" si="64"/>
        <v>CUMPLE</v>
      </c>
    </row>
    <row r="270" spans="1:62" x14ac:dyDescent="0.3">
      <c r="A270" s="43" t="s">
        <v>74</v>
      </c>
      <c r="B270" s="44">
        <v>765</v>
      </c>
      <c r="C270" s="13">
        <v>1</v>
      </c>
      <c r="D270" s="13">
        <v>1.9</v>
      </c>
      <c r="E270" s="13">
        <v>1.9</v>
      </c>
      <c r="F270" s="13">
        <v>500</v>
      </c>
      <c r="G270" s="13">
        <v>550</v>
      </c>
      <c r="H270" s="13">
        <v>500</v>
      </c>
      <c r="I270" s="13">
        <v>550</v>
      </c>
      <c r="J270" s="14">
        <v>136.35120000000001</v>
      </c>
      <c r="K270" s="13">
        <v>765</v>
      </c>
      <c r="L270" s="14">
        <v>101.947</v>
      </c>
      <c r="M270" s="13">
        <v>765</v>
      </c>
      <c r="N270" s="14">
        <v>136.864</v>
      </c>
      <c r="O270" s="14">
        <v>479.37799999999999</v>
      </c>
      <c r="P270" s="13">
        <v>765</v>
      </c>
      <c r="Q270" s="14">
        <v>3.3858999999999999</v>
      </c>
      <c r="R270" s="13">
        <f>MAX(MAX(1.4/[1]Parametros!$B$3,0.25*SQRT([1]Parametros!$B$2)/[1]Parametros!$B$3)*H270*U270,(0.85*[1]Parametros!$B$2/[1]Parametros!$B$3)*(1-SQRT(1-2*(J270*1000000/([1]Parametros!$B$5*H270*U270^2))/(0.85*[1]Parametros!$B$2)))*H270*U270)</f>
        <v>815.58333333333326</v>
      </c>
      <c r="S270" s="14">
        <v>5</v>
      </c>
      <c r="T270" s="14">
        <v>1</v>
      </c>
      <c r="U270" s="13">
        <f>IF(T270=1,I270-([1]Parametros!$B$7+[1]Parametros!$B$9+[1]Parametros!$B$12/2),I270-(ROUNDUP(S270/2,0)*([1]Parametros!$B$7+[1]Parametros!$B$9+[1]Parametros!$B$12/2)+ROUNDDOWN(S270/2,0)*([1]Parametros!$B$7+[1]Parametros!$B$9+[1]Parametros!$B$12/2+[1]Parametros!$B$12+[1]Parametros!$B$10))/S270)</f>
        <v>489.35</v>
      </c>
      <c r="V270" s="13">
        <f>S270*[1]Parametros!$B$8</f>
        <v>995</v>
      </c>
      <c r="W270" s="13">
        <f>[1]Parametros!$B$5*V270*[1]Parametros!$B$3*(U270-(V270*[1]Parametros!$B$3/(0.85*[1]Parametros!$B$2*H270))/2)/1000000</f>
        <v>177.44537938235294</v>
      </c>
      <c r="X270" s="13" t="str">
        <f t="shared" si="52"/>
        <v>CUMPLE</v>
      </c>
      <c r="Y270" s="13">
        <f>MAX(MAX(1.4/[1]Parametros!$B$3,0.25*SQRT([1]Parametros!$B$2)/[1]Parametros!$B$3)*H270*AB270,(0.85*[1]Parametros!$B$2/[1]Parametros!$B$3)*(1-SQRT(1-2*(L270*1000000/([1]Parametros!$B$5*H270*AB270^2))/(0.85*[1]Parametros!$B$2)))*H270*AB270)</f>
        <v>815.58333333333326</v>
      </c>
      <c r="Z270" s="14">
        <v>5</v>
      </c>
      <c r="AA270" s="14">
        <v>1</v>
      </c>
      <c r="AB270" s="13">
        <f>IF(AA270=1,I270-([1]Parametros!$B$7+[1]Parametros!$B$9+[1]Parametros!$B$12/2),I270-(ROUNDUP(Z270/2,0)*([1]Parametros!$B$7+[1]Parametros!$B$9+[1]Parametros!$B$12/2)+ROUNDDOWN(Z270/2,0)*([1]Parametros!$B$7+[1]Parametros!$B$9+[1]Parametros!$B$12/2+[1]Parametros!$B$12+[1]Parametros!$B$10))/Z270)</f>
        <v>489.35</v>
      </c>
      <c r="AC270" s="13">
        <f>Z270*[1]Parametros!$B$8</f>
        <v>995</v>
      </c>
      <c r="AD270" s="13">
        <f>[1]Parametros!$B$5*AC270*[1]Parametros!$B$3*(AB270-(AC270*[1]Parametros!$B$3/(0.85*[1]Parametros!$B$2*H270))/2)/1000000</f>
        <v>177.44537938235294</v>
      </c>
      <c r="AE270" s="13" t="str">
        <f t="shared" si="53"/>
        <v>CUMPLE</v>
      </c>
      <c r="AF270" s="13">
        <f>V270*1.25*[1]Parametros!$B$3*(U270-(V270*1.25*[1]Parametros!$B$3/(0.85*[1]Parametros!$B$2*H270))/2)/1000000</f>
        <v>244.15884319852941</v>
      </c>
      <c r="AG270" s="13">
        <f>AC270*1.25*[1]Parametros!$B$3*(AB270-(AC270*1.25*[1]Parametros!$B$3/(0.85*[1]Parametros!$B$2*H270))/2)/1000000</f>
        <v>244.15884319852941</v>
      </c>
      <c r="AH270" s="13">
        <f t="shared" si="54"/>
        <v>393.87330863003092</v>
      </c>
      <c r="AI270" s="13">
        <f t="shared" si="55"/>
        <v>479.37799999999999</v>
      </c>
      <c r="AJ270" s="13">
        <f>0.17*SQRT([1]Parametros!$B$2)*H270*MIN(U270,AB270)/1000</f>
        <v>220.09872869180776</v>
      </c>
      <c r="AK270" s="13">
        <f>MAX(AI270/[1]Parametros!$B$6-AJ270,0)</f>
        <v>419.07193797485888</v>
      </c>
      <c r="AL270" s="13">
        <f>0.66*SQRT([1]Parametros!$B$2)*H270*MIN(U270,AB270)/1000</f>
        <v>854.500946685842</v>
      </c>
      <c r="AM270" s="13" t="str">
        <f t="shared" si="56"/>
        <v>CUMPLE</v>
      </c>
      <c r="AN270" s="13" t="s">
        <v>68</v>
      </c>
      <c r="AO270" s="14">
        <v>2</v>
      </c>
      <c r="AP270" s="13">
        <f>ROUNDDOWN(MIN(IF(BC270+BD270=0,1000000000,AO270*BB270/(BC270+BD270)),MIN(U270,AB270)/4,8*[1]Parametros!$B$12,24*BA270,300,IF(AV270=0,1000000000,2*((H270-2*([1]Parametros!$B$7+[1]Parametros!$B$9/2))+(I270-2*([1]Parametros!$B$7+[1]Parametros!$B$9/2)))/8))/10,0)*10</f>
        <v>120</v>
      </c>
      <c r="AQ270" s="13">
        <f>ROUNDDOWN(MIN(IF(BC270+BD270=0,1000000000,AO270*BB270/(BC270+BD270)),IF(AK270&gt;0.33*SQRT([1]Parametros!$B$2)*H270*MIN(U270,AB270)/1000,MIN(U270,AB270)/4,MIN(U270,AB270)/2),600,IF(AV270=0,1000000000,2*((H270-2*([1]Parametros!$B$7+[1]Parametros!$B$9/2))+(I270-2*([1]Parametros!$B$7+[1]Parametros!$B$9/2)))/8))/10,0)*10</f>
        <v>120</v>
      </c>
      <c r="AR270" s="13">
        <f>[1]Parametros!$B$6*(AJ270+MAX(BE270-BD270,0)*[1]Parametros!$B$4*MIN(U270,AB270)/1000)</f>
        <v>496.48633401885581</v>
      </c>
      <c r="AS270" s="13" t="str">
        <f t="shared" si="57"/>
        <v>CUMPLE</v>
      </c>
      <c r="AT270" s="13">
        <f>[1]Parametros!$B$6*0.083*SQRT([1]Parametros!$B$2)*(H270*I270)^2/(2*(H270+I270))/1000000</f>
        <v>11.862178757598967</v>
      </c>
      <c r="AU270" s="13" t="str">
        <f t="shared" si="58"/>
        <v>DESPRECIABLE</v>
      </c>
      <c r="AV270" s="13">
        <f>IF(Q270&lt;=AT270,0,Q270*1000000/([1]Parametros!$B$6*2*0.85*(H270-2*([1]Parametros!$B$7+[1]Parametros!$B$9/2))*(I270-2*([1]Parametros!$B$7+[1]Parametros!$B$9/2))*[1]Parametros!$B$4))</f>
        <v>0</v>
      </c>
      <c r="AW270" s="13">
        <f>AV270*2*((H270-2*([1]Parametros!$B$7+[1]Parametros!$B$9/2))+(I270-2*([1]Parametros!$B$7+[1]Parametros!$B$9/2)))*[1]Parametros!$B$4/[1]Parametros!$B$3</f>
        <v>0</v>
      </c>
      <c r="AX270" s="14">
        <v>0</v>
      </c>
      <c r="AY270" s="13" t="str">
        <f t="shared" si="59"/>
        <v>DESPRECIABLE</v>
      </c>
      <c r="AZ270" s="13" t="str">
        <f t="shared" si="60"/>
        <v>CUMPLE</v>
      </c>
      <c r="BA270" s="14">
        <v>12.7</v>
      </c>
      <c r="BB270" s="14">
        <v>129</v>
      </c>
      <c r="BC270" s="13">
        <f>MAX(IF(AK270=0,0,AK270*1000/([1]Parametros!$B$4*MIN(U270,AB270))),MAX(0.062*SQRT([1]Parametros!$B$2)*H270/[1]Parametros!$B$4,0.35*H270/[1]Parametros!$B$4))</f>
        <v>2.0390116041924364</v>
      </c>
      <c r="BD270" s="13">
        <f t="shared" si="61"/>
        <v>0</v>
      </c>
      <c r="BE270" s="13">
        <f t="shared" si="62"/>
        <v>2.15</v>
      </c>
      <c r="BF270" s="13">
        <f>SQRT((AI270*1000/(H270*MIN(U270,AB270)))^2+(Q270*1000000*2*((H270-2*([1]Parametros!$B$7+[1]Parametros!$B$9/2))+(I270-2*([1]Parametros!$B$7+[1]Parametros!$B$9/2)))/(1.7*((H270-2*([1]Parametros!$B$7+[1]Parametros!$B$9/2))*(I270-2*([1]Parametros!$B$7+[1]Parametros!$B$9/2)))^2))^2)</f>
        <v>1.9617574096835901</v>
      </c>
      <c r="BG270" s="13">
        <f>[1]Parametros!$B$6*(AJ270*1000/(H270*MIN(U270,AB270))+0.66*SQRT([1]Parametros!$B$2))</f>
        <v>3.2939603822754151</v>
      </c>
      <c r="BH270" s="13" t="str">
        <f t="shared" si="63"/>
        <v>CUMPLE</v>
      </c>
      <c r="BI270" s="13">
        <f>AX270*[1]Parametros!$B$8</f>
        <v>0</v>
      </c>
      <c r="BJ270" s="15" t="str">
        <f t="shared" si="64"/>
        <v>CUMPLE</v>
      </c>
    </row>
    <row r="271" spans="1:62" x14ac:dyDescent="0.3">
      <c r="A271" s="43" t="s">
        <v>74</v>
      </c>
      <c r="B271" s="44">
        <v>766</v>
      </c>
      <c r="C271" s="13">
        <v>1</v>
      </c>
      <c r="D271" s="13">
        <v>2</v>
      </c>
      <c r="E271" s="13">
        <v>2</v>
      </c>
      <c r="F271" s="13">
        <v>500</v>
      </c>
      <c r="G271" s="13">
        <v>550</v>
      </c>
      <c r="H271" s="13">
        <v>500</v>
      </c>
      <c r="I271" s="13">
        <v>550</v>
      </c>
      <c r="J271" s="14">
        <v>129.08160000000001</v>
      </c>
      <c r="K271" s="13">
        <v>766</v>
      </c>
      <c r="L271" s="14">
        <v>92.52</v>
      </c>
      <c r="M271" s="13">
        <v>766</v>
      </c>
      <c r="N271" s="14">
        <v>127.857</v>
      </c>
      <c r="O271" s="14">
        <v>439.42399999999998</v>
      </c>
      <c r="P271" s="13">
        <v>766</v>
      </c>
      <c r="Q271" s="14">
        <v>5.5872999999999999</v>
      </c>
      <c r="R271" s="13">
        <f>MAX(MAX(1.4/[1]Parametros!$B$3,0.25*SQRT([1]Parametros!$B$2)/[1]Parametros!$B$3)*H271*U271,(0.85*[1]Parametros!$B$2/[1]Parametros!$B$3)*(1-SQRT(1-2*(J271*1000000/([1]Parametros!$B$5*H271*U271^2))/(0.85*[1]Parametros!$B$2)))*H271*U271)</f>
        <v>815.58333333333326</v>
      </c>
      <c r="S271" s="14">
        <v>5</v>
      </c>
      <c r="T271" s="14">
        <v>1</v>
      </c>
      <c r="U271" s="13">
        <f>IF(T271=1,I271-([1]Parametros!$B$7+[1]Parametros!$B$9+[1]Parametros!$B$12/2),I271-(ROUNDUP(S271/2,0)*([1]Parametros!$B$7+[1]Parametros!$B$9+[1]Parametros!$B$12/2)+ROUNDDOWN(S271/2,0)*([1]Parametros!$B$7+[1]Parametros!$B$9+[1]Parametros!$B$12/2+[1]Parametros!$B$12+[1]Parametros!$B$10))/S271)</f>
        <v>489.35</v>
      </c>
      <c r="V271" s="13">
        <f>S271*[1]Parametros!$B$8</f>
        <v>995</v>
      </c>
      <c r="W271" s="13">
        <f>[1]Parametros!$B$5*V271*[1]Parametros!$B$3*(U271-(V271*[1]Parametros!$B$3/(0.85*[1]Parametros!$B$2*H271))/2)/1000000</f>
        <v>177.44537938235294</v>
      </c>
      <c r="X271" s="13" t="str">
        <f t="shared" si="52"/>
        <v>CUMPLE</v>
      </c>
      <c r="Y271" s="13">
        <f>MAX(MAX(1.4/[1]Parametros!$B$3,0.25*SQRT([1]Parametros!$B$2)/[1]Parametros!$B$3)*H271*AB271,(0.85*[1]Parametros!$B$2/[1]Parametros!$B$3)*(1-SQRT(1-2*(L271*1000000/([1]Parametros!$B$5*H271*AB271^2))/(0.85*[1]Parametros!$B$2)))*H271*AB271)</f>
        <v>815.58333333333326</v>
      </c>
      <c r="Z271" s="14">
        <v>5</v>
      </c>
      <c r="AA271" s="14">
        <v>1</v>
      </c>
      <c r="AB271" s="13">
        <f>IF(AA271=1,I271-([1]Parametros!$B$7+[1]Parametros!$B$9+[1]Parametros!$B$12/2),I271-(ROUNDUP(Z271/2,0)*([1]Parametros!$B$7+[1]Parametros!$B$9+[1]Parametros!$B$12/2)+ROUNDDOWN(Z271/2,0)*([1]Parametros!$B$7+[1]Parametros!$B$9+[1]Parametros!$B$12/2+[1]Parametros!$B$12+[1]Parametros!$B$10))/Z271)</f>
        <v>489.35</v>
      </c>
      <c r="AC271" s="13">
        <f>Z271*[1]Parametros!$B$8</f>
        <v>995</v>
      </c>
      <c r="AD271" s="13">
        <f>[1]Parametros!$B$5*AC271*[1]Parametros!$B$3*(AB271-(AC271*[1]Parametros!$B$3/(0.85*[1]Parametros!$B$2*H271))/2)/1000000</f>
        <v>177.44537938235294</v>
      </c>
      <c r="AE271" s="13" t="str">
        <f t="shared" si="53"/>
        <v>CUMPLE</v>
      </c>
      <c r="AF271" s="13">
        <f>V271*1.25*[1]Parametros!$B$3*(U271-(V271*1.25*[1]Parametros!$B$3/(0.85*[1]Parametros!$B$2*H271))/2)/1000000</f>
        <v>244.15884319852941</v>
      </c>
      <c r="AG271" s="13">
        <f>AC271*1.25*[1]Parametros!$B$3*(AB271-(AC271*1.25*[1]Parametros!$B$3/(0.85*[1]Parametros!$B$2*H271))/2)/1000000</f>
        <v>244.15884319852941</v>
      </c>
      <c r="AH271" s="13">
        <f t="shared" si="54"/>
        <v>372.01584319852941</v>
      </c>
      <c r="AI271" s="13">
        <f t="shared" si="55"/>
        <v>439.42399999999998</v>
      </c>
      <c r="AJ271" s="13">
        <f>0.17*SQRT([1]Parametros!$B$2)*H271*MIN(U271,AB271)/1000</f>
        <v>220.09872869180776</v>
      </c>
      <c r="AK271" s="13">
        <f>MAX(AI271/[1]Parametros!$B$6-AJ271,0)</f>
        <v>365.79993797485884</v>
      </c>
      <c r="AL271" s="13">
        <f>0.66*SQRT([1]Parametros!$B$2)*H271*MIN(U271,AB271)/1000</f>
        <v>854.500946685842</v>
      </c>
      <c r="AM271" s="13" t="str">
        <f t="shared" si="56"/>
        <v>CUMPLE</v>
      </c>
      <c r="AN271" s="13" t="s">
        <v>68</v>
      </c>
      <c r="AO271" s="14">
        <v>2</v>
      </c>
      <c r="AP271" s="13">
        <f>ROUNDDOWN(MIN(IF(BC271+BD271=0,1000000000,AO271*BB271/(BC271+BD271)),MIN(U271,AB271)/4,8*[1]Parametros!$B$12,24*BA271,300,IF(AV271=0,1000000000,2*((H271-2*([1]Parametros!$B$7+[1]Parametros!$B$9/2))+(I271-2*([1]Parametros!$B$7+[1]Parametros!$B$9/2)))/8))/10,0)*10</f>
        <v>120</v>
      </c>
      <c r="AQ271" s="13">
        <f>ROUNDDOWN(MIN(IF(BC271+BD271=0,1000000000,AO271*BB271/(BC271+BD271)),IF(AK271&gt;0.33*SQRT([1]Parametros!$B$2)*H271*MIN(U271,AB271)/1000,MIN(U271,AB271)/4,MIN(U271,AB271)/2),600,IF(AV271=0,1000000000,2*((H271-2*([1]Parametros!$B$7+[1]Parametros!$B$9/2))+(I271-2*([1]Parametros!$B$7+[1]Parametros!$B$9/2)))/8))/10,0)*10</f>
        <v>140</v>
      </c>
      <c r="AR271" s="13">
        <f>[1]Parametros!$B$6*(AJ271+MAX(BE271-BD271,0)*[1]Parametros!$B$4*MIN(U271,AB271)/1000)</f>
        <v>496.48633401885581</v>
      </c>
      <c r="AS271" s="13" t="str">
        <f t="shared" si="57"/>
        <v>CUMPLE</v>
      </c>
      <c r="AT271" s="13">
        <f>[1]Parametros!$B$6*0.083*SQRT([1]Parametros!$B$2)*(H271*I271)^2/(2*(H271+I271))/1000000</f>
        <v>11.862178757598967</v>
      </c>
      <c r="AU271" s="13" t="str">
        <f t="shared" si="58"/>
        <v>DESPRECIABLE</v>
      </c>
      <c r="AV271" s="13">
        <f>IF(Q271&lt;=AT271,0,Q271*1000000/([1]Parametros!$B$6*2*0.85*(H271-2*([1]Parametros!$B$7+[1]Parametros!$B$9/2))*(I271-2*([1]Parametros!$B$7+[1]Parametros!$B$9/2))*[1]Parametros!$B$4))</f>
        <v>0</v>
      </c>
      <c r="AW271" s="13">
        <f>AV271*2*((H271-2*([1]Parametros!$B$7+[1]Parametros!$B$9/2))+(I271-2*([1]Parametros!$B$7+[1]Parametros!$B$9/2)))*[1]Parametros!$B$4/[1]Parametros!$B$3</f>
        <v>0</v>
      </c>
      <c r="AX271" s="14">
        <v>0</v>
      </c>
      <c r="AY271" s="13" t="str">
        <f t="shared" si="59"/>
        <v>DESPRECIABLE</v>
      </c>
      <c r="AZ271" s="13" t="str">
        <f t="shared" si="60"/>
        <v>CUMPLE</v>
      </c>
      <c r="BA271" s="14">
        <v>12.7</v>
      </c>
      <c r="BB271" s="14">
        <v>129</v>
      </c>
      <c r="BC271" s="13">
        <f>MAX(IF(AK271=0,0,AK271*1000/([1]Parametros!$B$4*MIN(U271,AB271))),MAX(0.062*SQRT([1]Parametros!$B$2)*H271/[1]Parametros!$B$4,0.35*H271/[1]Parametros!$B$4))</f>
        <v>1.7798145157320393</v>
      </c>
      <c r="BD271" s="13">
        <f t="shared" si="61"/>
        <v>0</v>
      </c>
      <c r="BE271" s="13">
        <f t="shared" si="62"/>
        <v>2.15</v>
      </c>
      <c r="BF271" s="13">
        <f>SQRT((AI271*1000/(H271*MIN(U271,AB271)))^2+(Q271*1000000*2*((H271-2*([1]Parametros!$B$7+[1]Parametros!$B$9/2))+(I271-2*([1]Parametros!$B$7+[1]Parametros!$B$9/2)))/(1.7*((H271-2*([1]Parametros!$B$7+[1]Parametros!$B$9/2))*(I271-2*([1]Parametros!$B$7+[1]Parametros!$B$9/2)))^2))^2)</f>
        <v>1.8034057893515776</v>
      </c>
      <c r="BG271" s="13">
        <f>[1]Parametros!$B$6*(AJ271*1000/(H271*MIN(U271,AB271))+0.66*SQRT([1]Parametros!$B$2))</f>
        <v>3.2939603822754151</v>
      </c>
      <c r="BH271" s="13" t="str">
        <f t="shared" si="63"/>
        <v>CUMPLE</v>
      </c>
      <c r="BI271" s="13">
        <f>AX271*[1]Parametros!$B$8</f>
        <v>0</v>
      </c>
      <c r="BJ271" s="15" t="str">
        <f t="shared" si="64"/>
        <v>CUMPLE</v>
      </c>
    </row>
    <row r="272" spans="1:62" x14ac:dyDescent="0.3">
      <c r="A272" s="43" t="s">
        <v>74</v>
      </c>
      <c r="B272" s="44">
        <v>767</v>
      </c>
      <c r="C272" s="13">
        <v>1</v>
      </c>
      <c r="D272" s="13">
        <v>3.05</v>
      </c>
      <c r="E272" s="13">
        <v>3.05</v>
      </c>
      <c r="F272" s="13">
        <v>500</v>
      </c>
      <c r="G272" s="13">
        <v>550</v>
      </c>
      <c r="H272" s="13">
        <v>500</v>
      </c>
      <c r="I272" s="13">
        <v>550</v>
      </c>
      <c r="J272" s="14">
        <v>146.47800000000001</v>
      </c>
      <c r="K272" s="13">
        <v>767</v>
      </c>
      <c r="L272" s="14">
        <v>87.993499999999997</v>
      </c>
      <c r="M272" s="13">
        <v>767</v>
      </c>
      <c r="N272" s="14">
        <v>123.747</v>
      </c>
      <c r="O272" s="14">
        <v>360.416</v>
      </c>
      <c r="P272" s="13">
        <v>767</v>
      </c>
      <c r="Q272" s="14">
        <v>2.5891999999999999</v>
      </c>
      <c r="R272" s="13">
        <f>MAX(MAX(1.4/[1]Parametros!$B$3,0.25*SQRT([1]Parametros!$B$2)/[1]Parametros!$B$3)*H272*U272,(0.85*[1]Parametros!$B$2/[1]Parametros!$B$3)*(1-SQRT(1-2*(J272*1000000/([1]Parametros!$B$5*H272*U272^2))/(0.85*[1]Parametros!$B$2)))*H272*U272)</f>
        <v>815.88869118787898</v>
      </c>
      <c r="S272" s="14">
        <v>5</v>
      </c>
      <c r="T272" s="14">
        <v>1</v>
      </c>
      <c r="U272" s="13">
        <f>IF(T272=1,I272-([1]Parametros!$B$7+[1]Parametros!$B$9+[1]Parametros!$B$12/2),I272-(ROUNDUP(S272/2,0)*([1]Parametros!$B$7+[1]Parametros!$B$9+[1]Parametros!$B$12/2)+ROUNDDOWN(S272/2,0)*([1]Parametros!$B$7+[1]Parametros!$B$9+[1]Parametros!$B$12/2+[1]Parametros!$B$12+[1]Parametros!$B$10))/S272)</f>
        <v>489.35</v>
      </c>
      <c r="V272" s="13">
        <f>S272*[1]Parametros!$B$8</f>
        <v>995</v>
      </c>
      <c r="W272" s="13">
        <f>[1]Parametros!$B$5*V272*[1]Parametros!$B$3*(U272-(V272*[1]Parametros!$B$3/(0.85*[1]Parametros!$B$2*H272))/2)/1000000</f>
        <v>177.44537938235294</v>
      </c>
      <c r="X272" s="13" t="str">
        <f t="shared" si="52"/>
        <v>CUMPLE</v>
      </c>
      <c r="Y272" s="13">
        <f>MAX(MAX(1.4/[1]Parametros!$B$3,0.25*SQRT([1]Parametros!$B$2)/[1]Parametros!$B$3)*H272*AB272,(0.85*[1]Parametros!$B$2/[1]Parametros!$B$3)*(1-SQRT(1-2*(L272*1000000/([1]Parametros!$B$5*H272*AB272^2))/(0.85*[1]Parametros!$B$2)))*H272*AB272)</f>
        <v>815.58333333333326</v>
      </c>
      <c r="Z272" s="14">
        <v>5</v>
      </c>
      <c r="AA272" s="14">
        <v>1</v>
      </c>
      <c r="AB272" s="13">
        <f>IF(AA272=1,I272-([1]Parametros!$B$7+[1]Parametros!$B$9+[1]Parametros!$B$12/2),I272-(ROUNDUP(Z272/2,0)*([1]Parametros!$B$7+[1]Parametros!$B$9+[1]Parametros!$B$12/2)+ROUNDDOWN(Z272/2,0)*([1]Parametros!$B$7+[1]Parametros!$B$9+[1]Parametros!$B$12/2+[1]Parametros!$B$12+[1]Parametros!$B$10))/Z272)</f>
        <v>489.35</v>
      </c>
      <c r="AC272" s="13">
        <f>Z272*[1]Parametros!$B$8</f>
        <v>995</v>
      </c>
      <c r="AD272" s="13">
        <f>[1]Parametros!$B$5*AC272*[1]Parametros!$B$3*(AB272-(AC272*[1]Parametros!$B$3/(0.85*[1]Parametros!$B$2*H272))/2)/1000000</f>
        <v>177.44537938235294</v>
      </c>
      <c r="AE272" s="13" t="str">
        <f t="shared" si="53"/>
        <v>CUMPLE</v>
      </c>
      <c r="AF272" s="13">
        <f>V272*1.25*[1]Parametros!$B$3*(U272-(V272*1.25*[1]Parametros!$B$3/(0.85*[1]Parametros!$B$2*H272))/2)/1000000</f>
        <v>244.15884319852941</v>
      </c>
      <c r="AG272" s="13">
        <f>AC272*1.25*[1]Parametros!$B$3*(AB272-(AC272*1.25*[1]Parametros!$B$3/(0.85*[1]Parametros!$B$2*H272))/2)/1000000</f>
        <v>244.15884319852941</v>
      </c>
      <c r="AH272" s="13">
        <f t="shared" si="54"/>
        <v>283.85115947444552</v>
      </c>
      <c r="AI272" s="13">
        <f t="shared" si="55"/>
        <v>360.416</v>
      </c>
      <c r="AJ272" s="13">
        <f>0.17*SQRT([1]Parametros!$B$2)*H272*MIN(U272,AB272)/1000</f>
        <v>220.09872869180776</v>
      </c>
      <c r="AK272" s="13">
        <f>MAX(AI272/[1]Parametros!$B$6-AJ272,0)</f>
        <v>260.4559379748589</v>
      </c>
      <c r="AL272" s="13">
        <f>0.66*SQRT([1]Parametros!$B$2)*H272*MIN(U272,AB272)/1000</f>
        <v>854.500946685842</v>
      </c>
      <c r="AM272" s="13" t="str">
        <f t="shared" si="56"/>
        <v>CUMPLE</v>
      </c>
      <c r="AN272" s="13" t="s">
        <v>64</v>
      </c>
      <c r="AO272" s="14">
        <v>2</v>
      </c>
      <c r="AP272" s="13">
        <f>ROUNDDOWN(MIN(IF(BC272+BD272=0,1000000000,AO272*BB272/(BC272+BD272)),MIN(U272,AB272)/4,8*[1]Parametros!$B$12,24*BA272,300,IF(AV272=0,1000000000,2*((H272-2*([1]Parametros!$B$7+[1]Parametros!$B$9/2))+(I272-2*([1]Parametros!$B$7+[1]Parametros!$B$9/2)))/8))/10,0)*10</f>
        <v>110</v>
      </c>
      <c r="AQ272" s="13">
        <f>ROUNDDOWN(MIN(IF(BC272+BD272=0,1000000000,AO272*BB272/(BC272+BD272)),IF(AK272&gt;0.33*SQRT([1]Parametros!$B$2)*H272*MIN(U272,AB272)/1000,MIN(U272,AB272)/4,MIN(U272,AB272)/2),600,IF(AV272=0,1000000000,2*((H272-2*([1]Parametros!$B$7+[1]Parametros!$B$9/2))+(I272-2*([1]Parametros!$B$7+[1]Parametros!$B$9/2)))/8))/10,0)*10</f>
        <v>110</v>
      </c>
      <c r="AR272" s="13">
        <f>[1]Parametros!$B$6*(AJ272+MAX(BE272-BD272,0)*[1]Parametros!$B$4*MIN(U272,AB272)/1000)</f>
        <v>364.06155106431038</v>
      </c>
      <c r="AS272" s="13" t="str">
        <f t="shared" si="57"/>
        <v>CUMPLE</v>
      </c>
      <c r="AT272" s="13">
        <f>[1]Parametros!$B$6*0.083*SQRT([1]Parametros!$B$2)*(H272*I272)^2/(2*(H272+I272))/1000000</f>
        <v>11.862178757598967</v>
      </c>
      <c r="AU272" s="13" t="str">
        <f t="shared" si="58"/>
        <v>DESPRECIABLE</v>
      </c>
      <c r="AV272" s="13">
        <f>IF(Q272&lt;=AT272,0,Q272*1000000/([1]Parametros!$B$6*2*0.85*(H272-2*([1]Parametros!$B$7+[1]Parametros!$B$9/2))*(I272-2*([1]Parametros!$B$7+[1]Parametros!$B$9/2))*[1]Parametros!$B$4))</f>
        <v>0</v>
      </c>
      <c r="AW272" s="13">
        <f>AV272*2*((H272-2*([1]Parametros!$B$7+[1]Parametros!$B$9/2))+(I272-2*([1]Parametros!$B$7+[1]Parametros!$B$9/2)))*[1]Parametros!$B$4/[1]Parametros!$B$3</f>
        <v>0</v>
      </c>
      <c r="AX272" s="14">
        <v>0</v>
      </c>
      <c r="AY272" s="13" t="str">
        <f t="shared" si="59"/>
        <v>DESPRECIABLE</v>
      </c>
      <c r="AZ272" s="13" t="str">
        <f t="shared" si="60"/>
        <v>CUMPLE</v>
      </c>
      <c r="BA272" s="14">
        <v>9.5</v>
      </c>
      <c r="BB272" s="14">
        <v>71</v>
      </c>
      <c r="BC272" s="13">
        <f>MAX(IF(AK272=0,0,AK272*1000/([1]Parametros!$B$4*MIN(U272,AB272))),MAX(0.062*SQRT([1]Parametros!$B$2)*H272/[1]Parametros!$B$4,0.35*H272/[1]Parametros!$B$4))</f>
        <v>1.2672589877478819</v>
      </c>
      <c r="BD272" s="13">
        <f t="shared" si="61"/>
        <v>0</v>
      </c>
      <c r="BE272" s="13">
        <f t="shared" si="62"/>
        <v>1.290909090909091</v>
      </c>
      <c r="BF272" s="13">
        <f>SQRT((AI272*1000/(H272*MIN(U272,AB272)))^2+(Q272*1000000*2*((H272-2*([1]Parametros!$B$7+[1]Parametros!$B$9/2))+(I272-2*([1]Parametros!$B$7+[1]Parametros!$B$9/2)))/(1.7*((H272-2*([1]Parametros!$B$7+[1]Parametros!$B$9/2))*(I272-2*([1]Parametros!$B$7+[1]Parametros!$B$9/2)))^2))^2)</f>
        <v>1.4749946658073703</v>
      </c>
      <c r="BG272" s="13">
        <f>[1]Parametros!$B$6*(AJ272*1000/(H272*MIN(U272,AB272))+0.66*SQRT([1]Parametros!$B$2))</f>
        <v>3.2939603822754151</v>
      </c>
      <c r="BH272" s="13" t="str">
        <f t="shared" si="63"/>
        <v>CUMPLE</v>
      </c>
      <c r="BI272" s="13">
        <f>AX272*[1]Parametros!$B$8</f>
        <v>0</v>
      </c>
      <c r="BJ272" s="15" t="str">
        <f t="shared" si="64"/>
        <v>CUMPLE</v>
      </c>
    </row>
    <row r="273" spans="1:62" x14ac:dyDescent="0.3">
      <c r="A273" s="43" t="s">
        <v>74</v>
      </c>
      <c r="B273" s="44">
        <v>768</v>
      </c>
      <c r="C273" s="13">
        <v>1</v>
      </c>
      <c r="D273" s="13">
        <v>2</v>
      </c>
      <c r="E273" s="13">
        <v>2</v>
      </c>
      <c r="F273" s="13">
        <v>500</v>
      </c>
      <c r="G273" s="13">
        <v>550</v>
      </c>
      <c r="H273" s="13">
        <v>500</v>
      </c>
      <c r="I273" s="13">
        <v>550</v>
      </c>
      <c r="J273" s="14">
        <v>143.05250000000001</v>
      </c>
      <c r="K273" s="13">
        <v>768</v>
      </c>
      <c r="L273" s="14">
        <v>92.180400000000006</v>
      </c>
      <c r="M273" s="13">
        <v>768</v>
      </c>
      <c r="N273" s="14">
        <v>135.386</v>
      </c>
      <c r="O273" s="14">
        <v>429.68299999999999</v>
      </c>
      <c r="P273" s="13">
        <v>768</v>
      </c>
      <c r="Q273" s="14">
        <v>3.4994999999999998</v>
      </c>
      <c r="R273" s="13">
        <f>MAX(MAX(1.4/[1]Parametros!$B$3,0.25*SQRT([1]Parametros!$B$2)/[1]Parametros!$B$3)*H273*U273,(0.85*[1]Parametros!$B$2/[1]Parametros!$B$3)*(1-SQRT(1-2*(J273*1000000/([1]Parametros!$B$5*H273*U273^2))/(0.85*[1]Parametros!$B$2)))*H273*U273)</f>
        <v>815.58333333333326</v>
      </c>
      <c r="S273" s="14">
        <v>5</v>
      </c>
      <c r="T273" s="14">
        <v>1</v>
      </c>
      <c r="U273" s="13">
        <f>IF(T273=1,I273-([1]Parametros!$B$7+[1]Parametros!$B$9+[1]Parametros!$B$12/2),I273-(ROUNDUP(S273/2,0)*([1]Parametros!$B$7+[1]Parametros!$B$9+[1]Parametros!$B$12/2)+ROUNDDOWN(S273/2,0)*([1]Parametros!$B$7+[1]Parametros!$B$9+[1]Parametros!$B$12/2+[1]Parametros!$B$12+[1]Parametros!$B$10))/S273)</f>
        <v>489.35</v>
      </c>
      <c r="V273" s="13">
        <f>S273*[1]Parametros!$B$8</f>
        <v>995</v>
      </c>
      <c r="W273" s="13">
        <f>[1]Parametros!$B$5*V273*[1]Parametros!$B$3*(U273-(V273*[1]Parametros!$B$3/(0.85*[1]Parametros!$B$2*H273))/2)/1000000</f>
        <v>177.44537938235294</v>
      </c>
      <c r="X273" s="13" t="str">
        <f t="shared" si="52"/>
        <v>CUMPLE</v>
      </c>
      <c r="Y273" s="13">
        <f>MAX(MAX(1.4/[1]Parametros!$B$3,0.25*SQRT([1]Parametros!$B$2)/[1]Parametros!$B$3)*H273*AB273,(0.85*[1]Parametros!$B$2/[1]Parametros!$B$3)*(1-SQRT(1-2*(L273*1000000/([1]Parametros!$B$5*H273*AB273^2))/(0.85*[1]Parametros!$B$2)))*H273*AB273)</f>
        <v>815.58333333333326</v>
      </c>
      <c r="Z273" s="14">
        <v>5</v>
      </c>
      <c r="AA273" s="14">
        <v>1</v>
      </c>
      <c r="AB273" s="13">
        <f>IF(AA273=1,I273-([1]Parametros!$B$7+[1]Parametros!$B$9+[1]Parametros!$B$12/2),I273-(ROUNDUP(Z273/2,0)*([1]Parametros!$B$7+[1]Parametros!$B$9+[1]Parametros!$B$12/2)+ROUNDDOWN(Z273/2,0)*([1]Parametros!$B$7+[1]Parametros!$B$9+[1]Parametros!$B$12/2+[1]Parametros!$B$12+[1]Parametros!$B$10))/Z273)</f>
        <v>489.35</v>
      </c>
      <c r="AC273" s="13">
        <f>Z273*[1]Parametros!$B$8</f>
        <v>995</v>
      </c>
      <c r="AD273" s="13">
        <f>[1]Parametros!$B$5*AC273*[1]Parametros!$B$3*(AB273-(AC273*[1]Parametros!$B$3/(0.85*[1]Parametros!$B$2*H273))/2)/1000000</f>
        <v>177.44537938235294</v>
      </c>
      <c r="AE273" s="13" t="str">
        <f t="shared" si="53"/>
        <v>CUMPLE</v>
      </c>
      <c r="AF273" s="13">
        <f>V273*1.25*[1]Parametros!$B$3*(U273-(V273*1.25*[1]Parametros!$B$3/(0.85*[1]Parametros!$B$2*H273))/2)/1000000</f>
        <v>244.15884319852941</v>
      </c>
      <c r="AG273" s="13">
        <f>AC273*1.25*[1]Parametros!$B$3*(AB273-(AC273*1.25*[1]Parametros!$B$3/(0.85*[1]Parametros!$B$2*H273))/2)/1000000</f>
        <v>244.15884319852941</v>
      </c>
      <c r="AH273" s="13">
        <f t="shared" si="54"/>
        <v>379.54484319852941</v>
      </c>
      <c r="AI273" s="13">
        <f t="shared" si="55"/>
        <v>429.68299999999999</v>
      </c>
      <c r="AJ273" s="13">
        <f>0.17*SQRT([1]Parametros!$B$2)*H273*MIN(U273,AB273)/1000</f>
        <v>220.09872869180776</v>
      </c>
      <c r="AK273" s="13">
        <f>MAX(AI273/[1]Parametros!$B$6-AJ273,0)</f>
        <v>352.81193797485889</v>
      </c>
      <c r="AL273" s="13">
        <f>0.66*SQRT([1]Parametros!$B$2)*H273*MIN(U273,AB273)/1000</f>
        <v>854.500946685842</v>
      </c>
      <c r="AM273" s="13" t="str">
        <f t="shared" si="56"/>
        <v>CUMPLE</v>
      </c>
      <c r="AN273" s="13" t="s">
        <v>64</v>
      </c>
      <c r="AO273" s="14">
        <v>2</v>
      </c>
      <c r="AP273" s="13">
        <f>ROUNDDOWN(MIN(IF(BC273+BD273=0,1000000000,AO273*BB273/(BC273+BD273)),MIN(U273,AB273)/4,8*[1]Parametros!$B$12,24*BA273,300,IF(AV273=0,1000000000,2*((H273-2*([1]Parametros!$B$7+[1]Parametros!$B$9/2))+(I273-2*([1]Parametros!$B$7+[1]Parametros!$B$9/2)))/8))/10,0)*10</f>
        <v>80</v>
      </c>
      <c r="AQ273" s="13">
        <f>ROUNDDOWN(MIN(IF(BC273+BD273=0,1000000000,AO273*BB273/(BC273+BD273)),IF(AK273&gt;0.33*SQRT([1]Parametros!$B$2)*H273*MIN(U273,AB273)/1000,MIN(U273,AB273)/4,MIN(U273,AB273)/2),600,IF(AV273=0,1000000000,2*((H273-2*([1]Parametros!$B$7+[1]Parametros!$B$9/2))+(I273-2*([1]Parametros!$B$7+[1]Parametros!$B$9/2)))/8))/10,0)*10</f>
        <v>80</v>
      </c>
      <c r="AR273" s="13">
        <f>[1]Parametros!$B$6*(AJ273+MAX(BE273-BD273,0)*[1]Parametros!$B$4*MIN(U273,AB273)/1000)</f>
        <v>438.68186526885586</v>
      </c>
      <c r="AS273" s="13" t="str">
        <f t="shared" si="57"/>
        <v>CUMPLE</v>
      </c>
      <c r="AT273" s="13">
        <f>[1]Parametros!$B$6*0.083*SQRT([1]Parametros!$B$2)*(H273*I273)^2/(2*(H273+I273))/1000000</f>
        <v>11.862178757598967</v>
      </c>
      <c r="AU273" s="13" t="str">
        <f t="shared" si="58"/>
        <v>DESPRECIABLE</v>
      </c>
      <c r="AV273" s="13">
        <f>IF(Q273&lt;=AT273,0,Q273*1000000/([1]Parametros!$B$6*2*0.85*(H273-2*([1]Parametros!$B$7+[1]Parametros!$B$9/2))*(I273-2*([1]Parametros!$B$7+[1]Parametros!$B$9/2))*[1]Parametros!$B$4))</f>
        <v>0</v>
      </c>
      <c r="AW273" s="13">
        <f>AV273*2*((H273-2*([1]Parametros!$B$7+[1]Parametros!$B$9/2))+(I273-2*([1]Parametros!$B$7+[1]Parametros!$B$9/2)))*[1]Parametros!$B$4/[1]Parametros!$B$3</f>
        <v>0</v>
      </c>
      <c r="AX273" s="14">
        <v>0</v>
      </c>
      <c r="AY273" s="13" t="str">
        <f t="shared" si="59"/>
        <v>DESPRECIABLE</v>
      </c>
      <c r="AZ273" s="13" t="str">
        <f t="shared" si="60"/>
        <v>CUMPLE</v>
      </c>
      <c r="BA273" s="14">
        <v>9.5</v>
      </c>
      <c r="BB273" s="14">
        <v>71</v>
      </c>
      <c r="BC273" s="13">
        <f>MAX(IF(AK273=0,0,AK273*1000/([1]Parametros!$B$4*MIN(U273,AB273))),MAX(0.062*SQRT([1]Parametros!$B$2)*H273/[1]Parametros!$B$4,0.35*H273/[1]Parametros!$B$4))</f>
        <v>1.7166208720745153</v>
      </c>
      <c r="BD273" s="13">
        <f t="shared" si="61"/>
        <v>0</v>
      </c>
      <c r="BE273" s="13">
        <f t="shared" si="62"/>
        <v>1.7749999999999999</v>
      </c>
      <c r="BF273" s="13">
        <f>SQRT((AI273*1000/(H273*MIN(U273,AB273)))^2+(Q273*1000000*2*((H273-2*([1]Parametros!$B$7+[1]Parametros!$B$9/2))+(I273-2*([1]Parametros!$B$7+[1]Parametros!$B$9/2)))/(1.7*((H273-2*([1]Parametros!$B$7+[1]Parametros!$B$9/2))*(I273-2*([1]Parametros!$B$7+[1]Parametros!$B$9/2)))^2))^2)</f>
        <v>1.7591326413196184</v>
      </c>
      <c r="BG273" s="13">
        <f>[1]Parametros!$B$6*(AJ273*1000/(H273*MIN(U273,AB273))+0.66*SQRT([1]Parametros!$B$2))</f>
        <v>3.2939603822754151</v>
      </c>
      <c r="BH273" s="13" t="str">
        <f t="shared" si="63"/>
        <v>CUMPLE</v>
      </c>
      <c r="BI273" s="13">
        <f>AX273*[1]Parametros!$B$8</f>
        <v>0</v>
      </c>
      <c r="BJ273" s="15" t="str">
        <f t="shared" si="64"/>
        <v>CUMPLE</v>
      </c>
    </row>
    <row r="274" spans="1:62" x14ac:dyDescent="0.3">
      <c r="A274" s="43" t="s">
        <v>74</v>
      </c>
      <c r="B274" s="44">
        <v>803</v>
      </c>
      <c r="C274" s="13">
        <v>1</v>
      </c>
      <c r="D274" s="13">
        <v>2</v>
      </c>
      <c r="E274" s="13">
        <v>2</v>
      </c>
      <c r="F274" s="13">
        <v>500</v>
      </c>
      <c r="G274" s="13">
        <v>550</v>
      </c>
      <c r="H274" s="13">
        <v>500</v>
      </c>
      <c r="I274" s="13">
        <v>550</v>
      </c>
      <c r="J274" s="14">
        <v>142.91810000000001</v>
      </c>
      <c r="K274" s="13">
        <v>803</v>
      </c>
      <c r="L274" s="14">
        <v>92.065299999999993</v>
      </c>
      <c r="M274" s="13">
        <v>803</v>
      </c>
      <c r="N274" s="14">
        <v>135.29</v>
      </c>
      <c r="O274" s="14">
        <v>429.58199999999999</v>
      </c>
      <c r="P274" s="13">
        <v>803</v>
      </c>
      <c r="Q274" s="14">
        <v>3.5005999999999999</v>
      </c>
      <c r="R274" s="13">
        <f>MAX(MAX(1.4/[1]Parametros!$B$3,0.25*SQRT([1]Parametros!$B$2)/[1]Parametros!$B$3)*H274*U274,(0.85*[1]Parametros!$B$2/[1]Parametros!$B$3)*(1-SQRT(1-2*(J274*1000000/([1]Parametros!$B$5*H274*U274^2))/(0.85*[1]Parametros!$B$2)))*H274*U274)</f>
        <v>815.58333333333326</v>
      </c>
      <c r="S274" s="14">
        <v>5</v>
      </c>
      <c r="T274" s="14">
        <v>1</v>
      </c>
      <c r="U274" s="13">
        <f>IF(T274=1,I274-([1]Parametros!$B$7+[1]Parametros!$B$9+[1]Parametros!$B$12/2),I274-(ROUNDUP(S274/2,0)*([1]Parametros!$B$7+[1]Parametros!$B$9+[1]Parametros!$B$12/2)+ROUNDDOWN(S274/2,0)*([1]Parametros!$B$7+[1]Parametros!$B$9+[1]Parametros!$B$12/2+[1]Parametros!$B$12+[1]Parametros!$B$10))/S274)</f>
        <v>489.35</v>
      </c>
      <c r="V274" s="13">
        <f>S274*[1]Parametros!$B$8</f>
        <v>995</v>
      </c>
      <c r="W274" s="13">
        <f>[1]Parametros!$B$5*V274*[1]Parametros!$B$3*(U274-(V274*[1]Parametros!$B$3/(0.85*[1]Parametros!$B$2*H274))/2)/1000000</f>
        <v>177.44537938235294</v>
      </c>
      <c r="X274" s="13" t="str">
        <f t="shared" si="52"/>
        <v>CUMPLE</v>
      </c>
      <c r="Y274" s="13">
        <f>MAX(MAX(1.4/[1]Parametros!$B$3,0.25*SQRT([1]Parametros!$B$2)/[1]Parametros!$B$3)*H274*AB274,(0.85*[1]Parametros!$B$2/[1]Parametros!$B$3)*(1-SQRT(1-2*(L274*1000000/([1]Parametros!$B$5*H274*AB274^2))/(0.85*[1]Parametros!$B$2)))*H274*AB274)</f>
        <v>815.58333333333326</v>
      </c>
      <c r="Z274" s="14">
        <v>5</v>
      </c>
      <c r="AA274" s="14">
        <v>1</v>
      </c>
      <c r="AB274" s="13">
        <f>IF(AA274=1,I274-([1]Parametros!$B$7+[1]Parametros!$B$9+[1]Parametros!$B$12/2),I274-(ROUNDUP(Z274/2,0)*([1]Parametros!$B$7+[1]Parametros!$B$9+[1]Parametros!$B$12/2)+ROUNDDOWN(Z274/2,0)*([1]Parametros!$B$7+[1]Parametros!$B$9+[1]Parametros!$B$12/2+[1]Parametros!$B$12+[1]Parametros!$B$10))/Z274)</f>
        <v>489.35</v>
      </c>
      <c r="AC274" s="13">
        <f>Z274*[1]Parametros!$B$8</f>
        <v>995</v>
      </c>
      <c r="AD274" s="13">
        <f>[1]Parametros!$B$5*AC274*[1]Parametros!$B$3*(AB274-(AC274*[1]Parametros!$B$3/(0.85*[1]Parametros!$B$2*H274))/2)/1000000</f>
        <v>177.44537938235294</v>
      </c>
      <c r="AE274" s="13" t="str">
        <f t="shared" si="53"/>
        <v>CUMPLE</v>
      </c>
      <c r="AF274" s="13">
        <f>V274*1.25*[1]Parametros!$B$3*(U274-(V274*1.25*[1]Parametros!$B$3/(0.85*[1]Parametros!$B$2*H274))/2)/1000000</f>
        <v>244.15884319852941</v>
      </c>
      <c r="AG274" s="13">
        <f>AC274*1.25*[1]Parametros!$B$3*(AB274-(AC274*1.25*[1]Parametros!$B$3/(0.85*[1]Parametros!$B$2*H274))/2)/1000000</f>
        <v>244.15884319852941</v>
      </c>
      <c r="AH274" s="13">
        <f t="shared" si="54"/>
        <v>379.4488431985294</v>
      </c>
      <c r="AI274" s="13">
        <f t="shared" si="55"/>
        <v>429.58199999999999</v>
      </c>
      <c r="AJ274" s="13">
        <f>0.17*SQRT([1]Parametros!$B$2)*H274*MIN(U274,AB274)/1000</f>
        <v>220.09872869180776</v>
      </c>
      <c r="AK274" s="13">
        <f>MAX(AI274/[1]Parametros!$B$6-AJ274,0)</f>
        <v>352.67727130819219</v>
      </c>
      <c r="AL274" s="13">
        <f>0.66*SQRT([1]Parametros!$B$2)*H274*MIN(U274,AB274)/1000</f>
        <v>854.500946685842</v>
      </c>
      <c r="AM274" s="13" t="str">
        <f t="shared" si="56"/>
        <v>CUMPLE</v>
      </c>
      <c r="AN274" s="13" t="s">
        <v>64</v>
      </c>
      <c r="AO274" s="14">
        <v>2</v>
      </c>
      <c r="AP274" s="13">
        <f>ROUNDDOWN(MIN(IF(BC274+BD274=0,1000000000,AO274*BB274/(BC274+BD274)),MIN(U274,AB274)/4,8*[1]Parametros!$B$12,24*BA274,300,IF(AV274=0,1000000000,2*((H274-2*([1]Parametros!$B$7+[1]Parametros!$B$9/2))+(I274-2*([1]Parametros!$B$7+[1]Parametros!$B$9/2)))/8))/10,0)*10</f>
        <v>80</v>
      </c>
      <c r="AQ274" s="13">
        <f>ROUNDDOWN(MIN(IF(BC274+BD274=0,1000000000,AO274*BB274/(BC274+BD274)),IF(AK274&gt;0.33*SQRT([1]Parametros!$B$2)*H274*MIN(U274,AB274)/1000,MIN(U274,AB274)/4,MIN(U274,AB274)/2),600,IF(AV274=0,1000000000,2*((H274-2*([1]Parametros!$B$7+[1]Parametros!$B$9/2))+(I274-2*([1]Parametros!$B$7+[1]Parametros!$B$9/2)))/8))/10,0)*10</f>
        <v>80</v>
      </c>
      <c r="AR274" s="13">
        <f>[1]Parametros!$B$6*(AJ274+MAX(BE274-BD274,0)*[1]Parametros!$B$4*MIN(U274,AB274)/1000)</f>
        <v>438.68186526885586</v>
      </c>
      <c r="AS274" s="13" t="str">
        <f t="shared" si="57"/>
        <v>CUMPLE</v>
      </c>
      <c r="AT274" s="13">
        <f>[1]Parametros!$B$6*0.083*SQRT([1]Parametros!$B$2)*(H274*I274)^2/(2*(H274+I274))/1000000</f>
        <v>11.862178757598967</v>
      </c>
      <c r="AU274" s="13" t="str">
        <f t="shared" si="58"/>
        <v>DESPRECIABLE</v>
      </c>
      <c r="AV274" s="13">
        <f>IF(Q274&lt;=AT274,0,Q274*1000000/([1]Parametros!$B$6*2*0.85*(H274-2*([1]Parametros!$B$7+[1]Parametros!$B$9/2))*(I274-2*([1]Parametros!$B$7+[1]Parametros!$B$9/2))*[1]Parametros!$B$4))</f>
        <v>0</v>
      </c>
      <c r="AW274" s="13">
        <f>AV274*2*((H274-2*([1]Parametros!$B$7+[1]Parametros!$B$9/2))+(I274-2*([1]Parametros!$B$7+[1]Parametros!$B$9/2)))*[1]Parametros!$B$4/[1]Parametros!$B$3</f>
        <v>0</v>
      </c>
      <c r="AX274" s="14">
        <v>0</v>
      </c>
      <c r="AY274" s="13" t="str">
        <f t="shared" si="59"/>
        <v>DESPRECIABLE</v>
      </c>
      <c r="AZ274" s="13" t="str">
        <f t="shared" si="60"/>
        <v>CUMPLE</v>
      </c>
      <c r="BA274" s="14">
        <v>9.5</v>
      </c>
      <c r="BB274" s="14">
        <v>71</v>
      </c>
      <c r="BC274" s="13">
        <f>MAX(IF(AK274=0,0,AK274*1000/([1]Parametros!$B$4*MIN(U274,AB274))),MAX(0.062*SQRT([1]Parametros!$B$2)*H274/[1]Parametros!$B$4,0.35*H274/[1]Parametros!$B$4))</f>
        <v>1.7159656459160701</v>
      </c>
      <c r="BD274" s="13">
        <f t="shared" si="61"/>
        <v>0</v>
      </c>
      <c r="BE274" s="13">
        <f t="shared" si="62"/>
        <v>1.7749999999999999</v>
      </c>
      <c r="BF274" s="13">
        <f>SQRT((AI274*1000/(H274*MIN(U274,AB274)))^2+(Q274*1000000*2*((H274-2*([1]Parametros!$B$7+[1]Parametros!$B$9/2))+(I274-2*([1]Parametros!$B$7+[1]Parametros!$B$9/2)))/(1.7*((H274-2*([1]Parametros!$B$7+[1]Parametros!$B$9/2))*(I274-2*([1]Parametros!$B$7+[1]Parametros!$B$9/2)))^2))^2)</f>
        <v>1.758722433695217</v>
      </c>
      <c r="BG274" s="13">
        <f>[1]Parametros!$B$6*(AJ274*1000/(H274*MIN(U274,AB274))+0.66*SQRT([1]Parametros!$B$2))</f>
        <v>3.2939603822754151</v>
      </c>
      <c r="BH274" s="13" t="str">
        <f t="shared" si="63"/>
        <v>CUMPLE</v>
      </c>
      <c r="BI274" s="13">
        <f>AX274*[1]Parametros!$B$8</f>
        <v>0</v>
      </c>
      <c r="BJ274" s="15" t="str">
        <f t="shared" si="64"/>
        <v>CUMPLE</v>
      </c>
    </row>
    <row r="275" spans="1:62" x14ac:dyDescent="0.3">
      <c r="A275" s="43" t="s">
        <v>74</v>
      </c>
      <c r="B275" s="44">
        <v>804</v>
      </c>
      <c r="C275" s="13">
        <v>1</v>
      </c>
      <c r="D275" s="13">
        <v>3.05</v>
      </c>
      <c r="E275" s="13">
        <v>3.05</v>
      </c>
      <c r="F275" s="13">
        <v>500</v>
      </c>
      <c r="G275" s="13">
        <v>550</v>
      </c>
      <c r="H275" s="13">
        <v>500</v>
      </c>
      <c r="I275" s="13">
        <v>550</v>
      </c>
      <c r="J275" s="14">
        <v>146.33260000000001</v>
      </c>
      <c r="K275" s="13">
        <v>804</v>
      </c>
      <c r="L275" s="14">
        <v>87.945499999999996</v>
      </c>
      <c r="M275" s="13">
        <v>804</v>
      </c>
      <c r="N275" s="14">
        <v>123.669</v>
      </c>
      <c r="O275" s="14">
        <v>360.34199999999998</v>
      </c>
      <c r="P275" s="13">
        <v>804</v>
      </c>
      <c r="Q275" s="14">
        <v>2.5886</v>
      </c>
      <c r="R275" s="13">
        <f>MAX(MAX(1.4/[1]Parametros!$B$3,0.25*SQRT([1]Parametros!$B$2)/[1]Parametros!$B$3)*H275*U275,(0.85*[1]Parametros!$B$2/[1]Parametros!$B$3)*(1-SQRT(1-2*(J275*1000000/([1]Parametros!$B$5*H275*U275^2))/(0.85*[1]Parametros!$B$2)))*H275*U275)</f>
        <v>815.58333333333326</v>
      </c>
      <c r="S275" s="14">
        <v>5</v>
      </c>
      <c r="T275" s="14">
        <v>1</v>
      </c>
      <c r="U275" s="13">
        <f>IF(T275=1,I275-([1]Parametros!$B$7+[1]Parametros!$B$9+[1]Parametros!$B$12/2),I275-(ROUNDUP(S275/2,0)*([1]Parametros!$B$7+[1]Parametros!$B$9+[1]Parametros!$B$12/2)+ROUNDDOWN(S275/2,0)*([1]Parametros!$B$7+[1]Parametros!$B$9+[1]Parametros!$B$12/2+[1]Parametros!$B$12+[1]Parametros!$B$10))/S275)</f>
        <v>489.35</v>
      </c>
      <c r="V275" s="13">
        <f>S275*[1]Parametros!$B$8</f>
        <v>995</v>
      </c>
      <c r="W275" s="13">
        <f>[1]Parametros!$B$5*V275*[1]Parametros!$B$3*(U275-(V275*[1]Parametros!$B$3/(0.85*[1]Parametros!$B$2*H275))/2)/1000000</f>
        <v>177.44537938235294</v>
      </c>
      <c r="X275" s="13" t="str">
        <f t="shared" si="52"/>
        <v>CUMPLE</v>
      </c>
      <c r="Y275" s="13">
        <f>MAX(MAX(1.4/[1]Parametros!$B$3,0.25*SQRT([1]Parametros!$B$2)/[1]Parametros!$B$3)*H275*AB275,(0.85*[1]Parametros!$B$2/[1]Parametros!$B$3)*(1-SQRT(1-2*(L275*1000000/([1]Parametros!$B$5*H275*AB275^2))/(0.85*[1]Parametros!$B$2)))*H275*AB275)</f>
        <v>815.58333333333326</v>
      </c>
      <c r="Z275" s="14">
        <v>5</v>
      </c>
      <c r="AA275" s="14">
        <v>1</v>
      </c>
      <c r="AB275" s="13">
        <f>IF(AA275=1,I275-([1]Parametros!$B$7+[1]Parametros!$B$9+[1]Parametros!$B$12/2),I275-(ROUNDUP(Z275/2,0)*([1]Parametros!$B$7+[1]Parametros!$B$9+[1]Parametros!$B$12/2)+ROUNDDOWN(Z275/2,0)*([1]Parametros!$B$7+[1]Parametros!$B$9+[1]Parametros!$B$12/2+[1]Parametros!$B$12+[1]Parametros!$B$10))/Z275)</f>
        <v>489.35</v>
      </c>
      <c r="AC275" s="13">
        <f>Z275*[1]Parametros!$B$8</f>
        <v>995</v>
      </c>
      <c r="AD275" s="13">
        <f>[1]Parametros!$B$5*AC275*[1]Parametros!$B$3*(AB275-(AC275*[1]Parametros!$B$3/(0.85*[1]Parametros!$B$2*H275))/2)/1000000</f>
        <v>177.44537938235294</v>
      </c>
      <c r="AE275" s="13" t="str">
        <f t="shared" si="53"/>
        <v>CUMPLE</v>
      </c>
      <c r="AF275" s="13">
        <f>V275*1.25*[1]Parametros!$B$3*(U275-(V275*1.25*[1]Parametros!$B$3/(0.85*[1]Parametros!$B$2*H275))/2)/1000000</f>
        <v>244.15884319852941</v>
      </c>
      <c r="AG275" s="13">
        <f>AC275*1.25*[1]Parametros!$B$3*(AB275-(AC275*1.25*[1]Parametros!$B$3/(0.85*[1]Parametros!$B$2*H275))/2)/1000000</f>
        <v>244.15884319852941</v>
      </c>
      <c r="AH275" s="13">
        <f t="shared" si="54"/>
        <v>283.77315947444555</v>
      </c>
      <c r="AI275" s="13">
        <f t="shared" si="55"/>
        <v>360.34199999999998</v>
      </c>
      <c r="AJ275" s="13">
        <f>0.17*SQRT([1]Parametros!$B$2)*H275*MIN(U275,AB275)/1000</f>
        <v>220.09872869180776</v>
      </c>
      <c r="AK275" s="13">
        <f>MAX(AI275/[1]Parametros!$B$6-AJ275,0)</f>
        <v>260.3572713081922</v>
      </c>
      <c r="AL275" s="13">
        <f>0.66*SQRT([1]Parametros!$B$2)*H275*MIN(U275,AB275)/1000</f>
        <v>854.500946685842</v>
      </c>
      <c r="AM275" s="13" t="str">
        <f t="shared" si="56"/>
        <v>CUMPLE</v>
      </c>
      <c r="AN275" s="13" t="s">
        <v>64</v>
      </c>
      <c r="AO275" s="14">
        <v>2</v>
      </c>
      <c r="AP275" s="13">
        <f>ROUNDDOWN(MIN(IF(BC275+BD275=0,1000000000,AO275*BB275/(BC275+BD275)),MIN(U275,AB275)/4,8*[1]Parametros!$B$12,24*BA275,300,IF(AV275=0,1000000000,2*((H275-2*([1]Parametros!$B$7+[1]Parametros!$B$9/2))+(I275-2*([1]Parametros!$B$7+[1]Parametros!$B$9/2)))/8))/10,0)*10</f>
        <v>110</v>
      </c>
      <c r="AQ275" s="13">
        <f>ROUNDDOWN(MIN(IF(BC275+BD275=0,1000000000,AO275*BB275/(BC275+BD275)),IF(AK275&gt;0.33*SQRT([1]Parametros!$B$2)*H275*MIN(U275,AB275)/1000,MIN(U275,AB275)/4,MIN(U275,AB275)/2),600,IF(AV275=0,1000000000,2*((H275-2*([1]Parametros!$B$7+[1]Parametros!$B$9/2))+(I275-2*([1]Parametros!$B$7+[1]Parametros!$B$9/2)))/8))/10,0)*10</f>
        <v>110</v>
      </c>
      <c r="AR275" s="13">
        <f>[1]Parametros!$B$6*(AJ275+MAX(BE275-BD275,0)*[1]Parametros!$B$4*MIN(U275,AB275)/1000)</f>
        <v>364.06155106431038</v>
      </c>
      <c r="AS275" s="13" t="str">
        <f t="shared" si="57"/>
        <v>CUMPLE</v>
      </c>
      <c r="AT275" s="13">
        <f>[1]Parametros!$B$6*0.083*SQRT([1]Parametros!$B$2)*(H275*I275)^2/(2*(H275+I275))/1000000</f>
        <v>11.862178757598967</v>
      </c>
      <c r="AU275" s="13" t="str">
        <f t="shared" si="58"/>
        <v>DESPRECIABLE</v>
      </c>
      <c r="AV275" s="13">
        <f>IF(Q275&lt;=AT275,0,Q275*1000000/([1]Parametros!$B$6*2*0.85*(H275-2*([1]Parametros!$B$7+[1]Parametros!$B$9/2))*(I275-2*([1]Parametros!$B$7+[1]Parametros!$B$9/2))*[1]Parametros!$B$4))</f>
        <v>0</v>
      </c>
      <c r="AW275" s="13">
        <f>AV275*2*((H275-2*([1]Parametros!$B$7+[1]Parametros!$B$9/2))+(I275-2*([1]Parametros!$B$7+[1]Parametros!$B$9/2)))*[1]Parametros!$B$4/[1]Parametros!$B$3</f>
        <v>0</v>
      </c>
      <c r="AX275" s="14">
        <v>0</v>
      </c>
      <c r="AY275" s="13" t="str">
        <f t="shared" si="59"/>
        <v>DESPRECIABLE</v>
      </c>
      <c r="AZ275" s="13" t="str">
        <f t="shared" si="60"/>
        <v>CUMPLE</v>
      </c>
      <c r="BA275" s="14">
        <v>9.5</v>
      </c>
      <c r="BB275" s="14">
        <v>71</v>
      </c>
      <c r="BC275" s="13">
        <f>MAX(IF(AK275=0,0,AK275*1000/([1]Parametros!$B$4*MIN(U275,AB275))),MAX(0.062*SQRT([1]Parametros!$B$2)*H275/[1]Parametros!$B$4,0.35*H275/[1]Parametros!$B$4))</f>
        <v>1.266778921057536</v>
      </c>
      <c r="BD275" s="13">
        <f t="shared" si="61"/>
        <v>0</v>
      </c>
      <c r="BE275" s="13">
        <f t="shared" si="62"/>
        <v>1.290909090909091</v>
      </c>
      <c r="BF275" s="13">
        <f>SQRT((AI275*1000/(H275*MIN(U275,AB275)))^2+(Q275*1000000*2*((H275-2*([1]Parametros!$B$7+[1]Parametros!$B$9/2))+(I275-2*([1]Parametros!$B$7+[1]Parametros!$B$9/2)))/(1.7*((H275-2*([1]Parametros!$B$7+[1]Parametros!$B$9/2))*(I275-2*([1]Parametros!$B$7+[1]Parametros!$B$9/2)))^2))^2)</f>
        <v>1.4746917192090072</v>
      </c>
      <c r="BG275" s="13">
        <f>[1]Parametros!$B$6*(AJ275*1000/(H275*MIN(U275,AB275))+0.66*SQRT([1]Parametros!$B$2))</f>
        <v>3.2939603822754151</v>
      </c>
      <c r="BH275" s="13" t="str">
        <f t="shared" si="63"/>
        <v>CUMPLE</v>
      </c>
      <c r="BI275" s="13">
        <f>AX275*[1]Parametros!$B$8</f>
        <v>0</v>
      </c>
      <c r="BJ275" s="15" t="str">
        <f t="shared" si="64"/>
        <v>CUMPLE</v>
      </c>
    </row>
    <row r="276" spans="1:62" x14ac:dyDescent="0.3">
      <c r="A276" s="43" t="s">
        <v>74</v>
      </c>
      <c r="B276" s="44">
        <v>805</v>
      </c>
      <c r="C276" s="13">
        <v>1</v>
      </c>
      <c r="D276" s="13">
        <v>2</v>
      </c>
      <c r="E276" s="13">
        <v>2</v>
      </c>
      <c r="F276" s="13">
        <v>500</v>
      </c>
      <c r="G276" s="13">
        <v>550</v>
      </c>
      <c r="H276" s="13">
        <v>500</v>
      </c>
      <c r="I276" s="13">
        <v>550</v>
      </c>
      <c r="J276" s="14">
        <v>129.21729999999999</v>
      </c>
      <c r="K276" s="13">
        <v>805</v>
      </c>
      <c r="L276" s="14">
        <v>92.594399999999993</v>
      </c>
      <c r="M276" s="13">
        <v>805</v>
      </c>
      <c r="N276" s="14">
        <v>127.959</v>
      </c>
      <c r="O276" s="14">
        <v>439.52</v>
      </c>
      <c r="P276" s="13">
        <v>805</v>
      </c>
      <c r="Q276" s="14">
        <v>5.5906000000000002</v>
      </c>
      <c r="R276" s="13">
        <f>MAX(MAX(1.4/[1]Parametros!$B$3,0.25*SQRT([1]Parametros!$B$2)/[1]Parametros!$B$3)*H276*U276,(0.85*[1]Parametros!$B$2/[1]Parametros!$B$3)*(1-SQRT(1-2*(J276*1000000/([1]Parametros!$B$5*H276*U276^2))/(0.85*[1]Parametros!$B$2)))*H276*U276)</f>
        <v>815.58333333333326</v>
      </c>
      <c r="S276" s="14">
        <v>5</v>
      </c>
      <c r="T276" s="14">
        <v>1</v>
      </c>
      <c r="U276" s="13">
        <f>IF(T276=1,I276-([1]Parametros!$B$7+[1]Parametros!$B$9+[1]Parametros!$B$12/2),I276-(ROUNDUP(S276/2,0)*([1]Parametros!$B$7+[1]Parametros!$B$9+[1]Parametros!$B$12/2)+ROUNDDOWN(S276/2,0)*([1]Parametros!$B$7+[1]Parametros!$B$9+[1]Parametros!$B$12/2+[1]Parametros!$B$12+[1]Parametros!$B$10))/S276)</f>
        <v>489.35</v>
      </c>
      <c r="V276" s="13">
        <f>S276*[1]Parametros!$B$8</f>
        <v>995</v>
      </c>
      <c r="W276" s="13">
        <f>[1]Parametros!$B$5*V276*[1]Parametros!$B$3*(U276-(V276*[1]Parametros!$B$3/(0.85*[1]Parametros!$B$2*H276))/2)/1000000</f>
        <v>177.44537938235294</v>
      </c>
      <c r="X276" s="13" t="str">
        <f t="shared" si="52"/>
        <v>CUMPLE</v>
      </c>
      <c r="Y276" s="13">
        <f>MAX(MAX(1.4/[1]Parametros!$B$3,0.25*SQRT([1]Parametros!$B$2)/[1]Parametros!$B$3)*H276*AB276,(0.85*[1]Parametros!$B$2/[1]Parametros!$B$3)*(1-SQRT(1-2*(L276*1000000/([1]Parametros!$B$5*H276*AB276^2))/(0.85*[1]Parametros!$B$2)))*H276*AB276)</f>
        <v>815.58333333333326</v>
      </c>
      <c r="Z276" s="14">
        <v>5</v>
      </c>
      <c r="AA276" s="14">
        <v>1</v>
      </c>
      <c r="AB276" s="13">
        <f>IF(AA276=1,I276-([1]Parametros!$B$7+[1]Parametros!$B$9+[1]Parametros!$B$12/2),I276-(ROUNDUP(Z276/2,0)*([1]Parametros!$B$7+[1]Parametros!$B$9+[1]Parametros!$B$12/2)+ROUNDDOWN(Z276/2,0)*([1]Parametros!$B$7+[1]Parametros!$B$9+[1]Parametros!$B$12/2+[1]Parametros!$B$12+[1]Parametros!$B$10))/Z276)</f>
        <v>489.35</v>
      </c>
      <c r="AC276" s="13">
        <f>Z276*[1]Parametros!$B$8</f>
        <v>995</v>
      </c>
      <c r="AD276" s="13">
        <f>[1]Parametros!$B$5*AC276*[1]Parametros!$B$3*(AB276-(AC276*[1]Parametros!$B$3/(0.85*[1]Parametros!$B$2*H276))/2)/1000000</f>
        <v>177.44537938235294</v>
      </c>
      <c r="AE276" s="13" t="str">
        <f t="shared" si="53"/>
        <v>CUMPLE</v>
      </c>
      <c r="AF276" s="13">
        <f>V276*1.25*[1]Parametros!$B$3*(U276-(V276*1.25*[1]Parametros!$B$3/(0.85*[1]Parametros!$B$2*H276))/2)/1000000</f>
        <v>244.15884319852941</v>
      </c>
      <c r="AG276" s="13">
        <f>AC276*1.25*[1]Parametros!$B$3*(AB276-(AC276*1.25*[1]Parametros!$B$3/(0.85*[1]Parametros!$B$2*H276))/2)/1000000</f>
        <v>244.15884319852941</v>
      </c>
      <c r="AH276" s="13">
        <f t="shared" si="54"/>
        <v>372.11784319852939</v>
      </c>
      <c r="AI276" s="13">
        <f t="shared" si="55"/>
        <v>439.52</v>
      </c>
      <c r="AJ276" s="13">
        <f>0.17*SQRT([1]Parametros!$B$2)*H276*MIN(U276,AB276)/1000</f>
        <v>220.09872869180776</v>
      </c>
      <c r="AK276" s="13">
        <f>MAX(AI276/[1]Parametros!$B$6-AJ276,0)</f>
        <v>365.92793797485888</v>
      </c>
      <c r="AL276" s="13">
        <f>0.66*SQRT([1]Parametros!$B$2)*H276*MIN(U276,AB276)/1000</f>
        <v>854.500946685842</v>
      </c>
      <c r="AM276" s="13" t="str">
        <f t="shared" si="56"/>
        <v>CUMPLE</v>
      </c>
      <c r="AN276" s="13" t="s">
        <v>68</v>
      </c>
      <c r="AO276" s="14">
        <v>2</v>
      </c>
      <c r="AP276" s="13">
        <f>ROUNDDOWN(MIN(IF(BC276+BD276=0,1000000000,AO276*BB276/(BC276+BD276)),MIN(U276,AB276)/4,8*[1]Parametros!$B$12,24*BA276,300,IF(AV276=0,1000000000,2*((H276-2*([1]Parametros!$B$7+[1]Parametros!$B$9/2))+(I276-2*([1]Parametros!$B$7+[1]Parametros!$B$9/2)))/8))/10,0)*10</f>
        <v>120</v>
      </c>
      <c r="AQ276" s="13">
        <f>ROUNDDOWN(MIN(IF(BC276+BD276=0,1000000000,AO276*BB276/(BC276+BD276)),IF(AK276&gt;0.33*SQRT([1]Parametros!$B$2)*H276*MIN(U276,AB276)/1000,MIN(U276,AB276)/4,MIN(U276,AB276)/2),600,IF(AV276=0,1000000000,2*((H276-2*([1]Parametros!$B$7+[1]Parametros!$B$9/2))+(I276-2*([1]Parametros!$B$7+[1]Parametros!$B$9/2)))/8))/10,0)*10</f>
        <v>140</v>
      </c>
      <c r="AR276" s="13">
        <f>[1]Parametros!$B$6*(AJ276+MAX(BE276-BD276,0)*[1]Parametros!$B$4*MIN(U276,AB276)/1000)</f>
        <v>496.48633401885581</v>
      </c>
      <c r="AS276" s="13" t="str">
        <f t="shared" si="57"/>
        <v>CUMPLE</v>
      </c>
      <c r="AT276" s="13">
        <f>[1]Parametros!$B$6*0.083*SQRT([1]Parametros!$B$2)*(H276*I276)^2/(2*(H276+I276))/1000000</f>
        <v>11.862178757598967</v>
      </c>
      <c r="AU276" s="13" t="str">
        <f t="shared" si="58"/>
        <v>DESPRECIABLE</v>
      </c>
      <c r="AV276" s="13">
        <f>IF(Q276&lt;=AT276,0,Q276*1000000/([1]Parametros!$B$6*2*0.85*(H276-2*([1]Parametros!$B$7+[1]Parametros!$B$9/2))*(I276-2*([1]Parametros!$B$7+[1]Parametros!$B$9/2))*[1]Parametros!$B$4))</f>
        <v>0</v>
      </c>
      <c r="AW276" s="13">
        <f>AV276*2*((H276-2*([1]Parametros!$B$7+[1]Parametros!$B$9/2))+(I276-2*([1]Parametros!$B$7+[1]Parametros!$B$9/2)))*[1]Parametros!$B$4/[1]Parametros!$B$3</f>
        <v>0</v>
      </c>
      <c r="AX276" s="14">
        <v>0</v>
      </c>
      <c r="AY276" s="13" t="str">
        <f t="shared" si="59"/>
        <v>DESPRECIABLE</v>
      </c>
      <c r="AZ276" s="13" t="str">
        <f t="shared" si="60"/>
        <v>CUMPLE</v>
      </c>
      <c r="BA276" s="14">
        <v>12.7</v>
      </c>
      <c r="BB276" s="14">
        <v>129</v>
      </c>
      <c r="BC276" s="13">
        <f>MAX(IF(AK276=0,0,AK276*1000/([1]Parametros!$B$4*MIN(U276,AB276))),MAX(0.062*SQRT([1]Parametros!$B$2)*H276/[1]Parametros!$B$4,0.35*H276/[1]Parametros!$B$4))</f>
        <v>1.7804373049519473</v>
      </c>
      <c r="BD276" s="13">
        <f t="shared" si="61"/>
        <v>0</v>
      </c>
      <c r="BE276" s="13">
        <f t="shared" si="62"/>
        <v>2.15</v>
      </c>
      <c r="BF276" s="13">
        <f>SQRT((AI276*1000/(H276*MIN(U276,AB276)))^2+(Q276*1000000*2*((H276-2*([1]Parametros!$B$7+[1]Parametros!$B$9/2))+(I276-2*([1]Parametros!$B$7+[1]Parametros!$B$9/2)))/(1.7*((H276-2*([1]Parametros!$B$7+[1]Parametros!$B$9/2))*(I276-2*([1]Parametros!$B$7+[1]Parametros!$B$9/2)))^2))^2)</f>
        <v>1.8038053146739625</v>
      </c>
      <c r="BG276" s="13">
        <f>[1]Parametros!$B$6*(AJ276*1000/(H276*MIN(U276,AB276))+0.66*SQRT([1]Parametros!$B$2))</f>
        <v>3.2939603822754151</v>
      </c>
      <c r="BH276" s="13" t="str">
        <f t="shared" si="63"/>
        <v>CUMPLE</v>
      </c>
      <c r="BI276" s="13">
        <f>AX276*[1]Parametros!$B$8</f>
        <v>0</v>
      </c>
      <c r="BJ276" s="15" t="str">
        <f t="shared" si="64"/>
        <v>CUMPLE</v>
      </c>
    </row>
    <row r="277" spans="1:62" x14ac:dyDescent="0.3">
      <c r="A277" s="43" t="s">
        <v>74</v>
      </c>
      <c r="B277" s="44">
        <v>806</v>
      </c>
      <c r="C277" s="13">
        <v>1</v>
      </c>
      <c r="D277" s="13">
        <v>1.9</v>
      </c>
      <c r="E277" s="13">
        <v>1.9</v>
      </c>
      <c r="F277" s="13">
        <v>500</v>
      </c>
      <c r="G277" s="13">
        <v>550</v>
      </c>
      <c r="H277" s="13">
        <v>500</v>
      </c>
      <c r="I277" s="13">
        <v>550</v>
      </c>
      <c r="J277" s="14">
        <v>136.21619999999999</v>
      </c>
      <c r="K277" s="13">
        <v>806</v>
      </c>
      <c r="L277" s="14">
        <v>101.8548</v>
      </c>
      <c r="M277" s="13">
        <v>806</v>
      </c>
      <c r="N277" s="14">
        <v>136.74700000000001</v>
      </c>
      <c r="O277" s="14">
        <v>479.22899999999998</v>
      </c>
      <c r="P277" s="13">
        <v>806</v>
      </c>
      <c r="Q277" s="14">
        <v>3.3652000000000002</v>
      </c>
      <c r="R277" s="13">
        <f>MAX(MAX(1.4/[1]Parametros!$B$3,0.25*SQRT([1]Parametros!$B$2)/[1]Parametros!$B$3)*H277*U277,(0.85*[1]Parametros!$B$2/[1]Parametros!$B$3)*(1-SQRT(1-2*(J277*1000000/([1]Parametros!$B$5*H277*U277^2))/(0.85*[1]Parametros!$B$2)))*H277*U277)</f>
        <v>815.58333333333326</v>
      </c>
      <c r="S277" s="14">
        <v>5</v>
      </c>
      <c r="T277" s="14">
        <v>1</v>
      </c>
      <c r="U277" s="13">
        <f>IF(T277=1,I277-([1]Parametros!$B$7+[1]Parametros!$B$9+[1]Parametros!$B$12/2),I277-(ROUNDUP(S277/2,0)*([1]Parametros!$B$7+[1]Parametros!$B$9+[1]Parametros!$B$12/2)+ROUNDDOWN(S277/2,0)*([1]Parametros!$B$7+[1]Parametros!$B$9+[1]Parametros!$B$12/2+[1]Parametros!$B$12+[1]Parametros!$B$10))/S277)</f>
        <v>489.35</v>
      </c>
      <c r="V277" s="13">
        <f>S277*[1]Parametros!$B$8</f>
        <v>995</v>
      </c>
      <c r="W277" s="13">
        <f>[1]Parametros!$B$5*V277*[1]Parametros!$B$3*(U277-(V277*[1]Parametros!$B$3/(0.85*[1]Parametros!$B$2*H277))/2)/1000000</f>
        <v>177.44537938235294</v>
      </c>
      <c r="X277" s="13" t="str">
        <f t="shared" si="52"/>
        <v>CUMPLE</v>
      </c>
      <c r="Y277" s="13">
        <f>MAX(MAX(1.4/[1]Parametros!$B$3,0.25*SQRT([1]Parametros!$B$2)/[1]Parametros!$B$3)*H277*AB277,(0.85*[1]Parametros!$B$2/[1]Parametros!$B$3)*(1-SQRT(1-2*(L277*1000000/([1]Parametros!$B$5*H277*AB277^2))/(0.85*[1]Parametros!$B$2)))*H277*AB277)</f>
        <v>815.58333333333326</v>
      </c>
      <c r="Z277" s="14">
        <v>5</v>
      </c>
      <c r="AA277" s="14">
        <v>1</v>
      </c>
      <c r="AB277" s="13">
        <f>IF(AA277=1,I277-([1]Parametros!$B$7+[1]Parametros!$B$9+[1]Parametros!$B$12/2),I277-(ROUNDUP(Z277/2,0)*([1]Parametros!$B$7+[1]Parametros!$B$9+[1]Parametros!$B$12/2)+ROUNDDOWN(Z277/2,0)*([1]Parametros!$B$7+[1]Parametros!$B$9+[1]Parametros!$B$12/2+[1]Parametros!$B$12+[1]Parametros!$B$10))/Z277)</f>
        <v>489.35</v>
      </c>
      <c r="AC277" s="13">
        <f>Z277*[1]Parametros!$B$8</f>
        <v>995</v>
      </c>
      <c r="AD277" s="13">
        <f>[1]Parametros!$B$5*AC277*[1]Parametros!$B$3*(AB277-(AC277*[1]Parametros!$B$3/(0.85*[1]Parametros!$B$2*H277))/2)/1000000</f>
        <v>177.44537938235294</v>
      </c>
      <c r="AE277" s="13" t="str">
        <f t="shared" si="53"/>
        <v>CUMPLE</v>
      </c>
      <c r="AF277" s="13">
        <f>V277*1.25*[1]Parametros!$B$3*(U277-(V277*1.25*[1]Parametros!$B$3/(0.85*[1]Parametros!$B$2*H277))/2)/1000000</f>
        <v>244.15884319852941</v>
      </c>
      <c r="AG277" s="13">
        <f>AC277*1.25*[1]Parametros!$B$3*(AB277-(AC277*1.25*[1]Parametros!$B$3/(0.85*[1]Parametros!$B$2*H277))/2)/1000000</f>
        <v>244.15884319852941</v>
      </c>
      <c r="AH277" s="13">
        <f t="shared" si="54"/>
        <v>393.75630863003096</v>
      </c>
      <c r="AI277" s="13">
        <f t="shared" si="55"/>
        <v>479.22899999999998</v>
      </c>
      <c r="AJ277" s="13">
        <f>0.17*SQRT([1]Parametros!$B$2)*H277*MIN(U277,AB277)/1000</f>
        <v>220.09872869180776</v>
      </c>
      <c r="AK277" s="13">
        <f>MAX(AI277/[1]Parametros!$B$6-AJ277,0)</f>
        <v>418.87327130819222</v>
      </c>
      <c r="AL277" s="13">
        <f>0.66*SQRT([1]Parametros!$B$2)*H277*MIN(U277,AB277)/1000</f>
        <v>854.500946685842</v>
      </c>
      <c r="AM277" s="13" t="str">
        <f t="shared" si="56"/>
        <v>CUMPLE</v>
      </c>
      <c r="AN277" s="13" t="s">
        <v>68</v>
      </c>
      <c r="AO277" s="14">
        <v>2</v>
      </c>
      <c r="AP277" s="13">
        <f>ROUNDDOWN(MIN(IF(BC277+BD277=0,1000000000,AO277*BB277/(BC277+BD277)),MIN(U277,AB277)/4,8*[1]Parametros!$B$12,24*BA277,300,IF(AV277=0,1000000000,2*((H277-2*([1]Parametros!$B$7+[1]Parametros!$B$9/2))+(I277-2*([1]Parametros!$B$7+[1]Parametros!$B$9/2)))/8))/10,0)*10</f>
        <v>120</v>
      </c>
      <c r="AQ277" s="13">
        <f>ROUNDDOWN(MIN(IF(BC277+BD277=0,1000000000,AO277*BB277/(BC277+BD277)),IF(AK277&gt;0.33*SQRT([1]Parametros!$B$2)*H277*MIN(U277,AB277)/1000,MIN(U277,AB277)/4,MIN(U277,AB277)/2),600,IF(AV277=0,1000000000,2*((H277-2*([1]Parametros!$B$7+[1]Parametros!$B$9/2))+(I277-2*([1]Parametros!$B$7+[1]Parametros!$B$9/2)))/8))/10,0)*10</f>
        <v>120</v>
      </c>
      <c r="AR277" s="13">
        <f>[1]Parametros!$B$6*(AJ277+MAX(BE277-BD277,0)*[1]Parametros!$B$4*MIN(U277,AB277)/1000)</f>
        <v>496.48633401885581</v>
      </c>
      <c r="AS277" s="13" t="str">
        <f t="shared" si="57"/>
        <v>CUMPLE</v>
      </c>
      <c r="AT277" s="13">
        <f>[1]Parametros!$B$6*0.083*SQRT([1]Parametros!$B$2)*(H277*I277)^2/(2*(H277+I277))/1000000</f>
        <v>11.862178757598967</v>
      </c>
      <c r="AU277" s="13" t="str">
        <f t="shared" si="58"/>
        <v>DESPRECIABLE</v>
      </c>
      <c r="AV277" s="13">
        <f>IF(Q277&lt;=AT277,0,Q277*1000000/([1]Parametros!$B$6*2*0.85*(H277-2*([1]Parametros!$B$7+[1]Parametros!$B$9/2))*(I277-2*([1]Parametros!$B$7+[1]Parametros!$B$9/2))*[1]Parametros!$B$4))</f>
        <v>0</v>
      </c>
      <c r="AW277" s="13">
        <f>AV277*2*((H277-2*([1]Parametros!$B$7+[1]Parametros!$B$9/2))+(I277-2*([1]Parametros!$B$7+[1]Parametros!$B$9/2)))*[1]Parametros!$B$4/[1]Parametros!$B$3</f>
        <v>0</v>
      </c>
      <c r="AX277" s="14">
        <v>0</v>
      </c>
      <c r="AY277" s="13" t="str">
        <f t="shared" si="59"/>
        <v>DESPRECIABLE</v>
      </c>
      <c r="AZ277" s="13" t="str">
        <f t="shared" si="60"/>
        <v>CUMPLE</v>
      </c>
      <c r="BA277" s="14">
        <v>12.7</v>
      </c>
      <c r="BB277" s="14">
        <v>129</v>
      </c>
      <c r="BC277" s="13">
        <f>MAX(IF(AK277=0,0,AK277*1000/([1]Parametros!$B$4*MIN(U277,AB277))),MAX(0.062*SQRT([1]Parametros!$B$2)*H277/[1]Parametros!$B$4,0.35*H277/[1]Parametros!$B$4))</f>
        <v>2.0380449834240379</v>
      </c>
      <c r="BD277" s="13">
        <f t="shared" si="61"/>
        <v>0</v>
      </c>
      <c r="BE277" s="13">
        <f t="shared" si="62"/>
        <v>2.15</v>
      </c>
      <c r="BF277" s="13">
        <f>SQRT((AI277*1000/(H277*MIN(U277,AB277)))^2+(Q277*1000000*2*((H277-2*([1]Parametros!$B$7+[1]Parametros!$B$9/2))+(I277-2*([1]Parametros!$B$7+[1]Parametros!$B$9/2)))/(1.7*((H277-2*([1]Parametros!$B$7+[1]Parametros!$B$9/2))*(I277-2*([1]Parametros!$B$7+[1]Parametros!$B$9/2)))^2))^2)</f>
        <v>1.9611185897379391</v>
      </c>
      <c r="BG277" s="13">
        <f>[1]Parametros!$B$6*(AJ277*1000/(H277*MIN(U277,AB277))+0.66*SQRT([1]Parametros!$B$2))</f>
        <v>3.2939603822754151</v>
      </c>
      <c r="BH277" s="13" t="str">
        <f t="shared" si="63"/>
        <v>CUMPLE</v>
      </c>
      <c r="BI277" s="13">
        <f>AX277*[1]Parametros!$B$8</f>
        <v>0</v>
      </c>
      <c r="BJ277" s="15" t="str">
        <f t="shared" si="64"/>
        <v>CUMPLE</v>
      </c>
    </row>
    <row r="278" spans="1:62" x14ac:dyDescent="0.3">
      <c r="A278" s="43" t="s">
        <v>74</v>
      </c>
      <c r="B278" s="44">
        <v>807</v>
      </c>
      <c r="C278" s="13">
        <v>1</v>
      </c>
      <c r="D278" s="13">
        <v>3.4</v>
      </c>
      <c r="E278" s="13">
        <v>3.4</v>
      </c>
      <c r="F278" s="13">
        <v>500</v>
      </c>
      <c r="G278" s="13">
        <v>550</v>
      </c>
      <c r="H278" s="13">
        <v>500</v>
      </c>
      <c r="I278" s="13">
        <v>550</v>
      </c>
      <c r="J278" s="14">
        <v>151.595</v>
      </c>
      <c r="K278" s="13">
        <v>807</v>
      </c>
      <c r="L278" s="14">
        <v>81.763900000000007</v>
      </c>
      <c r="M278" s="13">
        <v>807</v>
      </c>
      <c r="N278" s="14">
        <v>122.57599999999999</v>
      </c>
      <c r="O278" s="14">
        <v>329.25200000000001</v>
      </c>
      <c r="P278" s="13">
        <v>807</v>
      </c>
      <c r="Q278" s="14">
        <v>7.1810999999999998</v>
      </c>
      <c r="R278" s="13">
        <f>MAX(MAX(1.4/[1]Parametros!$B$3,0.25*SQRT([1]Parametros!$B$2)/[1]Parametros!$B$3)*H278*U278,(0.85*[1]Parametros!$B$2/[1]Parametros!$B$3)*(1-SQRT(1-2*(J278*1000000/([1]Parametros!$B$5*H278*U278^2))/(0.85*[1]Parametros!$B$2)))*H278*U278)</f>
        <v>845.31481640273603</v>
      </c>
      <c r="S278" s="14">
        <v>5</v>
      </c>
      <c r="T278" s="14">
        <v>1</v>
      </c>
      <c r="U278" s="13">
        <f>IF(T278=1,I278-([1]Parametros!$B$7+[1]Parametros!$B$9+[1]Parametros!$B$12/2),I278-(ROUNDUP(S278/2,0)*([1]Parametros!$B$7+[1]Parametros!$B$9+[1]Parametros!$B$12/2)+ROUNDDOWN(S278/2,0)*([1]Parametros!$B$7+[1]Parametros!$B$9+[1]Parametros!$B$12/2+[1]Parametros!$B$12+[1]Parametros!$B$10))/S278)</f>
        <v>489.35</v>
      </c>
      <c r="V278" s="13">
        <f>S278*[1]Parametros!$B$8</f>
        <v>995</v>
      </c>
      <c r="W278" s="13">
        <f>[1]Parametros!$B$5*V278*[1]Parametros!$B$3*(U278-(V278*[1]Parametros!$B$3/(0.85*[1]Parametros!$B$2*H278))/2)/1000000</f>
        <v>177.44537938235294</v>
      </c>
      <c r="X278" s="13" t="str">
        <f t="shared" si="52"/>
        <v>CUMPLE</v>
      </c>
      <c r="Y278" s="13">
        <f>MAX(MAX(1.4/[1]Parametros!$B$3,0.25*SQRT([1]Parametros!$B$2)/[1]Parametros!$B$3)*H278*AB278,(0.85*[1]Parametros!$B$2/[1]Parametros!$B$3)*(1-SQRT(1-2*(L278*1000000/([1]Parametros!$B$5*H278*AB278^2))/(0.85*[1]Parametros!$B$2)))*H278*AB278)</f>
        <v>815.58333333333326</v>
      </c>
      <c r="Z278" s="14">
        <v>5</v>
      </c>
      <c r="AA278" s="14">
        <v>1</v>
      </c>
      <c r="AB278" s="13">
        <f>IF(AA278=1,I278-([1]Parametros!$B$7+[1]Parametros!$B$9+[1]Parametros!$B$12/2),I278-(ROUNDUP(Z278/2,0)*([1]Parametros!$B$7+[1]Parametros!$B$9+[1]Parametros!$B$12/2)+ROUNDDOWN(Z278/2,0)*([1]Parametros!$B$7+[1]Parametros!$B$9+[1]Parametros!$B$12/2+[1]Parametros!$B$12+[1]Parametros!$B$10))/Z278)</f>
        <v>489.35</v>
      </c>
      <c r="AC278" s="13">
        <f>Z278*[1]Parametros!$B$8</f>
        <v>995</v>
      </c>
      <c r="AD278" s="13">
        <f>[1]Parametros!$B$5*AC278*[1]Parametros!$B$3*(AB278-(AC278*[1]Parametros!$B$3/(0.85*[1]Parametros!$B$2*H278))/2)/1000000</f>
        <v>177.44537938235294</v>
      </c>
      <c r="AE278" s="13" t="str">
        <f t="shared" si="53"/>
        <v>CUMPLE</v>
      </c>
      <c r="AF278" s="13">
        <f>V278*1.25*[1]Parametros!$B$3*(U278-(V278*1.25*[1]Parametros!$B$3/(0.85*[1]Parametros!$B$2*H278))/2)/1000000</f>
        <v>244.15884319852941</v>
      </c>
      <c r="AG278" s="13">
        <f>AC278*1.25*[1]Parametros!$B$3*(AB278-(AC278*1.25*[1]Parametros!$B$3/(0.85*[1]Parametros!$B$2*H278))/2)/1000000</f>
        <v>244.15884319852941</v>
      </c>
      <c r="AH278" s="13">
        <f t="shared" si="54"/>
        <v>266.19884894031145</v>
      </c>
      <c r="AI278" s="13">
        <f t="shared" si="55"/>
        <v>329.25200000000001</v>
      </c>
      <c r="AJ278" s="13">
        <f>0.17*SQRT([1]Parametros!$B$2)*H278*MIN(U278,AB278)/1000</f>
        <v>220.09872869180776</v>
      </c>
      <c r="AK278" s="13">
        <f>MAX(AI278/[1]Parametros!$B$6-AJ278,0)</f>
        <v>218.90393797485893</v>
      </c>
      <c r="AL278" s="13">
        <f>0.66*SQRT([1]Parametros!$B$2)*H278*MIN(U278,AB278)/1000</f>
        <v>854.500946685842</v>
      </c>
      <c r="AM278" s="13" t="str">
        <f t="shared" si="56"/>
        <v>CUMPLE</v>
      </c>
      <c r="AN278" s="13" t="s">
        <v>64</v>
      </c>
      <c r="AO278" s="14">
        <v>2</v>
      </c>
      <c r="AP278" s="13">
        <f>ROUNDDOWN(MIN(IF(BC278+BD278=0,1000000000,AO278*BB278/(BC278+BD278)),MIN(U278,AB278)/4,8*[1]Parametros!$B$12,24*BA278,300,IF(AV278=0,1000000000,2*((H278-2*([1]Parametros!$B$7+[1]Parametros!$B$9/2))+(I278-2*([1]Parametros!$B$7+[1]Parametros!$B$9/2)))/8))/10,0)*10</f>
        <v>120</v>
      </c>
      <c r="AQ278" s="13">
        <f>ROUNDDOWN(MIN(IF(BC278+BD278=0,1000000000,AO278*BB278/(BC278+BD278)),IF(AK278&gt;0.33*SQRT([1]Parametros!$B$2)*H278*MIN(U278,AB278)/1000,MIN(U278,AB278)/4,MIN(U278,AB278)/2),600,IF(AV278=0,1000000000,2*((H278-2*([1]Parametros!$B$7+[1]Parametros!$B$9/2))+(I278-2*([1]Parametros!$B$7+[1]Parametros!$B$9/2)))/8))/10,0)*10</f>
        <v>130</v>
      </c>
      <c r="AR278" s="13">
        <f>[1]Parametros!$B$6*(AJ278+MAX(BE278-BD278,0)*[1]Parametros!$B$4*MIN(U278,AB278)/1000)</f>
        <v>347.47925901885583</v>
      </c>
      <c r="AS278" s="13" t="str">
        <f t="shared" si="57"/>
        <v>CUMPLE</v>
      </c>
      <c r="AT278" s="13">
        <f>[1]Parametros!$B$6*0.083*SQRT([1]Parametros!$B$2)*(H278*I278)^2/(2*(H278+I278))/1000000</f>
        <v>11.862178757598967</v>
      </c>
      <c r="AU278" s="13" t="str">
        <f t="shared" si="58"/>
        <v>DESPRECIABLE</v>
      </c>
      <c r="AV278" s="13">
        <f>IF(Q278&lt;=AT278,0,Q278*1000000/([1]Parametros!$B$6*2*0.85*(H278-2*([1]Parametros!$B$7+[1]Parametros!$B$9/2))*(I278-2*([1]Parametros!$B$7+[1]Parametros!$B$9/2))*[1]Parametros!$B$4))</f>
        <v>0</v>
      </c>
      <c r="AW278" s="13">
        <f>AV278*2*((H278-2*([1]Parametros!$B$7+[1]Parametros!$B$9/2))+(I278-2*([1]Parametros!$B$7+[1]Parametros!$B$9/2)))*[1]Parametros!$B$4/[1]Parametros!$B$3</f>
        <v>0</v>
      </c>
      <c r="AX278" s="14">
        <v>0</v>
      </c>
      <c r="AY278" s="13" t="str">
        <f t="shared" si="59"/>
        <v>DESPRECIABLE</v>
      </c>
      <c r="AZ278" s="13" t="str">
        <f t="shared" si="60"/>
        <v>CUMPLE</v>
      </c>
      <c r="BA278" s="14">
        <v>9.5</v>
      </c>
      <c r="BB278" s="14">
        <v>71</v>
      </c>
      <c r="BC278" s="13">
        <f>MAX(IF(AK278=0,0,AK278*1000/([1]Parametros!$B$4*MIN(U278,AB278))),MAX(0.062*SQRT([1]Parametros!$B$2)*H278/[1]Parametros!$B$4,0.35*H278/[1]Parametros!$B$4))</f>
        <v>1.0650860372352973</v>
      </c>
      <c r="BD278" s="13">
        <f t="shared" si="61"/>
        <v>0</v>
      </c>
      <c r="BE278" s="13">
        <f t="shared" si="62"/>
        <v>1.1833333333333333</v>
      </c>
      <c r="BF278" s="13">
        <f>SQRT((AI278*1000/(H278*MIN(U278,AB278)))^2+(Q278*1000000*2*((H278-2*([1]Parametros!$B$7+[1]Parametros!$B$9/2))+(I278-2*([1]Parametros!$B$7+[1]Parametros!$B$9/2)))/(1.7*((H278-2*([1]Parametros!$B$7+[1]Parametros!$B$9/2))*(I278-2*([1]Parametros!$B$7+[1]Parametros!$B$9/2)))^2))^2)</f>
        <v>1.362043074654653</v>
      </c>
      <c r="BG278" s="13">
        <f>[1]Parametros!$B$6*(AJ278*1000/(H278*MIN(U278,AB278))+0.66*SQRT([1]Parametros!$B$2))</f>
        <v>3.2939603822754151</v>
      </c>
      <c r="BH278" s="13" t="str">
        <f t="shared" si="63"/>
        <v>CUMPLE</v>
      </c>
      <c r="BI278" s="13">
        <f>AX278*[1]Parametros!$B$8</f>
        <v>0</v>
      </c>
      <c r="BJ278" s="15" t="str">
        <f t="shared" si="64"/>
        <v>CUMPLE</v>
      </c>
    </row>
    <row r="279" spans="1:62" x14ac:dyDescent="0.3">
      <c r="A279" s="43" t="s">
        <v>74</v>
      </c>
      <c r="B279" s="44">
        <v>808</v>
      </c>
      <c r="C279" s="13">
        <v>1</v>
      </c>
      <c r="D279" s="13">
        <v>3.4</v>
      </c>
      <c r="E279" s="13">
        <v>3.4</v>
      </c>
      <c r="F279" s="13">
        <v>500</v>
      </c>
      <c r="G279" s="13">
        <v>550</v>
      </c>
      <c r="H279" s="13">
        <v>500</v>
      </c>
      <c r="I279" s="13">
        <v>550</v>
      </c>
      <c r="J279" s="14">
        <v>151.61879999999999</v>
      </c>
      <c r="K279" s="13">
        <v>808</v>
      </c>
      <c r="L279" s="14">
        <v>81.86</v>
      </c>
      <c r="M279" s="13">
        <v>808</v>
      </c>
      <c r="N279" s="14">
        <v>122.59699999999999</v>
      </c>
      <c r="O279" s="14">
        <v>329.41199999999998</v>
      </c>
      <c r="P279" s="13">
        <v>808</v>
      </c>
      <c r="Q279" s="14">
        <v>7.2607999999999997</v>
      </c>
      <c r="R279" s="13">
        <f>MAX(MAX(1.4/[1]Parametros!$B$3,0.25*SQRT([1]Parametros!$B$2)/[1]Parametros!$B$3)*H279*U279,(0.85*[1]Parametros!$B$2/[1]Parametros!$B$3)*(1-SQRT(1-2*(J279*1000000/([1]Parametros!$B$5*H279*U279^2))/(0.85*[1]Parametros!$B$2)))*H279*U279)</f>
        <v>845.45183749026182</v>
      </c>
      <c r="S279" s="14">
        <v>5</v>
      </c>
      <c r="T279" s="14">
        <v>1</v>
      </c>
      <c r="U279" s="13">
        <f>IF(T279=1,I279-([1]Parametros!$B$7+[1]Parametros!$B$9+[1]Parametros!$B$12/2),I279-(ROUNDUP(S279/2,0)*([1]Parametros!$B$7+[1]Parametros!$B$9+[1]Parametros!$B$12/2)+ROUNDDOWN(S279/2,0)*([1]Parametros!$B$7+[1]Parametros!$B$9+[1]Parametros!$B$12/2+[1]Parametros!$B$12+[1]Parametros!$B$10))/S279)</f>
        <v>489.35</v>
      </c>
      <c r="V279" s="13">
        <f>S279*[1]Parametros!$B$8</f>
        <v>995</v>
      </c>
      <c r="W279" s="13">
        <f>[1]Parametros!$B$5*V279*[1]Parametros!$B$3*(U279-(V279*[1]Parametros!$B$3/(0.85*[1]Parametros!$B$2*H279))/2)/1000000</f>
        <v>177.44537938235294</v>
      </c>
      <c r="X279" s="13" t="str">
        <f t="shared" si="52"/>
        <v>CUMPLE</v>
      </c>
      <c r="Y279" s="13">
        <f>MAX(MAX(1.4/[1]Parametros!$B$3,0.25*SQRT([1]Parametros!$B$2)/[1]Parametros!$B$3)*H279*AB279,(0.85*[1]Parametros!$B$2/[1]Parametros!$B$3)*(1-SQRT(1-2*(L279*1000000/([1]Parametros!$B$5*H279*AB279^2))/(0.85*[1]Parametros!$B$2)))*H279*AB279)</f>
        <v>815.58333333333326</v>
      </c>
      <c r="Z279" s="14">
        <v>5</v>
      </c>
      <c r="AA279" s="14">
        <v>1</v>
      </c>
      <c r="AB279" s="13">
        <f>IF(AA279=1,I279-([1]Parametros!$B$7+[1]Parametros!$B$9+[1]Parametros!$B$12/2),I279-(ROUNDUP(Z279/2,0)*([1]Parametros!$B$7+[1]Parametros!$B$9+[1]Parametros!$B$12/2)+ROUNDDOWN(Z279/2,0)*([1]Parametros!$B$7+[1]Parametros!$B$9+[1]Parametros!$B$12/2+[1]Parametros!$B$12+[1]Parametros!$B$10))/Z279)</f>
        <v>489.35</v>
      </c>
      <c r="AC279" s="13">
        <f>Z279*[1]Parametros!$B$8</f>
        <v>995</v>
      </c>
      <c r="AD279" s="13">
        <f>[1]Parametros!$B$5*AC279*[1]Parametros!$B$3*(AB279-(AC279*[1]Parametros!$B$3/(0.85*[1]Parametros!$B$2*H279))/2)/1000000</f>
        <v>177.44537938235294</v>
      </c>
      <c r="AE279" s="13" t="str">
        <f t="shared" si="53"/>
        <v>CUMPLE</v>
      </c>
      <c r="AF279" s="13">
        <f>V279*1.25*[1]Parametros!$B$3*(U279-(V279*1.25*[1]Parametros!$B$3/(0.85*[1]Parametros!$B$2*H279))/2)/1000000</f>
        <v>244.15884319852941</v>
      </c>
      <c r="AG279" s="13">
        <f>AC279*1.25*[1]Parametros!$B$3*(AB279-(AC279*1.25*[1]Parametros!$B$3/(0.85*[1]Parametros!$B$2*H279))/2)/1000000</f>
        <v>244.15884319852941</v>
      </c>
      <c r="AH279" s="13">
        <f t="shared" si="54"/>
        <v>266.21984894031141</v>
      </c>
      <c r="AI279" s="13">
        <f t="shared" si="55"/>
        <v>329.41199999999998</v>
      </c>
      <c r="AJ279" s="13">
        <f>0.17*SQRT([1]Parametros!$B$2)*H279*MIN(U279,AB279)/1000</f>
        <v>220.09872869180776</v>
      </c>
      <c r="AK279" s="13">
        <f>MAX(AI279/[1]Parametros!$B$6-AJ279,0)</f>
        <v>219.11727130819219</v>
      </c>
      <c r="AL279" s="13">
        <f>0.66*SQRT([1]Parametros!$B$2)*H279*MIN(U279,AB279)/1000</f>
        <v>854.500946685842</v>
      </c>
      <c r="AM279" s="13" t="str">
        <f t="shared" si="56"/>
        <v>CUMPLE</v>
      </c>
      <c r="AN279" s="13" t="s">
        <v>64</v>
      </c>
      <c r="AO279" s="14">
        <v>2</v>
      </c>
      <c r="AP279" s="13">
        <f>ROUNDDOWN(MIN(IF(BC279+BD279=0,1000000000,AO279*BB279/(BC279+BD279)),MIN(U279,AB279)/4,8*[1]Parametros!$B$12,24*BA279,300,IF(AV279=0,1000000000,2*((H279-2*([1]Parametros!$B$7+[1]Parametros!$B$9/2))+(I279-2*([1]Parametros!$B$7+[1]Parametros!$B$9/2)))/8))/10,0)*10</f>
        <v>120</v>
      </c>
      <c r="AQ279" s="13">
        <f>ROUNDDOWN(MIN(IF(BC279+BD279=0,1000000000,AO279*BB279/(BC279+BD279)),IF(AK279&gt;0.33*SQRT([1]Parametros!$B$2)*H279*MIN(U279,AB279)/1000,MIN(U279,AB279)/4,MIN(U279,AB279)/2),600,IF(AV279=0,1000000000,2*((H279-2*([1]Parametros!$B$7+[1]Parametros!$B$9/2))+(I279-2*([1]Parametros!$B$7+[1]Parametros!$B$9/2)))/8))/10,0)*10</f>
        <v>130</v>
      </c>
      <c r="AR279" s="13">
        <f>[1]Parametros!$B$6*(AJ279+MAX(BE279-BD279,0)*[1]Parametros!$B$4*MIN(U279,AB279)/1000)</f>
        <v>347.47925901885583</v>
      </c>
      <c r="AS279" s="13" t="str">
        <f t="shared" si="57"/>
        <v>CUMPLE</v>
      </c>
      <c r="AT279" s="13">
        <f>[1]Parametros!$B$6*0.083*SQRT([1]Parametros!$B$2)*(H279*I279)^2/(2*(H279+I279))/1000000</f>
        <v>11.862178757598967</v>
      </c>
      <c r="AU279" s="13" t="str">
        <f t="shared" si="58"/>
        <v>DESPRECIABLE</v>
      </c>
      <c r="AV279" s="13">
        <f>IF(Q279&lt;=AT279,0,Q279*1000000/([1]Parametros!$B$6*2*0.85*(H279-2*([1]Parametros!$B$7+[1]Parametros!$B$9/2))*(I279-2*([1]Parametros!$B$7+[1]Parametros!$B$9/2))*[1]Parametros!$B$4))</f>
        <v>0</v>
      </c>
      <c r="AW279" s="13">
        <f>AV279*2*((H279-2*([1]Parametros!$B$7+[1]Parametros!$B$9/2))+(I279-2*([1]Parametros!$B$7+[1]Parametros!$B$9/2)))*[1]Parametros!$B$4/[1]Parametros!$B$3</f>
        <v>0</v>
      </c>
      <c r="AX279" s="14">
        <v>0</v>
      </c>
      <c r="AY279" s="13" t="str">
        <f t="shared" si="59"/>
        <v>DESPRECIABLE</v>
      </c>
      <c r="AZ279" s="13" t="str">
        <f t="shared" si="60"/>
        <v>CUMPLE</v>
      </c>
      <c r="BA279" s="14">
        <v>9.5</v>
      </c>
      <c r="BB279" s="14">
        <v>71</v>
      </c>
      <c r="BC279" s="13">
        <f>MAX(IF(AK279=0,0,AK279*1000/([1]Parametros!$B$4*MIN(U279,AB279))),MAX(0.062*SQRT([1]Parametros!$B$2)*H279/[1]Parametros!$B$4,0.35*H279/[1]Parametros!$B$4))</f>
        <v>1.0661240192684767</v>
      </c>
      <c r="BD279" s="13">
        <f t="shared" si="61"/>
        <v>0</v>
      </c>
      <c r="BE279" s="13">
        <f t="shared" si="62"/>
        <v>1.1833333333333333</v>
      </c>
      <c r="BF279" s="13">
        <f>SQRT((AI279*1000/(H279*MIN(U279,AB279)))^2+(Q279*1000000*2*((H279-2*([1]Parametros!$B$7+[1]Parametros!$B$9/2))+(I279-2*([1]Parametros!$B$7+[1]Parametros!$B$9/2)))/(1.7*((H279-2*([1]Parametros!$B$7+[1]Parametros!$B$9/2))*(I279-2*([1]Parametros!$B$7+[1]Parametros!$B$9/2)))^2))^2)</f>
        <v>1.3630521646281304</v>
      </c>
      <c r="BG279" s="13">
        <f>[1]Parametros!$B$6*(AJ279*1000/(H279*MIN(U279,AB279))+0.66*SQRT([1]Parametros!$B$2))</f>
        <v>3.2939603822754151</v>
      </c>
      <c r="BH279" s="13" t="str">
        <f t="shared" si="63"/>
        <v>CUMPLE</v>
      </c>
      <c r="BI279" s="13">
        <f>AX279*[1]Parametros!$B$8</f>
        <v>0</v>
      </c>
      <c r="BJ279" s="15" t="str">
        <f t="shared" si="64"/>
        <v>CUMPLE</v>
      </c>
    </row>
    <row r="280" spans="1:62" x14ac:dyDescent="0.3">
      <c r="A280" s="43" t="s">
        <v>74</v>
      </c>
      <c r="B280" s="44">
        <v>809</v>
      </c>
      <c r="C280" s="13">
        <v>1</v>
      </c>
      <c r="D280" s="13">
        <v>1.9</v>
      </c>
      <c r="E280" s="13">
        <v>1.9</v>
      </c>
      <c r="F280" s="13">
        <v>500</v>
      </c>
      <c r="G280" s="13">
        <v>550</v>
      </c>
      <c r="H280" s="13">
        <v>500</v>
      </c>
      <c r="I280" s="13">
        <v>550</v>
      </c>
      <c r="J280" s="14">
        <v>136.36879999999999</v>
      </c>
      <c r="K280" s="13">
        <v>809</v>
      </c>
      <c r="L280" s="14">
        <v>101.95699999999999</v>
      </c>
      <c r="M280" s="13">
        <v>809</v>
      </c>
      <c r="N280" s="14">
        <v>136.87799999999999</v>
      </c>
      <c r="O280" s="14">
        <v>479.392</v>
      </c>
      <c r="P280" s="13">
        <v>809</v>
      </c>
      <c r="Q280" s="14">
        <v>3.3866999999999998</v>
      </c>
      <c r="R280" s="13">
        <f>MAX(MAX(1.4/[1]Parametros!$B$3,0.25*SQRT([1]Parametros!$B$2)/[1]Parametros!$B$3)*H280*U280,(0.85*[1]Parametros!$B$2/[1]Parametros!$B$3)*(1-SQRT(1-2*(J280*1000000/([1]Parametros!$B$5*H280*U280^2))/(0.85*[1]Parametros!$B$2)))*H280*U280)</f>
        <v>815.58333333333326</v>
      </c>
      <c r="S280" s="14">
        <v>5</v>
      </c>
      <c r="T280" s="14">
        <v>1</v>
      </c>
      <c r="U280" s="13">
        <f>IF(T280=1,I280-([1]Parametros!$B$7+[1]Parametros!$B$9+[1]Parametros!$B$12/2),I280-(ROUNDUP(S280/2,0)*([1]Parametros!$B$7+[1]Parametros!$B$9+[1]Parametros!$B$12/2)+ROUNDDOWN(S280/2,0)*([1]Parametros!$B$7+[1]Parametros!$B$9+[1]Parametros!$B$12/2+[1]Parametros!$B$12+[1]Parametros!$B$10))/S280)</f>
        <v>489.35</v>
      </c>
      <c r="V280" s="13">
        <f>S280*[1]Parametros!$B$8</f>
        <v>995</v>
      </c>
      <c r="W280" s="13">
        <f>[1]Parametros!$B$5*V280*[1]Parametros!$B$3*(U280-(V280*[1]Parametros!$B$3/(0.85*[1]Parametros!$B$2*H280))/2)/1000000</f>
        <v>177.44537938235294</v>
      </c>
      <c r="X280" s="13" t="str">
        <f t="shared" si="52"/>
        <v>CUMPLE</v>
      </c>
      <c r="Y280" s="13">
        <f>MAX(MAX(1.4/[1]Parametros!$B$3,0.25*SQRT([1]Parametros!$B$2)/[1]Parametros!$B$3)*H280*AB280,(0.85*[1]Parametros!$B$2/[1]Parametros!$B$3)*(1-SQRT(1-2*(L280*1000000/([1]Parametros!$B$5*H280*AB280^2))/(0.85*[1]Parametros!$B$2)))*H280*AB280)</f>
        <v>815.58333333333326</v>
      </c>
      <c r="Z280" s="14">
        <v>5</v>
      </c>
      <c r="AA280" s="14">
        <v>1</v>
      </c>
      <c r="AB280" s="13">
        <f>IF(AA280=1,I280-([1]Parametros!$B$7+[1]Parametros!$B$9+[1]Parametros!$B$12/2),I280-(ROUNDUP(Z280/2,0)*([1]Parametros!$B$7+[1]Parametros!$B$9+[1]Parametros!$B$12/2)+ROUNDDOWN(Z280/2,0)*([1]Parametros!$B$7+[1]Parametros!$B$9+[1]Parametros!$B$12/2+[1]Parametros!$B$12+[1]Parametros!$B$10))/Z280)</f>
        <v>489.35</v>
      </c>
      <c r="AC280" s="13">
        <f>Z280*[1]Parametros!$B$8</f>
        <v>995</v>
      </c>
      <c r="AD280" s="13">
        <f>[1]Parametros!$B$5*AC280*[1]Parametros!$B$3*(AB280-(AC280*[1]Parametros!$B$3/(0.85*[1]Parametros!$B$2*H280))/2)/1000000</f>
        <v>177.44537938235294</v>
      </c>
      <c r="AE280" s="13" t="str">
        <f t="shared" si="53"/>
        <v>CUMPLE</v>
      </c>
      <c r="AF280" s="13">
        <f>V280*1.25*[1]Parametros!$B$3*(U280-(V280*1.25*[1]Parametros!$B$3/(0.85*[1]Parametros!$B$2*H280))/2)/1000000</f>
        <v>244.15884319852941</v>
      </c>
      <c r="AG280" s="13">
        <f>AC280*1.25*[1]Parametros!$B$3*(AB280-(AC280*1.25*[1]Parametros!$B$3/(0.85*[1]Parametros!$B$2*H280))/2)/1000000</f>
        <v>244.15884319852941</v>
      </c>
      <c r="AH280" s="13">
        <f t="shared" si="54"/>
        <v>393.88730863003093</v>
      </c>
      <c r="AI280" s="13">
        <f t="shared" si="55"/>
        <v>479.392</v>
      </c>
      <c r="AJ280" s="13">
        <f>0.17*SQRT([1]Parametros!$B$2)*H280*MIN(U280,AB280)/1000</f>
        <v>220.09872869180776</v>
      </c>
      <c r="AK280" s="13">
        <f>MAX(AI280/[1]Parametros!$B$6-AJ280,0)</f>
        <v>419.0906046415256</v>
      </c>
      <c r="AL280" s="13">
        <f>0.66*SQRT([1]Parametros!$B$2)*H280*MIN(U280,AB280)/1000</f>
        <v>854.500946685842</v>
      </c>
      <c r="AM280" s="13" t="str">
        <f t="shared" si="56"/>
        <v>CUMPLE</v>
      </c>
      <c r="AN280" s="13" t="s">
        <v>68</v>
      </c>
      <c r="AO280" s="14">
        <v>2</v>
      </c>
      <c r="AP280" s="13">
        <f>ROUNDDOWN(MIN(IF(BC280+BD280=0,1000000000,AO280*BB280/(BC280+BD280)),MIN(U280,AB280)/4,8*[1]Parametros!$B$12,24*BA280,300,IF(AV280=0,1000000000,2*((H280-2*([1]Parametros!$B$7+[1]Parametros!$B$9/2))+(I280-2*([1]Parametros!$B$7+[1]Parametros!$B$9/2)))/8))/10,0)*10</f>
        <v>120</v>
      </c>
      <c r="AQ280" s="13">
        <f>ROUNDDOWN(MIN(IF(BC280+BD280=0,1000000000,AO280*BB280/(BC280+BD280)),IF(AK280&gt;0.33*SQRT([1]Parametros!$B$2)*H280*MIN(U280,AB280)/1000,MIN(U280,AB280)/4,MIN(U280,AB280)/2),600,IF(AV280=0,1000000000,2*((H280-2*([1]Parametros!$B$7+[1]Parametros!$B$9/2))+(I280-2*([1]Parametros!$B$7+[1]Parametros!$B$9/2)))/8))/10,0)*10</f>
        <v>120</v>
      </c>
      <c r="AR280" s="13">
        <f>[1]Parametros!$B$6*(AJ280+MAX(BE280-BD280,0)*[1]Parametros!$B$4*MIN(U280,AB280)/1000)</f>
        <v>496.48633401885581</v>
      </c>
      <c r="AS280" s="13" t="str">
        <f t="shared" si="57"/>
        <v>CUMPLE</v>
      </c>
      <c r="AT280" s="13">
        <f>[1]Parametros!$B$6*0.083*SQRT([1]Parametros!$B$2)*(H280*I280)^2/(2*(H280+I280))/1000000</f>
        <v>11.862178757598967</v>
      </c>
      <c r="AU280" s="13" t="str">
        <f t="shared" si="58"/>
        <v>DESPRECIABLE</v>
      </c>
      <c r="AV280" s="13">
        <f>IF(Q280&lt;=AT280,0,Q280*1000000/([1]Parametros!$B$6*2*0.85*(H280-2*([1]Parametros!$B$7+[1]Parametros!$B$9/2))*(I280-2*([1]Parametros!$B$7+[1]Parametros!$B$9/2))*[1]Parametros!$B$4))</f>
        <v>0</v>
      </c>
      <c r="AW280" s="13">
        <f>AV280*2*((H280-2*([1]Parametros!$B$7+[1]Parametros!$B$9/2))+(I280-2*([1]Parametros!$B$7+[1]Parametros!$B$9/2)))*[1]Parametros!$B$4/[1]Parametros!$B$3</f>
        <v>0</v>
      </c>
      <c r="AX280" s="14">
        <v>0</v>
      </c>
      <c r="AY280" s="13" t="str">
        <f t="shared" si="59"/>
        <v>DESPRECIABLE</v>
      </c>
      <c r="AZ280" s="13" t="str">
        <f t="shared" si="60"/>
        <v>CUMPLE</v>
      </c>
      <c r="BA280" s="14">
        <v>12.7</v>
      </c>
      <c r="BB280" s="14">
        <v>129</v>
      </c>
      <c r="BC280" s="13">
        <f>MAX(IF(AK280=0,0,AK280*1000/([1]Parametros!$B$4*MIN(U280,AB280))),MAX(0.062*SQRT([1]Parametros!$B$2)*H280/[1]Parametros!$B$4,0.35*H280/[1]Parametros!$B$4))</f>
        <v>2.0391024276203398</v>
      </c>
      <c r="BD280" s="13">
        <f t="shared" si="61"/>
        <v>0</v>
      </c>
      <c r="BE280" s="13">
        <f t="shared" si="62"/>
        <v>2.15</v>
      </c>
      <c r="BF280" s="13">
        <f>SQRT((AI280*1000/(H280*MIN(U280,AB280)))^2+(Q280*1000000*2*((H280-2*([1]Parametros!$B$7+[1]Parametros!$B$9/2))+(I280-2*([1]Parametros!$B$7+[1]Parametros!$B$9/2)))/(1.7*((H280-2*([1]Parametros!$B$7+[1]Parametros!$B$9/2))*(I280-2*([1]Parametros!$B$7+[1]Parametros!$B$9/2)))^2))^2)</f>
        <v>1.9618157422339202</v>
      </c>
      <c r="BG280" s="13">
        <f>[1]Parametros!$B$6*(AJ280*1000/(H280*MIN(U280,AB280))+0.66*SQRT([1]Parametros!$B$2))</f>
        <v>3.2939603822754151</v>
      </c>
      <c r="BH280" s="13" t="str">
        <f t="shared" si="63"/>
        <v>CUMPLE</v>
      </c>
      <c r="BI280" s="13">
        <f>AX280*[1]Parametros!$B$8</f>
        <v>0</v>
      </c>
      <c r="BJ280" s="15" t="str">
        <f t="shared" si="64"/>
        <v>CUMPLE</v>
      </c>
    </row>
    <row r="281" spans="1:62" x14ac:dyDescent="0.3">
      <c r="A281" s="43" t="s">
        <v>74</v>
      </c>
      <c r="B281" s="44">
        <v>810</v>
      </c>
      <c r="C281" s="13">
        <v>1</v>
      </c>
      <c r="D281" s="13">
        <v>2</v>
      </c>
      <c r="E281" s="13">
        <v>2</v>
      </c>
      <c r="F281" s="13">
        <v>500</v>
      </c>
      <c r="G281" s="13">
        <v>550</v>
      </c>
      <c r="H281" s="13">
        <v>500</v>
      </c>
      <c r="I281" s="13">
        <v>550</v>
      </c>
      <c r="J281" s="14">
        <v>129.06460000000001</v>
      </c>
      <c r="K281" s="13">
        <v>810</v>
      </c>
      <c r="L281" s="14">
        <v>92.510300000000001</v>
      </c>
      <c r="M281" s="13">
        <v>810</v>
      </c>
      <c r="N281" s="14">
        <v>127.84399999999999</v>
      </c>
      <c r="O281" s="14">
        <v>439.411</v>
      </c>
      <c r="P281" s="13">
        <v>810</v>
      </c>
      <c r="Q281" s="14">
        <v>5.5849000000000002</v>
      </c>
      <c r="R281" s="13">
        <f>MAX(MAX(1.4/[1]Parametros!$B$3,0.25*SQRT([1]Parametros!$B$2)/[1]Parametros!$B$3)*H281*U281,(0.85*[1]Parametros!$B$2/[1]Parametros!$B$3)*(1-SQRT(1-2*(J281*1000000/([1]Parametros!$B$5*H281*U281^2))/(0.85*[1]Parametros!$B$2)))*H281*U281)</f>
        <v>815.58333333333326</v>
      </c>
      <c r="S281" s="14">
        <v>5</v>
      </c>
      <c r="T281" s="14">
        <v>1</v>
      </c>
      <c r="U281" s="13">
        <f>IF(T281=1,I281-([1]Parametros!$B$7+[1]Parametros!$B$9+[1]Parametros!$B$12/2),I281-(ROUNDUP(S281/2,0)*([1]Parametros!$B$7+[1]Parametros!$B$9+[1]Parametros!$B$12/2)+ROUNDDOWN(S281/2,0)*([1]Parametros!$B$7+[1]Parametros!$B$9+[1]Parametros!$B$12/2+[1]Parametros!$B$12+[1]Parametros!$B$10))/S281)</f>
        <v>489.35</v>
      </c>
      <c r="V281" s="13">
        <f>S281*[1]Parametros!$B$8</f>
        <v>995</v>
      </c>
      <c r="W281" s="13">
        <f>[1]Parametros!$B$5*V281*[1]Parametros!$B$3*(U281-(V281*[1]Parametros!$B$3/(0.85*[1]Parametros!$B$2*H281))/2)/1000000</f>
        <v>177.44537938235294</v>
      </c>
      <c r="X281" s="13" t="str">
        <f t="shared" si="52"/>
        <v>CUMPLE</v>
      </c>
      <c r="Y281" s="13">
        <f>MAX(MAX(1.4/[1]Parametros!$B$3,0.25*SQRT([1]Parametros!$B$2)/[1]Parametros!$B$3)*H281*AB281,(0.85*[1]Parametros!$B$2/[1]Parametros!$B$3)*(1-SQRT(1-2*(L281*1000000/([1]Parametros!$B$5*H281*AB281^2))/(0.85*[1]Parametros!$B$2)))*H281*AB281)</f>
        <v>815.58333333333326</v>
      </c>
      <c r="Z281" s="14">
        <v>5</v>
      </c>
      <c r="AA281" s="14">
        <v>1</v>
      </c>
      <c r="AB281" s="13">
        <f>IF(AA281=1,I281-([1]Parametros!$B$7+[1]Parametros!$B$9+[1]Parametros!$B$12/2),I281-(ROUNDUP(Z281/2,0)*([1]Parametros!$B$7+[1]Parametros!$B$9+[1]Parametros!$B$12/2)+ROUNDDOWN(Z281/2,0)*([1]Parametros!$B$7+[1]Parametros!$B$9+[1]Parametros!$B$12/2+[1]Parametros!$B$12+[1]Parametros!$B$10))/Z281)</f>
        <v>489.35</v>
      </c>
      <c r="AC281" s="13">
        <f>Z281*[1]Parametros!$B$8</f>
        <v>995</v>
      </c>
      <c r="AD281" s="13">
        <f>[1]Parametros!$B$5*AC281*[1]Parametros!$B$3*(AB281-(AC281*[1]Parametros!$B$3/(0.85*[1]Parametros!$B$2*H281))/2)/1000000</f>
        <v>177.44537938235294</v>
      </c>
      <c r="AE281" s="13" t="str">
        <f t="shared" si="53"/>
        <v>CUMPLE</v>
      </c>
      <c r="AF281" s="13">
        <f>V281*1.25*[1]Parametros!$B$3*(U281-(V281*1.25*[1]Parametros!$B$3/(0.85*[1]Parametros!$B$2*H281))/2)/1000000</f>
        <v>244.15884319852941</v>
      </c>
      <c r="AG281" s="13">
        <f>AC281*1.25*[1]Parametros!$B$3*(AB281-(AC281*1.25*[1]Parametros!$B$3/(0.85*[1]Parametros!$B$2*H281))/2)/1000000</f>
        <v>244.15884319852941</v>
      </c>
      <c r="AH281" s="13">
        <f t="shared" si="54"/>
        <v>372.00284319852938</v>
      </c>
      <c r="AI281" s="13">
        <f t="shared" si="55"/>
        <v>439.411</v>
      </c>
      <c r="AJ281" s="13">
        <f>0.17*SQRT([1]Parametros!$B$2)*H281*MIN(U281,AB281)/1000</f>
        <v>220.09872869180776</v>
      </c>
      <c r="AK281" s="13">
        <f>MAX(AI281/[1]Parametros!$B$6-AJ281,0)</f>
        <v>365.78260464152561</v>
      </c>
      <c r="AL281" s="13">
        <f>0.66*SQRT([1]Parametros!$B$2)*H281*MIN(U281,AB281)/1000</f>
        <v>854.500946685842</v>
      </c>
      <c r="AM281" s="13" t="str">
        <f t="shared" si="56"/>
        <v>CUMPLE</v>
      </c>
      <c r="AN281" s="13" t="s">
        <v>68</v>
      </c>
      <c r="AO281" s="14">
        <v>2</v>
      </c>
      <c r="AP281" s="13">
        <f>ROUNDDOWN(MIN(IF(BC281+BD281=0,1000000000,AO281*BB281/(BC281+BD281)),MIN(U281,AB281)/4,8*[1]Parametros!$B$12,24*BA281,300,IF(AV281=0,1000000000,2*((H281-2*([1]Parametros!$B$7+[1]Parametros!$B$9/2))+(I281-2*([1]Parametros!$B$7+[1]Parametros!$B$9/2)))/8))/10,0)*10</f>
        <v>120</v>
      </c>
      <c r="AQ281" s="13">
        <f>ROUNDDOWN(MIN(IF(BC281+BD281=0,1000000000,AO281*BB281/(BC281+BD281)),IF(AK281&gt;0.33*SQRT([1]Parametros!$B$2)*H281*MIN(U281,AB281)/1000,MIN(U281,AB281)/4,MIN(U281,AB281)/2),600,IF(AV281=0,1000000000,2*((H281-2*([1]Parametros!$B$7+[1]Parametros!$B$9/2))+(I281-2*([1]Parametros!$B$7+[1]Parametros!$B$9/2)))/8))/10,0)*10</f>
        <v>140</v>
      </c>
      <c r="AR281" s="13">
        <f>[1]Parametros!$B$6*(AJ281+MAX(BE281-BD281,0)*[1]Parametros!$B$4*MIN(U281,AB281)/1000)</f>
        <v>496.48633401885581</v>
      </c>
      <c r="AS281" s="13" t="str">
        <f t="shared" si="57"/>
        <v>CUMPLE</v>
      </c>
      <c r="AT281" s="13">
        <f>[1]Parametros!$B$6*0.083*SQRT([1]Parametros!$B$2)*(H281*I281)^2/(2*(H281+I281))/1000000</f>
        <v>11.862178757598967</v>
      </c>
      <c r="AU281" s="13" t="str">
        <f t="shared" si="58"/>
        <v>DESPRECIABLE</v>
      </c>
      <c r="AV281" s="13">
        <f>IF(Q281&lt;=AT281,0,Q281*1000000/([1]Parametros!$B$6*2*0.85*(H281-2*([1]Parametros!$B$7+[1]Parametros!$B$9/2))*(I281-2*([1]Parametros!$B$7+[1]Parametros!$B$9/2))*[1]Parametros!$B$4))</f>
        <v>0</v>
      </c>
      <c r="AW281" s="13">
        <f>AV281*2*((H281-2*([1]Parametros!$B$7+[1]Parametros!$B$9/2))+(I281-2*([1]Parametros!$B$7+[1]Parametros!$B$9/2)))*[1]Parametros!$B$4/[1]Parametros!$B$3</f>
        <v>0</v>
      </c>
      <c r="AX281" s="14">
        <v>0</v>
      </c>
      <c r="AY281" s="13" t="str">
        <f t="shared" si="59"/>
        <v>DESPRECIABLE</v>
      </c>
      <c r="AZ281" s="13" t="str">
        <f t="shared" si="60"/>
        <v>CUMPLE</v>
      </c>
      <c r="BA281" s="14">
        <v>12.7</v>
      </c>
      <c r="BB281" s="14">
        <v>129</v>
      </c>
      <c r="BC281" s="13">
        <f>MAX(IF(AK281=0,0,AK281*1000/([1]Parametros!$B$4*MIN(U281,AB281))),MAX(0.062*SQRT([1]Parametros!$B$2)*H281/[1]Parametros!$B$4,0.35*H281/[1]Parametros!$B$4))</f>
        <v>1.7797301796918439</v>
      </c>
      <c r="BD281" s="13">
        <f t="shared" si="61"/>
        <v>0</v>
      </c>
      <c r="BE281" s="13">
        <f t="shared" si="62"/>
        <v>2.15</v>
      </c>
      <c r="BF281" s="13">
        <f>SQRT((AI281*1000/(H281*MIN(U281,AB281)))^2+(Q281*1000000*2*((H281-2*([1]Parametros!$B$7+[1]Parametros!$B$9/2))+(I281-2*([1]Parametros!$B$7+[1]Parametros!$B$9/2)))/(1.7*((H281-2*([1]Parametros!$B$7+[1]Parametros!$B$9/2))*(I281-2*([1]Parametros!$B$7+[1]Parametros!$B$9/2)))^2))^2)</f>
        <v>1.8033464863023476</v>
      </c>
      <c r="BG281" s="13">
        <f>[1]Parametros!$B$6*(AJ281*1000/(H281*MIN(U281,AB281))+0.66*SQRT([1]Parametros!$B$2))</f>
        <v>3.2939603822754151</v>
      </c>
      <c r="BH281" s="13" t="str">
        <f t="shared" si="63"/>
        <v>CUMPLE</v>
      </c>
      <c r="BI281" s="13">
        <f>AX281*[1]Parametros!$B$8</f>
        <v>0</v>
      </c>
      <c r="BJ281" s="15" t="str">
        <f t="shared" si="64"/>
        <v>CUMPLE</v>
      </c>
    </row>
    <row r="282" spans="1:62" x14ac:dyDescent="0.3">
      <c r="A282" s="43" t="s">
        <v>74</v>
      </c>
      <c r="B282" s="44">
        <v>811</v>
      </c>
      <c r="C282" s="13">
        <v>1</v>
      </c>
      <c r="D282" s="13">
        <v>3.05</v>
      </c>
      <c r="E282" s="13">
        <v>3.05</v>
      </c>
      <c r="F282" s="13">
        <v>500</v>
      </c>
      <c r="G282" s="13">
        <v>550</v>
      </c>
      <c r="H282" s="13">
        <v>500</v>
      </c>
      <c r="I282" s="13">
        <v>550</v>
      </c>
      <c r="J282" s="14">
        <v>146.49510000000001</v>
      </c>
      <c r="K282" s="13">
        <v>811</v>
      </c>
      <c r="L282" s="14">
        <v>88.003299999999996</v>
      </c>
      <c r="M282" s="13">
        <v>811</v>
      </c>
      <c r="N282" s="14">
        <v>123.75700000000001</v>
      </c>
      <c r="O282" s="14">
        <v>360.42500000000001</v>
      </c>
      <c r="P282" s="13">
        <v>811</v>
      </c>
      <c r="Q282" s="14">
        <v>2.5888</v>
      </c>
      <c r="R282" s="13">
        <f>MAX(MAX(1.4/[1]Parametros!$B$3,0.25*SQRT([1]Parametros!$B$2)/[1]Parametros!$B$3)*H282*U282,(0.85*[1]Parametros!$B$2/[1]Parametros!$B$3)*(1-SQRT(1-2*(J282*1000000/([1]Parametros!$B$5*H282*U282^2))/(0.85*[1]Parametros!$B$2)))*H282*U282)</f>
        <v>815.98691696057961</v>
      </c>
      <c r="S282" s="14">
        <v>5</v>
      </c>
      <c r="T282" s="14">
        <v>1</v>
      </c>
      <c r="U282" s="13">
        <f>IF(T282=1,I282-([1]Parametros!$B$7+[1]Parametros!$B$9+[1]Parametros!$B$12/2),I282-(ROUNDUP(S282/2,0)*([1]Parametros!$B$7+[1]Parametros!$B$9+[1]Parametros!$B$12/2)+ROUNDDOWN(S282/2,0)*([1]Parametros!$B$7+[1]Parametros!$B$9+[1]Parametros!$B$12/2+[1]Parametros!$B$12+[1]Parametros!$B$10))/S282)</f>
        <v>489.35</v>
      </c>
      <c r="V282" s="13">
        <f>S282*[1]Parametros!$B$8</f>
        <v>995</v>
      </c>
      <c r="W282" s="13">
        <f>[1]Parametros!$B$5*V282*[1]Parametros!$B$3*(U282-(V282*[1]Parametros!$B$3/(0.85*[1]Parametros!$B$2*H282))/2)/1000000</f>
        <v>177.44537938235294</v>
      </c>
      <c r="X282" s="13" t="str">
        <f t="shared" si="52"/>
        <v>CUMPLE</v>
      </c>
      <c r="Y282" s="13">
        <f>MAX(MAX(1.4/[1]Parametros!$B$3,0.25*SQRT([1]Parametros!$B$2)/[1]Parametros!$B$3)*H282*AB282,(0.85*[1]Parametros!$B$2/[1]Parametros!$B$3)*(1-SQRT(1-2*(L282*1000000/([1]Parametros!$B$5*H282*AB282^2))/(0.85*[1]Parametros!$B$2)))*H282*AB282)</f>
        <v>815.58333333333326</v>
      </c>
      <c r="Z282" s="14">
        <v>5</v>
      </c>
      <c r="AA282" s="14">
        <v>1</v>
      </c>
      <c r="AB282" s="13">
        <f>IF(AA282=1,I282-([1]Parametros!$B$7+[1]Parametros!$B$9+[1]Parametros!$B$12/2),I282-(ROUNDUP(Z282/2,0)*([1]Parametros!$B$7+[1]Parametros!$B$9+[1]Parametros!$B$12/2)+ROUNDDOWN(Z282/2,0)*([1]Parametros!$B$7+[1]Parametros!$B$9+[1]Parametros!$B$12/2+[1]Parametros!$B$12+[1]Parametros!$B$10))/Z282)</f>
        <v>489.35</v>
      </c>
      <c r="AC282" s="13">
        <f>Z282*[1]Parametros!$B$8</f>
        <v>995</v>
      </c>
      <c r="AD282" s="13">
        <f>[1]Parametros!$B$5*AC282*[1]Parametros!$B$3*(AB282-(AC282*[1]Parametros!$B$3/(0.85*[1]Parametros!$B$2*H282))/2)/1000000</f>
        <v>177.44537938235294</v>
      </c>
      <c r="AE282" s="13" t="str">
        <f t="shared" si="53"/>
        <v>CUMPLE</v>
      </c>
      <c r="AF282" s="13">
        <f>V282*1.25*[1]Parametros!$B$3*(U282-(V282*1.25*[1]Parametros!$B$3/(0.85*[1]Parametros!$B$2*H282))/2)/1000000</f>
        <v>244.15884319852941</v>
      </c>
      <c r="AG282" s="13">
        <f>AC282*1.25*[1]Parametros!$B$3*(AB282-(AC282*1.25*[1]Parametros!$B$3/(0.85*[1]Parametros!$B$2*H282))/2)/1000000</f>
        <v>244.15884319852941</v>
      </c>
      <c r="AH282" s="13">
        <f t="shared" si="54"/>
        <v>283.86115947444557</v>
      </c>
      <c r="AI282" s="13">
        <f t="shared" si="55"/>
        <v>360.42500000000001</v>
      </c>
      <c r="AJ282" s="13">
        <f>0.17*SQRT([1]Parametros!$B$2)*H282*MIN(U282,AB282)/1000</f>
        <v>220.09872869180776</v>
      </c>
      <c r="AK282" s="13">
        <f>MAX(AI282/[1]Parametros!$B$6-AJ282,0)</f>
        <v>260.4679379748589</v>
      </c>
      <c r="AL282" s="13">
        <f>0.66*SQRT([1]Parametros!$B$2)*H282*MIN(U282,AB282)/1000</f>
        <v>854.500946685842</v>
      </c>
      <c r="AM282" s="13" t="str">
        <f t="shared" si="56"/>
        <v>CUMPLE</v>
      </c>
      <c r="AN282" s="13" t="s">
        <v>64</v>
      </c>
      <c r="AO282" s="14">
        <v>2</v>
      </c>
      <c r="AP282" s="13">
        <f>ROUNDDOWN(MIN(IF(BC282+BD282=0,1000000000,AO282*BB282/(BC282+BD282)),MIN(U282,AB282)/4,8*[1]Parametros!$B$12,24*BA282,300,IF(AV282=0,1000000000,2*((H282-2*([1]Parametros!$B$7+[1]Parametros!$B$9/2))+(I282-2*([1]Parametros!$B$7+[1]Parametros!$B$9/2)))/8))/10,0)*10</f>
        <v>110</v>
      </c>
      <c r="AQ282" s="13">
        <f>ROUNDDOWN(MIN(IF(BC282+BD282=0,1000000000,AO282*BB282/(BC282+BD282)),IF(AK282&gt;0.33*SQRT([1]Parametros!$B$2)*H282*MIN(U282,AB282)/1000,MIN(U282,AB282)/4,MIN(U282,AB282)/2),600,IF(AV282=0,1000000000,2*((H282-2*([1]Parametros!$B$7+[1]Parametros!$B$9/2))+(I282-2*([1]Parametros!$B$7+[1]Parametros!$B$9/2)))/8))/10,0)*10</f>
        <v>110</v>
      </c>
      <c r="AR282" s="13">
        <f>[1]Parametros!$B$6*(AJ282+MAX(BE282-BD282,0)*[1]Parametros!$B$4*MIN(U282,AB282)/1000)</f>
        <v>364.06155106431038</v>
      </c>
      <c r="AS282" s="13" t="str">
        <f t="shared" si="57"/>
        <v>CUMPLE</v>
      </c>
      <c r="AT282" s="13">
        <f>[1]Parametros!$B$6*0.083*SQRT([1]Parametros!$B$2)*(H282*I282)^2/(2*(H282+I282))/1000000</f>
        <v>11.862178757598967</v>
      </c>
      <c r="AU282" s="13" t="str">
        <f t="shared" si="58"/>
        <v>DESPRECIABLE</v>
      </c>
      <c r="AV282" s="13">
        <f>IF(Q282&lt;=AT282,0,Q282*1000000/([1]Parametros!$B$6*2*0.85*(H282-2*([1]Parametros!$B$7+[1]Parametros!$B$9/2))*(I282-2*([1]Parametros!$B$7+[1]Parametros!$B$9/2))*[1]Parametros!$B$4))</f>
        <v>0</v>
      </c>
      <c r="AW282" s="13">
        <f>AV282*2*((H282-2*([1]Parametros!$B$7+[1]Parametros!$B$9/2))+(I282-2*([1]Parametros!$B$7+[1]Parametros!$B$9/2)))*[1]Parametros!$B$4/[1]Parametros!$B$3</f>
        <v>0</v>
      </c>
      <c r="AX282" s="14">
        <v>0</v>
      </c>
      <c r="AY282" s="13" t="str">
        <f t="shared" si="59"/>
        <v>DESPRECIABLE</v>
      </c>
      <c r="AZ282" s="13" t="str">
        <f t="shared" si="60"/>
        <v>CUMPLE</v>
      </c>
      <c r="BA282" s="14">
        <v>9.5</v>
      </c>
      <c r="BB282" s="14">
        <v>71</v>
      </c>
      <c r="BC282" s="13">
        <f>MAX(IF(AK282=0,0,AK282*1000/([1]Parametros!$B$4*MIN(U282,AB282))),MAX(0.062*SQRT([1]Parametros!$B$2)*H282/[1]Parametros!$B$4,0.35*H282/[1]Parametros!$B$4))</f>
        <v>1.2673173742372481</v>
      </c>
      <c r="BD282" s="13">
        <f t="shared" si="61"/>
        <v>0</v>
      </c>
      <c r="BE282" s="13">
        <f t="shared" si="62"/>
        <v>1.290909090909091</v>
      </c>
      <c r="BF282" s="13">
        <f>SQRT((AI282*1000/(H282*MIN(U282,AB282)))^2+(Q282*1000000*2*((H282-2*([1]Parametros!$B$7+[1]Parametros!$B$9/2))+(I282-2*([1]Parametros!$B$7+[1]Parametros!$B$9/2)))/(1.7*((H282-2*([1]Parametros!$B$7+[1]Parametros!$B$9/2))*(I282-2*([1]Parametros!$B$7+[1]Parametros!$B$9/2)))^2))^2)</f>
        <v>1.47503079698421</v>
      </c>
      <c r="BG282" s="13">
        <f>[1]Parametros!$B$6*(AJ282*1000/(H282*MIN(U282,AB282))+0.66*SQRT([1]Parametros!$B$2))</f>
        <v>3.2939603822754151</v>
      </c>
      <c r="BH282" s="13" t="str">
        <f t="shared" si="63"/>
        <v>CUMPLE</v>
      </c>
      <c r="BI282" s="13">
        <f>AX282*[1]Parametros!$B$8</f>
        <v>0</v>
      </c>
      <c r="BJ282" s="15" t="str">
        <f t="shared" si="64"/>
        <v>CUMPLE</v>
      </c>
    </row>
    <row r="283" spans="1:62" x14ac:dyDescent="0.3">
      <c r="A283" s="43" t="s">
        <v>74</v>
      </c>
      <c r="B283" s="44">
        <v>812</v>
      </c>
      <c r="C283" s="13">
        <v>1</v>
      </c>
      <c r="D283" s="13">
        <v>2</v>
      </c>
      <c r="E283" s="13">
        <v>2</v>
      </c>
      <c r="F283" s="13">
        <v>500</v>
      </c>
      <c r="G283" s="13">
        <v>550</v>
      </c>
      <c r="H283" s="13">
        <v>500</v>
      </c>
      <c r="I283" s="13">
        <v>550</v>
      </c>
      <c r="J283" s="14">
        <v>143.0686</v>
      </c>
      <c r="K283" s="13">
        <v>812</v>
      </c>
      <c r="L283" s="14">
        <v>92.194000000000003</v>
      </c>
      <c r="M283" s="13">
        <v>812</v>
      </c>
      <c r="N283" s="14">
        <v>135.398</v>
      </c>
      <c r="O283" s="14">
        <v>429.69400000000002</v>
      </c>
      <c r="P283" s="13">
        <v>812</v>
      </c>
      <c r="Q283" s="14">
        <v>3.5001000000000002</v>
      </c>
      <c r="R283" s="13">
        <f>MAX(MAX(1.4/[1]Parametros!$B$3,0.25*SQRT([1]Parametros!$B$2)/[1]Parametros!$B$3)*H283*U283,(0.85*[1]Parametros!$B$2/[1]Parametros!$B$3)*(1-SQRT(1-2*(J283*1000000/([1]Parametros!$B$5*H283*U283^2))/(0.85*[1]Parametros!$B$2)))*H283*U283)</f>
        <v>815.58333333333326</v>
      </c>
      <c r="S283" s="14">
        <v>5</v>
      </c>
      <c r="T283" s="14">
        <v>1</v>
      </c>
      <c r="U283" s="13">
        <f>IF(T283=1,I283-([1]Parametros!$B$7+[1]Parametros!$B$9+[1]Parametros!$B$12/2),I283-(ROUNDUP(S283/2,0)*([1]Parametros!$B$7+[1]Parametros!$B$9+[1]Parametros!$B$12/2)+ROUNDDOWN(S283/2,0)*([1]Parametros!$B$7+[1]Parametros!$B$9+[1]Parametros!$B$12/2+[1]Parametros!$B$12+[1]Parametros!$B$10))/S283)</f>
        <v>489.35</v>
      </c>
      <c r="V283" s="13">
        <f>S283*[1]Parametros!$B$8</f>
        <v>995</v>
      </c>
      <c r="W283" s="13">
        <f>[1]Parametros!$B$5*V283*[1]Parametros!$B$3*(U283-(V283*[1]Parametros!$B$3/(0.85*[1]Parametros!$B$2*H283))/2)/1000000</f>
        <v>177.44537938235294</v>
      </c>
      <c r="X283" s="13" t="str">
        <f t="shared" si="52"/>
        <v>CUMPLE</v>
      </c>
      <c r="Y283" s="13">
        <f>MAX(MAX(1.4/[1]Parametros!$B$3,0.25*SQRT([1]Parametros!$B$2)/[1]Parametros!$B$3)*H283*AB283,(0.85*[1]Parametros!$B$2/[1]Parametros!$B$3)*(1-SQRT(1-2*(L283*1000000/([1]Parametros!$B$5*H283*AB283^2))/(0.85*[1]Parametros!$B$2)))*H283*AB283)</f>
        <v>815.58333333333326</v>
      </c>
      <c r="Z283" s="14">
        <v>5</v>
      </c>
      <c r="AA283" s="14">
        <v>1</v>
      </c>
      <c r="AB283" s="13">
        <f>IF(AA283=1,I283-([1]Parametros!$B$7+[1]Parametros!$B$9+[1]Parametros!$B$12/2),I283-(ROUNDUP(Z283/2,0)*([1]Parametros!$B$7+[1]Parametros!$B$9+[1]Parametros!$B$12/2)+ROUNDDOWN(Z283/2,0)*([1]Parametros!$B$7+[1]Parametros!$B$9+[1]Parametros!$B$12/2+[1]Parametros!$B$12+[1]Parametros!$B$10))/Z283)</f>
        <v>489.35</v>
      </c>
      <c r="AC283" s="13">
        <f>Z283*[1]Parametros!$B$8</f>
        <v>995</v>
      </c>
      <c r="AD283" s="13">
        <f>[1]Parametros!$B$5*AC283*[1]Parametros!$B$3*(AB283-(AC283*[1]Parametros!$B$3/(0.85*[1]Parametros!$B$2*H283))/2)/1000000</f>
        <v>177.44537938235294</v>
      </c>
      <c r="AE283" s="13" t="str">
        <f t="shared" si="53"/>
        <v>CUMPLE</v>
      </c>
      <c r="AF283" s="13">
        <f>V283*1.25*[1]Parametros!$B$3*(U283-(V283*1.25*[1]Parametros!$B$3/(0.85*[1]Parametros!$B$2*H283))/2)/1000000</f>
        <v>244.15884319852941</v>
      </c>
      <c r="AG283" s="13">
        <f>AC283*1.25*[1]Parametros!$B$3*(AB283-(AC283*1.25*[1]Parametros!$B$3/(0.85*[1]Parametros!$B$2*H283))/2)/1000000</f>
        <v>244.15884319852941</v>
      </c>
      <c r="AH283" s="13">
        <f t="shared" si="54"/>
        <v>379.55684319852941</v>
      </c>
      <c r="AI283" s="13">
        <f t="shared" si="55"/>
        <v>429.69400000000002</v>
      </c>
      <c r="AJ283" s="13">
        <f>0.17*SQRT([1]Parametros!$B$2)*H283*MIN(U283,AB283)/1000</f>
        <v>220.09872869180776</v>
      </c>
      <c r="AK283" s="13">
        <f>MAX(AI283/[1]Parametros!$B$6-AJ283,0)</f>
        <v>352.82660464152559</v>
      </c>
      <c r="AL283" s="13">
        <f>0.66*SQRT([1]Parametros!$B$2)*H283*MIN(U283,AB283)/1000</f>
        <v>854.500946685842</v>
      </c>
      <c r="AM283" s="13" t="str">
        <f t="shared" si="56"/>
        <v>CUMPLE</v>
      </c>
      <c r="AN283" s="13" t="s">
        <v>64</v>
      </c>
      <c r="AO283" s="14">
        <v>2</v>
      </c>
      <c r="AP283" s="13">
        <f>ROUNDDOWN(MIN(IF(BC283+BD283=0,1000000000,AO283*BB283/(BC283+BD283)),MIN(U283,AB283)/4,8*[1]Parametros!$B$12,24*BA283,300,IF(AV283=0,1000000000,2*((H283-2*([1]Parametros!$B$7+[1]Parametros!$B$9/2))+(I283-2*([1]Parametros!$B$7+[1]Parametros!$B$9/2)))/8))/10,0)*10</f>
        <v>80</v>
      </c>
      <c r="AQ283" s="13">
        <f>ROUNDDOWN(MIN(IF(BC283+BD283=0,1000000000,AO283*BB283/(BC283+BD283)),IF(AK283&gt;0.33*SQRT([1]Parametros!$B$2)*H283*MIN(U283,AB283)/1000,MIN(U283,AB283)/4,MIN(U283,AB283)/2),600,IF(AV283=0,1000000000,2*((H283-2*([1]Parametros!$B$7+[1]Parametros!$B$9/2))+(I283-2*([1]Parametros!$B$7+[1]Parametros!$B$9/2)))/8))/10,0)*10</f>
        <v>80</v>
      </c>
      <c r="AR283" s="13">
        <f>[1]Parametros!$B$6*(AJ283+MAX(BE283-BD283,0)*[1]Parametros!$B$4*MIN(U283,AB283)/1000)</f>
        <v>438.68186526885586</v>
      </c>
      <c r="AS283" s="13" t="str">
        <f t="shared" si="57"/>
        <v>CUMPLE</v>
      </c>
      <c r="AT283" s="13">
        <f>[1]Parametros!$B$6*0.083*SQRT([1]Parametros!$B$2)*(H283*I283)^2/(2*(H283+I283))/1000000</f>
        <v>11.862178757598967</v>
      </c>
      <c r="AU283" s="13" t="str">
        <f t="shared" si="58"/>
        <v>DESPRECIABLE</v>
      </c>
      <c r="AV283" s="13">
        <f>IF(Q283&lt;=AT283,0,Q283*1000000/([1]Parametros!$B$6*2*0.85*(H283-2*([1]Parametros!$B$7+[1]Parametros!$B$9/2))*(I283-2*([1]Parametros!$B$7+[1]Parametros!$B$9/2))*[1]Parametros!$B$4))</f>
        <v>0</v>
      </c>
      <c r="AW283" s="13">
        <f>AV283*2*((H283-2*([1]Parametros!$B$7+[1]Parametros!$B$9/2))+(I283-2*([1]Parametros!$B$7+[1]Parametros!$B$9/2)))*[1]Parametros!$B$4/[1]Parametros!$B$3</f>
        <v>0</v>
      </c>
      <c r="AX283" s="14">
        <v>0</v>
      </c>
      <c r="AY283" s="13" t="str">
        <f t="shared" si="59"/>
        <v>DESPRECIABLE</v>
      </c>
      <c r="AZ283" s="13" t="str">
        <f t="shared" si="60"/>
        <v>CUMPLE</v>
      </c>
      <c r="BA283" s="14">
        <v>9.5</v>
      </c>
      <c r="BB283" s="14">
        <v>71</v>
      </c>
      <c r="BC283" s="13">
        <f>MAX(IF(AK283=0,0,AK283*1000/([1]Parametros!$B$4*MIN(U283,AB283))),MAX(0.062*SQRT([1]Parametros!$B$2)*H283/[1]Parametros!$B$4,0.35*H283/[1]Parametros!$B$4))</f>
        <v>1.7166922333392964</v>
      </c>
      <c r="BD283" s="13">
        <f t="shared" si="61"/>
        <v>0</v>
      </c>
      <c r="BE283" s="13">
        <f t="shared" si="62"/>
        <v>1.7749999999999999</v>
      </c>
      <c r="BF283" s="13">
        <f>SQRT((AI283*1000/(H283*MIN(U283,AB283)))^2+(Q283*1000000*2*((H283-2*([1]Parametros!$B$7+[1]Parametros!$B$9/2))+(I283-2*([1]Parametros!$B$7+[1]Parametros!$B$9/2)))/(1.7*((H283-2*([1]Parametros!$B$7+[1]Parametros!$B$9/2))*(I283-2*([1]Parametros!$B$7+[1]Parametros!$B$9/2)))^2))^2)</f>
        <v>1.7591785485379272</v>
      </c>
      <c r="BG283" s="13">
        <f>[1]Parametros!$B$6*(AJ283*1000/(H283*MIN(U283,AB283))+0.66*SQRT([1]Parametros!$B$2))</f>
        <v>3.2939603822754151</v>
      </c>
      <c r="BH283" s="13" t="str">
        <f t="shared" si="63"/>
        <v>CUMPLE</v>
      </c>
      <c r="BI283" s="13">
        <f>AX283*[1]Parametros!$B$8</f>
        <v>0</v>
      </c>
      <c r="BJ283" s="15" t="str">
        <f t="shared" si="64"/>
        <v>CUMPLE</v>
      </c>
    </row>
    <row r="284" spans="1:62" x14ac:dyDescent="0.3">
      <c r="A284" s="43" t="s">
        <v>74</v>
      </c>
      <c r="B284" s="44">
        <v>853</v>
      </c>
      <c r="C284" s="13">
        <v>1</v>
      </c>
      <c r="D284" s="13">
        <v>2</v>
      </c>
      <c r="E284" s="13">
        <v>2</v>
      </c>
      <c r="F284" s="13">
        <v>500</v>
      </c>
      <c r="G284" s="13">
        <v>550</v>
      </c>
      <c r="H284" s="13">
        <v>500</v>
      </c>
      <c r="I284" s="13">
        <v>550</v>
      </c>
      <c r="J284" s="14">
        <v>95.263499999999993</v>
      </c>
      <c r="K284" s="13">
        <v>853</v>
      </c>
      <c r="L284" s="14">
        <v>48.681399999999996</v>
      </c>
      <c r="M284" s="13">
        <v>853</v>
      </c>
      <c r="N284" s="14">
        <v>100.276</v>
      </c>
      <c r="O284" s="14">
        <v>238.803</v>
      </c>
      <c r="P284" s="13">
        <v>853</v>
      </c>
      <c r="Q284" s="14">
        <v>2.5661999999999998</v>
      </c>
      <c r="R284" s="13">
        <f>MAX(MAX(1.4/[1]Parametros!$B$3,0.25*SQRT([1]Parametros!$B$2)/[1]Parametros!$B$3)*H284*U284,(0.85*[1]Parametros!$B$2/[1]Parametros!$B$3)*(1-SQRT(1-2*(J284*1000000/([1]Parametros!$B$5*H284*U284^2))/(0.85*[1]Parametros!$B$2)))*H284*U284)</f>
        <v>815.58333333333326</v>
      </c>
      <c r="S284" s="14">
        <v>5</v>
      </c>
      <c r="T284" s="14">
        <v>1</v>
      </c>
      <c r="U284" s="13">
        <f>IF(T284=1,I284-([1]Parametros!$B$7+[1]Parametros!$B$9+[1]Parametros!$B$12/2),I284-(ROUNDUP(S284/2,0)*([1]Parametros!$B$7+[1]Parametros!$B$9+[1]Parametros!$B$12/2)+ROUNDDOWN(S284/2,0)*([1]Parametros!$B$7+[1]Parametros!$B$9+[1]Parametros!$B$12/2+[1]Parametros!$B$12+[1]Parametros!$B$10))/S284)</f>
        <v>489.35</v>
      </c>
      <c r="V284" s="13">
        <f>S284*[1]Parametros!$B$8</f>
        <v>995</v>
      </c>
      <c r="W284" s="13">
        <f>[1]Parametros!$B$5*V284*[1]Parametros!$B$3*(U284-(V284*[1]Parametros!$B$3/(0.85*[1]Parametros!$B$2*H284))/2)/1000000</f>
        <v>177.44537938235294</v>
      </c>
      <c r="X284" s="13" t="str">
        <f t="shared" si="52"/>
        <v>CUMPLE</v>
      </c>
      <c r="Y284" s="13">
        <f>MAX(MAX(1.4/[1]Parametros!$B$3,0.25*SQRT([1]Parametros!$B$2)/[1]Parametros!$B$3)*H284*AB284,(0.85*[1]Parametros!$B$2/[1]Parametros!$B$3)*(1-SQRT(1-2*(L284*1000000/([1]Parametros!$B$5*H284*AB284^2))/(0.85*[1]Parametros!$B$2)))*H284*AB284)</f>
        <v>815.58333333333326</v>
      </c>
      <c r="Z284" s="14">
        <v>5</v>
      </c>
      <c r="AA284" s="14">
        <v>1</v>
      </c>
      <c r="AB284" s="13">
        <f>IF(AA284=1,I284-([1]Parametros!$B$7+[1]Parametros!$B$9+[1]Parametros!$B$12/2),I284-(ROUNDUP(Z284/2,0)*([1]Parametros!$B$7+[1]Parametros!$B$9+[1]Parametros!$B$12/2)+ROUNDDOWN(Z284/2,0)*([1]Parametros!$B$7+[1]Parametros!$B$9+[1]Parametros!$B$12/2+[1]Parametros!$B$12+[1]Parametros!$B$10))/Z284)</f>
        <v>489.35</v>
      </c>
      <c r="AC284" s="13">
        <f>Z284*[1]Parametros!$B$8</f>
        <v>995</v>
      </c>
      <c r="AD284" s="13">
        <f>[1]Parametros!$B$5*AC284*[1]Parametros!$B$3*(AB284-(AC284*[1]Parametros!$B$3/(0.85*[1]Parametros!$B$2*H284))/2)/1000000</f>
        <v>177.44537938235294</v>
      </c>
      <c r="AE284" s="13" t="str">
        <f t="shared" si="53"/>
        <v>CUMPLE</v>
      </c>
      <c r="AF284" s="13">
        <f>V284*1.25*[1]Parametros!$B$3*(U284-(V284*1.25*[1]Parametros!$B$3/(0.85*[1]Parametros!$B$2*H284))/2)/1000000</f>
        <v>244.15884319852941</v>
      </c>
      <c r="AG284" s="13">
        <f>AC284*1.25*[1]Parametros!$B$3*(AB284-(AC284*1.25*[1]Parametros!$B$3/(0.85*[1]Parametros!$B$2*H284))/2)/1000000</f>
        <v>244.15884319852941</v>
      </c>
      <c r="AH284" s="13">
        <f t="shared" si="54"/>
        <v>344.43484319852939</v>
      </c>
      <c r="AI284" s="13">
        <f t="shared" si="55"/>
        <v>344.43484319852939</v>
      </c>
      <c r="AJ284" s="13">
        <f>0.17*SQRT([1]Parametros!$B$2)*H284*MIN(U284,AB284)/1000</f>
        <v>220.09872869180776</v>
      </c>
      <c r="AK284" s="13">
        <f>MAX(AI284/[1]Parametros!$B$6-AJ284,0)</f>
        <v>239.14772890623141</v>
      </c>
      <c r="AL284" s="13">
        <f>0.66*SQRT([1]Parametros!$B$2)*H284*MIN(U284,AB284)/1000</f>
        <v>854.500946685842</v>
      </c>
      <c r="AM284" s="13" t="str">
        <f t="shared" si="56"/>
        <v>CUMPLE</v>
      </c>
      <c r="AN284" s="13" t="s">
        <v>64</v>
      </c>
      <c r="AO284" s="14">
        <v>2</v>
      </c>
      <c r="AP284" s="13">
        <f>ROUNDDOWN(MIN(IF(BC284+BD284=0,1000000000,AO284*BB284/(BC284+BD284)),MIN(U284,AB284)/4,8*[1]Parametros!$B$12,24*BA284,300,IF(AV284=0,1000000000,2*((H284-2*([1]Parametros!$B$7+[1]Parametros!$B$9/2))+(I284-2*([1]Parametros!$B$7+[1]Parametros!$B$9/2)))/8))/10,0)*10</f>
        <v>120</v>
      </c>
      <c r="AQ284" s="13">
        <f>ROUNDDOWN(MIN(IF(BC284+BD284=0,1000000000,AO284*BB284/(BC284+BD284)),IF(AK284&gt;0.33*SQRT([1]Parametros!$B$2)*H284*MIN(U284,AB284)/1000,MIN(U284,AB284)/4,MIN(U284,AB284)/2),600,IF(AV284=0,1000000000,2*((H284-2*([1]Parametros!$B$7+[1]Parametros!$B$9/2))+(I284-2*([1]Parametros!$B$7+[1]Parametros!$B$9/2)))/8))/10,0)*10</f>
        <v>120</v>
      </c>
      <c r="AR284" s="13">
        <f>[1]Parametros!$B$6*(AJ284+MAX(BE284-BD284,0)*[1]Parametros!$B$4*MIN(U284,AB284)/1000)</f>
        <v>347.47925901885583</v>
      </c>
      <c r="AS284" s="13" t="str">
        <f t="shared" si="57"/>
        <v>CUMPLE</v>
      </c>
      <c r="AT284" s="13">
        <f>[1]Parametros!$B$6*0.083*SQRT([1]Parametros!$B$2)*(H284*I284)^2/(2*(H284+I284))/1000000</f>
        <v>11.862178757598967</v>
      </c>
      <c r="AU284" s="13" t="str">
        <f t="shared" si="58"/>
        <v>DESPRECIABLE</v>
      </c>
      <c r="AV284" s="13">
        <f>IF(Q284&lt;=AT284,0,Q284*1000000/([1]Parametros!$B$6*2*0.85*(H284-2*([1]Parametros!$B$7+[1]Parametros!$B$9/2))*(I284-2*([1]Parametros!$B$7+[1]Parametros!$B$9/2))*[1]Parametros!$B$4))</f>
        <v>0</v>
      </c>
      <c r="AW284" s="13">
        <f>AV284*2*((H284-2*([1]Parametros!$B$7+[1]Parametros!$B$9/2))+(I284-2*([1]Parametros!$B$7+[1]Parametros!$B$9/2)))*[1]Parametros!$B$4/[1]Parametros!$B$3</f>
        <v>0</v>
      </c>
      <c r="AX284" s="14">
        <v>0</v>
      </c>
      <c r="AY284" s="13" t="str">
        <f t="shared" si="59"/>
        <v>DESPRECIABLE</v>
      </c>
      <c r="AZ284" s="13" t="str">
        <f t="shared" si="60"/>
        <v>CUMPLE</v>
      </c>
      <c r="BA284" s="14">
        <v>9.5</v>
      </c>
      <c r="BB284" s="14">
        <v>71</v>
      </c>
      <c r="BC284" s="13">
        <f>MAX(IF(AK284=0,0,AK284*1000/([1]Parametros!$B$4*MIN(U284,AB284))),MAX(0.062*SQRT([1]Parametros!$B$2)*H284/[1]Parametros!$B$4,0.35*H284/[1]Parametros!$B$4))</f>
        <v>1.1635830275644143</v>
      </c>
      <c r="BD284" s="13">
        <f t="shared" si="61"/>
        <v>0</v>
      </c>
      <c r="BE284" s="13">
        <f t="shared" si="62"/>
        <v>1.1833333333333333</v>
      </c>
      <c r="BF284" s="13">
        <f>SQRT((AI284*1000/(H284*MIN(U284,AB284)))^2+(Q284*1000000*2*((H284-2*([1]Parametros!$B$7+[1]Parametros!$B$9/2))+(I284-2*([1]Parametros!$B$7+[1]Parametros!$B$9/2)))/(1.7*((H284-2*([1]Parametros!$B$7+[1]Parametros!$B$9/2))*(I284-2*([1]Parametros!$B$7+[1]Parametros!$B$9/2)))^2))^2)</f>
        <v>1.409733233633256</v>
      </c>
      <c r="BG284" s="13">
        <f>[1]Parametros!$B$6*(AJ284*1000/(H284*MIN(U284,AB284))+0.66*SQRT([1]Parametros!$B$2))</f>
        <v>3.2939603822754151</v>
      </c>
      <c r="BH284" s="13" t="str">
        <f t="shared" si="63"/>
        <v>CUMPLE</v>
      </c>
      <c r="BI284" s="13">
        <f>AX284*[1]Parametros!$B$8</f>
        <v>0</v>
      </c>
      <c r="BJ284" s="15" t="str">
        <f t="shared" si="64"/>
        <v>CUMPLE</v>
      </c>
    </row>
    <row r="285" spans="1:62" x14ac:dyDescent="0.3">
      <c r="A285" s="43" t="s">
        <v>74</v>
      </c>
      <c r="B285" s="44">
        <v>854</v>
      </c>
      <c r="C285" s="13">
        <v>1</v>
      </c>
      <c r="D285" s="13">
        <v>3.05</v>
      </c>
      <c r="E285" s="13">
        <v>3.05</v>
      </c>
      <c r="F285" s="13">
        <v>500</v>
      </c>
      <c r="G285" s="13">
        <v>550</v>
      </c>
      <c r="H285" s="13">
        <v>500</v>
      </c>
      <c r="I285" s="13">
        <v>550</v>
      </c>
      <c r="J285" s="14">
        <v>113.2004</v>
      </c>
      <c r="K285" s="13">
        <v>854</v>
      </c>
      <c r="L285" s="14">
        <v>54.980899999999998</v>
      </c>
      <c r="M285" s="13">
        <v>854</v>
      </c>
      <c r="N285" s="14">
        <v>105.60899999999999</v>
      </c>
      <c r="O285" s="14">
        <v>269.17599999999999</v>
      </c>
      <c r="P285" s="13">
        <v>854</v>
      </c>
      <c r="Q285" s="14">
        <v>1.2948</v>
      </c>
      <c r="R285" s="13">
        <f>MAX(MAX(1.4/[1]Parametros!$B$3,0.25*SQRT([1]Parametros!$B$2)/[1]Parametros!$B$3)*H285*U285,(0.85*[1]Parametros!$B$2/[1]Parametros!$B$3)*(1-SQRT(1-2*(J285*1000000/([1]Parametros!$B$5*H285*U285^2))/(0.85*[1]Parametros!$B$2)))*H285*U285)</f>
        <v>815.58333333333326</v>
      </c>
      <c r="S285" s="14">
        <v>5</v>
      </c>
      <c r="T285" s="14">
        <v>1</v>
      </c>
      <c r="U285" s="13">
        <f>IF(T285=1,I285-([1]Parametros!$B$7+[1]Parametros!$B$9+[1]Parametros!$B$12/2),I285-(ROUNDUP(S285/2,0)*([1]Parametros!$B$7+[1]Parametros!$B$9+[1]Parametros!$B$12/2)+ROUNDDOWN(S285/2,0)*([1]Parametros!$B$7+[1]Parametros!$B$9+[1]Parametros!$B$12/2+[1]Parametros!$B$12+[1]Parametros!$B$10))/S285)</f>
        <v>489.35</v>
      </c>
      <c r="V285" s="13">
        <f>S285*[1]Parametros!$B$8</f>
        <v>995</v>
      </c>
      <c r="W285" s="13">
        <f>[1]Parametros!$B$5*V285*[1]Parametros!$B$3*(U285-(V285*[1]Parametros!$B$3/(0.85*[1]Parametros!$B$2*H285))/2)/1000000</f>
        <v>177.44537938235294</v>
      </c>
      <c r="X285" s="13" t="str">
        <f t="shared" si="52"/>
        <v>CUMPLE</v>
      </c>
      <c r="Y285" s="13">
        <f>MAX(MAX(1.4/[1]Parametros!$B$3,0.25*SQRT([1]Parametros!$B$2)/[1]Parametros!$B$3)*H285*AB285,(0.85*[1]Parametros!$B$2/[1]Parametros!$B$3)*(1-SQRT(1-2*(L285*1000000/([1]Parametros!$B$5*H285*AB285^2))/(0.85*[1]Parametros!$B$2)))*H285*AB285)</f>
        <v>815.58333333333326</v>
      </c>
      <c r="Z285" s="14">
        <v>5</v>
      </c>
      <c r="AA285" s="14">
        <v>1</v>
      </c>
      <c r="AB285" s="13">
        <f>IF(AA285=1,I285-([1]Parametros!$B$7+[1]Parametros!$B$9+[1]Parametros!$B$12/2),I285-(ROUNDUP(Z285/2,0)*([1]Parametros!$B$7+[1]Parametros!$B$9+[1]Parametros!$B$12/2)+ROUNDDOWN(Z285/2,0)*([1]Parametros!$B$7+[1]Parametros!$B$9+[1]Parametros!$B$12/2+[1]Parametros!$B$12+[1]Parametros!$B$10))/Z285)</f>
        <v>489.35</v>
      </c>
      <c r="AC285" s="13">
        <f>Z285*[1]Parametros!$B$8</f>
        <v>995</v>
      </c>
      <c r="AD285" s="13">
        <f>[1]Parametros!$B$5*AC285*[1]Parametros!$B$3*(AB285-(AC285*[1]Parametros!$B$3/(0.85*[1]Parametros!$B$2*H285))/2)/1000000</f>
        <v>177.44537938235294</v>
      </c>
      <c r="AE285" s="13" t="str">
        <f t="shared" si="53"/>
        <v>CUMPLE</v>
      </c>
      <c r="AF285" s="13">
        <f>V285*1.25*[1]Parametros!$B$3*(U285-(V285*1.25*[1]Parametros!$B$3/(0.85*[1]Parametros!$B$2*H285))/2)/1000000</f>
        <v>244.15884319852941</v>
      </c>
      <c r="AG285" s="13">
        <f>AC285*1.25*[1]Parametros!$B$3*(AB285-(AC285*1.25*[1]Parametros!$B$3/(0.85*[1]Parametros!$B$2*H285))/2)/1000000</f>
        <v>244.15884319852941</v>
      </c>
      <c r="AH285" s="13">
        <f t="shared" si="54"/>
        <v>265.71315947444555</v>
      </c>
      <c r="AI285" s="13">
        <f t="shared" si="55"/>
        <v>269.17599999999999</v>
      </c>
      <c r="AJ285" s="13">
        <f>0.17*SQRT([1]Parametros!$B$2)*H285*MIN(U285,AB285)/1000</f>
        <v>220.09872869180776</v>
      </c>
      <c r="AK285" s="13">
        <f>MAX(AI285/[1]Parametros!$B$6-AJ285,0)</f>
        <v>138.80260464152553</v>
      </c>
      <c r="AL285" s="13">
        <f>0.66*SQRT([1]Parametros!$B$2)*H285*MIN(U285,AB285)/1000</f>
        <v>854.500946685842</v>
      </c>
      <c r="AM285" s="13" t="str">
        <f t="shared" si="56"/>
        <v>CUMPLE</v>
      </c>
      <c r="AN285" s="13" t="s">
        <v>64</v>
      </c>
      <c r="AO285" s="14">
        <v>2</v>
      </c>
      <c r="AP285" s="13">
        <f>ROUNDDOWN(MIN(IF(BC285+BD285=0,1000000000,AO285*BB285/(BC285+BD285)),MIN(U285,AB285)/4,8*[1]Parametros!$B$12,24*BA285,300,IF(AV285=0,1000000000,2*((H285-2*([1]Parametros!$B$7+[1]Parametros!$B$9/2))+(I285-2*([1]Parametros!$B$7+[1]Parametros!$B$9/2)))/8))/10,0)*10</f>
        <v>120</v>
      </c>
      <c r="AQ285" s="13">
        <f>ROUNDDOWN(MIN(IF(BC285+BD285=0,1000000000,AO285*BB285/(BC285+BD285)),IF(AK285&gt;0.33*SQRT([1]Parametros!$B$2)*H285*MIN(U285,AB285)/1000,MIN(U285,AB285)/4,MIN(U285,AB285)/2),600,IF(AV285=0,1000000000,2*((H285-2*([1]Parametros!$B$7+[1]Parametros!$B$9/2))+(I285-2*([1]Parametros!$B$7+[1]Parametros!$B$9/2)))/8))/10,0)*10</f>
        <v>210</v>
      </c>
      <c r="AR285" s="13">
        <f>[1]Parametros!$B$6*(AJ285+MAX(BE285-BD285,0)*[1]Parametros!$B$4*MIN(U285,AB285)/1000)</f>
        <v>347.47925901885583</v>
      </c>
      <c r="AS285" s="13" t="str">
        <f t="shared" si="57"/>
        <v>CUMPLE</v>
      </c>
      <c r="AT285" s="13">
        <f>[1]Parametros!$B$6*0.083*SQRT([1]Parametros!$B$2)*(H285*I285)^2/(2*(H285+I285))/1000000</f>
        <v>11.862178757598967</v>
      </c>
      <c r="AU285" s="13" t="str">
        <f t="shared" si="58"/>
        <v>DESPRECIABLE</v>
      </c>
      <c r="AV285" s="13">
        <f>IF(Q285&lt;=AT285,0,Q285*1000000/([1]Parametros!$B$6*2*0.85*(H285-2*([1]Parametros!$B$7+[1]Parametros!$B$9/2))*(I285-2*([1]Parametros!$B$7+[1]Parametros!$B$9/2))*[1]Parametros!$B$4))</f>
        <v>0</v>
      </c>
      <c r="AW285" s="13">
        <f>AV285*2*((H285-2*([1]Parametros!$B$7+[1]Parametros!$B$9/2))+(I285-2*([1]Parametros!$B$7+[1]Parametros!$B$9/2)))*[1]Parametros!$B$4/[1]Parametros!$B$3</f>
        <v>0</v>
      </c>
      <c r="AX285" s="14">
        <v>0</v>
      </c>
      <c r="AY285" s="13" t="str">
        <f t="shared" si="59"/>
        <v>DESPRECIABLE</v>
      </c>
      <c r="AZ285" s="13" t="str">
        <f t="shared" si="60"/>
        <v>CUMPLE</v>
      </c>
      <c r="BA285" s="14">
        <v>9.5</v>
      </c>
      <c r="BB285" s="14">
        <v>71</v>
      </c>
      <c r="BC285" s="13">
        <f>MAX(IF(AK285=0,0,AK285*1000/([1]Parametros!$B$4*MIN(U285,AB285))),MAX(0.062*SQRT([1]Parametros!$B$2)*H285/[1]Parametros!$B$4,0.35*H285/[1]Parametros!$B$4))</f>
        <v>0.67534973332713244</v>
      </c>
      <c r="BD285" s="13">
        <f t="shared" si="61"/>
        <v>0</v>
      </c>
      <c r="BE285" s="13">
        <f t="shared" si="62"/>
        <v>1.1833333333333333</v>
      </c>
      <c r="BF285" s="13">
        <f>SQRT((AI285*1000/(H285*MIN(U285,AB285)))^2+(Q285*1000000*2*((H285-2*([1]Parametros!$B$7+[1]Parametros!$B$9/2))+(I285-2*([1]Parametros!$B$7+[1]Parametros!$B$9/2)))/(1.7*((H285-2*([1]Parametros!$B$7+[1]Parametros!$B$9/2))*(I285-2*([1]Parametros!$B$7+[1]Parametros!$B$9/2)))^2))^2)</f>
        <v>1.1007917478439013</v>
      </c>
      <c r="BG285" s="13">
        <f>[1]Parametros!$B$6*(AJ285*1000/(H285*MIN(U285,AB285))+0.66*SQRT([1]Parametros!$B$2))</f>
        <v>3.2939603822754151</v>
      </c>
      <c r="BH285" s="13" t="str">
        <f t="shared" si="63"/>
        <v>CUMPLE</v>
      </c>
      <c r="BI285" s="13">
        <f>AX285*[1]Parametros!$B$8</f>
        <v>0</v>
      </c>
      <c r="BJ285" s="15" t="str">
        <f t="shared" si="64"/>
        <v>CUMPLE</v>
      </c>
    </row>
    <row r="286" spans="1:62" x14ac:dyDescent="0.3">
      <c r="A286" s="43" t="s">
        <v>74</v>
      </c>
      <c r="B286" s="44">
        <v>855</v>
      </c>
      <c r="C286" s="13">
        <v>1</v>
      </c>
      <c r="D286" s="13">
        <v>2</v>
      </c>
      <c r="E286" s="13">
        <v>2</v>
      </c>
      <c r="F286" s="13">
        <v>500</v>
      </c>
      <c r="G286" s="13">
        <v>550</v>
      </c>
      <c r="H286" s="13">
        <v>500</v>
      </c>
      <c r="I286" s="13">
        <v>550</v>
      </c>
      <c r="J286" s="14">
        <v>89.486199999999997</v>
      </c>
      <c r="K286" s="13">
        <v>855</v>
      </c>
      <c r="L286" s="14">
        <v>50.706099999999999</v>
      </c>
      <c r="M286" s="13">
        <v>855</v>
      </c>
      <c r="N286" s="14">
        <v>96.834999999999994</v>
      </c>
      <c r="O286" s="14">
        <v>279.94</v>
      </c>
      <c r="P286" s="13">
        <v>855</v>
      </c>
      <c r="Q286" s="14">
        <v>3.1326999999999998</v>
      </c>
      <c r="R286" s="13">
        <f>MAX(MAX(1.4/[1]Parametros!$B$3,0.25*SQRT([1]Parametros!$B$2)/[1]Parametros!$B$3)*H286*U286,(0.85*[1]Parametros!$B$2/[1]Parametros!$B$3)*(1-SQRT(1-2*(J286*1000000/([1]Parametros!$B$5*H286*U286^2))/(0.85*[1]Parametros!$B$2)))*H286*U286)</f>
        <v>815.58333333333326</v>
      </c>
      <c r="S286" s="14">
        <v>5</v>
      </c>
      <c r="T286" s="14">
        <v>1</v>
      </c>
      <c r="U286" s="13">
        <f>IF(T286=1,I286-([1]Parametros!$B$7+[1]Parametros!$B$9+[1]Parametros!$B$12/2),I286-(ROUNDUP(S286/2,0)*([1]Parametros!$B$7+[1]Parametros!$B$9+[1]Parametros!$B$12/2)+ROUNDDOWN(S286/2,0)*([1]Parametros!$B$7+[1]Parametros!$B$9+[1]Parametros!$B$12/2+[1]Parametros!$B$12+[1]Parametros!$B$10))/S286)</f>
        <v>489.35</v>
      </c>
      <c r="V286" s="13">
        <f>S286*[1]Parametros!$B$8</f>
        <v>995</v>
      </c>
      <c r="W286" s="13">
        <f>[1]Parametros!$B$5*V286*[1]Parametros!$B$3*(U286-(V286*[1]Parametros!$B$3/(0.85*[1]Parametros!$B$2*H286))/2)/1000000</f>
        <v>177.44537938235294</v>
      </c>
      <c r="X286" s="13" t="str">
        <f t="shared" si="52"/>
        <v>CUMPLE</v>
      </c>
      <c r="Y286" s="13">
        <f>MAX(MAX(1.4/[1]Parametros!$B$3,0.25*SQRT([1]Parametros!$B$2)/[1]Parametros!$B$3)*H286*AB286,(0.85*[1]Parametros!$B$2/[1]Parametros!$B$3)*(1-SQRT(1-2*(L286*1000000/([1]Parametros!$B$5*H286*AB286^2))/(0.85*[1]Parametros!$B$2)))*H286*AB286)</f>
        <v>815.58333333333326</v>
      </c>
      <c r="Z286" s="14">
        <v>5</v>
      </c>
      <c r="AA286" s="14">
        <v>1</v>
      </c>
      <c r="AB286" s="13">
        <f>IF(AA286=1,I286-([1]Parametros!$B$7+[1]Parametros!$B$9+[1]Parametros!$B$12/2),I286-(ROUNDUP(Z286/2,0)*([1]Parametros!$B$7+[1]Parametros!$B$9+[1]Parametros!$B$12/2)+ROUNDDOWN(Z286/2,0)*([1]Parametros!$B$7+[1]Parametros!$B$9+[1]Parametros!$B$12/2+[1]Parametros!$B$12+[1]Parametros!$B$10))/Z286)</f>
        <v>489.35</v>
      </c>
      <c r="AC286" s="13">
        <f>Z286*[1]Parametros!$B$8</f>
        <v>995</v>
      </c>
      <c r="AD286" s="13">
        <f>[1]Parametros!$B$5*AC286*[1]Parametros!$B$3*(AB286-(AC286*[1]Parametros!$B$3/(0.85*[1]Parametros!$B$2*H286))/2)/1000000</f>
        <v>177.44537938235294</v>
      </c>
      <c r="AE286" s="13" t="str">
        <f t="shared" si="53"/>
        <v>CUMPLE</v>
      </c>
      <c r="AF286" s="13">
        <f>V286*1.25*[1]Parametros!$B$3*(U286-(V286*1.25*[1]Parametros!$B$3/(0.85*[1]Parametros!$B$2*H286))/2)/1000000</f>
        <v>244.15884319852941</v>
      </c>
      <c r="AG286" s="13">
        <f>AC286*1.25*[1]Parametros!$B$3*(AB286-(AC286*1.25*[1]Parametros!$B$3/(0.85*[1]Parametros!$B$2*H286))/2)/1000000</f>
        <v>244.15884319852941</v>
      </c>
      <c r="AH286" s="13">
        <f t="shared" si="54"/>
        <v>340.99384319852942</v>
      </c>
      <c r="AI286" s="13">
        <f t="shared" si="55"/>
        <v>340.99384319852942</v>
      </c>
      <c r="AJ286" s="13">
        <f>0.17*SQRT([1]Parametros!$B$2)*H286*MIN(U286,AB286)/1000</f>
        <v>220.09872869180776</v>
      </c>
      <c r="AK286" s="13">
        <f>MAX(AI286/[1]Parametros!$B$6-AJ286,0)</f>
        <v>234.55972890623144</v>
      </c>
      <c r="AL286" s="13">
        <f>0.66*SQRT([1]Parametros!$B$2)*H286*MIN(U286,AB286)/1000</f>
        <v>854.500946685842</v>
      </c>
      <c r="AM286" s="13" t="str">
        <f t="shared" si="56"/>
        <v>CUMPLE</v>
      </c>
      <c r="AN286" s="13" t="s">
        <v>64</v>
      </c>
      <c r="AO286" s="14">
        <v>2</v>
      </c>
      <c r="AP286" s="13">
        <f>ROUNDDOWN(MIN(IF(BC286+BD286=0,1000000000,AO286*BB286/(BC286+BD286)),MIN(U286,AB286)/4,8*[1]Parametros!$B$12,24*BA286,300,IF(AV286=0,1000000000,2*((H286-2*([1]Parametros!$B$7+[1]Parametros!$B$9/2))+(I286-2*([1]Parametros!$B$7+[1]Parametros!$B$9/2)))/8))/10,0)*10</f>
        <v>120</v>
      </c>
      <c r="AQ286" s="13">
        <f>ROUNDDOWN(MIN(IF(BC286+BD286=0,1000000000,AO286*BB286/(BC286+BD286)),IF(AK286&gt;0.33*SQRT([1]Parametros!$B$2)*H286*MIN(U286,AB286)/1000,MIN(U286,AB286)/4,MIN(U286,AB286)/2),600,IF(AV286=0,1000000000,2*((H286-2*([1]Parametros!$B$7+[1]Parametros!$B$9/2))+(I286-2*([1]Parametros!$B$7+[1]Parametros!$B$9/2)))/8))/10,0)*10</f>
        <v>120</v>
      </c>
      <c r="AR286" s="13">
        <f>[1]Parametros!$B$6*(AJ286+MAX(BE286-BD286,0)*[1]Parametros!$B$4*MIN(U286,AB286)/1000)</f>
        <v>347.47925901885583</v>
      </c>
      <c r="AS286" s="13" t="str">
        <f t="shared" si="57"/>
        <v>CUMPLE</v>
      </c>
      <c r="AT286" s="13">
        <f>[1]Parametros!$B$6*0.083*SQRT([1]Parametros!$B$2)*(H286*I286)^2/(2*(H286+I286))/1000000</f>
        <v>11.862178757598967</v>
      </c>
      <c r="AU286" s="13" t="str">
        <f t="shared" si="58"/>
        <v>DESPRECIABLE</v>
      </c>
      <c r="AV286" s="13">
        <f>IF(Q286&lt;=AT286,0,Q286*1000000/([1]Parametros!$B$6*2*0.85*(H286-2*([1]Parametros!$B$7+[1]Parametros!$B$9/2))*(I286-2*([1]Parametros!$B$7+[1]Parametros!$B$9/2))*[1]Parametros!$B$4))</f>
        <v>0</v>
      </c>
      <c r="AW286" s="13">
        <f>AV286*2*((H286-2*([1]Parametros!$B$7+[1]Parametros!$B$9/2))+(I286-2*([1]Parametros!$B$7+[1]Parametros!$B$9/2)))*[1]Parametros!$B$4/[1]Parametros!$B$3</f>
        <v>0</v>
      </c>
      <c r="AX286" s="14">
        <v>0</v>
      </c>
      <c r="AY286" s="13" t="str">
        <f t="shared" si="59"/>
        <v>DESPRECIABLE</v>
      </c>
      <c r="AZ286" s="13" t="str">
        <f t="shared" si="60"/>
        <v>CUMPLE</v>
      </c>
      <c r="BA286" s="14">
        <v>9.5</v>
      </c>
      <c r="BB286" s="14">
        <v>71</v>
      </c>
      <c r="BC286" s="13">
        <f>MAX(IF(AK286=0,0,AK286*1000/([1]Parametros!$B$4*MIN(U286,AB286))),MAX(0.062*SQRT([1]Parametros!$B$2)*H286/[1]Parametros!$B$4,0.35*H286/[1]Parametros!$B$4))</f>
        <v>1.1412599264633427</v>
      </c>
      <c r="BD286" s="13">
        <f t="shared" si="61"/>
        <v>0</v>
      </c>
      <c r="BE286" s="13">
        <f t="shared" si="62"/>
        <v>1.1833333333333333</v>
      </c>
      <c r="BF286" s="13">
        <f>SQRT((AI286*1000/(H286*MIN(U286,AB286)))^2+(Q286*1000000*2*((H286-2*([1]Parametros!$B$7+[1]Parametros!$B$9/2))+(I286-2*([1]Parametros!$B$7+[1]Parametros!$B$9/2)))/(1.7*((H286-2*([1]Parametros!$B$7+[1]Parametros!$B$9/2))*(I286-2*([1]Parametros!$B$7+[1]Parametros!$B$9/2)))^2))^2)</f>
        <v>1.3966838382126767</v>
      </c>
      <c r="BG286" s="13">
        <f>[1]Parametros!$B$6*(AJ286*1000/(H286*MIN(U286,AB286))+0.66*SQRT([1]Parametros!$B$2))</f>
        <v>3.2939603822754151</v>
      </c>
      <c r="BH286" s="13" t="str">
        <f t="shared" si="63"/>
        <v>CUMPLE</v>
      </c>
      <c r="BI286" s="13">
        <f>AX286*[1]Parametros!$B$8</f>
        <v>0</v>
      </c>
      <c r="BJ286" s="15" t="str">
        <f t="shared" si="64"/>
        <v>CUMPLE</v>
      </c>
    </row>
    <row r="287" spans="1:62" x14ac:dyDescent="0.3">
      <c r="A287" s="43" t="s">
        <v>74</v>
      </c>
      <c r="B287" s="44">
        <v>856</v>
      </c>
      <c r="C287" s="13">
        <v>1</v>
      </c>
      <c r="D287" s="13">
        <v>1.9</v>
      </c>
      <c r="E287" s="13">
        <v>1.9</v>
      </c>
      <c r="F287" s="13">
        <v>500</v>
      </c>
      <c r="G287" s="13">
        <v>550</v>
      </c>
      <c r="H287" s="13">
        <v>500</v>
      </c>
      <c r="I287" s="13">
        <v>550</v>
      </c>
      <c r="J287" s="14">
        <v>94.684100000000001</v>
      </c>
      <c r="K287" s="13">
        <v>856</v>
      </c>
      <c r="L287" s="14">
        <v>56.974499999999999</v>
      </c>
      <c r="M287" s="13">
        <v>856</v>
      </c>
      <c r="N287" s="14">
        <v>102.71299999999999</v>
      </c>
      <c r="O287" s="14">
        <v>302.19400000000002</v>
      </c>
      <c r="P287" s="13">
        <v>856</v>
      </c>
      <c r="Q287" s="14">
        <v>1.7617</v>
      </c>
      <c r="R287" s="13">
        <f>MAX(MAX(1.4/[1]Parametros!$B$3,0.25*SQRT([1]Parametros!$B$2)/[1]Parametros!$B$3)*H287*U287,(0.85*[1]Parametros!$B$2/[1]Parametros!$B$3)*(1-SQRT(1-2*(J287*1000000/([1]Parametros!$B$5*H287*U287^2))/(0.85*[1]Parametros!$B$2)))*H287*U287)</f>
        <v>815.58333333333326</v>
      </c>
      <c r="S287" s="14">
        <v>5</v>
      </c>
      <c r="T287" s="14">
        <v>1</v>
      </c>
      <c r="U287" s="13">
        <f>IF(T287=1,I287-([1]Parametros!$B$7+[1]Parametros!$B$9+[1]Parametros!$B$12/2),I287-(ROUNDUP(S287/2,0)*([1]Parametros!$B$7+[1]Parametros!$B$9+[1]Parametros!$B$12/2)+ROUNDDOWN(S287/2,0)*([1]Parametros!$B$7+[1]Parametros!$B$9+[1]Parametros!$B$12/2+[1]Parametros!$B$12+[1]Parametros!$B$10))/S287)</f>
        <v>489.35</v>
      </c>
      <c r="V287" s="13">
        <f>S287*[1]Parametros!$B$8</f>
        <v>995</v>
      </c>
      <c r="W287" s="13">
        <f>[1]Parametros!$B$5*V287*[1]Parametros!$B$3*(U287-(V287*[1]Parametros!$B$3/(0.85*[1]Parametros!$B$2*H287))/2)/1000000</f>
        <v>177.44537938235294</v>
      </c>
      <c r="X287" s="13" t="str">
        <f t="shared" si="52"/>
        <v>CUMPLE</v>
      </c>
      <c r="Y287" s="13">
        <f>MAX(MAX(1.4/[1]Parametros!$B$3,0.25*SQRT([1]Parametros!$B$2)/[1]Parametros!$B$3)*H287*AB287,(0.85*[1]Parametros!$B$2/[1]Parametros!$B$3)*(1-SQRT(1-2*(L287*1000000/([1]Parametros!$B$5*H287*AB287^2))/(0.85*[1]Parametros!$B$2)))*H287*AB287)</f>
        <v>815.58333333333326</v>
      </c>
      <c r="Z287" s="14">
        <v>5</v>
      </c>
      <c r="AA287" s="14">
        <v>1</v>
      </c>
      <c r="AB287" s="13">
        <f>IF(AA287=1,I287-([1]Parametros!$B$7+[1]Parametros!$B$9+[1]Parametros!$B$12/2),I287-(ROUNDUP(Z287/2,0)*([1]Parametros!$B$7+[1]Parametros!$B$9+[1]Parametros!$B$12/2)+ROUNDDOWN(Z287/2,0)*([1]Parametros!$B$7+[1]Parametros!$B$9+[1]Parametros!$B$12/2+[1]Parametros!$B$12+[1]Parametros!$B$10))/Z287)</f>
        <v>489.35</v>
      </c>
      <c r="AC287" s="13">
        <f>Z287*[1]Parametros!$B$8</f>
        <v>995</v>
      </c>
      <c r="AD287" s="13">
        <f>[1]Parametros!$B$5*AC287*[1]Parametros!$B$3*(AB287-(AC287*[1]Parametros!$B$3/(0.85*[1]Parametros!$B$2*H287))/2)/1000000</f>
        <v>177.44537938235294</v>
      </c>
      <c r="AE287" s="13" t="str">
        <f t="shared" si="53"/>
        <v>CUMPLE</v>
      </c>
      <c r="AF287" s="13">
        <f>V287*1.25*[1]Parametros!$B$3*(U287-(V287*1.25*[1]Parametros!$B$3/(0.85*[1]Parametros!$B$2*H287))/2)/1000000</f>
        <v>244.15884319852941</v>
      </c>
      <c r="AG287" s="13">
        <f>AC287*1.25*[1]Parametros!$B$3*(AB287-(AC287*1.25*[1]Parametros!$B$3/(0.85*[1]Parametros!$B$2*H287))/2)/1000000</f>
        <v>244.15884319852941</v>
      </c>
      <c r="AH287" s="13">
        <f t="shared" si="54"/>
        <v>359.72230863003097</v>
      </c>
      <c r="AI287" s="13">
        <f t="shared" si="55"/>
        <v>359.72230863003097</v>
      </c>
      <c r="AJ287" s="13">
        <f>0.17*SQRT([1]Parametros!$B$2)*H287*MIN(U287,AB287)/1000</f>
        <v>220.09872869180776</v>
      </c>
      <c r="AK287" s="13">
        <f>MAX(AI287/[1]Parametros!$B$6-AJ287,0)</f>
        <v>259.5310161482335</v>
      </c>
      <c r="AL287" s="13">
        <f>0.66*SQRT([1]Parametros!$B$2)*H287*MIN(U287,AB287)/1000</f>
        <v>854.500946685842</v>
      </c>
      <c r="AM287" s="13" t="str">
        <f t="shared" si="56"/>
        <v>CUMPLE</v>
      </c>
      <c r="AN287" s="13" t="s">
        <v>64</v>
      </c>
      <c r="AO287" s="14">
        <v>2</v>
      </c>
      <c r="AP287" s="13">
        <f>ROUNDDOWN(MIN(IF(BC287+BD287=0,1000000000,AO287*BB287/(BC287+BD287)),MIN(U287,AB287)/4,8*[1]Parametros!$B$12,24*BA287,300,IF(AV287=0,1000000000,2*((H287-2*([1]Parametros!$B$7+[1]Parametros!$B$9/2))+(I287-2*([1]Parametros!$B$7+[1]Parametros!$B$9/2)))/8))/10,0)*10</f>
        <v>110</v>
      </c>
      <c r="AQ287" s="13">
        <f>ROUNDDOWN(MIN(IF(BC287+BD287=0,1000000000,AO287*BB287/(BC287+BD287)),IF(AK287&gt;0.33*SQRT([1]Parametros!$B$2)*H287*MIN(U287,AB287)/1000,MIN(U287,AB287)/4,MIN(U287,AB287)/2),600,IF(AV287=0,1000000000,2*((H287-2*([1]Parametros!$B$7+[1]Parametros!$B$9/2))+(I287-2*([1]Parametros!$B$7+[1]Parametros!$B$9/2)))/8))/10,0)*10</f>
        <v>110</v>
      </c>
      <c r="AR287" s="13">
        <f>[1]Parametros!$B$6*(AJ287+MAX(BE287-BD287,0)*[1]Parametros!$B$4*MIN(U287,AB287)/1000)</f>
        <v>364.06155106431038</v>
      </c>
      <c r="AS287" s="13" t="str">
        <f t="shared" si="57"/>
        <v>CUMPLE</v>
      </c>
      <c r="AT287" s="13">
        <f>[1]Parametros!$B$6*0.083*SQRT([1]Parametros!$B$2)*(H287*I287)^2/(2*(H287+I287))/1000000</f>
        <v>11.862178757598967</v>
      </c>
      <c r="AU287" s="13" t="str">
        <f t="shared" si="58"/>
        <v>DESPRECIABLE</v>
      </c>
      <c r="AV287" s="13">
        <f>IF(Q287&lt;=AT287,0,Q287*1000000/([1]Parametros!$B$6*2*0.85*(H287-2*([1]Parametros!$B$7+[1]Parametros!$B$9/2))*(I287-2*([1]Parametros!$B$7+[1]Parametros!$B$9/2))*[1]Parametros!$B$4))</f>
        <v>0</v>
      </c>
      <c r="AW287" s="13">
        <f>AV287*2*((H287-2*([1]Parametros!$B$7+[1]Parametros!$B$9/2))+(I287-2*([1]Parametros!$B$7+[1]Parametros!$B$9/2)))*[1]Parametros!$B$4/[1]Parametros!$B$3</f>
        <v>0</v>
      </c>
      <c r="AX287" s="14">
        <v>0</v>
      </c>
      <c r="AY287" s="13" t="str">
        <f t="shared" si="59"/>
        <v>DESPRECIABLE</v>
      </c>
      <c r="AZ287" s="13" t="str">
        <f t="shared" si="60"/>
        <v>CUMPLE</v>
      </c>
      <c r="BA287" s="14">
        <v>9.5</v>
      </c>
      <c r="BB287" s="14">
        <v>71</v>
      </c>
      <c r="BC287" s="13">
        <f>MAX(IF(AK287=0,0,AK287*1000/([1]Parametros!$B$4*MIN(U287,AB287))),MAX(0.062*SQRT([1]Parametros!$B$2)*H287/[1]Parametros!$B$4,0.35*H287/[1]Parametros!$B$4))</f>
        <v>1.2627587428816336</v>
      </c>
      <c r="BD287" s="13">
        <f t="shared" si="61"/>
        <v>0</v>
      </c>
      <c r="BE287" s="13">
        <f t="shared" si="62"/>
        <v>1.290909090909091</v>
      </c>
      <c r="BF287" s="13">
        <f>SQRT((AI287*1000/(H287*MIN(U287,AB287)))^2+(Q287*1000000*2*((H287-2*([1]Parametros!$B$7+[1]Parametros!$B$9/2))+(I287-2*([1]Parametros!$B$7+[1]Parametros!$B$9/2)))/(1.7*((H287-2*([1]Parametros!$B$7+[1]Parametros!$B$9/2))*(I287-2*([1]Parametros!$B$7+[1]Parametros!$B$9/2)))^2))^2)</f>
        <v>1.4711116864474216</v>
      </c>
      <c r="BG287" s="13">
        <f>[1]Parametros!$B$6*(AJ287*1000/(H287*MIN(U287,AB287))+0.66*SQRT([1]Parametros!$B$2))</f>
        <v>3.2939603822754151</v>
      </c>
      <c r="BH287" s="13" t="str">
        <f t="shared" si="63"/>
        <v>CUMPLE</v>
      </c>
      <c r="BI287" s="13">
        <f>AX287*[1]Parametros!$B$8</f>
        <v>0</v>
      </c>
      <c r="BJ287" s="15" t="str">
        <f t="shared" si="64"/>
        <v>CUMPLE</v>
      </c>
    </row>
    <row r="288" spans="1:62" x14ac:dyDescent="0.3">
      <c r="A288" s="43" t="s">
        <v>74</v>
      </c>
      <c r="B288" s="44">
        <v>857</v>
      </c>
      <c r="C288" s="13">
        <v>1</v>
      </c>
      <c r="D288" s="13">
        <v>3.4</v>
      </c>
      <c r="E288" s="13">
        <v>3.4</v>
      </c>
      <c r="F288" s="13">
        <v>500</v>
      </c>
      <c r="G288" s="13">
        <v>550</v>
      </c>
      <c r="H288" s="13">
        <v>500</v>
      </c>
      <c r="I288" s="13">
        <v>550</v>
      </c>
      <c r="J288" s="14">
        <v>115.07989999999999</v>
      </c>
      <c r="K288" s="13">
        <v>857</v>
      </c>
      <c r="L288" s="14">
        <v>45.039400000000001</v>
      </c>
      <c r="M288" s="13">
        <v>857</v>
      </c>
      <c r="N288" s="14">
        <v>105.19499999999999</v>
      </c>
      <c r="O288" s="14">
        <v>239.23599999999999</v>
      </c>
      <c r="P288" s="13">
        <v>857</v>
      </c>
      <c r="Q288" s="14">
        <v>5.7816000000000001</v>
      </c>
      <c r="R288" s="13">
        <f>MAX(MAX(1.4/[1]Parametros!$B$3,0.25*SQRT([1]Parametros!$B$2)/[1]Parametros!$B$3)*H288*U288,(0.85*[1]Parametros!$B$2/[1]Parametros!$B$3)*(1-SQRT(1-2*(J288*1000000/([1]Parametros!$B$5*H288*U288^2))/(0.85*[1]Parametros!$B$2)))*H288*U288)</f>
        <v>815.58333333333326</v>
      </c>
      <c r="S288" s="14">
        <v>5</v>
      </c>
      <c r="T288" s="14">
        <v>1</v>
      </c>
      <c r="U288" s="13">
        <f>IF(T288=1,I288-([1]Parametros!$B$7+[1]Parametros!$B$9+[1]Parametros!$B$12/2),I288-(ROUNDUP(S288/2,0)*([1]Parametros!$B$7+[1]Parametros!$B$9+[1]Parametros!$B$12/2)+ROUNDDOWN(S288/2,0)*([1]Parametros!$B$7+[1]Parametros!$B$9+[1]Parametros!$B$12/2+[1]Parametros!$B$12+[1]Parametros!$B$10))/S288)</f>
        <v>489.35</v>
      </c>
      <c r="V288" s="13">
        <f>S288*[1]Parametros!$B$8</f>
        <v>995</v>
      </c>
      <c r="W288" s="13">
        <f>[1]Parametros!$B$5*V288*[1]Parametros!$B$3*(U288-(V288*[1]Parametros!$B$3/(0.85*[1]Parametros!$B$2*H288))/2)/1000000</f>
        <v>177.44537938235294</v>
      </c>
      <c r="X288" s="13" t="str">
        <f t="shared" si="52"/>
        <v>CUMPLE</v>
      </c>
      <c r="Y288" s="13">
        <f>MAX(MAX(1.4/[1]Parametros!$B$3,0.25*SQRT([1]Parametros!$B$2)/[1]Parametros!$B$3)*H288*AB288,(0.85*[1]Parametros!$B$2/[1]Parametros!$B$3)*(1-SQRT(1-2*(L288*1000000/([1]Parametros!$B$5*H288*AB288^2))/(0.85*[1]Parametros!$B$2)))*H288*AB288)</f>
        <v>815.58333333333326</v>
      </c>
      <c r="Z288" s="14">
        <v>5</v>
      </c>
      <c r="AA288" s="14">
        <v>1</v>
      </c>
      <c r="AB288" s="13">
        <f>IF(AA288=1,I288-([1]Parametros!$B$7+[1]Parametros!$B$9+[1]Parametros!$B$12/2),I288-(ROUNDUP(Z288/2,0)*([1]Parametros!$B$7+[1]Parametros!$B$9+[1]Parametros!$B$12/2)+ROUNDDOWN(Z288/2,0)*([1]Parametros!$B$7+[1]Parametros!$B$9+[1]Parametros!$B$12/2+[1]Parametros!$B$12+[1]Parametros!$B$10))/Z288)</f>
        <v>489.35</v>
      </c>
      <c r="AC288" s="13">
        <f>Z288*[1]Parametros!$B$8</f>
        <v>995</v>
      </c>
      <c r="AD288" s="13">
        <f>[1]Parametros!$B$5*AC288*[1]Parametros!$B$3*(AB288-(AC288*[1]Parametros!$B$3/(0.85*[1]Parametros!$B$2*H288))/2)/1000000</f>
        <v>177.44537938235294</v>
      </c>
      <c r="AE288" s="13" t="str">
        <f t="shared" si="53"/>
        <v>CUMPLE</v>
      </c>
      <c r="AF288" s="13">
        <f>V288*1.25*[1]Parametros!$B$3*(U288-(V288*1.25*[1]Parametros!$B$3/(0.85*[1]Parametros!$B$2*H288))/2)/1000000</f>
        <v>244.15884319852941</v>
      </c>
      <c r="AG288" s="13">
        <f>AC288*1.25*[1]Parametros!$B$3*(AB288-(AC288*1.25*[1]Parametros!$B$3/(0.85*[1]Parametros!$B$2*H288))/2)/1000000</f>
        <v>244.15884319852941</v>
      </c>
      <c r="AH288" s="13">
        <f t="shared" si="54"/>
        <v>248.81784894031142</v>
      </c>
      <c r="AI288" s="13">
        <f t="shared" si="55"/>
        <v>248.81784894031142</v>
      </c>
      <c r="AJ288" s="13">
        <f>0.17*SQRT([1]Parametros!$B$2)*H288*MIN(U288,AB288)/1000</f>
        <v>220.09872869180776</v>
      </c>
      <c r="AK288" s="13">
        <f>MAX(AI288/[1]Parametros!$B$6-AJ288,0)</f>
        <v>111.65840322860748</v>
      </c>
      <c r="AL288" s="13">
        <f>0.66*SQRT([1]Parametros!$B$2)*H288*MIN(U288,AB288)/1000</f>
        <v>854.500946685842</v>
      </c>
      <c r="AM288" s="13" t="str">
        <f t="shared" si="56"/>
        <v>CUMPLE</v>
      </c>
      <c r="AN288" s="13" t="s">
        <v>64</v>
      </c>
      <c r="AO288" s="14">
        <v>2</v>
      </c>
      <c r="AP288" s="13">
        <f>ROUNDDOWN(MIN(IF(BC288+BD288=0,1000000000,AO288*BB288/(BC288+BD288)),MIN(U288,AB288)/4,8*[1]Parametros!$B$12,24*BA288,300,IF(AV288=0,1000000000,2*((H288-2*([1]Parametros!$B$7+[1]Parametros!$B$9/2))+(I288-2*([1]Parametros!$B$7+[1]Parametros!$B$9/2)))/8))/10,0)*10</f>
        <v>120</v>
      </c>
      <c r="AQ288" s="13">
        <f>ROUNDDOWN(MIN(IF(BC288+BD288=0,1000000000,AO288*BB288/(BC288+BD288)),IF(AK288&gt;0.33*SQRT([1]Parametros!$B$2)*H288*MIN(U288,AB288)/1000,MIN(U288,AB288)/4,MIN(U288,AB288)/2),600,IF(AV288=0,1000000000,2*((H288-2*([1]Parametros!$B$7+[1]Parametros!$B$9/2))+(I288-2*([1]Parametros!$B$7+[1]Parametros!$B$9/2)))/8))/10,0)*10</f>
        <v>240</v>
      </c>
      <c r="AR288" s="13">
        <f>[1]Parametros!$B$6*(AJ288+MAX(BE288-BD288,0)*[1]Parametros!$B$4*MIN(U288,AB288)/1000)</f>
        <v>347.47925901885583</v>
      </c>
      <c r="AS288" s="13" t="str">
        <f t="shared" si="57"/>
        <v>CUMPLE</v>
      </c>
      <c r="AT288" s="13">
        <f>[1]Parametros!$B$6*0.083*SQRT([1]Parametros!$B$2)*(H288*I288)^2/(2*(H288+I288))/1000000</f>
        <v>11.862178757598967</v>
      </c>
      <c r="AU288" s="13" t="str">
        <f t="shared" si="58"/>
        <v>DESPRECIABLE</v>
      </c>
      <c r="AV288" s="13">
        <f>IF(Q288&lt;=AT288,0,Q288*1000000/([1]Parametros!$B$6*2*0.85*(H288-2*([1]Parametros!$B$7+[1]Parametros!$B$9/2))*(I288-2*([1]Parametros!$B$7+[1]Parametros!$B$9/2))*[1]Parametros!$B$4))</f>
        <v>0</v>
      </c>
      <c r="AW288" s="13">
        <f>AV288*2*((H288-2*([1]Parametros!$B$7+[1]Parametros!$B$9/2))+(I288-2*([1]Parametros!$B$7+[1]Parametros!$B$9/2)))*[1]Parametros!$B$4/[1]Parametros!$B$3</f>
        <v>0</v>
      </c>
      <c r="AX288" s="14">
        <v>0</v>
      </c>
      <c r="AY288" s="13" t="str">
        <f t="shared" si="59"/>
        <v>DESPRECIABLE</v>
      </c>
      <c r="AZ288" s="13" t="str">
        <f t="shared" si="60"/>
        <v>CUMPLE</v>
      </c>
      <c r="BA288" s="14">
        <v>9.5</v>
      </c>
      <c r="BB288" s="14">
        <v>71</v>
      </c>
      <c r="BC288" s="13">
        <f>MAX(IF(AK288=0,0,AK288*1000/([1]Parametros!$B$4*MIN(U288,AB288))),MAX(0.062*SQRT([1]Parametros!$B$2)*H288/[1]Parametros!$B$4,0.35*H288/[1]Parametros!$B$4))</f>
        <v>0.54327851439765806</v>
      </c>
      <c r="BD288" s="13">
        <f t="shared" si="61"/>
        <v>0</v>
      </c>
      <c r="BE288" s="13">
        <f t="shared" si="62"/>
        <v>1.1833333333333333</v>
      </c>
      <c r="BF288" s="13">
        <f>SQRT((AI288*1000/(H288*MIN(U288,AB288)))^2+(Q288*1000000*2*((H288-2*([1]Parametros!$B$7+[1]Parametros!$B$9/2))+(I288-2*([1]Parametros!$B$7+[1]Parametros!$B$9/2)))/(1.7*((H288-2*([1]Parametros!$B$7+[1]Parametros!$B$9/2))*(I288-2*([1]Parametros!$B$7+[1]Parametros!$B$9/2)))^2))^2)</f>
        <v>1.0309640084158072</v>
      </c>
      <c r="BG288" s="13">
        <f>[1]Parametros!$B$6*(AJ288*1000/(H288*MIN(U288,AB288))+0.66*SQRT([1]Parametros!$B$2))</f>
        <v>3.2939603822754151</v>
      </c>
      <c r="BH288" s="13" t="str">
        <f t="shared" si="63"/>
        <v>CUMPLE</v>
      </c>
      <c r="BI288" s="13">
        <f>AX288*[1]Parametros!$B$8</f>
        <v>0</v>
      </c>
      <c r="BJ288" s="15" t="str">
        <f t="shared" si="64"/>
        <v>CUMPLE</v>
      </c>
    </row>
    <row r="289" spans="1:62" x14ac:dyDescent="0.3">
      <c r="A289" s="43" t="s">
        <v>74</v>
      </c>
      <c r="B289" s="44">
        <v>858</v>
      </c>
      <c r="C289" s="13">
        <v>1</v>
      </c>
      <c r="D289" s="13">
        <v>3.4</v>
      </c>
      <c r="E289" s="13">
        <v>3.4</v>
      </c>
      <c r="F289" s="13">
        <v>500</v>
      </c>
      <c r="G289" s="13">
        <v>550</v>
      </c>
      <c r="H289" s="13">
        <v>500</v>
      </c>
      <c r="I289" s="13">
        <v>550</v>
      </c>
      <c r="J289" s="14">
        <v>115.1664</v>
      </c>
      <c r="K289" s="13">
        <v>858</v>
      </c>
      <c r="L289" s="14">
        <v>45.104599999999998</v>
      </c>
      <c r="M289" s="13">
        <v>858</v>
      </c>
      <c r="N289" s="14">
        <v>105.245</v>
      </c>
      <c r="O289" s="14">
        <v>239.45099999999999</v>
      </c>
      <c r="P289" s="13">
        <v>858</v>
      </c>
      <c r="Q289" s="14">
        <v>5.8250000000000002</v>
      </c>
      <c r="R289" s="13">
        <f>MAX(MAX(1.4/[1]Parametros!$B$3,0.25*SQRT([1]Parametros!$B$2)/[1]Parametros!$B$3)*H289*U289,(0.85*[1]Parametros!$B$2/[1]Parametros!$B$3)*(1-SQRT(1-2*(J289*1000000/([1]Parametros!$B$5*H289*U289^2))/(0.85*[1]Parametros!$B$2)))*H289*U289)</f>
        <v>815.58333333333326</v>
      </c>
      <c r="S289" s="14">
        <v>5</v>
      </c>
      <c r="T289" s="14">
        <v>1</v>
      </c>
      <c r="U289" s="13">
        <f>IF(T289=1,I289-([1]Parametros!$B$7+[1]Parametros!$B$9+[1]Parametros!$B$12/2),I289-(ROUNDUP(S289/2,0)*([1]Parametros!$B$7+[1]Parametros!$B$9+[1]Parametros!$B$12/2)+ROUNDDOWN(S289/2,0)*([1]Parametros!$B$7+[1]Parametros!$B$9+[1]Parametros!$B$12/2+[1]Parametros!$B$12+[1]Parametros!$B$10))/S289)</f>
        <v>489.35</v>
      </c>
      <c r="V289" s="13">
        <f>S289*[1]Parametros!$B$8</f>
        <v>995</v>
      </c>
      <c r="W289" s="13">
        <f>[1]Parametros!$B$5*V289*[1]Parametros!$B$3*(U289-(V289*[1]Parametros!$B$3/(0.85*[1]Parametros!$B$2*H289))/2)/1000000</f>
        <v>177.44537938235294</v>
      </c>
      <c r="X289" s="13" t="str">
        <f t="shared" si="52"/>
        <v>CUMPLE</v>
      </c>
      <c r="Y289" s="13">
        <f>MAX(MAX(1.4/[1]Parametros!$B$3,0.25*SQRT([1]Parametros!$B$2)/[1]Parametros!$B$3)*H289*AB289,(0.85*[1]Parametros!$B$2/[1]Parametros!$B$3)*(1-SQRT(1-2*(L289*1000000/([1]Parametros!$B$5*H289*AB289^2))/(0.85*[1]Parametros!$B$2)))*H289*AB289)</f>
        <v>815.58333333333326</v>
      </c>
      <c r="Z289" s="14">
        <v>5</v>
      </c>
      <c r="AA289" s="14">
        <v>1</v>
      </c>
      <c r="AB289" s="13">
        <f>IF(AA289=1,I289-([1]Parametros!$B$7+[1]Parametros!$B$9+[1]Parametros!$B$12/2),I289-(ROUNDUP(Z289/2,0)*([1]Parametros!$B$7+[1]Parametros!$B$9+[1]Parametros!$B$12/2)+ROUNDDOWN(Z289/2,0)*([1]Parametros!$B$7+[1]Parametros!$B$9+[1]Parametros!$B$12/2+[1]Parametros!$B$12+[1]Parametros!$B$10))/Z289)</f>
        <v>489.35</v>
      </c>
      <c r="AC289" s="13">
        <f>Z289*[1]Parametros!$B$8</f>
        <v>995</v>
      </c>
      <c r="AD289" s="13">
        <f>[1]Parametros!$B$5*AC289*[1]Parametros!$B$3*(AB289-(AC289*[1]Parametros!$B$3/(0.85*[1]Parametros!$B$2*H289))/2)/1000000</f>
        <v>177.44537938235294</v>
      </c>
      <c r="AE289" s="13" t="str">
        <f t="shared" si="53"/>
        <v>CUMPLE</v>
      </c>
      <c r="AF289" s="13">
        <f>V289*1.25*[1]Parametros!$B$3*(U289-(V289*1.25*[1]Parametros!$B$3/(0.85*[1]Parametros!$B$2*H289))/2)/1000000</f>
        <v>244.15884319852941</v>
      </c>
      <c r="AG289" s="13">
        <f>AC289*1.25*[1]Parametros!$B$3*(AB289-(AC289*1.25*[1]Parametros!$B$3/(0.85*[1]Parametros!$B$2*H289))/2)/1000000</f>
        <v>244.15884319852941</v>
      </c>
      <c r="AH289" s="13">
        <f t="shared" si="54"/>
        <v>248.86784894031143</v>
      </c>
      <c r="AI289" s="13">
        <f t="shared" si="55"/>
        <v>248.86784894031143</v>
      </c>
      <c r="AJ289" s="13">
        <f>0.17*SQRT([1]Parametros!$B$2)*H289*MIN(U289,AB289)/1000</f>
        <v>220.09872869180776</v>
      </c>
      <c r="AK289" s="13">
        <f>MAX(AI289/[1]Parametros!$B$6-AJ289,0)</f>
        <v>111.72506989527415</v>
      </c>
      <c r="AL289" s="13">
        <f>0.66*SQRT([1]Parametros!$B$2)*H289*MIN(U289,AB289)/1000</f>
        <v>854.500946685842</v>
      </c>
      <c r="AM289" s="13" t="str">
        <f t="shared" si="56"/>
        <v>CUMPLE</v>
      </c>
      <c r="AN289" s="13" t="s">
        <v>64</v>
      </c>
      <c r="AO289" s="14">
        <v>2</v>
      </c>
      <c r="AP289" s="13">
        <f>ROUNDDOWN(MIN(IF(BC289+BD289=0,1000000000,AO289*BB289/(BC289+BD289)),MIN(U289,AB289)/4,8*[1]Parametros!$B$12,24*BA289,300,IF(AV289=0,1000000000,2*((H289-2*([1]Parametros!$B$7+[1]Parametros!$B$9/2))+(I289-2*([1]Parametros!$B$7+[1]Parametros!$B$9/2)))/8))/10,0)*10</f>
        <v>120</v>
      </c>
      <c r="AQ289" s="13">
        <f>ROUNDDOWN(MIN(IF(BC289+BD289=0,1000000000,AO289*BB289/(BC289+BD289)),IF(AK289&gt;0.33*SQRT([1]Parametros!$B$2)*H289*MIN(U289,AB289)/1000,MIN(U289,AB289)/4,MIN(U289,AB289)/2),600,IF(AV289=0,1000000000,2*((H289-2*([1]Parametros!$B$7+[1]Parametros!$B$9/2))+(I289-2*([1]Parametros!$B$7+[1]Parametros!$B$9/2)))/8))/10,0)*10</f>
        <v>240</v>
      </c>
      <c r="AR289" s="13">
        <f>[1]Parametros!$B$6*(AJ289+MAX(BE289-BD289,0)*[1]Parametros!$B$4*MIN(U289,AB289)/1000)</f>
        <v>347.47925901885583</v>
      </c>
      <c r="AS289" s="13" t="str">
        <f t="shared" si="57"/>
        <v>CUMPLE</v>
      </c>
      <c r="AT289" s="13">
        <f>[1]Parametros!$B$6*0.083*SQRT([1]Parametros!$B$2)*(H289*I289)^2/(2*(H289+I289))/1000000</f>
        <v>11.862178757598967</v>
      </c>
      <c r="AU289" s="13" t="str">
        <f t="shared" si="58"/>
        <v>DESPRECIABLE</v>
      </c>
      <c r="AV289" s="13">
        <f>IF(Q289&lt;=AT289,0,Q289*1000000/([1]Parametros!$B$6*2*0.85*(H289-2*([1]Parametros!$B$7+[1]Parametros!$B$9/2))*(I289-2*([1]Parametros!$B$7+[1]Parametros!$B$9/2))*[1]Parametros!$B$4))</f>
        <v>0</v>
      </c>
      <c r="AW289" s="13">
        <f>AV289*2*((H289-2*([1]Parametros!$B$7+[1]Parametros!$B$9/2))+(I289-2*([1]Parametros!$B$7+[1]Parametros!$B$9/2)))*[1]Parametros!$B$4/[1]Parametros!$B$3</f>
        <v>0</v>
      </c>
      <c r="AX289" s="14">
        <v>0</v>
      </c>
      <c r="AY289" s="13" t="str">
        <f t="shared" si="59"/>
        <v>DESPRECIABLE</v>
      </c>
      <c r="AZ289" s="13" t="str">
        <f t="shared" si="60"/>
        <v>CUMPLE</v>
      </c>
      <c r="BA289" s="14">
        <v>9.5</v>
      </c>
      <c r="BB289" s="14">
        <v>71</v>
      </c>
      <c r="BC289" s="13">
        <f>MAX(IF(AK289=0,0,AK289*1000/([1]Parametros!$B$4*MIN(U289,AB289))),MAX(0.062*SQRT([1]Parametros!$B$2)*H289/[1]Parametros!$B$4,0.35*H289/[1]Parametros!$B$4))</f>
        <v>0.54360288378302679</v>
      </c>
      <c r="BD289" s="13">
        <f t="shared" si="61"/>
        <v>0</v>
      </c>
      <c r="BE289" s="13">
        <f t="shared" si="62"/>
        <v>1.1833333333333333</v>
      </c>
      <c r="BF289" s="13">
        <f>SQRT((AI289*1000/(H289*MIN(U289,AB289)))^2+(Q289*1000000*2*((H289-2*([1]Parametros!$B$7+[1]Parametros!$B$9/2))+(I289-2*([1]Parametros!$B$7+[1]Parametros!$B$9/2)))/(1.7*((H289-2*([1]Parametros!$B$7+[1]Parametros!$B$9/2))*(I289-2*([1]Parametros!$B$7+[1]Parametros!$B$9/2)))^2))^2)</f>
        <v>1.0313755334316748</v>
      </c>
      <c r="BG289" s="13">
        <f>[1]Parametros!$B$6*(AJ289*1000/(H289*MIN(U289,AB289))+0.66*SQRT([1]Parametros!$B$2))</f>
        <v>3.2939603822754151</v>
      </c>
      <c r="BH289" s="13" t="str">
        <f t="shared" si="63"/>
        <v>CUMPLE</v>
      </c>
      <c r="BI289" s="13">
        <f>AX289*[1]Parametros!$B$8</f>
        <v>0</v>
      </c>
      <c r="BJ289" s="15" t="str">
        <f t="shared" si="64"/>
        <v>CUMPLE</v>
      </c>
    </row>
    <row r="290" spans="1:62" x14ac:dyDescent="0.3">
      <c r="A290" s="43" t="s">
        <v>74</v>
      </c>
      <c r="B290" s="44">
        <v>859</v>
      </c>
      <c r="C290" s="13">
        <v>1</v>
      </c>
      <c r="D290" s="13">
        <v>1.9</v>
      </c>
      <c r="E290" s="13">
        <v>1.9</v>
      </c>
      <c r="F290" s="13">
        <v>500</v>
      </c>
      <c r="G290" s="13">
        <v>550</v>
      </c>
      <c r="H290" s="13">
        <v>500</v>
      </c>
      <c r="I290" s="13">
        <v>550</v>
      </c>
      <c r="J290" s="14">
        <v>94.82</v>
      </c>
      <c r="K290" s="13">
        <v>859</v>
      </c>
      <c r="L290" s="14">
        <v>57.072299999999998</v>
      </c>
      <c r="M290" s="13">
        <v>859</v>
      </c>
      <c r="N290" s="14">
        <v>102.833</v>
      </c>
      <c r="O290" s="14">
        <v>302.36399999999998</v>
      </c>
      <c r="P290" s="13">
        <v>859</v>
      </c>
      <c r="Q290" s="14">
        <v>1.7770999999999999</v>
      </c>
      <c r="R290" s="13">
        <f>MAX(MAX(1.4/[1]Parametros!$B$3,0.25*SQRT([1]Parametros!$B$2)/[1]Parametros!$B$3)*H290*U290,(0.85*[1]Parametros!$B$2/[1]Parametros!$B$3)*(1-SQRT(1-2*(J290*1000000/([1]Parametros!$B$5*H290*U290^2))/(0.85*[1]Parametros!$B$2)))*H290*U290)</f>
        <v>815.58333333333326</v>
      </c>
      <c r="S290" s="14">
        <v>5</v>
      </c>
      <c r="T290" s="14">
        <v>1</v>
      </c>
      <c r="U290" s="13">
        <f>IF(T290=1,I290-([1]Parametros!$B$7+[1]Parametros!$B$9+[1]Parametros!$B$12/2),I290-(ROUNDUP(S290/2,0)*([1]Parametros!$B$7+[1]Parametros!$B$9+[1]Parametros!$B$12/2)+ROUNDDOWN(S290/2,0)*([1]Parametros!$B$7+[1]Parametros!$B$9+[1]Parametros!$B$12/2+[1]Parametros!$B$12+[1]Parametros!$B$10))/S290)</f>
        <v>489.35</v>
      </c>
      <c r="V290" s="13">
        <f>S290*[1]Parametros!$B$8</f>
        <v>995</v>
      </c>
      <c r="W290" s="13">
        <f>[1]Parametros!$B$5*V290*[1]Parametros!$B$3*(U290-(V290*[1]Parametros!$B$3/(0.85*[1]Parametros!$B$2*H290))/2)/1000000</f>
        <v>177.44537938235294</v>
      </c>
      <c r="X290" s="13" t="str">
        <f t="shared" si="52"/>
        <v>CUMPLE</v>
      </c>
      <c r="Y290" s="13">
        <f>MAX(MAX(1.4/[1]Parametros!$B$3,0.25*SQRT([1]Parametros!$B$2)/[1]Parametros!$B$3)*H290*AB290,(0.85*[1]Parametros!$B$2/[1]Parametros!$B$3)*(1-SQRT(1-2*(L290*1000000/([1]Parametros!$B$5*H290*AB290^2))/(0.85*[1]Parametros!$B$2)))*H290*AB290)</f>
        <v>815.58333333333326</v>
      </c>
      <c r="Z290" s="14">
        <v>5</v>
      </c>
      <c r="AA290" s="14">
        <v>1</v>
      </c>
      <c r="AB290" s="13">
        <f>IF(AA290=1,I290-([1]Parametros!$B$7+[1]Parametros!$B$9+[1]Parametros!$B$12/2),I290-(ROUNDUP(Z290/2,0)*([1]Parametros!$B$7+[1]Parametros!$B$9+[1]Parametros!$B$12/2)+ROUNDDOWN(Z290/2,0)*([1]Parametros!$B$7+[1]Parametros!$B$9+[1]Parametros!$B$12/2+[1]Parametros!$B$12+[1]Parametros!$B$10))/Z290)</f>
        <v>489.35</v>
      </c>
      <c r="AC290" s="13">
        <f>Z290*[1]Parametros!$B$8</f>
        <v>995</v>
      </c>
      <c r="AD290" s="13">
        <f>[1]Parametros!$B$5*AC290*[1]Parametros!$B$3*(AB290-(AC290*[1]Parametros!$B$3/(0.85*[1]Parametros!$B$2*H290))/2)/1000000</f>
        <v>177.44537938235294</v>
      </c>
      <c r="AE290" s="13" t="str">
        <f t="shared" si="53"/>
        <v>CUMPLE</v>
      </c>
      <c r="AF290" s="13">
        <f>V290*1.25*[1]Parametros!$B$3*(U290-(V290*1.25*[1]Parametros!$B$3/(0.85*[1]Parametros!$B$2*H290))/2)/1000000</f>
        <v>244.15884319852941</v>
      </c>
      <c r="AG290" s="13">
        <f>AC290*1.25*[1]Parametros!$B$3*(AB290-(AC290*1.25*[1]Parametros!$B$3/(0.85*[1]Parametros!$B$2*H290))/2)/1000000</f>
        <v>244.15884319852941</v>
      </c>
      <c r="AH290" s="13">
        <f t="shared" si="54"/>
        <v>359.84230863003097</v>
      </c>
      <c r="AI290" s="13">
        <f t="shared" si="55"/>
        <v>359.84230863003097</v>
      </c>
      <c r="AJ290" s="13">
        <f>0.17*SQRT([1]Parametros!$B$2)*H290*MIN(U290,AB290)/1000</f>
        <v>220.09872869180776</v>
      </c>
      <c r="AK290" s="13">
        <f>MAX(AI290/[1]Parametros!$B$6-AJ290,0)</f>
        <v>259.69101614823353</v>
      </c>
      <c r="AL290" s="13">
        <f>0.66*SQRT([1]Parametros!$B$2)*H290*MIN(U290,AB290)/1000</f>
        <v>854.500946685842</v>
      </c>
      <c r="AM290" s="13" t="str">
        <f t="shared" si="56"/>
        <v>CUMPLE</v>
      </c>
      <c r="AN290" s="13" t="s">
        <v>64</v>
      </c>
      <c r="AO290" s="14">
        <v>2</v>
      </c>
      <c r="AP290" s="13">
        <f>ROUNDDOWN(MIN(IF(BC290+BD290=0,1000000000,AO290*BB290/(BC290+BD290)),MIN(U290,AB290)/4,8*[1]Parametros!$B$12,24*BA290,300,IF(AV290=0,1000000000,2*((H290-2*([1]Parametros!$B$7+[1]Parametros!$B$9/2))+(I290-2*([1]Parametros!$B$7+[1]Parametros!$B$9/2)))/8))/10,0)*10</f>
        <v>110</v>
      </c>
      <c r="AQ290" s="13">
        <f>ROUNDDOWN(MIN(IF(BC290+BD290=0,1000000000,AO290*BB290/(BC290+BD290)),IF(AK290&gt;0.33*SQRT([1]Parametros!$B$2)*H290*MIN(U290,AB290)/1000,MIN(U290,AB290)/4,MIN(U290,AB290)/2),600,IF(AV290=0,1000000000,2*((H290-2*([1]Parametros!$B$7+[1]Parametros!$B$9/2))+(I290-2*([1]Parametros!$B$7+[1]Parametros!$B$9/2)))/8))/10,0)*10</f>
        <v>110</v>
      </c>
      <c r="AR290" s="13">
        <f>[1]Parametros!$B$6*(AJ290+MAX(BE290-BD290,0)*[1]Parametros!$B$4*MIN(U290,AB290)/1000)</f>
        <v>364.06155106431038</v>
      </c>
      <c r="AS290" s="13" t="str">
        <f t="shared" si="57"/>
        <v>CUMPLE</v>
      </c>
      <c r="AT290" s="13">
        <f>[1]Parametros!$B$6*0.083*SQRT([1]Parametros!$B$2)*(H290*I290)^2/(2*(H290+I290))/1000000</f>
        <v>11.862178757598967</v>
      </c>
      <c r="AU290" s="13" t="str">
        <f t="shared" si="58"/>
        <v>DESPRECIABLE</v>
      </c>
      <c r="AV290" s="13">
        <f>IF(Q290&lt;=AT290,0,Q290*1000000/([1]Parametros!$B$6*2*0.85*(H290-2*([1]Parametros!$B$7+[1]Parametros!$B$9/2))*(I290-2*([1]Parametros!$B$7+[1]Parametros!$B$9/2))*[1]Parametros!$B$4))</f>
        <v>0</v>
      </c>
      <c r="AW290" s="13">
        <f>AV290*2*((H290-2*([1]Parametros!$B$7+[1]Parametros!$B$9/2))+(I290-2*([1]Parametros!$B$7+[1]Parametros!$B$9/2)))*[1]Parametros!$B$4/[1]Parametros!$B$3</f>
        <v>0</v>
      </c>
      <c r="AX290" s="14">
        <v>0</v>
      </c>
      <c r="AY290" s="13" t="str">
        <f t="shared" si="59"/>
        <v>DESPRECIABLE</v>
      </c>
      <c r="AZ290" s="13" t="str">
        <f t="shared" si="60"/>
        <v>CUMPLE</v>
      </c>
      <c r="BA290" s="14">
        <v>9.5</v>
      </c>
      <c r="BB290" s="14">
        <v>71</v>
      </c>
      <c r="BC290" s="13">
        <f>MAX(IF(AK290=0,0,AK290*1000/([1]Parametros!$B$4*MIN(U290,AB290))),MAX(0.062*SQRT([1]Parametros!$B$2)*H290/[1]Parametros!$B$4,0.35*H290/[1]Parametros!$B$4))</f>
        <v>1.2635372294065186</v>
      </c>
      <c r="BD290" s="13">
        <f t="shared" si="61"/>
        <v>0</v>
      </c>
      <c r="BE290" s="13">
        <f t="shared" si="62"/>
        <v>1.290909090909091</v>
      </c>
      <c r="BF290" s="13">
        <f>SQRT((AI290*1000/(H290*MIN(U290,AB290)))^2+(Q290*1000000*2*((H290-2*([1]Parametros!$B$7+[1]Parametros!$B$9/2))+(I290-2*([1]Parametros!$B$7+[1]Parametros!$B$9/2)))/(1.7*((H290-2*([1]Parametros!$B$7+[1]Parametros!$B$9/2))*(I290-2*([1]Parametros!$B$7+[1]Parametros!$B$9/2)))^2))^2)</f>
        <v>1.4716177484911916</v>
      </c>
      <c r="BG290" s="13">
        <f>[1]Parametros!$B$6*(AJ290*1000/(H290*MIN(U290,AB290))+0.66*SQRT([1]Parametros!$B$2))</f>
        <v>3.2939603822754151</v>
      </c>
      <c r="BH290" s="13" t="str">
        <f t="shared" si="63"/>
        <v>CUMPLE</v>
      </c>
      <c r="BI290" s="13">
        <f>AX290*[1]Parametros!$B$8</f>
        <v>0</v>
      </c>
      <c r="BJ290" s="15" t="str">
        <f t="shared" si="64"/>
        <v>CUMPLE</v>
      </c>
    </row>
    <row r="291" spans="1:62" x14ac:dyDescent="0.3">
      <c r="A291" s="43" t="s">
        <v>74</v>
      </c>
      <c r="B291" s="44">
        <v>860</v>
      </c>
      <c r="C291" s="13">
        <v>1</v>
      </c>
      <c r="D291" s="13">
        <v>2</v>
      </c>
      <c r="E291" s="13">
        <v>2</v>
      </c>
      <c r="F291" s="13">
        <v>500</v>
      </c>
      <c r="G291" s="13">
        <v>550</v>
      </c>
      <c r="H291" s="13">
        <v>500</v>
      </c>
      <c r="I291" s="13">
        <v>550</v>
      </c>
      <c r="J291" s="14">
        <v>89.348100000000002</v>
      </c>
      <c r="K291" s="13">
        <v>860</v>
      </c>
      <c r="L291" s="14">
        <v>50.631500000000003</v>
      </c>
      <c r="M291" s="13">
        <v>860</v>
      </c>
      <c r="N291" s="14">
        <v>96.731999999999999</v>
      </c>
      <c r="O291" s="14">
        <v>279.839</v>
      </c>
      <c r="P291" s="13">
        <v>860</v>
      </c>
      <c r="Q291" s="14">
        <v>3.1341000000000001</v>
      </c>
      <c r="R291" s="13">
        <f>MAX(MAX(1.4/[1]Parametros!$B$3,0.25*SQRT([1]Parametros!$B$2)/[1]Parametros!$B$3)*H291*U291,(0.85*[1]Parametros!$B$2/[1]Parametros!$B$3)*(1-SQRT(1-2*(J291*1000000/([1]Parametros!$B$5*H291*U291^2))/(0.85*[1]Parametros!$B$2)))*H291*U291)</f>
        <v>815.58333333333326</v>
      </c>
      <c r="S291" s="14">
        <v>5</v>
      </c>
      <c r="T291" s="14">
        <v>1</v>
      </c>
      <c r="U291" s="13">
        <f>IF(T291=1,I291-([1]Parametros!$B$7+[1]Parametros!$B$9+[1]Parametros!$B$12/2),I291-(ROUNDUP(S291/2,0)*([1]Parametros!$B$7+[1]Parametros!$B$9+[1]Parametros!$B$12/2)+ROUNDDOWN(S291/2,0)*([1]Parametros!$B$7+[1]Parametros!$B$9+[1]Parametros!$B$12/2+[1]Parametros!$B$12+[1]Parametros!$B$10))/S291)</f>
        <v>489.35</v>
      </c>
      <c r="V291" s="13">
        <f>S291*[1]Parametros!$B$8</f>
        <v>995</v>
      </c>
      <c r="W291" s="13">
        <f>[1]Parametros!$B$5*V291*[1]Parametros!$B$3*(U291-(V291*[1]Parametros!$B$3/(0.85*[1]Parametros!$B$2*H291))/2)/1000000</f>
        <v>177.44537938235294</v>
      </c>
      <c r="X291" s="13" t="str">
        <f t="shared" si="52"/>
        <v>CUMPLE</v>
      </c>
      <c r="Y291" s="13">
        <f>MAX(MAX(1.4/[1]Parametros!$B$3,0.25*SQRT([1]Parametros!$B$2)/[1]Parametros!$B$3)*H291*AB291,(0.85*[1]Parametros!$B$2/[1]Parametros!$B$3)*(1-SQRT(1-2*(L291*1000000/([1]Parametros!$B$5*H291*AB291^2))/(0.85*[1]Parametros!$B$2)))*H291*AB291)</f>
        <v>815.58333333333326</v>
      </c>
      <c r="Z291" s="14">
        <v>5</v>
      </c>
      <c r="AA291" s="14">
        <v>1</v>
      </c>
      <c r="AB291" s="13">
        <f>IF(AA291=1,I291-([1]Parametros!$B$7+[1]Parametros!$B$9+[1]Parametros!$B$12/2),I291-(ROUNDUP(Z291/2,0)*([1]Parametros!$B$7+[1]Parametros!$B$9+[1]Parametros!$B$12/2)+ROUNDDOWN(Z291/2,0)*([1]Parametros!$B$7+[1]Parametros!$B$9+[1]Parametros!$B$12/2+[1]Parametros!$B$12+[1]Parametros!$B$10))/Z291)</f>
        <v>489.35</v>
      </c>
      <c r="AC291" s="13">
        <f>Z291*[1]Parametros!$B$8</f>
        <v>995</v>
      </c>
      <c r="AD291" s="13">
        <f>[1]Parametros!$B$5*AC291*[1]Parametros!$B$3*(AB291-(AC291*[1]Parametros!$B$3/(0.85*[1]Parametros!$B$2*H291))/2)/1000000</f>
        <v>177.44537938235294</v>
      </c>
      <c r="AE291" s="13" t="str">
        <f t="shared" si="53"/>
        <v>CUMPLE</v>
      </c>
      <c r="AF291" s="13">
        <f>V291*1.25*[1]Parametros!$B$3*(U291-(V291*1.25*[1]Parametros!$B$3/(0.85*[1]Parametros!$B$2*H291))/2)/1000000</f>
        <v>244.15884319852941</v>
      </c>
      <c r="AG291" s="13">
        <f>AC291*1.25*[1]Parametros!$B$3*(AB291-(AC291*1.25*[1]Parametros!$B$3/(0.85*[1]Parametros!$B$2*H291))/2)/1000000</f>
        <v>244.15884319852941</v>
      </c>
      <c r="AH291" s="13">
        <f t="shared" si="54"/>
        <v>340.89084319852941</v>
      </c>
      <c r="AI291" s="13">
        <f t="shared" si="55"/>
        <v>340.89084319852941</v>
      </c>
      <c r="AJ291" s="13">
        <f>0.17*SQRT([1]Parametros!$B$2)*H291*MIN(U291,AB291)/1000</f>
        <v>220.09872869180776</v>
      </c>
      <c r="AK291" s="13">
        <f>MAX(AI291/[1]Parametros!$B$6-AJ291,0)</f>
        <v>234.4223955728981</v>
      </c>
      <c r="AL291" s="13">
        <f>0.66*SQRT([1]Parametros!$B$2)*H291*MIN(U291,AB291)/1000</f>
        <v>854.500946685842</v>
      </c>
      <c r="AM291" s="13" t="str">
        <f t="shared" si="56"/>
        <v>CUMPLE</v>
      </c>
      <c r="AN291" s="13" t="s">
        <v>64</v>
      </c>
      <c r="AO291" s="14">
        <v>2</v>
      </c>
      <c r="AP291" s="13">
        <f>ROUNDDOWN(MIN(IF(BC291+BD291=0,1000000000,AO291*BB291/(BC291+BD291)),MIN(U291,AB291)/4,8*[1]Parametros!$B$12,24*BA291,300,IF(AV291=0,1000000000,2*((H291-2*([1]Parametros!$B$7+[1]Parametros!$B$9/2))+(I291-2*([1]Parametros!$B$7+[1]Parametros!$B$9/2)))/8))/10,0)*10</f>
        <v>120</v>
      </c>
      <c r="AQ291" s="13">
        <f>ROUNDDOWN(MIN(IF(BC291+BD291=0,1000000000,AO291*BB291/(BC291+BD291)),IF(AK291&gt;0.33*SQRT([1]Parametros!$B$2)*H291*MIN(U291,AB291)/1000,MIN(U291,AB291)/4,MIN(U291,AB291)/2),600,IF(AV291=0,1000000000,2*((H291-2*([1]Parametros!$B$7+[1]Parametros!$B$9/2))+(I291-2*([1]Parametros!$B$7+[1]Parametros!$B$9/2)))/8))/10,0)*10</f>
        <v>120</v>
      </c>
      <c r="AR291" s="13">
        <f>[1]Parametros!$B$6*(AJ291+MAX(BE291-BD291,0)*[1]Parametros!$B$4*MIN(U291,AB291)/1000)</f>
        <v>347.47925901885583</v>
      </c>
      <c r="AS291" s="13" t="str">
        <f t="shared" si="57"/>
        <v>CUMPLE</v>
      </c>
      <c r="AT291" s="13">
        <f>[1]Parametros!$B$6*0.083*SQRT([1]Parametros!$B$2)*(H291*I291)^2/(2*(H291+I291))/1000000</f>
        <v>11.862178757598967</v>
      </c>
      <c r="AU291" s="13" t="str">
        <f t="shared" si="58"/>
        <v>DESPRECIABLE</v>
      </c>
      <c r="AV291" s="13">
        <f>IF(Q291&lt;=AT291,0,Q291*1000000/([1]Parametros!$B$6*2*0.85*(H291-2*([1]Parametros!$B$7+[1]Parametros!$B$9/2))*(I291-2*([1]Parametros!$B$7+[1]Parametros!$B$9/2))*[1]Parametros!$B$4))</f>
        <v>0</v>
      </c>
      <c r="AW291" s="13">
        <f>AV291*2*((H291-2*([1]Parametros!$B$7+[1]Parametros!$B$9/2))+(I291-2*([1]Parametros!$B$7+[1]Parametros!$B$9/2)))*[1]Parametros!$B$4/[1]Parametros!$B$3</f>
        <v>0</v>
      </c>
      <c r="AX291" s="14">
        <v>0</v>
      </c>
      <c r="AY291" s="13" t="str">
        <f t="shared" si="59"/>
        <v>DESPRECIABLE</v>
      </c>
      <c r="AZ291" s="13" t="str">
        <f t="shared" si="60"/>
        <v>CUMPLE</v>
      </c>
      <c r="BA291" s="14">
        <v>9.5</v>
      </c>
      <c r="BB291" s="14">
        <v>71</v>
      </c>
      <c r="BC291" s="13">
        <f>MAX(IF(AK291=0,0,AK291*1000/([1]Parametros!$B$4*MIN(U291,AB291))),MAX(0.062*SQRT([1]Parametros!$B$2)*H291/[1]Parametros!$B$4,0.35*H291/[1]Parametros!$B$4))</f>
        <v>1.1405917255294833</v>
      </c>
      <c r="BD291" s="13">
        <f t="shared" si="61"/>
        <v>0</v>
      </c>
      <c r="BE291" s="13">
        <f t="shared" si="62"/>
        <v>1.1833333333333333</v>
      </c>
      <c r="BF291" s="13">
        <f>SQRT((AI291*1000/(H291*MIN(U291,AB291)))^2+(Q291*1000000*2*((H291-2*([1]Parametros!$B$7+[1]Parametros!$B$9/2))+(I291-2*([1]Parametros!$B$7+[1]Parametros!$B$9/2)))/(1.7*((H291-2*([1]Parametros!$B$7+[1]Parametros!$B$9/2))*(I291-2*([1]Parametros!$B$7+[1]Parametros!$B$9/2)))^2))^2)</f>
        <v>1.3962664840802592</v>
      </c>
      <c r="BG291" s="13">
        <f>[1]Parametros!$B$6*(AJ291*1000/(H291*MIN(U291,AB291))+0.66*SQRT([1]Parametros!$B$2))</f>
        <v>3.2939603822754151</v>
      </c>
      <c r="BH291" s="13" t="str">
        <f t="shared" si="63"/>
        <v>CUMPLE</v>
      </c>
      <c r="BI291" s="13">
        <f>AX291*[1]Parametros!$B$8</f>
        <v>0</v>
      </c>
      <c r="BJ291" s="15" t="str">
        <f t="shared" si="64"/>
        <v>CUMPLE</v>
      </c>
    </row>
    <row r="292" spans="1:62" x14ac:dyDescent="0.3">
      <c r="A292" s="43" t="s">
        <v>74</v>
      </c>
      <c r="B292" s="44">
        <v>861</v>
      </c>
      <c r="C292" s="13">
        <v>1</v>
      </c>
      <c r="D292" s="13">
        <v>3.05</v>
      </c>
      <c r="E292" s="13">
        <v>3.05</v>
      </c>
      <c r="F292" s="13">
        <v>500</v>
      </c>
      <c r="G292" s="13">
        <v>550</v>
      </c>
      <c r="H292" s="13">
        <v>500</v>
      </c>
      <c r="I292" s="13">
        <v>550</v>
      </c>
      <c r="J292" s="14">
        <v>113.3476</v>
      </c>
      <c r="K292" s="13">
        <v>861</v>
      </c>
      <c r="L292" s="14">
        <v>55.062199999999997</v>
      </c>
      <c r="M292" s="13">
        <v>861</v>
      </c>
      <c r="N292" s="14">
        <v>105.688</v>
      </c>
      <c r="O292" s="14">
        <v>269.25099999999998</v>
      </c>
      <c r="P292" s="13">
        <v>861</v>
      </c>
      <c r="Q292" s="14">
        <v>1.2948999999999999</v>
      </c>
      <c r="R292" s="13">
        <f>MAX(MAX(1.4/[1]Parametros!$B$3,0.25*SQRT([1]Parametros!$B$2)/[1]Parametros!$B$3)*H292*U292,(0.85*[1]Parametros!$B$2/[1]Parametros!$B$3)*(1-SQRT(1-2*(J292*1000000/([1]Parametros!$B$5*H292*U292^2))/(0.85*[1]Parametros!$B$2)))*H292*U292)</f>
        <v>815.58333333333326</v>
      </c>
      <c r="S292" s="14">
        <v>5</v>
      </c>
      <c r="T292" s="14">
        <v>1</v>
      </c>
      <c r="U292" s="13">
        <f>IF(T292=1,I292-([1]Parametros!$B$7+[1]Parametros!$B$9+[1]Parametros!$B$12/2),I292-(ROUNDUP(S292/2,0)*([1]Parametros!$B$7+[1]Parametros!$B$9+[1]Parametros!$B$12/2)+ROUNDDOWN(S292/2,0)*([1]Parametros!$B$7+[1]Parametros!$B$9+[1]Parametros!$B$12/2+[1]Parametros!$B$12+[1]Parametros!$B$10))/S292)</f>
        <v>489.35</v>
      </c>
      <c r="V292" s="13">
        <f>S292*[1]Parametros!$B$8</f>
        <v>995</v>
      </c>
      <c r="W292" s="13">
        <f>[1]Parametros!$B$5*V292*[1]Parametros!$B$3*(U292-(V292*[1]Parametros!$B$3/(0.85*[1]Parametros!$B$2*H292))/2)/1000000</f>
        <v>177.44537938235294</v>
      </c>
      <c r="X292" s="13" t="str">
        <f t="shared" si="52"/>
        <v>CUMPLE</v>
      </c>
      <c r="Y292" s="13">
        <f>MAX(MAX(1.4/[1]Parametros!$B$3,0.25*SQRT([1]Parametros!$B$2)/[1]Parametros!$B$3)*H292*AB292,(0.85*[1]Parametros!$B$2/[1]Parametros!$B$3)*(1-SQRT(1-2*(L292*1000000/([1]Parametros!$B$5*H292*AB292^2))/(0.85*[1]Parametros!$B$2)))*H292*AB292)</f>
        <v>815.58333333333326</v>
      </c>
      <c r="Z292" s="14">
        <v>5</v>
      </c>
      <c r="AA292" s="14">
        <v>1</v>
      </c>
      <c r="AB292" s="13">
        <f>IF(AA292=1,I292-([1]Parametros!$B$7+[1]Parametros!$B$9+[1]Parametros!$B$12/2),I292-(ROUNDUP(Z292/2,0)*([1]Parametros!$B$7+[1]Parametros!$B$9+[1]Parametros!$B$12/2)+ROUNDDOWN(Z292/2,0)*([1]Parametros!$B$7+[1]Parametros!$B$9+[1]Parametros!$B$12/2+[1]Parametros!$B$12+[1]Parametros!$B$10))/Z292)</f>
        <v>489.35</v>
      </c>
      <c r="AC292" s="13">
        <f>Z292*[1]Parametros!$B$8</f>
        <v>995</v>
      </c>
      <c r="AD292" s="13">
        <f>[1]Parametros!$B$5*AC292*[1]Parametros!$B$3*(AB292-(AC292*[1]Parametros!$B$3/(0.85*[1]Parametros!$B$2*H292))/2)/1000000</f>
        <v>177.44537938235294</v>
      </c>
      <c r="AE292" s="13" t="str">
        <f t="shared" si="53"/>
        <v>CUMPLE</v>
      </c>
      <c r="AF292" s="13">
        <f>V292*1.25*[1]Parametros!$B$3*(U292-(V292*1.25*[1]Parametros!$B$3/(0.85*[1]Parametros!$B$2*H292))/2)/1000000</f>
        <v>244.15884319852941</v>
      </c>
      <c r="AG292" s="13">
        <f>AC292*1.25*[1]Parametros!$B$3*(AB292-(AC292*1.25*[1]Parametros!$B$3/(0.85*[1]Parametros!$B$2*H292))/2)/1000000</f>
        <v>244.15884319852941</v>
      </c>
      <c r="AH292" s="13">
        <f t="shared" si="54"/>
        <v>265.79215947444555</v>
      </c>
      <c r="AI292" s="13">
        <f t="shared" si="55"/>
        <v>269.25099999999998</v>
      </c>
      <c r="AJ292" s="13">
        <f>0.17*SQRT([1]Parametros!$B$2)*H292*MIN(U292,AB292)/1000</f>
        <v>220.09872869180776</v>
      </c>
      <c r="AK292" s="13">
        <f>MAX(AI292/[1]Parametros!$B$6-AJ292,0)</f>
        <v>138.90260464152556</v>
      </c>
      <c r="AL292" s="13">
        <f>0.66*SQRT([1]Parametros!$B$2)*H292*MIN(U292,AB292)/1000</f>
        <v>854.500946685842</v>
      </c>
      <c r="AM292" s="13" t="str">
        <f t="shared" si="56"/>
        <v>CUMPLE</v>
      </c>
      <c r="AN292" s="13" t="s">
        <v>64</v>
      </c>
      <c r="AO292" s="14">
        <v>2</v>
      </c>
      <c r="AP292" s="13">
        <f>ROUNDDOWN(MIN(IF(BC292+BD292=0,1000000000,AO292*BB292/(BC292+BD292)),MIN(U292,AB292)/4,8*[1]Parametros!$B$12,24*BA292,300,IF(AV292=0,1000000000,2*((H292-2*([1]Parametros!$B$7+[1]Parametros!$B$9/2))+(I292-2*([1]Parametros!$B$7+[1]Parametros!$B$9/2)))/8))/10,0)*10</f>
        <v>120</v>
      </c>
      <c r="AQ292" s="13">
        <f>ROUNDDOWN(MIN(IF(BC292+BD292=0,1000000000,AO292*BB292/(BC292+BD292)),IF(AK292&gt;0.33*SQRT([1]Parametros!$B$2)*H292*MIN(U292,AB292)/1000,MIN(U292,AB292)/4,MIN(U292,AB292)/2),600,IF(AV292=0,1000000000,2*((H292-2*([1]Parametros!$B$7+[1]Parametros!$B$9/2))+(I292-2*([1]Parametros!$B$7+[1]Parametros!$B$9/2)))/8))/10,0)*10</f>
        <v>210</v>
      </c>
      <c r="AR292" s="13">
        <f>[1]Parametros!$B$6*(AJ292+MAX(BE292-BD292,0)*[1]Parametros!$B$4*MIN(U292,AB292)/1000)</f>
        <v>347.47925901885583</v>
      </c>
      <c r="AS292" s="13" t="str">
        <f t="shared" si="57"/>
        <v>CUMPLE</v>
      </c>
      <c r="AT292" s="13">
        <f>[1]Parametros!$B$6*0.083*SQRT([1]Parametros!$B$2)*(H292*I292)^2/(2*(H292+I292))/1000000</f>
        <v>11.862178757598967</v>
      </c>
      <c r="AU292" s="13" t="str">
        <f t="shared" si="58"/>
        <v>DESPRECIABLE</v>
      </c>
      <c r="AV292" s="13">
        <f>IF(Q292&lt;=AT292,0,Q292*1000000/([1]Parametros!$B$6*2*0.85*(H292-2*([1]Parametros!$B$7+[1]Parametros!$B$9/2))*(I292-2*([1]Parametros!$B$7+[1]Parametros!$B$9/2))*[1]Parametros!$B$4))</f>
        <v>0</v>
      </c>
      <c r="AW292" s="13">
        <f>AV292*2*((H292-2*([1]Parametros!$B$7+[1]Parametros!$B$9/2))+(I292-2*([1]Parametros!$B$7+[1]Parametros!$B$9/2)))*[1]Parametros!$B$4/[1]Parametros!$B$3</f>
        <v>0</v>
      </c>
      <c r="AX292" s="14">
        <v>0</v>
      </c>
      <c r="AY292" s="13" t="str">
        <f t="shared" si="59"/>
        <v>DESPRECIABLE</v>
      </c>
      <c r="AZ292" s="13" t="str">
        <f t="shared" si="60"/>
        <v>CUMPLE</v>
      </c>
      <c r="BA292" s="14">
        <v>9.5</v>
      </c>
      <c r="BB292" s="14">
        <v>71</v>
      </c>
      <c r="BC292" s="13">
        <f>MAX(IF(AK292=0,0,AK292*1000/([1]Parametros!$B$4*MIN(U292,AB292))),MAX(0.062*SQRT([1]Parametros!$B$2)*H292/[1]Parametros!$B$4,0.35*H292/[1]Parametros!$B$4))</f>
        <v>0.67583628740518553</v>
      </c>
      <c r="BD292" s="13">
        <f t="shared" si="61"/>
        <v>0</v>
      </c>
      <c r="BE292" s="13">
        <f t="shared" si="62"/>
        <v>1.1833333333333333</v>
      </c>
      <c r="BF292" s="13">
        <f>SQRT((AI292*1000/(H292*MIN(U292,AB292)))^2+(Q292*1000000*2*((H292-2*([1]Parametros!$B$7+[1]Parametros!$B$9/2))+(I292-2*([1]Parametros!$B$7+[1]Parametros!$B$9/2)))/(1.7*((H292-2*([1]Parametros!$B$7+[1]Parametros!$B$9/2))*(I292-2*([1]Parametros!$B$7+[1]Parametros!$B$9/2)))^2))^2)</f>
        <v>1.1010981957114736</v>
      </c>
      <c r="BG292" s="13">
        <f>[1]Parametros!$B$6*(AJ292*1000/(H292*MIN(U292,AB292))+0.66*SQRT([1]Parametros!$B$2))</f>
        <v>3.2939603822754151</v>
      </c>
      <c r="BH292" s="13" t="str">
        <f t="shared" si="63"/>
        <v>CUMPLE</v>
      </c>
      <c r="BI292" s="13">
        <f>AX292*[1]Parametros!$B$8</f>
        <v>0</v>
      </c>
      <c r="BJ292" s="15" t="str">
        <f t="shared" si="64"/>
        <v>CUMPLE</v>
      </c>
    </row>
    <row r="293" spans="1:62" x14ac:dyDescent="0.3">
      <c r="A293" s="43" t="s">
        <v>74</v>
      </c>
      <c r="B293" s="44">
        <v>862</v>
      </c>
      <c r="C293" s="13">
        <v>1</v>
      </c>
      <c r="D293" s="13">
        <v>2</v>
      </c>
      <c r="E293" s="13">
        <v>2</v>
      </c>
      <c r="F293" s="13">
        <v>500</v>
      </c>
      <c r="G293" s="13">
        <v>550</v>
      </c>
      <c r="H293" s="13">
        <v>500</v>
      </c>
      <c r="I293" s="13">
        <v>550</v>
      </c>
      <c r="J293" s="14">
        <v>95.396600000000007</v>
      </c>
      <c r="K293" s="13">
        <v>862</v>
      </c>
      <c r="L293" s="14">
        <v>48.795900000000003</v>
      </c>
      <c r="M293" s="13">
        <v>862</v>
      </c>
      <c r="N293" s="14">
        <v>100.371</v>
      </c>
      <c r="O293" s="14">
        <v>238.90299999999999</v>
      </c>
      <c r="P293" s="13">
        <v>862</v>
      </c>
      <c r="Q293" s="14">
        <v>2.5640999999999998</v>
      </c>
      <c r="R293" s="13">
        <f>MAX(MAX(1.4/[1]Parametros!$B$3,0.25*SQRT([1]Parametros!$B$2)/[1]Parametros!$B$3)*H293*U293,(0.85*[1]Parametros!$B$2/[1]Parametros!$B$3)*(1-SQRT(1-2*(J293*1000000/([1]Parametros!$B$5*H293*U293^2))/(0.85*[1]Parametros!$B$2)))*H293*U293)</f>
        <v>815.58333333333326</v>
      </c>
      <c r="S293" s="14">
        <v>5</v>
      </c>
      <c r="T293" s="14">
        <v>1</v>
      </c>
      <c r="U293" s="13">
        <f>IF(T293=1,I293-([1]Parametros!$B$7+[1]Parametros!$B$9+[1]Parametros!$B$12/2),I293-(ROUNDUP(S293/2,0)*([1]Parametros!$B$7+[1]Parametros!$B$9+[1]Parametros!$B$12/2)+ROUNDDOWN(S293/2,0)*([1]Parametros!$B$7+[1]Parametros!$B$9+[1]Parametros!$B$12/2+[1]Parametros!$B$12+[1]Parametros!$B$10))/S293)</f>
        <v>489.35</v>
      </c>
      <c r="V293" s="13">
        <f>S293*[1]Parametros!$B$8</f>
        <v>995</v>
      </c>
      <c r="W293" s="13">
        <f>[1]Parametros!$B$5*V293*[1]Parametros!$B$3*(U293-(V293*[1]Parametros!$B$3/(0.85*[1]Parametros!$B$2*H293))/2)/1000000</f>
        <v>177.44537938235294</v>
      </c>
      <c r="X293" s="13" t="str">
        <f t="shared" si="52"/>
        <v>CUMPLE</v>
      </c>
      <c r="Y293" s="13">
        <f>MAX(MAX(1.4/[1]Parametros!$B$3,0.25*SQRT([1]Parametros!$B$2)/[1]Parametros!$B$3)*H293*AB293,(0.85*[1]Parametros!$B$2/[1]Parametros!$B$3)*(1-SQRT(1-2*(L293*1000000/([1]Parametros!$B$5*H293*AB293^2))/(0.85*[1]Parametros!$B$2)))*H293*AB293)</f>
        <v>815.58333333333326</v>
      </c>
      <c r="Z293" s="14">
        <v>5</v>
      </c>
      <c r="AA293" s="14">
        <v>1</v>
      </c>
      <c r="AB293" s="13">
        <f>IF(AA293=1,I293-([1]Parametros!$B$7+[1]Parametros!$B$9+[1]Parametros!$B$12/2),I293-(ROUNDUP(Z293/2,0)*([1]Parametros!$B$7+[1]Parametros!$B$9+[1]Parametros!$B$12/2)+ROUNDDOWN(Z293/2,0)*([1]Parametros!$B$7+[1]Parametros!$B$9+[1]Parametros!$B$12/2+[1]Parametros!$B$12+[1]Parametros!$B$10))/Z293)</f>
        <v>489.35</v>
      </c>
      <c r="AC293" s="13">
        <f>Z293*[1]Parametros!$B$8</f>
        <v>995</v>
      </c>
      <c r="AD293" s="13">
        <f>[1]Parametros!$B$5*AC293*[1]Parametros!$B$3*(AB293-(AC293*[1]Parametros!$B$3/(0.85*[1]Parametros!$B$2*H293))/2)/1000000</f>
        <v>177.44537938235294</v>
      </c>
      <c r="AE293" s="13" t="str">
        <f t="shared" si="53"/>
        <v>CUMPLE</v>
      </c>
      <c r="AF293" s="13">
        <f>V293*1.25*[1]Parametros!$B$3*(U293-(V293*1.25*[1]Parametros!$B$3/(0.85*[1]Parametros!$B$2*H293))/2)/1000000</f>
        <v>244.15884319852941</v>
      </c>
      <c r="AG293" s="13">
        <f>AC293*1.25*[1]Parametros!$B$3*(AB293-(AC293*1.25*[1]Parametros!$B$3/(0.85*[1]Parametros!$B$2*H293))/2)/1000000</f>
        <v>244.15884319852941</v>
      </c>
      <c r="AH293" s="13">
        <f t="shared" si="54"/>
        <v>344.52984319852942</v>
      </c>
      <c r="AI293" s="13">
        <f t="shared" si="55"/>
        <v>344.52984319852942</v>
      </c>
      <c r="AJ293" s="13">
        <f>0.17*SQRT([1]Parametros!$B$2)*H293*MIN(U293,AB293)/1000</f>
        <v>220.09872869180776</v>
      </c>
      <c r="AK293" s="13">
        <f>MAX(AI293/[1]Parametros!$B$6-AJ293,0)</f>
        <v>239.27439557289813</v>
      </c>
      <c r="AL293" s="13">
        <f>0.66*SQRT([1]Parametros!$B$2)*H293*MIN(U293,AB293)/1000</f>
        <v>854.500946685842</v>
      </c>
      <c r="AM293" s="13" t="str">
        <f t="shared" si="56"/>
        <v>CUMPLE</v>
      </c>
      <c r="AN293" s="13" t="s">
        <v>64</v>
      </c>
      <c r="AO293" s="14">
        <v>2</v>
      </c>
      <c r="AP293" s="13">
        <f>ROUNDDOWN(MIN(IF(BC293+BD293=0,1000000000,AO293*BB293/(BC293+BD293)),MIN(U293,AB293)/4,8*[1]Parametros!$B$12,24*BA293,300,IF(AV293=0,1000000000,2*((H293-2*([1]Parametros!$B$7+[1]Parametros!$B$9/2))+(I293-2*([1]Parametros!$B$7+[1]Parametros!$B$9/2)))/8))/10,0)*10</f>
        <v>120</v>
      </c>
      <c r="AQ293" s="13">
        <f>ROUNDDOWN(MIN(IF(BC293+BD293=0,1000000000,AO293*BB293/(BC293+BD293)),IF(AK293&gt;0.33*SQRT([1]Parametros!$B$2)*H293*MIN(U293,AB293)/1000,MIN(U293,AB293)/4,MIN(U293,AB293)/2),600,IF(AV293=0,1000000000,2*((H293-2*([1]Parametros!$B$7+[1]Parametros!$B$9/2))+(I293-2*([1]Parametros!$B$7+[1]Parametros!$B$9/2)))/8))/10,0)*10</f>
        <v>120</v>
      </c>
      <c r="AR293" s="13">
        <f>[1]Parametros!$B$6*(AJ293+MAX(BE293-BD293,0)*[1]Parametros!$B$4*MIN(U293,AB293)/1000)</f>
        <v>347.47925901885583</v>
      </c>
      <c r="AS293" s="13" t="str">
        <f t="shared" si="57"/>
        <v>CUMPLE</v>
      </c>
      <c r="AT293" s="13">
        <f>[1]Parametros!$B$6*0.083*SQRT([1]Parametros!$B$2)*(H293*I293)^2/(2*(H293+I293))/1000000</f>
        <v>11.862178757598967</v>
      </c>
      <c r="AU293" s="13" t="str">
        <f t="shared" si="58"/>
        <v>DESPRECIABLE</v>
      </c>
      <c r="AV293" s="13">
        <f>IF(Q293&lt;=AT293,0,Q293*1000000/([1]Parametros!$B$6*2*0.85*(H293-2*([1]Parametros!$B$7+[1]Parametros!$B$9/2))*(I293-2*([1]Parametros!$B$7+[1]Parametros!$B$9/2))*[1]Parametros!$B$4))</f>
        <v>0</v>
      </c>
      <c r="AW293" s="13">
        <f>AV293*2*((H293-2*([1]Parametros!$B$7+[1]Parametros!$B$9/2))+(I293-2*([1]Parametros!$B$7+[1]Parametros!$B$9/2)))*[1]Parametros!$B$4/[1]Parametros!$B$3</f>
        <v>0</v>
      </c>
      <c r="AX293" s="14">
        <v>0</v>
      </c>
      <c r="AY293" s="13" t="str">
        <f t="shared" si="59"/>
        <v>DESPRECIABLE</v>
      </c>
      <c r="AZ293" s="13" t="str">
        <f t="shared" si="60"/>
        <v>CUMPLE</v>
      </c>
      <c r="BA293" s="14">
        <v>9.5</v>
      </c>
      <c r="BB293" s="14">
        <v>71</v>
      </c>
      <c r="BC293" s="13">
        <f>MAX(IF(AK293=0,0,AK293*1000/([1]Parametros!$B$4*MIN(U293,AB293))),MAX(0.062*SQRT([1]Parametros!$B$2)*H293/[1]Parametros!$B$4,0.35*H293/[1]Parametros!$B$4))</f>
        <v>1.1641993293966151</v>
      </c>
      <c r="BD293" s="13">
        <f t="shared" si="61"/>
        <v>0</v>
      </c>
      <c r="BE293" s="13">
        <f t="shared" si="62"/>
        <v>1.1833333333333333</v>
      </c>
      <c r="BF293" s="13">
        <f>SQRT((AI293*1000/(H293*MIN(U293,AB293)))^2+(Q293*1000000*2*((H293-2*([1]Parametros!$B$7+[1]Parametros!$B$9/2))+(I293-2*([1]Parametros!$B$7+[1]Parametros!$B$9/2)))/(1.7*((H293-2*([1]Parametros!$B$7+[1]Parametros!$B$9/2))*(I293-2*([1]Parametros!$B$7+[1]Parametros!$B$9/2)))^2))^2)</f>
        <v>1.4101176665004869</v>
      </c>
      <c r="BG293" s="13">
        <f>[1]Parametros!$B$6*(AJ293*1000/(H293*MIN(U293,AB293))+0.66*SQRT([1]Parametros!$B$2))</f>
        <v>3.2939603822754151</v>
      </c>
      <c r="BH293" s="13" t="str">
        <f t="shared" si="63"/>
        <v>CUMPLE</v>
      </c>
      <c r="BI293" s="13">
        <f>AX293*[1]Parametros!$B$8</f>
        <v>0</v>
      </c>
      <c r="BJ293" s="15" t="str">
        <f t="shared" si="64"/>
        <v>CUMPLE</v>
      </c>
    </row>
    <row r="294" spans="1:62" x14ac:dyDescent="0.3">
      <c r="A294" s="43" t="s">
        <v>74</v>
      </c>
      <c r="B294" s="44">
        <v>897</v>
      </c>
      <c r="C294" s="13">
        <v>1</v>
      </c>
      <c r="D294" s="13">
        <v>2</v>
      </c>
      <c r="E294" s="13">
        <v>2</v>
      </c>
      <c r="F294" s="13">
        <v>500</v>
      </c>
      <c r="G294" s="13">
        <v>550</v>
      </c>
      <c r="H294" s="13">
        <v>500</v>
      </c>
      <c r="I294" s="13">
        <v>550</v>
      </c>
      <c r="J294" s="14">
        <v>95.243799999999993</v>
      </c>
      <c r="K294" s="13">
        <v>897</v>
      </c>
      <c r="L294" s="14">
        <v>48.664499999999997</v>
      </c>
      <c r="M294" s="13">
        <v>897</v>
      </c>
      <c r="N294" s="14">
        <v>100.262</v>
      </c>
      <c r="O294" s="14">
        <v>238.78899999999999</v>
      </c>
      <c r="P294" s="13">
        <v>897</v>
      </c>
      <c r="Q294" s="14">
        <v>2.5653999999999999</v>
      </c>
      <c r="R294" s="13">
        <f>MAX(MAX(1.4/[1]Parametros!$B$3,0.25*SQRT([1]Parametros!$B$2)/[1]Parametros!$B$3)*H294*U294,(0.85*[1]Parametros!$B$2/[1]Parametros!$B$3)*(1-SQRT(1-2*(J294*1000000/([1]Parametros!$B$5*H294*U294^2))/(0.85*[1]Parametros!$B$2)))*H294*U294)</f>
        <v>815.58333333333326</v>
      </c>
      <c r="S294" s="14">
        <v>5</v>
      </c>
      <c r="T294" s="14">
        <v>1</v>
      </c>
      <c r="U294" s="13">
        <f>IF(T294=1,I294-([1]Parametros!$B$7+[1]Parametros!$B$9+[1]Parametros!$B$12/2),I294-(ROUNDUP(S294/2,0)*([1]Parametros!$B$7+[1]Parametros!$B$9+[1]Parametros!$B$12/2)+ROUNDDOWN(S294/2,0)*([1]Parametros!$B$7+[1]Parametros!$B$9+[1]Parametros!$B$12/2+[1]Parametros!$B$12+[1]Parametros!$B$10))/S294)</f>
        <v>489.35</v>
      </c>
      <c r="V294" s="13">
        <f>S294*[1]Parametros!$B$8</f>
        <v>995</v>
      </c>
      <c r="W294" s="13">
        <f>[1]Parametros!$B$5*V294*[1]Parametros!$B$3*(U294-(V294*[1]Parametros!$B$3/(0.85*[1]Parametros!$B$2*H294))/2)/1000000</f>
        <v>177.44537938235294</v>
      </c>
      <c r="X294" s="13" t="str">
        <f t="shared" si="52"/>
        <v>CUMPLE</v>
      </c>
      <c r="Y294" s="13">
        <f>MAX(MAX(1.4/[1]Parametros!$B$3,0.25*SQRT([1]Parametros!$B$2)/[1]Parametros!$B$3)*H294*AB294,(0.85*[1]Parametros!$B$2/[1]Parametros!$B$3)*(1-SQRT(1-2*(L294*1000000/([1]Parametros!$B$5*H294*AB294^2))/(0.85*[1]Parametros!$B$2)))*H294*AB294)</f>
        <v>815.58333333333326</v>
      </c>
      <c r="Z294" s="14">
        <v>5</v>
      </c>
      <c r="AA294" s="14">
        <v>1</v>
      </c>
      <c r="AB294" s="13">
        <f>IF(AA294=1,I294-([1]Parametros!$B$7+[1]Parametros!$B$9+[1]Parametros!$B$12/2),I294-(ROUNDUP(Z294/2,0)*([1]Parametros!$B$7+[1]Parametros!$B$9+[1]Parametros!$B$12/2)+ROUNDDOWN(Z294/2,0)*([1]Parametros!$B$7+[1]Parametros!$B$9+[1]Parametros!$B$12/2+[1]Parametros!$B$12+[1]Parametros!$B$10))/Z294)</f>
        <v>489.35</v>
      </c>
      <c r="AC294" s="13">
        <f>Z294*[1]Parametros!$B$8</f>
        <v>995</v>
      </c>
      <c r="AD294" s="13">
        <f>[1]Parametros!$B$5*AC294*[1]Parametros!$B$3*(AB294-(AC294*[1]Parametros!$B$3/(0.85*[1]Parametros!$B$2*H294))/2)/1000000</f>
        <v>177.44537938235294</v>
      </c>
      <c r="AE294" s="13" t="str">
        <f t="shared" si="53"/>
        <v>CUMPLE</v>
      </c>
      <c r="AF294" s="13">
        <f>V294*1.25*[1]Parametros!$B$3*(U294-(V294*1.25*[1]Parametros!$B$3/(0.85*[1]Parametros!$B$2*H294))/2)/1000000</f>
        <v>244.15884319852941</v>
      </c>
      <c r="AG294" s="13">
        <f>AC294*1.25*[1]Parametros!$B$3*(AB294-(AC294*1.25*[1]Parametros!$B$3/(0.85*[1]Parametros!$B$2*H294))/2)/1000000</f>
        <v>244.15884319852941</v>
      </c>
      <c r="AH294" s="13">
        <f t="shared" si="54"/>
        <v>344.42084319852938</v>
      </c>
      <c r="AI294" s="13">
        <f t="shared" si="55"/>
        <v>344.42084319852938</v>
      </c>
      <c r="AJ294" s="13">
        <f>0.17*SQRT([1]Parametros!$B$2)*H294*MIN(U294,AB294)/1000</f>
        <v>220.09872869180776</v>
      </c>
      <c r="AK294" s="13">
        <f>MAX(AI294/[1]Parametros!$B$6-AJ294,0)</f>
        <v>239.12906223956475</v>
      </c>
      <c r="AL294" s="13">
        <f>0.66*SQRT([1]Parametros!$B$2)*H294*MIN(U294,AB294)/1000</f>
        <v>854.500946685842</v>
      </c>
      <c r="AM294" s="13" t="str">
        <f t="shared" si="56"/>
        <v>CUMPLE</v>
      </c>
      <c r="AN294" s="13" t="s">
        <v>64</v>
      </c>
      <c r="AO294" s="14">
        <v>2</v>
      </c>
      <c r="AP294" s="13">
        <f>ROUNDDOWN(MIN(IF(BC294+BD294=0,1000000000,AO294*BB294/(BC294+BD294)),MIN(U294,AB294)/4,8*[1]Parametros!$B$12,24*BA294,300,IF(AV294=0,1000000000,2*((H294-2*([1]Parametros!$B$7+[1]Parametros!$B$9/2))+(I294-2*([1]Parametros!$B$7+[1]Parametros!$B$9/2)))/8))/10,0)*10</f>
        <v>120</v>
      </c>
      <c r="AQ294" s="13">
        <f>ROUNDDOWN(MIN(IF(BC294+BD294=0,1000000000,AO294*BB294/(BC294+BD294)),IF(AK294&gt;0.33*SQRT([1]Parametros!$B$2)*H294*MIN(U294,AB294)/1000,MIN(U294,AB294)/4,MIN(U294,AB294)/2),600,IF(AV294=0,1000000000,2*((H294-2*([1]Parametros!$B$7+[1]Parametros!$B$9/2))+(I294-2*([1]Parametros!$B$7+[1]Parametros!$B$9/2)))/8))/10,0)*10</f>
        <v>120</v>
      </c>
      <c r="AR294" s="13">
        <f>[1]Parametros!$B$6*(AJ294+MAX(BE294-BD294,0)*[1]Parametros!$B$4*MIN(U294,AB294)/1000)</f>
        <v>347.47925901885583</v>
      </c>
      <c r="AS294" s="13" t="str">
        <f t="shared" si="57"/>
        <v>CUMPLE</v>
      </c>
      <c r="AT294" s="13">
        <f>[1]Parametros!$B$6*0.083*SQRT([1]Parametros!$B$2)*(H294*I294)^2/(2*(H294+I294))/1000000</f>
        <v>11.862178757598967</v>
      </c>
      <c r="AU294" s="13" t="str">
        <f t="shared" si="58"/>
        <v>DESPRECIABLE</v>
      </c>
      <c r="AV294" s="13">
        <f>IF(Q294&lt;=AT294,0,Q294*1000000/([1]Parametros!$B$6*2*0.85*(H294-2*([1]Parametros!$B$7+[1]Parametros!$B$9/2))*(I294-2*([1]Parametros!$B$7+[1]Parametros!$B$9/2))*[1]Parametros!$B$4))</f>
        <v>0</v>
      </c>
      <c r="AW294" s="13">
        <f>AV294*2*((H294-2*([1]Parametros!$B$7+[1]Parametros!$B$9/2))+(I294-2*([1]Parametros!$B$7+[1]Parametros!$B$9/2)))*[1]Parametros!$B$4/[1]Parametros!$B$3</f>
        <v>0</v>
      </c>
      <c r="AX294" s="14">
        <v>0</v>
      </c>
      <c r="AY294" s="13" t="str">
        <f t="shared" si="59"/>
        <v>DESPRECIABLE</v>
      </c>
      <c r="AZ294" s="13" t="str">
        <f t="shared" si="60"/>
        <v>CUMPLE</v>
      </c>
      <c r="BA294" s="14">
        <v>9.5</v>
      </c>
      <c r="BB294" s="14">
        <v>71</v>
      </c>
      <c r="BC294" s="13">
        <f>MAX(IF(AK294=0,0,AK294*1000/([1]Parametros!$B$4*MIN(U294,AB294))),MAX(0.062*SQRT([1]Parametros!$B$2)*H294/[1]Parametros!$B$4,0.35*H294/[1]Parametros!$B$4))</f>
        <v>1.1634922041365112</v>
      </c>
      <c r="BD294" s="13">
        <f t="shared" si="61"/>
        <v>0</v>
      </c>
      <c r="BE294" s="13">
        <f t="shared" si="62"/>
        <v>1.1833333333333333</v>
      </c>
      <c r="BF294" s="13">
        <f>SQRT((AI294*1000/(H294*MIN(U294,AB294)))^2+(Q294*1000000*2*((H294-2*([1]Parametros!$B$7+[1]Parametros!$B$9/2))+(I294-2*([1]Parametros!$B$7+[1]Parametros!$B$9/2)))/(1.7*((H294-2*([1]Parametros!$B$7+[1]Parametros!$B$9/2))*(I294-2*([1]Parametros!$B$7+[1]Parametros!$B$9/2)))^2))^2)</f>
        <v>1.4096748446649792</v>
      </c>
      <c r="BG294" s="13">
        <f>[1]Parametros!$B$6*(AJ294*1000/(H294*MIN(U294,AB294))+0.66*SQRT([1]Parametros!$B$2))</f>
        <v>3.2939603822754151</v>
      </c>
      <c r="BH294" s="13" t="str">
        <f t="shared" si="63"/>
        <v>CUMPLE</v>
      </c>
      <c r="BI294" s="13">
        <f>AX294*[1]Parametros!$B$8</f>
        <v>0</v>
      </c>
      <c r="BJ294" s="15" t="str">
        <f t="shared" si="64"/>
        <v>CUMPLE</v>
      </c>
    </row>
    <row r="295" spans="1:62" x14ac:dyDescent="0.3">
      <c r="A295" s="43" t="s">
        <v>74</v>
      </c>
      <c r="B295" s="44">
        <v>898</v>
      </c>
      <c r="C295" s="13">
        <v>1</v>
      </c>
      <c r="D295" s="13">
        <v>3.05</v>
      </c>
      <c r="E295" s="13">
        <v>3.05</v>
      </c>
      <c r="F295" s="13">
        <v>500</v>
      </c>
      <c r="G295" s="13">
        <v>550</v>
      </c>
      <c r="H295" s="13">
        <v>500</v>
      </c>
      <c r="I295" s="13">
        <v>550</v>
      </c>
      <c r="J295" s="14">
        <v>113.1795</v>
      </c>
      <c r="K295" s="13">
        <v>898</v>
      </c>
      <c r="L295" s="14">
        <v>54.969299999999997</v>
      </c>
      <c r="M295" s="13">
        <v>898</v>
      </c>
      <c r="N295" s="14">
        <v>105.59699999999999</v>
      </c>
      <c r="O295" s="14">
        <v>269.16500000000002</v>
      </c>
      <c r="P295" s="13">
        <v>898</v>
      </c>
      <c r="Q295" s="14">
        <v>1.2945</v>
      </c>
      <c r="R295" s="13">
        <f>MAX(MAX(1.4/[1]Parametros!$B$3,0.25*SQRT([1]Parametros!$B$2)/[1]Parametros!$B$3)*H295*U295,(0.85*[1]Parametros!$B$2/[1]Parametros!$B$3)*(1-SQRT(1-2*(J295*1000000/([1]Parametros!$B$5*H295*U295^2))/(0.85*[1]Parametros!$B$2)))*H295*U295)</f>
        <v>815.58333333333326</v>
      </c>
      <c r="S295" s="14">
        <v>5</v>
      </c>
      <c r="T295" s="14">
        <v>1</v>
      </c>
      <c r="U295" s="13">
        <f>IF(T295=1,I295-([1]Parametros!$B$7+[1]Parametros!$B$9+[1]Parametros!$B$12/2),I295-(ROUNDUP(S295/2,0)*([1]Parametros!$B$7+[1]Parametros!$B$9+[1]Parametros!$B$12/2)+ROUNDDOWN(S295/2,0)*([1]Parametros!$B$7+[1]Parametros!$B$9+[1]Parametros!$B$12/2+[1]Parametros!$B$12+[1]Parametros!$B$10))/S295)</f>
        <v>489.35</v>
      </c>
      <c r="V295" s="13">
        <f>S295*[1]Parametros!$B$8</f>
        <v>995</v>
      </c>
      <c r="W295" s="13">
        <f>[1]Parametros!$B$5*V295*[1]Parametros!$B$3*(U295-(V295*[1]Parametros!$B$3/(0.85*[1]Parametros!$B$2*H295))/2)/1000000</f>
        <v>177.44537938235294</v>
      </c>
      <c r="X295" s="13" t="str">
        <f t="shared" si="52"/>
        <v>CUMPLE</v>
      </c>
      <c r="Y295" s="13">
        <f>MAX(MAX(1.4/[1]Parametros!$B$3,0.25*SQRT([1]Parametros!$B$2)/[1]Parametros!$B$3)*H295*AB295,(0.85*[1]Parametros!$B$2/[1]Parametros!$B$3)*(1-SQRT(1-2*(L295*1000000/([1]Parametros!$B$5*H295*AB295^2))/(0.85*[1]Parametros!$B$2)))*H295*AB295)</f>
        <v>815.58333333333326</v>
      </c>
      <c r="Z295" s="14">
        <v>5</v>
      </c>
      <c r="AA295" s="14">
        <v>1</v>
      </c>
      <c r="AB295" s="13">
        <f>IF(AA295=1,I295-([1]Parametros!$B$7+[1]Parametros!$B$9+[1]Parametros!$B$12/2),I295-(ROUNDUP(Z295/2,0)*([1]Parametros!$B$7+[1]Parametros!$B$9+[1]Parametros!$B$12/2)+ROUNDDOWN(Z295/2,0)*([1]Parametros!$B$7+[1]Parametros!$B$9+[1]Parametros!$B$12/2+[1]Parametros!$B$12+[1]Parametros!$B$10))/Z295)</f>
        <v>489.35</v>
      </c>
      <c r="AC295" s="13">
        <f>Z295*[1]Parametros!$B$8</f>
        <v>995</v>
      </c>
      <c r="AD295" s="13">
        <f>[1]Parametros!$B$5*AC295*[1]Parametros!$B$3*(AB295-(AC295*[1]Parametros!$B$3/(0.85*[1]Parametros!$B$2*H295))/2)/1000000</f>
        <v>177.44537938235294</v>
      </c>
      <c r="AE295" s="13" t="str">
        <f t="shared" si="53"/>
        <v>CUMPLE</v>
      </c>
      <c r="AF295" s="13">
        <f>V295*1.25*[1]Parametros!$B$3*(U295-(V295*1.25*[1]Parametros!$B$3/(0.85*[1]Parametros!$B$2*H295))/2)/1000000</f>
        <v>244.15884319852941</v>
      </c>
      <c r="AG295" s="13">
        <f>AC295*1.25*[1]Parametros!$B$3*(AB295-(AC295*1.25*[1]Parametros!$B$3/(0.85*[1]Parametros!$B$2*H295))/2)/1000000</f>
        <v>244.15884319852941</v>
      </c>
      <c r="AH295" s="13">
        <f t="shared" si="54"/>
        <v>265.70115947444555</v>
      </c>
      <c r="AI295" s="13">
        <f t="shared" si="55"/>
        <v>269.16500000000002</v>
      </c>
      <c r="AJ295" s="13">
        <f>0.17*SQRT([1]Parametros!$B$2)*H295*MIN(U295,AB295)/1000</f>
        <v>220.09872869180776</v>
      </c>
      <c r="AK295" s="13">
        <f>MAX(AI295/[1]Parametros!$B$6-AJ295,0)</f>
        <v>138.78793797485895</v>
      </c>
      <c r="AL295" s="13">
        <f>0.66*SQRT([1]Parametros!$B$2)*H295*MIN(U295,AB295)/1000</f>
        <v>854.500946685842</v>
      </c>
      <c r="AM295" s="13" t="str">
        <f t="shared" si="56"/>
        <v>CUMPLE</v>
      </c>
      <c r="AN295" s="13" t="s">
        <v>64</v>
      </c>
      <c r="AO295" s="14">
        <v>2</v>
      </c>
      <c r="AP295" s="13">
        <f>ROUNDDOWN(MIN(IF(BC295+BD295=0,1000000000,AO295*BB295/(BC295+BD295)),MIN(U295,AB295)/4,8*[1]Parametros!$B$12,24*BA295,300,IF(AV295=0,1000000000,2*((H295-2*([1]Parametros!$B$7+[1]Parametros!$B$9/2))+(I295-2*([1]Parametros!$B$7+[1]Parametros!$B$9/2)))/8))/10,0)*10</f>
        <v>120</v>
      </c>
      <c r="AQ295" s="13">
        <f>ROUNDDOWN(MIN(IF(BC295+BD295=0,1000000000,AO295*BB295/(BC295+BD295)),IF(AK295&gt;0.33*SQRT([1]Parametros!$B$2)*H295*MIN(U295,AB295)/1000,MIN(U295,AB295)/4,MIN(U295,AB295)/2),600,IF(AV295=0,1000000000,2*((H295-2*([1]Parametros!$B$7+[1]Parametros!$B$9/2))+(I295-2*([1]Parametros!$B$7+[1]Parametros!$B$9/2)))/8))/10,0)*10</f>
        <v>210</v>
      </c>
      <c r="AR295" s="13">
        <f>[1]Parametros!$B$6*(AJ295+MAX(BE295-BD295,0)*[1]Parametros!$B$4*MIN(U295,AB295)/1000)</f>
        <v>347.47925901885583</v>
      </c>
      <c r="AS295" s="13" t="str">
        <f t="shared" si="57"/>
        <v>CUMPLE</v>
      </c>
      <c r="AT295" s="13">
        <f>[1]Parametros!$B$6*0.083*SQRT([1]Parametros!$B$2)*(H295*I295)^2/(2*(H295+I295))/1000000</f>
        <v>11.862178757598967</v>
      </c>
      <c r="AU295" s="13" t="str">
        <f t="shared" si="58"/>
        <v>DESPRECIABLE</v>
      </c>
      <c r="AV295" s="13">
        <f>IF(Q295&lt;=AT295,0,Q295*1000000/([1]Parametros!$B$6*2*0.85*(H295-2*([1]Parametros!$B$7+[1]Parametros!$B$9/2))*(I295-2*([1]Parametros!$B$7+[1]Parametros!$B$9/2))*[1]Parametros!$B$4))</f>
        <v>0</v>
      </c>
      <c r="AW295" s="13">
        <f>AV295*2*((H295-2*([1]Parametros!$B$7+[1]Parametros!$B$9/2))+(I295-2*([1]Parametros!$B$7+[1]Parametros!$B$9/2)))*[1]Parametros!$B$4/[1]Parametros!$B$3</f>
        <v>0</v>
      </c>
      <c r="AX295" s="14">
        <v>0</v>
      </c>
      <c r="AY295" s="13" t="str">
        <f t="shared" si="59"/>
        <v>DESPRECIABLE</v>
      </c>
      <c r="AZ295" s="13" t="str">
        <f t="shared" si="60"/>
        <v>CUMPLE</v>
      </c>
      <c r="BA295" s="14">
        <v>9.5</v>
      </c>
      <c r="BB295" s="14">
        <v>71</v>
      </c>
      <c r="BC295" s="13">
        <f>MAX(IF(AK295=0,0,AK295*1000/([1]Parametros!$B$4*MIN(U295,AB295))),MAX(0.062*SQRT([1]Parametros!$B$2)*H295/[1]Parametros!$B$4,0.35*H295/[1]Parametros!$B$4))</f>
        <v>0.67527837206235164</v>
      </c>
      <c r="BD295" s="13">
        <f t="shared" si="61"/>
        <v>0</v>
      </c>
      <c r="BE295" s="13">
        <f t="shared" si="62"/>
        <v>1.1833333333333333</v>
      </c>
      <c r="BF295" s="13">
        <f>SQRT((AI295*1000/(H295*MIN(U295,AB295)))^2+(Q295*1000000*2*((H295-2*([1]Parametros!$B$7+[1]Parametros!$B$9/2))+(I295-2*([1]Parametros!$B$7+[1]Parametros!$B$9/2)))/(1.7*((H295-2*([1]Parametros!$B$7+[1]Parametros!$B$9/2))*(I295-2*([1]Parametros!$B$7+[1]Parametros!$B$9/2)))^2))^2)</f>
        <v>1.1007465136615167</v>
      </c>
      <c r="BG295" s="13">
        <f>[1]Parametros!$B$6*(AJ295*1000/(H295*MIN(U295,AB295))+0.66*SQRT([1]Parametros!$B$2))</f>
        <v>3.2939603822754151</v>
      </c>
      <c r="BH295" s="13" t="str">
        <f t="shared" si="63"/>
        <v>CUMPLE</v>
      </c>
      <c r="BI295" s="13">
        <f>AX295*[1]Parametros!$B$8</f>
        <v>0</v>
      </c>
      <c r="BJ295" s="15" t="str">
        <f t="shared" si="64"/>
        <v>CUMPLE</v>
      </c>
    </row>
    <row r="296" spans="1:62" x14ac:dyDescent="0.3">
      <c r="A296" s="43" t="s">
        <v>74</v>
      </c>
      <c r="B296" s="44">
        <v>899</v>
      </c>
      <c r="C296" s="13">
        <v>1</v>
      </c>
      <c r="D296" s="13">
        <v>2</v>
      </c>
      <c r="E296" s="13">
        <v>2</v>
      </c>
      <c r="F296" s="13">
        <v>500</v>
      </c>
      <c r="G296" s="13">
        <v>550</v>
      </c>
      <c r="H296" s="13">
        <v>500</v>
      </c>
      <c r="I296" s="13">
        <v>550</v>
      </c>
      <c r="J296" s="14">
        <v>89.507099999999994</v>
      </c>
      <c r="K296" s="13">
        <v>899</v>
      </c>
      <c r="L296" s="14">
        <v>50.717199999999998</v>
      </c>
      <c r="M296" s="13">
        <v>899</v>
      </c>
      <c r="N296" s="14">
        <v>96.850999999999999</v>
      </c>
      <c r="O296" s="14">
        <v>279.95600000000002</v>
      </c>
      <c r="P296" s="13">
        <v>899</v>
      </c>
      <c r="Q296" s="14">
        <v>3.1366999999999998</v>
      </c>
      <c r="R296" s="13">
        <f>MAX(MAX(1.4/[1]Parametros!$B$3,0.25*SQRT([1]Parametros!$B$2)/[1]Parametros!$B$3)*H296*U296,(0.85*[1]Parametros!$B$2/[1]Parametros!$B$3)*(1-SQRT(1-2*(J296*1000000/([1]Parametros!$B$5*H296*U296^2))/(0.85*[1]Parametros!$B$2)))*H296*U296)</f>
        <v>815.58333333333326</v>
      </c>
      <c r="S296" s="14">
        <v>5</v>
      </c>
      <c r="T296" s="14">
        <v>1</v>
      </c>
      <c r="U296" s="13">
        <f>IF(T296=1,I296-([1]Parametros!$B$7+[1]Parametros!$B$9+[1]Parametros!$B$12/2),I296-(ROUNDUP(S296/2,0)*([1]Parametros!$B$7+[1]Parametros!$B$9+[1]Parametros!$B$12/2)+ROUNDDOWN(S296/2,0)*([1]Parametros!$B$7+[1]Parametros!$B$9+[1]Parametros!$B$12/2+[1]Parametros!$B$12+[1]Parametros!$B$10))/S296)</f>
        <v>489.35</v>
      </c>
      <c r="V296" s="13">
        <f>S296*[1]Parametros!$B$8</f>
        <v>995</v>
      </c>
      <c r="W296" s="13">
        <f>[1]Parametros!$B$5*V296*[1]Parametros!$B$3*(U296-(V296*[1]Parametros!$B$3/(0.85*[1]Parametros!$B$2*H296))/2)/1000000</f>
        <v>177.44537938235294</v>
      </c>
      <c r="X296" s="13" t="str">
        <f t="shared" si="52"/>
        <v>CUMPLE</v>
      </c>
      <c r="Y296" s="13">
        <f>MAX(MAX(1.4/[1]Parametros!$B$3,0.25*SQRT([1]Parametros!$B$2)/[1]Parametros!$B$3)*H296*AB296,(0.85*[1]Parametros!$B$2/[1]Parametros!$B$3)*(1-SQRT(1-2*(L296*1000000/([1]Parametros!$B$5*H296*AB296^2))/(0.85*[1]Parametros!$B$2)))*H296*AB296)</f>
        <v>815.58333333333326</v>
      </c>
      <c r="Z296" s="14">
        <v>5</v>
      </c>
      <c r="AA296" s="14">
        <v>1</v>
      </c>
      <c r="AB296" s="13">
        <f>IF(AA296=1,I296-([1]Parametros!$B$7+[1]Parametros!$B$9+[1]Parametros!$B$12/2),I296-(ROUNDUP(Z296/2,0)*([1]Parametros!$B$7+[1]Parametros!$B$9+[1]Parametros!$B$12/2)+ROUNDDOWN(Z296/2,0)*([1]Parametros!$B$7+[1]Parametros!$B$9+[1]Parametros!$B$12/2+[1]Parametros!$B$12+[1]Parametros!$B$10))/Z296)</f>
        <v>489.35</v>
      </c>
      <c r="AC296" s="13">
        <f>Z296*[1]Parametros!$B$8</f>
        <v>995</v>
      </c>
      <c r="AD296" s="13">
        <f>[1]Parametros!$B$5*AC296*[1]Parametros!$B$3*(AB296-(AC296*[1]Parametros!$B$3/(0.85*[1]Parametros!$B$2*H296))/2)/1000000</f>
        <v>177.44537938235294</v>
      </c>
      <c r="AE296" s="13" t="str">
        <f t="shared" si="53"/>
        <v>CUMPLE</v>
      </c>
      <c r="AF296" s="13">
        <f>V296*1.25*[1]Parametros!$B$3*(U296-(V296*1.25*[1]Parametros!$B$3/(0.85*[1]Parametros!$B$2*H296))/2)/1000000</f>
        <v>244.15884319852941</v>
      </c>
      <c r="AG296" s="13">
        <f>AC296*1.25*[1]Parametros!$B$3*(AB296-(AC296*1.25*[1]Parametros!$B$3/(0.85*[1]Parametros!$B$2*H296))/2)/1000000</f>
        <v>244.15884319852941</v>
      </c>
      <c r="AH296" s="13">
        <f t="shared" si="54"/>
        <v>341.00984319852944</v>
      </c>
      <c r="AI296" s="13">
        <f t="shared" si="55"/>
        <v>341.00984319852944</v>
      </c>
      <c r="AJ296" s="13">
        <f>0.17*SQRT([1]Parametros!$B$2)*H296*MIN(U296,AB296)/1000</f>
        <v>220.09872869180776</v>
      </c>
      <c r="AK296" s="13">
        <f>MAX(AI296/[1]Parametros!$B$6-AJ296,0)</f>
        <v>234.5810622395648</v>
      </c>
      <c r="AL296" s="13">
        <f>0.66*SQRT([1]Parametros!$B$2)*H296*MIN(U296,AB296)/1000</f>
        <v>854.500946685842</v>
      </c>
      <c r="AM296" s="13" t="str">
        <f t="shared" si="56"/>
        <v>CUMPLE</v>
      </c>
      <c r="AN296" s="13" t="s">
        <v>64</v>
      </c>
      <c r="AO296" s="14">
        <v>2</v>
      </c>
      <c r="AP296" s="13">
        <f>ROUNDDOWN(MIN(IF(BC296+BD296=0,1000000000,AO296*BB296/(BC296+BD296)),MIN(U296,AB296)/4,8*[1]Parametros!$B$12,24*BA296,300,IF(AV296=0,1000000000,2*((H296-2*([1]Parametros!$B$7+[1]Parametros!$B$9/2))+(I296-2*([1]Parametros!$B$7+[1]Parametros!$B$9/2)))/8))/10,0)*10</f>
        <v>120</v>
      </c>
      <c r="AQ296" s="13">
        <f>ROUNDDOWN(MIN(IF(BC296+BD296=0,1000000000,AO296*BB296/(BC296+BD296)),IF(AK296&gt;0.33*SQRT([1]Parametros!$B$2)*H296*MIN(U296,AB296)/1000,MIN(U296,AB296)/4,MIN(U296,AB296)/2),600,IF(AV296=0,1000000000,2*((H296-2*([1]Parametros!$B$7+[1]Parametros!$B$9/2))+(I296-2*([1]Parametros!$B$7+[1]Parametros!$B$9/2)))/8))/10,0)*10</f>
        <v>120</v>
      </c>
      <c r="AR296" s="13">
        <f>[1]Parametros!$B$6*(AJ296+MAX(BE296-BD296,0)*[1]Parametros!$B$4*MIN(U296,AB296)/1000)</f>
        <v>347.47925901885583</v>
      </c>
      <c r="AS296" s="13" t="str">
        <f t="shared" si="57"/>
        <v>CUMPLE</v>
      </c>
      <c r="AT296" s="13">
        <f>[1]Parametros!$B$6*0.083*SQRT([1]Parametros!$B$2)*(H296*I296)^2/(2*(H296+I296))/1000000</f>
        <v>11.862178757598967</v>
      </c>
      <c r="AU296" s="13" t="str">
        <f t="shared" si="58"/>
        <v>DESPRECIABLE</v>
      </c>
      <c r="AV296" s="13">
        <f>IF(Q296&lt;=AT296,0,Q296*1000000/([1]Parametros!$B$6*2*0.85*(H296-2*([1]Parametros!$B$7+[1]Parametros!$B$9/2))*(I296-2*([1]Parametros!$B$7+[1]Parametros!$B$9/2))*[1]Parametros!$B$4))</f>
        <v>0</v>
      </c>
      <c r="AW296" s="13">
        <f>AV296*2*((H296-2*([1]Parametros!$B$7+[1]Parametros!$B$9/2))+(I296-2*([1]Parametros!$B$7+[1]Parametros!$B$9/2)))*[1]Parametros!$B$4/[1]Parametros!$B$3</f>
        <v>0</v>
      </c>
      <c r="AX296" s="14">
        <v>0</v>
      </c>
      <c r="AY296" s="13" t="str">
        <f t="shared" si="59"/>
        <v>DESPRECIABLE</v>
      </c>
      <c r="AZ296" s="13" t="str">
        <f t="shared" si="60"/>
        <v>CUMPLE</v>
      </c>
      <c r="BA296" s="14">
        <v>9.5</v>
      </c>
      <c r="BB296" s="14">
        <v>71</v>
      </c>
      <c r="BC296" s="13">
        <f>MAX(IF(AK296=0,0,AK296*1000/([1]Parametros!$B$4*MIN(U296,AB296))),MAX(0.062*SQRT([1]Parametros!$B$2)*H296/[1]Parametros!$B$4,0.35*H296/[1]Parametros!$B$4))</f>
        <v>1.1413637246666608</v>
      </c>
      <c r="BD296" s="13">
        <f t="shared" si="61"/>
        <v>0</v>
      </c>
      <c r="BE296" s="13">
        <f t="shared" si="62"/>
        <v>1.1833333333333333</v>
      </c>
      <c r="BF296" s="13">
        <f>SQRT((AI296*1000/(H296*MIN(U296,AB296)))^2+(Q296*1000000*2*((H296-2*([1]Parametros!$B$7+[1]Parametros!$B$9/2))+(I296-2*([1]Parametros!$B$7+[1]Parametros!$B$9/2)))/(1.7*((H296-2*([1]Parametros!$B$7+[1]Parametros!$B$9/2))*(I296-2*([1]Parametros!$B$7+[1]Parametros!$B$9/2)))^2))^2)</f>
        <v>1.3967568068474439</v>
      </c>
      <c r="BG296" s="13">
        <f>[1]Parametros!$B$6*(AJ296*1000/(H296*MIN(U296,AB296))+0.66*SQRT([1]Parametros!$B$2))</f>
        <v>3.2939603822754151</v>
      </c>
      <c r="BH296" s="13" t="str">
        <f t="shared" si="63"/>
        <v>CUMPLE</v>
      </c>
      <c r="BI296" s="13">
        <f>AX296*[1]Parametros!$B$8</f>
        <v>0</v>
      </c>
      <c r="BJ296" s="15" t="str">
        <f t="shared" si="64"/>
        <v>CUMPLE</v>
      </c>
    </row>
    <row r="297" spans="1:62" x14ac:dyDescent="0.3">
      <c r="A297" s="43" t="s">
        <v>74</v>
      </c>
      <c r="B297" s="44">
        <v>900</v>
      </c>
      <c r="C297" s="13">
        <v>1</v>
      </c>
      <c r="D297" s="13">
        <v>1.9</v>
      </c>
      <c r="E297" s="13">
        <v>1.9</v>
      </c>
      <c r="F297" s="13">
        <v>500</v>
      </c>
      <c r="G297" s="13">
        <v>550</v>
      </c>
      <c r="H297" s="13">
        <v>500</v>
      </c>
      <c r="I297" s="13">
        <v>550</v>
      </c>
      <c r="J297" s="14">
        <v>94.662000000000006</v>
      </c>
      <c r="K297" s="13">
        <v>900</v>
      </c>
      <c r="L297" s="14">
        <v>56.962899999999998</v>
      </c>
      <c r="M297" s="13">
        <v>900</v>
      </c>
      <c r="N297" s="14">
        <v>102.696</v>
      </c>
      <c r="O297" s="14">
        <v>302.17700000000002</v>
      </c>
      <c r="P297" s="13">
        <v>900</v>
      </c>
      <c r="Q297" s="14">
        <v>1.7604</v>
      </c>
      <c r="R297" s="13">
        <f>MAX(MAX(1.4/[1]Parametros!$B$3,0.25*SQRT([1]Parametros!$B$2)/[1]Parametros!$B$3)*H297*U297,(0.85*[1]Parametros!$B$2/[1]Parametros!$B$3)*(1-SQRT(1-2*(J297*1000000/([1]Parametros!$B$5*H297*U297^2))/(0.85*[1]Parametros!$B$2)))*H297*U297)</f>
        <v>815.58333333333326</v>
      </c>
      <c r="S297" s="14">
        <v>5</v>
      </c>
      <c r="T297" s="14">
        <v>1</v>
      </c>
      <c r="U297" s="13">
        <f>IF(T297=1,I297-([1]Parametros!$B$7+[1]Parametros!$B$9+[1]Parametros!$B$12/2),I297-(ROUNDUP(S297/2,0)*([1]Parametros!$B$7+[1]Parametros!$B$9+[1]Parametros!$B$12/2)+ROUNDDOWN(S297/2,0)*([1]Parametros!$B$7+[1]Parametros!$B$9+[1]Parametros!$B$12/2+[1]Parametros!$B$12+[1]Parametros!$B$10))/S297)</f>
        <v>489.35</v>
      </c>
      <c r="V297" s="13">
        <f>S297*[1]Parametros!$B$8</f>
        <v>995</v>
      </c>
      <c r="W297" s="13">
        <f>[1]Parametros!$B$5*V297*[1]Parametros!$B$3*(U297-(V297*[1]Parametros!$B$3/(0.85*[1]Parametros!$B$2*H297))/2)/1000000</f>
        <v>177.44537938235294</v>
      </c>
      <c r="X297" s="13" t="str">
        <f t="shared" si="52"/>
        <v>CUMPLE</v>
      </c>
      <c r="Y297" s="13">
        <f>MAX(MAX(1.4/[1]Parametros!$B$3,0.25*SQRT([1]Parametros!$B$2)/[1]Parametros!$B$3)*H297*AB297,(0.85*[1]Parametros!$B$2/[1]Parametros!$B$3)*(1-SQRT(1-2*(L297*1000000/([1]Parametros!$B$5*H297*AB297^2))/(0.85*[1]Parametros!$B$2)))*H297*AB297)</f>
        <v>815.58333333333326</v>
      </c>
      <c r="Z297" s="14">
        <v>5</v>
      </c>
      <c r="AA297" s="14">
        <v>1</v>
      </c>
      <c r="AB297" s="13">
        <f>IF(AA297=1,I297-([1]Parametros!$B$7+[1]Parametros!$B$9+[1]Parametros!$B$12/2),I297-(ROUNDUP(Z297/2,0)*([1]Parametros!$B$7+[1]Parametros!$B$9+[1]Parametros!$B$12/2)+ROUNDDOWN(Z297/2,0)*([1]Parametros!$B$7+[1]Parametros!$B$9+[1]Parametros!$B$12/2+[1]Parametros!$B$12+[1]Parametros!$B$10))/Z297)</f>
        <v>489.35</v>
      </c>
      <c r="AC297" s="13">
        <f>Z297*[1]Parametros!$B$8</f>
        <v>995</v>
      </c>
      <c r="AD297" s="13">
        <f>[1]Parametros!$B$5*AC297*[1]Parametros!$B$3*(AB297-(AC297*[1]Parametros!$B$3/(0.85*[1]Parametros!$B$2*H297))/2)/1000000</f>
        <v>177.44537938235294</v>
      </c>
      <c r="AE297" s="13" t="str">
        <f t="shared" si="53"/>
        <v>CUMPLE</v>
      </c>
      <c r="AF297" s="13">
        <f>V297*1.25*[1]Parametros!$B$3*(U297-(V297*1.25*[1]Parametros!$B$3/(0.85*[1]Parametros!$B$2*H297))/2)/1000000</f>
        <v>244.15884319852941</v>
      </c>
      <c r="AG297" s="13">
        <f>AC297*1.25*[1]Parametros!$B$3*(AB297-(AC297*1.25*[1]Parametros!$B$3/(0.85*[1]Parametros!$B$2*H297))/2)/1000000</f>
        <v>244.15884319852941</v>
      </c>
      <c r="AH297" s="13">
        <f t="shared" si="54"/>
        <v>359.70530863003091</v>
      </c>
      <c r="AI297" s="13">
        <f t="shared" si="55"/>
        <v>359.70530863003091</v>
      </c>
      <c r="AJ297" s="13">
        <f>0.17*SQRT([1]Parametros!$B$2)*H297*MIN(U297,AB297)/1000</f>
        <v>220.09872869180776</v>
      </c>
      <c r="AK297" s="13">
        <f>MAX(AI297/[1]Parametros!$B$6-AJ297,0)</f>
        <v>259.50834948156677</v>
      </c>
      <c r="AL297" s="13">
        <f>0.66*SQRT([1]Parametros!$B$2)*H297*MIN(U297,AB297)/1000</f>
        <v>854.500946685842</v>
      </c>
      <c r="AM297" s="13" t="str">
        <f t="shared" si="56"/>
        <v>CUMPLE</v>
      </c>
      <c r="AN297" s="13" t="s">
        <v>64</v>
      </c>
      <c r="AO297" s="14">
        <v>2</v>
      </c>
      <c r="AP297" s="13">
        <f>ROUNDDOWN(MIN(IF(BC297+BD297=0,1000000000,AO297*BB297/(BC297+BD297)),MIN(U297,AB297)/4,8*[1]Parametros!$B$12,24*BA297,300,IF(AV297=0,1000000000,2*((H297-2*([1]Parametros!$B$7+[1]Parametros!$B$9/2))+(I297-2*([1]Parametros!$B$7+[1]Parametros!$B$9/2)))/8))/10,0)*10</f>
        <v>110</v>
      </c>
      <c r="AQ297" s="13">
        <f>ROUNDDOWN(MIN(IF(BC297+BD297=0,1000000000,AO297*BB297/(BC297+BD297)),IF(AK297&gt;0.33*SQRT([1]Parametros!$B$2)*H297*MIN(U297,AB297)/1000,MIN(U297,AB297)/4,MIN(U297,AB297)/2),600,IF(AV297=0,1000000000,2*((H297-2*([1]Parametros!$B$7+[1]Parametros!$B$9/2))+(I297-2*([1]Parametros!$B$7+[1]Parametros!$B$9/2)))/8))/10,0)*10</f>
        <v>110</v>
      </c>
      <c r="AR297" s="13">
        <f>[1]Parametros!$B$6*(AJ297+MAX(BE297-BD297,0)*[1]Parametros!$B$4*MIN(U297,AB297)/1000)</f>
        <v>364.06155106431038</v>
      </c>
      <c r="AS297" s="13" t="str">
        <f t="shared" si="57"/>
        <v>CUMPLE</v>
      </c>
      <c r="AT297" s="13">
        <f>[1]Parametros!$B$6*0.083*SQRT([1]Parametros!$B$2)*(H297*I297)^2/(2*(H297+I297))/1000000</f>
        <v>11.862178757598967</v>
      </c>
      <c r="AU297" s="13" t="str">
        <f t="shared" si="58"/>
        <v>DESPRECIABLE</v>
      </c>
      <c r="AV297" s="13">
        <f>IF(Q297&lt;=AT297,0,Q297*1000000/([1]Parametros!$B$6*2*0.85*(H297-2*([1]Parametros!$B$7+[1]Parametros!$B$9/2))*(I297-2*([1]Parametros!$B$7+[1]Parametros!$B$9/2))*[1]Parametros!$B$4))</f>
        <v>0</v>
      </c>
      <c r="AW297" s="13">
        <f>AV297*2*((H297-2*([1]Parametros!$B$7+[1]Parametros!$B$9/2))+(I297-2*([1]Parametros!$B$7+[1]Parametros!$B$9/2)))*[1]Parametros!$B$4/[1]Parametros!$B$3</f>
        <v>0</v>
      </c>
      <c r="AX297" s="14">
        <v>0</v>
      </c>
      <c r="AY297" s="13" t="str">
        <f t="shared" si="59"/>
        <v>DESPRECIABLE</v>
      </c>
      <c r="AZ297" s="13" t="str">
        <f t="shared" si="60"/>
        <v>CUMPLE</v>
      </c>
      <c r="BA297" s="14">
        <v>9.5</v>
      </c>
      <c r="BB297" s="14">
        <v>71</v>
      </c>
      <c r="BC297" s="13">
        <f>MAX(IF(AK297=0,0,AK297*1000/([1]Parametros!$B$4*MIN(U297,AB297))),MAX(0.062*SQRT([1]Parametros!$B$2)*H297/[1]Parametros!$B$4,0.35*H297/[1]Parametros!$B$4))</f>
        <v>1.262648457290608</v>
      </c>
      <c r="BD297" s="13">
        <f t="shared" si="61"/>
        <v>0</v>
      </c>
      <c r="BE297" s="13">
        <f t="shared" si="62"/>
        <v>1.290909090909091</v>
      </c>
      <c r="BF297" s="13">
        <f>SQRT((AI297*1000/(H297*MIN(U297,AB297)))^2+(Q297*1000000*2*((H297-2*([1]Parametros!$B$7+[1]Parametros!$B$9/2))+(I297-2*([1]Parametros!$B$7+[1]Parametros!$B$9/2)))/(1.7*((H297-2*([1]Parametros!$B$7+[1]Parametros!$B$9/2))*(I297-2*([1]Parametros!$B$7+[1]Parametros!$B$9/2)))^2))^2)</f>
        <v>1.4710409114792011</v>
      </c>
      <c r="BG297" s="13">
        <f>[1]Parametros!$B$6*(AJ297*1000/(H297*MIN(U297,AB297))+0.66*SQRT([1]Parametros!$B$2))</f>
        <v>3.2939603822754151</v>
      </c>
      <c r="BH297" s="13" t="str">
        <f t="shared" si="63"/>
        <v>CUMPLE</v>
      </c>
      <c r="BI297" s="13">
        <f>AX297*[1]Parametros!$B$8</f>
        <v>0</v>
      </c>
      <c r="BJ297" s="15" t="str">
        <f t="shared" si="64"/>
        <v>CUMPLE</v>
      </c>
    </row>
    <row r="298" spans="1:62" x14ac:dyDescent="0.3">
      <c r="A298" s="43" t="s">
        <v>74</v>
      </c>
      <c r="B298" s="44">
        <v>901</v>
      </c>
      <c r="C298" s="13">
        <v>1</v>
      </c>
      <c r="D298" s="13">
        <v>3.4</v>
      </c>
      <c r="E298" s="13">
        <v>3.4</v>
      </c>
      <c r="F298" s="13">
        <v>500</v>
      </c>
      <c r="G298" s="13">
        <v>550</v>
      </c>
      <c r="H298" s="13">
        <v>500</v>
      </c>
      <c r="I298" s="13">
        <v>550</v>
      </c>
      <c r="J298" s="14">
        <v>115.1</v>
      </c>
      <c r="K298" s="13">
        <v>901</v>
      </c>
      <c r="L298" s="14">
        <v>45.048099999999998</v>
      </c>
      <c r="M298" s="13">
        <v>901</v>
      </c>
      <c r="N298" s="14">
        <v>105.20399999999999</v>
      </c>
      <c r="O298" s="14">
        <v>239.24600000000001</v>
      </c>
      <c r="P298" s="13">
        <v>901</v>
      </c>
      <c r="Q298" s="14">
        <v>5.7827999999999999</v>
      </c>
      <c r="R298" s="13">
        <f>MAX(MAX(1.4/[1]Parametros!$B$3,0.25*SQRT([1]Parametros!$B$2)/[1]Parametros!$B$3)*H298*U298,(0.85*[1]Parametros!$B$2/[1]Parametros!$B$3)*(1-SQRT(1-2*(J298*1000000/([1]Parametros!$B$5*H298*U298^2))/(0.85*[1]Parametros!$B$2)))*H298*U298)</f>
        <v>815.58333333333326</v>
      </c>
      <c r="S298" s="14">
        <v>5</v>
      </c>
      <c r="T298" s="14">
        <v>1</v>
      </c>
      <c r="U298" s="13">
        <f>IF(T298=1,I298-([1]Parametros!$B$7+[1]Parametros!$B$9+[1]Parametros!$B$12/2),I298-(ROUNDUP(S298/2,0)*([1]Parametros!$B$7+[1]Parametros!$B$9+[1]Parametros!$B$12/2)+ROUNDDOWN(S298/2,0)*([1]Parametros!$B$7+[1]Parametros!$B$9+[1]Parametros!$B$12/2+[1]Parametros!$B$12+[1]Parametros!$B$10))/S298)</f>
        <v>489.35</v>
      </c>
      <c r="V298" s="13">
        <f>S298*[1]Parametros!$B$8</f>
        <v>995</v>
      </c>
      <c r="W298" s="13">
        <f>[1]Parametros!$B$5*V298*[1]Parametros!$B$3*(U298-(V298*[1]Parametros!$B$3/(0.85*[1]Parametros!$B$2*H298))/2)/1000000</f>
        <v>177.44537938235294</v>
      </c>
      <c r="X298" s="13" t="str">
        <f t="shared" si="52"/>
        <v>CUMPLE</v>
      </c>
      <c r="Y298" s="13">
        <f>MAX(MAX(1.4/[1]Parametros!$B$3,0.25*SQRT([1]Parametros!$B$2)/[1]Parametros!$B$3)*H298*AB298,(0.85*[1]Parametros!$B$2/[1]Parametros!$B$3)*(1-SQRT(1-2*(L298*1000000/([1]Parametros!$B$5*H298*AB298^2))/(0.85*[1]Parametros!$B$2)))*H298*AB298)</f>
        <v>815.58333333333326</v>
      </c>
      <c r="Z298" s="14">
        <v>5</v>
      </c>
      <c r="AA298" s="14">
        <v>1</v>
      </c>
      <c r="AB298" s="13">
        <f>IF(AA298=1,I298-([1]Parametros!$B$7+[1]Parametros!$B$9+[1]Parametros!$B$12/2),I298-(ROUNDUP(Z298/2,0)*([1]Parametros!$B$7+[1]Parametros!$B$9+[1]Parametros!$B$12/2)+ROUNDDOWN(Z298/2,0)*([1]Parametros!$B$7+[1]Parametros!$B$9+[1]Parametros!$B$12/2+[1]Parametros!$B$12+[1]Parametros!$B$10))/Z298)</f>
        <v>489.35</v>
      </c>
      <c r="AC298" s="13">
        <f>Z298*[1]Parametros!$B$8</f>
        <v>995</v>
      </c>
      <c r="AD298" s="13">
        <f>[1]Parametros!$B$5*AC298*[1]Parametros!$B$3*(AB298-(AC298*[1]Parametros!$B$3/(0.85*[1]Parametros!$B$2*H298))/2)/1000000</f>
        <v>177.44537938235294</v>
      </c>
      <c r="AE298" s="13" t="str">
        <f t="shared" si="53"/>
        <v>CUMPLE</v>
      </c>
      <c r="AF298" s="13">
        <f>V298*1.25*[1]Parametros!$B$3*(U298-(V298*1.25*[1]Parametros!$B$3/(0.85*[1]Parametros!$B$2*H298))/2)/1000000</f>
        <v>244.15884319852941</v>
      </c>
      <c r="AG298" s="13">
        <f>AC298*1.25*[1]Parametros!$B$3*(AB298-(AC298*1.25*[1]Parametros!$B$3/(0.85*[1]Parametros!$B$2*H298))/2)/1000000</f>
        <v>244.15884319852941</v>
      </c>
      <c r="AH298" s="13">
        <f t="shared" si="54"/>
        <v>248.82684894031144</v>
      </c>
      <c r="AI298" s="13">
        <f t="shared" si="55"/>
        <v>248.82684894031144</v>
      </c>
      <c r="AJ298" s="13">
        <f>0.17*SQRT([1]Parametros!$B$2)*H298*MIN(U298,AB298)/1000</f>
        <v>220.09872869180776</v>
      </c>
      <c r="AK298" s="13">
        <f>MAX(AI298/[1]Parametros!$B$6-AJ298,0)</f>
        <v>111.67040322860748</v>
      </c>
      <c r="AL298" s="13">
        <f>0.66*SQRT([1]Parametros!$B$2)*H298*MIN(U298,AB298)/1000</f>
        <v>854.500946685842</v>
      </c>
      <c r="AM298" s="13" t="str">
        <f t="shared" si="56"/>
        <v>CUMPLE</v>
      </c>
      <c r="AN298" s="13" t="s">
        <v>64</v>
      </c>
      <c r="AO298" s="14">
        <v>2</v>
      </c>
      <c r="AP298" s="13">
        <f>ROUNDDOWN(MIN(IF(BC298+BD298=0,1000000000,AO298*BB298/(BC298+BD298)),MIN(U298,AB298)/4,8*[1]Parametros!$B$12,24*BA298,300,IF(AV298=0,1000000000,2*((H298-2*([1]Parametros!$B$7+[1]Parametros!$B$9/2))+(I298-2*([1]Parametros!$B$7+[1]Parametros!$B$9/2)))/8))/10,0)*10</f>
        <v>120</v>
      </c>
      <c r="AQ298" s="13">
        <f>ROUNDDOWN(MIN(IF(BC298+BD298=0,1000000000,AO298*BB298/(BC298+BD298)),IF(AK298&gt;0.33*SQRT([1]Parametros!$B$2)*H298*MIN(U298,AB298)/1000,MIN(U298,AB298)/4,MIN(U298,AB298)/2),600,IF(AV298=0,1000000000,2*((H298-2*([1]Parametros!$B$7+[1]Parametros!$B$9/2))+(I298-2*([1]Parametros!$B$7+[1]Parametros!$B$9/2)))/8))/10,0)*10</f>
        <v>240</v>
      </c>
      <c r="AR298" s="13">
        <f>[1]Parametros!$B$6*(AJ298+MAX(BE298-BD298,0)*[1]Parametros!$B$4*MIN(U298,AB298)/1000)</f>
        <v>347.47925901885583</v>
      </c>
      <c r="AS298" s="13" t="str">
        <f t="shared" si="57"/>
        <v>CUMPLE</v>
      </c>
      <c r="AT298" s="13">
        <f>[1]Parametros!$B$6*0.083*SQRT([1]Parametros!$B$2)*(H298*I298)^2/(2*(H298+I298))/1000000</f>
        <v>11.862178757598967</v>
      </c>
      <c r="AU298" s="13" t="str">
        <f t="shared" si="58"/>
        <v>DESPRECIABLE</v>
      </c>
      <c r="AV298" s="13">
        <f>IF(Q298&lt;=AT298,0,Q298*1000000/([1]Parametros!$B$6*2*0.85*(H298-2*([1]Parametros!$B$7+[1]Parametros!$B$9/2))*(I298-2*([1]Parametros!$B$7+[1]Parametros!$B$9/2))*[1]Parametros!$B$4))</f>
        <v>0</v>
      </c>
      <c r="AW298" s="13">
        <f>AV298*2*((H298-2*([1]Parametros!$B$7+[1]Parametros!$B$9/2))+(I298-2*([1]Parametros!$B$7+[1]Parametros!$B$9/2)))*[1]Parametros!$B$4/[1]Parametros!$B$3</f>
        <v>0</v>
      </c>
      <c r="AX298" s="14">
        <v>0</v>
      </c>
      <c r="AY298" s="13" t="str">
        <f t="shared" si="59"/>
        <v>DESPRECIABLE</v>
      </c>
      <c r="AZ298" s="13" t="str">
        <f t="shared" si="60"/>
        <v>CUMPLE</v>
      </c>
      <c r="BA298" s="14">
        <v>9.5</v>
      </c>
      <c r="BB298" s="14">
        <v>71</v>
      </c>
      <c r="BC298" s="13">
        <f>MAX(IF(AK298=0,0,AK298*1000/([1]Parametros!$B$4*MIN(U298,AB298))),MAX(0.062*SQRT([1]Parametros!$B$2)*H298/[1]Parametros!$B$4,0.35*H298/[1]Parametros!$B$4))</f>
        <v>0.54333690088702447</v>
      </c>
      <c r="BD298" s="13">
        <f t="shared" si="61"/>
        <v>0</v>
      </c>
      <c r="BE298" s="13">
        <f t="shared" si="62"/>
        <v>1.1833333333333333</v>
      </c>
      <c r="BF298" s="13">
        <f>SQRT((AI298*1000/(H298*MIN(U298,AB298)))^2+(Q298*1000000*2*((H298-2*([1]Parametros!$B$7+[1]Parametros!$B$9/2))+(I298-2*([1]Parametros!$B$7+[1]Parametros!$B$9/2)))/(1.7*((H298-2*([1]Parametros!$B$7+[1]Parametros!$B$9/2))*(I298-2*([1]Parametros!$B$7+[1]Parametros!$B$9/2)))^2))^2)</f>
        <v>1.0310060768274827</v>
      </c>
      <c r="BG298" s="13">
        <f>[1]Parametros!$B$6*(AJ298*1000/(H298*MIN(U298,AB298))+0.66*SQRT([1]Parametros!$B$2))</f>
        <v>3.2939603822754151</v>
      </c>
      <c r="BH298" s="13" t="str">
        <f t="shared" si="63"/>
        <v>CUMPLE</v>
      </c>
      <c r="BI298" s="13">
        <f>AX298*[1]Parametros!$B$8</f>
        <v>0</v>
      </c>
      <c r="BJ298" s="15" t="str">
        <f t="shared" si="64"/>
        <v>CUMPLE</v>
      </c>
    </row>
    <row r="299" spans="1:62" x14ac:dyDescent="0.3">
      <c r="A299" s="43" t="s">
        <v>74</v>
      </c>
      <c r="B299" s="44">
        <v>902</v>
      </c>
      <c r="C299" s="13">
        <v>1</v>
      </c>
      <c r="D299" s="13">
        <v>3.4</v>
      </c>
      <c r="E299" s="13">
        <v>3.4</v>
      </c>
      <c r="F299" s="13">
        <v>500</v>
      </c>
      <c r="G299" s="13">
        <v>550</v>
      </c>
      <c r="H299" s="13">
        <v>500</v>
      </c>
      <c r="I299" s="13">
        <v>550</v>
      </c>
      <c r="J299" s="14">
        <v>115.14579999999999</v>
      </c>
      <c r="K299" s="13">
        <v>902</v>
      </c>
      <c r="L299" s="14">
        <v>45.095700000000001</v>
      </c>
      <c r="M299" s="13">
        <v>902</v>
      </c>
      <c r="N299" s="14">
        <v>105.236</v>
      </c>
      <c r="O299" s="14">
        <v>239.441</v>
      </c>
      <c r="P299" s="13">
        <v>902</v>
      </c>
      <c r="Q299" s="14">
        <v>5.8238000000000003</v>
      </c>
      <c r="R299" s="13">
        <f>MAX(MAX(1.4/[1]Parametros!$B$3,0.25*SQRT([1]Parametros!$B$2)/[1]Parametros!$B$3)*H299*U299,(0.85*[1]Parametros!$B$2/[1]Parametros!$B$3)*(1-SQRT(1-2*(J299*1000000/([1]Parametros!$B$5*H299*U299^2))/(0.85*[1]Parametros!$B$2)))*H299*U299)</f>
        <v>815.58333333333326</v>
      </c>
      <c r="S299" s="14">
        <v>5</v>
      </c>
      <c r="T299" s="14">
        <v>1</v>
      </c>
      <c r="U299" s="13">
        <f>IF(T299=1,I299-([1]Parametros!$B$7+[1]Parametros!$B$9+[1]Parametros!$B$12/2),I299-(ROUNDUP(S299/2,0)*([1]Parametros!$B$7+[1]Parametros!$B$9+[1]Parametros!$B$12/2)+ROUNDDOWN(S299/2,0)*([1]Parametros!$B$7+[1]Parametros!$B$9+[1]Parametros!$B$12/2+[1]Parametros!$B$12+[1]Parametros!$B$10))/S299)</f>
        <v>489.35</v>
      </c>
      <c r="V299" s="13">
        <f>S299*[1]Parametros!$B$8</f>
        <v>995</v>
      </c>
      <c r="W299" s="13">
        <f>[1]Parametros!$B$5*V299*[1]Parametros!$B$3*(U299-(V299*[1]Parametros!$B$3/(0.85*[1]Parametros!$B$2*H299))/2)/1000000</f>
        <v>177.44537938235294</v>
      </c>
      <c r="X299" s="13" t="str">
        <f t="shared" si="52"/>
        <v>CUMPLE</v>
      </c>
      <c r="Y299" s="13">
        <f>MAX(MAX(1.4/[1]Parametros!$B$3,0.25*SQRT([1]Parametros!$B$2)/[1]Parametros!$B$3)*H299*AB299,(0.85*[1]Parametros!$B$2/[1]Parametros!$B$3)*(1-SQRT(1-2*(L299*1000000/([1]Parametros!$B$5*H299*AB299^2))/(0.85*[1]Parametros!$B$2)))*H299*AB299)</f>
        <v>815.58333333333326</v>
      </c>
      <c r="Z299" s="14">
        <v>5</v>
      </c>
      <c r="AA299" s="14">
        <v>1</v>
      </c>
      <c r="AB299" s="13">
        <f>IF(AA299=1,I299-([1]Parametros!$B$7+[1]Parametros!$B$9+[1]Parametros!$B$12/2),I299-(ROUNDUP(Z299/2,0)*([1]Parametros!$B$7+[1]Parametros!$B$9+[1]Parametros!$B$12/2)+ROUNDDOWN(Z299/2,0)*([1]Parametros!$B$7+[1]Parametros!$B$9+[1]Parametros!$B$12/2+[1]Parametros!$B$12+[1]Parametros!$B$10))/Z299)</f>
        <v>489.35</v>
      </c>
      <c r="AC299" s="13">
        <f>Z299*[1]Parametros!$B$8</f>
        <v>995</v>
      </c>
      <c r="AD299" s="13">
        <f>[1]Parametros!$B$5*AC299*[1]Parametros!$B$3*(AB299-(AC299*[1]Parametros!$B$3/(0.85*[1]Parametros!$B$2*H299))/2)/1000000</f>
        <v>177.44537938235294</v>
      </c>
      <c r="AE299" s="13" t="str">
        <f t="shared" si="53"/>
        <v>CUMPLE</v>
      </c>
      <c r="AF299" s="13">
        <f>V299*1.25*[1]Parametros!$B$3*(U299-(V299*1.25*[1]Parametros!$B$3/(0.85*[1]Parametros!$B$2*H299))/2)/1000000</f>
        <v>244.15884319852941</v>
      </c>
      <c r="AG299" s="13">
        <f>AC299*1.25*[1]Parametros!$B$3*(AB299-(AC299*1.25*[1]Parametros!$B$3/(0.85*[1]Parametros!$B$2*H299))/2)/1000000</f>
        <v>244.15884319852941</v>
      </c>
      <c r="AH299" s="13">
        <f t="shared" si="54"/>
        <v>248.85884894031142</v>
      </c>
      <c r="AI299" s="13">
        <f t="shared" si="55"/>
        <v>248.85884894031142</v>
      </c>
      <c r="AJ299" s="13">
        <f>0.17*SQRT([1]Parametros!$B$2)*H299*MIN(U299,AB299)/1000</f>
        <v>220.09872869180776</v>
      </c>
      <c r="AK299" s="13">
        <f>MAX(AI299/[1]Parametros!$B$6-AJ299,0)</f>
        <v>111.71306989527415</v>
      </c>
      <c r="AL299" s="13">
        <f>0.66*SQRT([1]Parametros!$B$2)*H299*MIN(U299,AB299)/1000</f>
        <v>854.500946685842</v>
      </c>
      <c r="AM299" s="13" t="str">
        <f t="shared" si="56"/>
        <v>CUMPLE</v>
      </c>
      <c r="AN299" s="13" t="s">
        <v>64</v>
      </c>
      <c r="AO299" s="14">
        <v>2</v>
      </c>
      <c r="AP299" s="13">
        <f>ROUNDDOWN(MIN(IF(BC299+BD299=0,1000000000,AO299*BB299/(BC299+BD299)),MIN(U299,AB299)/4,8*[1]Parametros!$B$12,24*BA299,300,IF(AV299=0,1000000000,2*((H299-2*([1]Parametros!$B$7+[1]Parametros!$B$9/2))+(I299-2*([1]Parametros!$B$7+[1]Parametros!$B$9/2)))/8))/10,0)*10</f>
        <v>120</v>
      </c>
      <c r="AQ299" s="13">
        <f>ROUNDDOWN(MIN(IF(BC299+BD299=0,1000000000,AO299*BB299/(BC299+BD299)),IF(AK299&gt;0.33*SQRT([1]Parametros!$B$2)*H299*MIN(U299,AB299)/1000,MIN(U299,AB299)/4,MIN(U299,AB299)/2),600,IF(AV299=0,1000000000,2*((H299-2*([1]Parametros!$B$7+[1]Parametros!$B$9/2))+(I299-2*([1]Parametros!$B$7+[1]Parametros!$B$9/2)))/8))/10,0)*10</f>
        <v>240</v>
      </c>
      <c r="AR299" s="13">
        <f>[1]Parametros!$B$6*(AJ299+MAX(BE299-BD299,0)*[1]Parametros!$B$4*MIN(U299,AB299)/1000)</f>
        <v>347.47925901885583</v>
      </c>
      <c r="AS299" s="13" t="str">
        <f t="shared" si="57"/>
        <v>CUMPLE</v>
      </c>
      <c r="AT299" s="13">
        <f>[1]Parametros!$B$6*0.083*SQRT([1]Parametros!$B$2)*(H299*I299)^2/(2*(H299+I299))/1000000</f>
        <v>11.862178757598967</v>
      </c>
      <c r="AU299" s="13" t="str">
        <f t="shared" si="58"/>
        <v>DESPRECIABLE</v>
      </c>
      <c r="AV299" s="13">
        <f>IF(Q299&lt;=AT299,0,Q299*1000000/([1]Parametros!$B$6*2*0.85*(H299-2*([1]Parametros!$B$7+[1]Parametros!$B$9/2))*(I299-2*([1]Parametros!$B$7+[1]Parametros!$B$9/2))*[1]Parametros!$B$4))</f>
        <v>0</v>
      </c>
      <c r="AW299" s="13">
        <f>AV299*2*((H299-2*([1]Parametros!$B$7+[1]Parametros!$B$9/2))+(I299-2*([1]Parametros!$B$7+[1]Parametros!$B$9/2)))*[1]Parametros!$B$4/[1]Parametros!$B$3</f>
        <v>0</v>
      </c>
      <c r="AX299" s="14">
        <v>0</v>
      </c>
      <c r="AY299" s="13" t="str">
        <f t="shared" si="59"/>
        <v>DESPRECIABLE</v>
      </c>
      <c r="AZ299" s="13" t="str">
        <f t="shared" si="60"/>
        <v>CUMPLE</v>
      </c>
      <c r="BA299" s="14">
        <v>9.5</v>
      </c>
      <c r="BB299" s="14">
        <v>71</v>
      </c>
      <c r="BC299" s="13">
        <f>MAX(IF(AK299=0,0,AK299*1000/([1]Parametros!$B$4*MIN(U299,AB299))),MAX(0.062*SQRT([1]Parametros!$B$2)*H299/[1]Parametros!$B$4,0.35*H299/[1]Parametros!$B$4))</f>
        <v>0.5435444972936605</v>
      </c>
      <c r="BD299" s="13">
        <f t="shared" si="61"/>
        <v>0</v>
      </c>
      <c r="BE299" s="13">
        <f t="shared" si="62"/>
        <v>1.1833333333333333</v>
      </c>
      <c r="BF299" s="13">
        <f>SQRT((AI299*1000/(H299*MIN(U299,AB299)))^2+(Q299*1000000*2*((H299-2*([1]Parametros!$B$7+[1]Parametros!$B$9/2))+(I299-2*([1]Parametros!$B$7+[1]Parametros!$B$9/2)))/(1.7*((H299-2*([1]Parametros!$B$7+[1]Parametros!$B$9/2))*(I299-2*([1]Parametros!$B$7+[1]Parametros!$B$9/2)))^2))^2)</f>
        <v>1.0313334319028189</v>
      </c>
      <c r="BG299" s="13">
        <f>[1]Parametros!$B$6*(AJ299*1000/(H299*MIN(U299,AB299))+0.66*SQRT([1]Parametros!$B$2))</f>
        <v>3.2939603822754151</v>
      </c>
      <c r="BH299" s="13" t="str">
        <f t="shared" si="63"/>
        <v>CUMPLE</v>
      </c>
      <c r="BI299" s="13">
        <f>AX299*[1]Parametros!$B$8</f>
        <v>0</v>
      </c>
      <c r="BJ299" s="15" t="str">
        <f t="shared" si="64"/>
        <v>CUMPLE</v>
      </c>
    </row>
    <row r="300" spans="1:62" x14ac:dyDescent="0.3">
      <c r="A300" s="43" t="s">
        <v>74</v>
      </c>
      <c r="B300" s="44">
        <v>903</v>
      </c>
      <c r="C300" s="13">
        <v>1</v>
      </c>
      <c r="D300" s="13">
        <v>1.9</v>
      </c>
      <c r="E300" s="13">
        <v>1.9</v>
      </c>
      <c r="F300" s="13">
        <v>500</v>
      </c>
      <c r="G300" s="13">
        <v>550</v>
      </c>
      <c r="H300" s="13">
        <v>500</v>
      </c>
      <c r="I300" s="13">
        <v>550</v>
      </c>
      <c r="J300" s="14">
        <v>94.841700000000003</v>
      </c>
      <c r="K300" s="13">
        <v>903</v>
      </c>
      <c r="L300" s="14">
        <v>57.083799999999997</v>
      </c>
      <c r="M300" s="13">
        <v>903</v>
      </c>
      <c r="N300" s="14">
        <v>102.85</v>
      </c>
      <c r="O300" s="14">
        <v>302.38099999999997</v>
      </c>
      <c r="P300" s="13">
        <v>903</v>
      </c>
      <c r="Q300" s="14">
        <v>1.7783</v>
      </c>
      <c r="R300" s="13">
        <f>MAX(MAX(1.4/[1]Parametros!$B$3,0.25*SQRT([1]Parametros!$B$2)/[1]Parametros!$B$3)*H300*U300,(0.85*[1]Parametros!$B$2/[1]Parametros!$B$3)*(1-SQRT(1-2*(J300*1000000/([1]Parametros!$B$5*H300*U300^2))/(0.85*[1]Parametros!$B$2)))*H300*U300)</f>
        <v>815.58333333333326</v>
      </c>
      <c r="S300" s="14">
        <v>5</v>
      </c>
      <c r="T300" s="14">
        <v>1</v>
      </c>
      <c r="U300" s="13">
        <f>IF(T300=1,I300-([1]Parametros!$B$7+[1]Parametros!$B$9+[1]Parametros!$B$12/2),I300-(ROUNDUP(S300/2,0)*([1]Parametros!$B$7+[1]Parametros!$B$9+[1]Parametros!$B$12/2)+ROUNDDOWN(S300/2,0)*([1]Parametros!$B$7+[1]Parametros!$B$9+[1]Parametros!$B$12/2+[1]Parametros!$B$12+[1]Parametros!$B$10))/S300)</f>
        <v>489.35</v>
      </c>
      <c r="V300" s="13">
        <f>S300*[1]Parametros!$B$8</f>
        <v>995</v>
      </c>
      <c r="W300" s="13">
        <f>[1]Parametros!$B$5*V300*[1]Parametros!$B$3*(U300-(V300*[1]Parametros!$B$3/(0.85*[1]Parametros!$B$2*H300))/2)/1000000</f>
        <v>177.44537938235294</v>
      </c>
      <c r="X300" s="13" t="str">
        <f t="shared" si="52"/>
        <v>CUMPLE</v>
      </c>
      <c r="Y300" s="13">
        <f>MAX(MAX(1.4/[1]Parametros!$B$3,0.25*SQRT([1]Parametros!$B$2)/[1]Parametros!$B$3)*H300*AB300,(0.85*[1]Parametros!$B$2/[1]Parametros!$B$3)*(1-SQRT(1-2*(L300*1000000/([1]Parametros!$B$5*H300*AB300^2))/(0.85*[1]Parametros!$B$2)))*H300*AB300)</f>
        <v>815.58333333333326</v>
      </c>
      <c r="Z300" s="14">
        <v>5</v>
      </c>
      <c r="AA300" s="14">
        <v>1</v>
      </c>
      <c r="AB300" s="13">
        <f>IF(AA300=1,I300-([1]Parametros!$B$7+[1]Parametros!$B$9+[1]Parametros!$B$12/2),I300-(ROUNDUP(Z300/2,0)*([1]Parametros!$B$7+[1]Parametros!$B$9+[1]Parametros!$B$12/2)+ROUNDDOWN(Z300/2,0)*([1]Parametros!$B$7+[1]Parametros!$B$9+[1]Parametros!$B$12/2+[1]Parametros!$B$12+[1]Parametros!$B$10))/Z300)</f>
        <v>489.35</v>
      </c>
      <c r="AC300" s="13">
        <f>Z300*[1]Parametros!$B$8</f>
        <v>995</v>
      </c>
      <c r="AD300" s="13">
        <f>[1]Parametros!$B$5*AC300*[1]Parametros!$B$3*(AB300-(AC300*[1]Parametros!$B$3/(0.85*[1]Parametros!$B$2*H300))/2)/1000000</f>
        <v>177.44537938235294</v>
      </c>
      <c r="AE300" s="13" t="str">
        <f t="shared" si="53"/>
        <v>CUMPLE</v>
      </c>
      <c r="AF300" s="13">
        <f>V300*1.25*[1]Parametros!$B$3*(U300-(V300*1.25*[1]Parametros!$B$3/(0.85*[1]Parametros!$B$2*H300))/2)/1000000</f>
        <v>244.15884319852941</v>
      </c>
      <c r="AG300" s="13">
        <f>AC300*1.25*[1]Parametros!$B$3*(AB300-(AC300*1.25*[1]Parametros!$B$3/(0.85*[1]Parametros!$B$2*H300))/2)/1000000</f>
        <v>244.15884319852941</v>
      </c>
      <c r="AH300" s="13">
        <f t="shared" si="54"/>
        <v>359.85930863003091</v>
      </c>
      <c r="AI300" s="13">
        <f t="shared" si="55"/>
        <v>359.85930863003091</v>
      </c>
      <c r="AJ300" s="13">
        <f>0.17*SQRT([1]Parametros!$B$2)*H300*MIN(U300,AB300)/1000</f>
        <v>220.09872869180776</v>
      </c>
      <c r="AK300" s="13">
        <f>MAX(AI300/[1]Parametros!$B$6-AJ300,0)</f>
        <v>259.7136828149001</v>
      </c>
      <c r="AL300" s="13">
        <f>0.66*SQRT([1]Parametros!$B$2)*H300*MIN(U300,AB300)/1000</f>
        <v>854.500946685842</v>
      </c>
      <c r="AM300" s="13" t="str">
        <f t="shared" si="56"/>
        <v>CUMPLE</v>
      </c>
      <c r="AN300" s="13" t="s">
        <v>64</v>
      </c>
      <c r="AO300" s="14">
        <v>2</v>
      </c>
      <c r="AP300" s="13">
        <f>ROUNDDOWN(MIN(IF(BC300+BD300=0,1000000000,AO300*BB300/(BC300+BD300)),MIN(U300,AB300)/4,8*[1]Parametros!$B$12,24*BA300,300,IF(AV300=0,1000000000,2*((H300-2*([1]Parametros!$B$7+[1]Parametros!$B$9/2))+(I300-2*([1]Parametros!$B$7+[1]Parametros!$B$9/2)))/8))/10,0)*10</f>
        <v>110</v>
      </c>
      <c r="AQ300" s="13">
        <f>ROUNDDOWN(MIN(IF(BC300+BD300=0,1000000000,AO300*BB300/(BC300+BD300)),IF(AK300&gt;0.33*SQRT([1]Parametros!$B$2)*H300*MIN(U300,AB300)/1000,MIN(U300,AB300)/4,MIN(U300,AB300)/2),600,IF(AV300=0,1000000000,2*((H300-2*([1]Parametros!$B$7+[1]Parametros!$B$9/2))+(I300-2*([1]Parametros!$B$7+[1]Parametros!$B$9/2)))/8))/10,0)*10</f>
        <v>110</v>
      </c>
      <c r="AR300" s="13">
        <f>[1]Parametros!$B$6*(AJ300+MAX(BE300-BD300,0)*[1]Parametros!$B$4*MIN(U300,AB300)/1000)</f>
        <v>364.06155106431038</v>
      </c>
      <c r="AS300" s="13" t="str">
        <f t="shared" si="57"/>
        <v>CUMPLE</v>
      </c>
      <c r="AT300" s="13">
        <f>[1]Parametros!$B$6*0.083*SQRT([1]Parametros!$B$2)*(H300*I300)^2/(2*(H300+I300))/1000000</f>
        <v>11.862178757598967</v>
      </c>
      <c r="AU300" s="13" t="str">
        <f t="shared" si="58"/>
        <v>DESPRECIABLE</v>
      </c>
      <c r="AV300" s="13">
        <f>IF(Q300&lt;=AT300,0,Q300*1000000/([1]Parametros!$B$6*2*0.85*(H300-2*([1]Parametros!$B$7+[1]Parametros!$B$9/2))*(I300-2*([1]Parametros!$B$7+[1]Parametros!$B$9/2))*[1]Parametros!$B$4))</f>
        <v>0</v>
      </c>
      <c r="AW300" s="13">
        <f>AV300*2*((H300-2*([1]Parametros!$B$7+[1]Parametros!$B$9/2))+(I300-2*([1]Parametros!$B$7+[1]Parametros!$B$9/2)))*[1]Parametros!$B$4/[1]Parametros!$B$3</f>
        <v>0</v>
      </c>
      <c r="AX300" s="14">
        <v>0</v>
      </c>
      <c r="AY300" s="13" t="str">
        <f t="shared" si="59"/>
        <v>DESPRECIABLE</v>
      </c>
      <c r="AZ300" s="13" t="str">
        <f t="shared" si="60"/>
        <v>CUMPLE</v>
      </c>
      <c r="BA300" s="14">
        <v>9.5</v>
      </c>
      <c r="BB300" s="14">
        <v>71</v>
      </c>
      <c r="BC300" s="13">
        <f>MAX(IF(AK300=0,0,AK300*1000/([1]Parametros!$B$4*MIN(U300,AB300))),MAX(0.062*SQRT([1]Parametros!$B$2)*H300/[1]Parametros!$B$4,0.35*H300/[1]Parametros!$B$4))</f>
        <v>1.2636475149975435</v>
      </c>
      <c r="BD300" s="13">
        <f t="shared" si="61"/>
        <v>0</v>
      </c>
      <c r="BE300" s="13">
        <f t="shared" si="62"/>
        <v>1.290909090909091</v>
      </c>
      <c r="BF300" s="13">
        <f>SQRT((AI300*1000/(H300*MIN(U300,AB300)))^2+(Q300*1000000*2*((H300-2*([1]Parametros!$B$7+[1]Parametros!$B$9/2))+(I300-2*([1]Parametros!$B$7+[1]Parametros!$B$9/2)))/(1.7*((H300-2*([1]Parametros!$B$7+[1]Parametros!$B$9/2))*(I300-2*([1]Parametros!$B$7+[1]Parametros!$B$9/2)))^2))^2)</f>
        <v>1.4716884309551483</v>
      </c>
      <c r="BG300" s="13">
        <f>[1]Parametros!$B$6*(AJ300*1000/(H300*MIN(U300,AB300))+0.66*SQRT([1]Parametros!$B$2))</f>
        <v>3.2939603822754151</v>
      </c>
      <c r="BH300" s="13" t="str">
        <f t="shared" si="63"/>
        <v>CUMPLE</v>
      </c>
      <c r="BI300" s="13">
        <f>AX300*[1]Parametros!$B$8</f>
        <v>0</v>
      </c>
      <c r="BJ300" s="15" t="str">
        <f t="shared" si="64"/>
        <v>CUMPLE</v>
      </c>
    </row>
    <row r="301" spans="1:62" x14ac:dyDescent="0.3">
      <c r="A301" s="43" t="s">
        <v>74</v>
      </c>
      <c r="B301" s="44">
        <v>904</v>
      </c>
      <c r="C301" s="13">
        <v>1</v>
      </c>
      <c r="D301" s="13">
        <v>2</v>
      </c>
      <c r="E301" s="13">
        <v>2</v>
      </c>
      <c r="F301" s="13">
        <v>500</v>
      </c>
      <c r="G301" s="13">
        <v>550</v>
      </c>
      <c r="H301" s="13">
        <v>500</v>
      </c>
      <c r="I301" s="13">
        <v>550</v>
      </c>
      <c r="J301" s="14">
        <v>89.327399999999997</v>
      </c>
      <c r="K301" s="13">
        <v>904</v>
      </c>
      <c r="L301" s="14">
        <v>50.6205</v>
      </c>
      <c r="M301" s="13">
        <v>904</v>
      </c>
      <c r="N301" s="14">
        <v>96.715999999999994</v>
      </c>
      <c r="O301" s="14">
        <v>279.82299999999998</v>
      </c>
      <c r="P301" s="13">
        <v>904</v>
      </c>
      <c r="Q301" s="14">
        <v>3.1307</v>
      </c>
      <c r="R301" s="13">
        <f>MAX(MAX(1.4/[1]Parametros!$B$3,0.25*SQRT([1]Parametros!$B$2)/[1]Parametros!$B$3)*H301*U301,(0.85*[1]Parametros!$B$2/[1]Parametros!$B$3)*(1-SQRT(1-2*(J301*1000000/([1]Parametros!$B$5*H301*U301^2))/(0.85*[1]Parametros!$B$2)))*H301*U301)</f>
        <v>815.58333333333326</v>
      </c>
      <c r="S301" s="14">
        <v>5</v>
      </c>
      <c r="T301" s="14">
        <v>1</v>
      </c>
      <c r="U301" s="13">
        <f>IF(T301=1,I301-([1]Parametros!$B$7+[1]Parametros!$B$9+[1]Parametros!$B$12/2),I301-(ROUNDUP(S301/2,0)*([1]Parametros!$B$7+[1]Parametros!$B$9+[1]Parametros!$B$12/2)+ROUNDDOWN(S301/2,0)*([1]Parametros!$B$7+[1]Parametros!$B$9+[1]Parametros!$B$12/2+[1]Parametros!$B$12+[1]Parametros!$B$10))/S301)</f>
        <v>489.35</v>
      </c>
      <c r="V301" s="13">
        <f>S301*[1]Parametros!$B$8</f>
        <v>995</v>
      </c>
      <c r="W301" s="13">
        <f>[1]Parametros!$B$5*V301*[1]Parametros!$B$3*(U301-(V301*[1]Parametros!$B$3/(0.85*[1]Parametros!$B$2*H301))/2)/1000000</f>
        <v>177.44537938235294</v>
      </c>
      <c r="X301" s="13" t="str">
        <f t="shared" si="52"/>
        <v>CUMPLE</v>
      </c>
      <c r="Y301" s="13">
        <f>MAX(MAX(1.4/[1]Parametros!$B$3,0.25*SQRT([1]Parametros!$B$2)/[1]Parametros!$B$3)*H301*AB301,(0.85*[1]Parametros!$B$2/[1]Parametros!$B$3)*(1-SQRT(1-2*(L301*1000000/([1]Parametros!$B$5*H301*AB301^2))/(0.85*[1]Parametros!$B$2)))*H301*AB301)</f>
        <v>815.58333333333326</v>
      </c>
      <c r="Z301" s="14">
        <v>5</v>
      </c>
      <c r="AA301" s="14">
        <v>1</v>
      </c>
      <c r="AB301" s="13">
        <f>IF(AA301=1,I301-([1]Parametros!$B$7+[1]Parametros!$B$9+[1]Parametros!$B$12/2),I301-(ROUNDUP(Z301/2,0)*([1]Parametros!$B$7+[1]Parametros!$B$9+[1]Parametros!$B$12/2)+ROUNDDOWN(Z301/2,0)*([1]Parametros!$B$7+[1]Parametros!$B$9+[1]Parametros!$B$12/2+[1]Parametros!$B$12+[1]Parametros!$B$10))/Z301)</f>
        <v>489.35</v>
      </c>
      <c r="AC301" s="13">
        <f>Z301*[1]Parametros!$B$8</f>
        <v>995</v>
      </c>
      <c r="AD301" s="13">
        <f>[1]Parametros!$B$5*AC301*[1]Parametros!$B$3*(AB301-(AC301*[1]Parametros!$B$3/(0.85*[1]Parametros!$B$2*H301))/2)/1000000</f>
        <v>177.44537938235294</v>
      </c>
      <c r="AE301" s="13" t="str">
        <f t="shared" si="53"/>
        <v>CUMPLE</v>
      </c>
      <c r="AF301" s="13">
        <f>V301*1.25*[1]Parametros!$B$3*(U301-(V301*1.25*[1]Parametros!$B$3/(0.85*[1]Parametros!$B$2*H301))/2)/1000000</f>
        <v>244.15884319852941</v>
      </c>
      <c r="AG301" s="13">
        <f>AC301*1.25*[1]Parametros!$B$3*(AB301-(AC301*1.25*[1]Parametros!$B$3/(0.85*[1]Parametros!$B$2*H301))/2)/1000000</f>
        <v>244.15884319852941</v>
      </c>
      <c r="AH301" s="13">
        <f t="shared" si="54"/>
        <v>340.87484319852939</v>
      </c>
      <c r="AI301" s="13">
        <f t="shared" si="55"/>
        <v>340.87484319852939</v>
      </c>
      <c r="AJ301" s="13">
        <f>0.17*SQRT([1]Parametros!$B$2)*H301*MIN(U301,AB301)/1000</f>
        <v>220.09872869180776</v>
      </c>
      <c r="AK301" s="13">
        <f>MAX(AI301/[1]Parametros!$B$6-AJ301,0)</f>
        <v>234.40106223956474</v>
      </c>
      <c r="AL301" s="13">
        <f>0.66*SQRT([1]Parametros!$B$2)*H301*MIN(U301,AB301)/1000</f>
        <v>854.500946685842</v>
      </c>
      <c r="AM301" s="13" t="str">
        <f t="shared" si="56"/>
        <v>CUMPLE</v>
      </c>
      <c r="AN301" s="13" t="s">
        <v>64</v>
      </c>
      <c r="AO301" s="14">
        <v>2</v>
      </c>
      <c r="AP301" s="13">
        <f>ROUNDDOWN(MIN(IF(BC301+BD301=0,1000000000,AO301*BB301/(BC301+BD301)),MIN(U301,AB301)/4,8*[1]Parametros!$B$12,24*BA301,300,IF(AV301=0,1000000000,2*((H301-2*([1]Parametros!$B$7+[1]Parametros!$B$9/2))+(I301-2*([1]Parametros!$B$7+[1]Parametros!$B$9/2)))/8))/10,0)*10</f>
        <v>120</v>
      </c>
      <c r="AQ301" s="13">
        <f>ROUNDDOWN(MIN(IF(BC301+BD301=0,1000000000,AO301*BB301/(BC301+BD301)),IF(AK301&gt;0.33*SQRT([1]Parametros!$B$2)*H301*MIN(U301,AB301)/1000,MIN(U301,AB301)/4,MIN(U301,AB301)/2),600,IF(AV301=0,1000000000,2*((H301-2*([1]Parametros!$B$7+[1]Parametros!$B$9/2))+(I301-2*([1]Parametros!$B$7+[1]Parametros!$B$9/2)))/8))/10,0)*10</f>
        <v>120</v>
      </c>
      <c r="AR301" s="13">
        <f>[1]Parametros!$B$6*(AJ301+MAX(BE301-BD301,0)*[1]Parametros!$B$4*MIN(U301,AB301)/1000)</f>
        <v>347.47925901885583</v>
      </c>
      <c r="AS301" s="13" t="str">
        <f t="shared" si="57"/>
        <v>CUMPLE</v>
      </c>
      <c r="AT301" s="13">
        <f>[1]Parametros!$B$6*0.083*SQRT([1]Parametros!$B$2)*(H301*I301)^2/(2*(H301+I301))/1000000</f>
        <v>11.862178757598967</v>
      </c>
      <c r="AU301" s="13" t="str">
        <f t="shared" si="58"/>
        <v>DESPRECIABLE</v>
      </c>
      <c r="AV301" s="13">
        <f>IF(Q301&lt;=AT301,0,Q301*1000000/([1]Parametros!$B$6*2*0.85*(H301-2*([1]Parametros!$B$7+[1]Parametros!$B$9/2))*(I301-2*([1]Parametros!$B$7+[1]Parametros!$B$9/2))*[1]Parametros!$B$4))</f>
        <v>0</v>
      </c>
      <c r="AW301" s="13">
        <f>AV301*2*((H301-2*([1]Parametros!$B$7+[1]Parametros!$B$9/2))+(I301-2*([1]Parametros!$B$7+[1]Parametros!$B$9/2)))*[1]Parametros!$B$4/[1]Parametros!$B$3</f>
        <v>0</v>
      </c>
      <c r="AX301" s="14">
        <v>0</v>
      </c>
      <c r="AY301" s="13" t="str">
        <f t="shared" si="59"/>
        <v>DESPRECIABLE</v>
      </c>
      <c r="AZ301" s="13" t="str">
        <f t="shared" si="60"/>
        <v>CUMPLE</v>
      </c>
      <c r="BA301" s="14">
        <v>9.5</v>
      </c>
      <c r="BB301" s="14">
        <v>71</v>
      </c>
      <c r="BC301" s="13">
        <f>MAX(IF(AK301=0,0,AK301*1000/([1]Parametros!$B$4*MIN(U301,AB301))),MAX(0.062*SQRT([1]Parametros!$B$2)*H301/[1]Parametros!$B$4,0.35*H301/[1]Parametros!$B$4))</f>
        <v>1.1404879273261652</v>
      </c>
      <c r="BD301" s="13">
        <f t="shared" si="61"/>
        <v>0</v>
      </c>
      <c r="BE301" s="13">
        <f t="shared" si="62"/>
        <v>1.1833333333333333</v>
      </c>
      <c r="BF301" s="13">
        <f>SQRT((AI301*1000/(H301*MIN(U301,AB301)))^2+(Q301*1000000*2*((H301-2*([1]Parametros!$B$7+[1]Parametros!$B$9/2))+(I301-2*([1]Parametros!$B$7+[1]Parametros!$B$9/2)))/(1.7*((H301-2*([1]Parametros!$B$7+[1]Parametros!$B$9/2))*(I301-2*([1]Parametros!$B$7+[1]Parametros!$B$9/2)))^2))^2)</f>
        <v>1.3961946754757526</v>
      </c>
      <c r="BG301" s="13">
        <f>[1]Parametros!$B$6*(AJ301*1000/(H301*MIN(U301,AB301))+0.66*SQRT([1]Parametros!$B$2))</f>
        <v>3.2939603822754151</v>
      </c>
      <c r="BH301" s="13" t="str">
        <f t="shared" si="63"/>
        <v>CUMPLE</v>
      </c>
      <c r="BI301" s="13">
        <f>AX301*[1]Parametros!$B$8</f>
        <v>0</v>
      </c>
      <c r="BJ301" s="15" t="str">
        <f t="shared" si="64"/>
        <v>CUMPLE</v>
      </c>
    </row>
    <row r="302" spans="1:62" x14ac:dyDescent="0.3">
      <c r="A302" s="43" t="s">
        <v>74</v>
      </c>
      <c r="B302" s="44">
        <v>905</v>
      </c>
      <c r="C302" s="13">
        <v>1</v>
      </c>
      <c r="D302" s="13">
        <v>3.05</v>
      </c>
      <c r="E302" s="13">
        <v>3.05</v>
      </c>
      <c r="F302" s="13">
        <v>500</v>
      </c>
      <c r="G302" s="13">
        <v>550</v>
      </c>
      <c r="H302" s="13">
        <v>500</v>
      </c>
      <c r="I302" s="13">
        <v>550</v>
      </c>
      <c r="J302" s="14">
        <v>113.3685</v>
      </c>
      <c r="K302" s="13">
        <v>905</v>
      </c>
      <c r="L302" s="14">
        <v>55.073599999999999</v>
      </c>
      <c r="M302" s="13">
        <v>905</v>
      </c>
      <c r="N302" s="14">
        <v>105.699</v>
      </c>
      <c r="O302" s="14">
        <v>269.26299999999998</v>
      </c>
      <c r="P302" s="13">
        <v>905</v>
      </c>
      <c r="Q302" s="14">
        <v>1.2947</v>
      </c>
      <c r="R302" s="13">
        <f>MAX(MAX(1.4/[1]Parametros!$B$3,0.25*SQRT([1]Parametros!$B$2)/[1]Parametros!$B$3)*H302*U302,(0.85*[1]Parametros!$B$2/[1]Parametros!$B$3)*(1-SQRT(1-2*(J302*1000000/([1]Parametros!$B$5*H302*U302^2))/(0.85*[1]Parametros!$B$2)))*H302*U302)</f>
        <v>815.58333333333326</v>
      </c>
      <c r="S302" s="14">
        <v>5</v>
      </c>
      <c r="T302" s="14">
        <v>1</v>
      </c>
      <c r="U302" s="13">
        <f>IF(T302=1,I302-([1]Parametros!$B$7+[1]Parametros!$B$9+[1]Parametros!$B$12/2),I302-(ROUNDUP(S302/2,0)*([1]Parametros!$B$7+[1]Parametros!$B$9+[1]Parametros!$B$12/2)+ROUNDDOWN(S302/2,0)*([1]Parametros!$B$7+[1]Parametros!$B$9+[1]Parametros!$B$12/2+[1]Parametros!$B$12+[1]Parametros!$B$10))/S302)</f>
        <v>489.35</v>
      </c>
      <c r="V302" s="13">
        <f>S302*[1]Parametros!$B$8</f>
        <v>995</v>
      </c>
      <c r="W302" s="13">
        <f>[1]Parametros!$B$5*V302*[1]Parametros!$B$3*(U302-(V302*[1]Parametros!$B$3/(0.85*[1]Parametros!$B$2*H302))/2)/1000000</f>
        <v>177.44537938235294</v>
      </c>
      <c r="X302" s="13" t="str">
        <f t="shared" si="52"/>
        <v>CUMPLE</v>
      </c>
      <c r="Y302" s="13">
        <f>MAX(MAX(1.4/[1]Parametros!$B$3,0.25*SQRT([1]Parametros!$B$2)/[1]Parametros!$B$3)*H302*AB302,(0.85*[1]Parametros!$B$2/[1]Parametros!$B$3)*(1-SQRT(1-2*(L302*1000000/([1]Parametros!$B$5*H302*AB302^2))/(0.85*[1]Parametros!$B$2)))*H302*AB302)</f>
        <v>815.58333333333326</v>
      </c>
      <c r="Z302" s="14">
        <v>5</v>
      </c>
      <c r="AA302" s="14">
        <v>1</v>
      </c>
      <c r="AB302" s="13">
        <f>IF(AA302=1,I302-([1]Parametros!$B$7+[1]Parametros!$B$9+[1]Parametros!$B$12/2),I302-(ROUNDUP(Z302/2,0)*([1]Parametros!$B$7+[1]Parametros!$B$9+[1]Parametros!$B$12/2)+ROUNDDOWN(Z302/2,0)*([1]Parametros!$B$7+[1]Parametros!$B$9+[1]Parametros!$B$12/2+[1]Parametros!$B$12+[1]Parametros!$B$10))/Z302)</f>
        <v>489.35</v>
      </c>
      <c r="AC302" s="13">
        <f>Z302*[1]Parametros!$B$8</f>
        <v>995</v>
      </c>
      <c r="AD302" s="13">
        <f>[1]Parametros!$B$5*AC302*[1]Parametros!$B$3*(AB302-(AC302*[1]Parametros!$B$3/(0.85*[1]Parametros!$B$2*H302))/2)/1000000</f>
        <v>177.44537938235294</v>
      </c>
      <c r="AE302" s="13" t="str">
        <f t="shared" si="53"/>
        <v>CUMPLE</v>
      </c>
      <c r="AF302" s="13">
        <f>V302*1.25*[1]Parametros!$B$3*(U302-(V302*1.25*[1]Parametros!$B$3/(0.85*[1]Parametros!$B$2*H302))/2)/1000000</f>
        <v>244.15884319852941</v>
      </c>
      <c r="AG302" s="13">
        <f>AC302*1.25*[1]Parametros!$B$3*(AB302-(AC302*1.25*[1]Parametros!$B$3/(0.85*[1]Parametros!$B$2*H302))/2)/1000000</f>
        <v>244.15884319852941</v>
      </c>
      <c r="AH302" s="13">
        <f t="shared" si="54"/>
        <v>265.80315947444552</v>
      </c>
      <c r="AI302" s="13">
        <f t="shared" si="55"/>
        <v>269.26299999999998</v>
      </c>
      <c r="AJ302" s="13">
        <f>0.17*SQRT([1]Parametros!$B$2)*H302*MIN(U302,AB302)/1000</f>
        <v>220.09872869180776</v>
      </c>
      <c r="AK302" s="13">
        <f>MAX(AI302/[1]Parametros!$B$6-AJ302,0)</f>
        <v>138.91860464152552</v>
      </c>
      <c r="AL302" s="13">
        <f>0.66*SQRT([1]Parametros!$B$2)*H302*MIN(U302,AB302)/1000</f>
        <v>854.500946685842</v>
      </c>
      <c r="AM302" s="13" t="str">
        <f t="shared" si="56"/>
        <v>CUMPLE</v>
      </c>
      <c r="AN302" s="13" t="s">
        <v>64</v>
      </c>
      <c r="AO302" s="14">
        <v>2</v>
      </c>
      <c r="AP302" s="13">
        <f>ROUNDDOWN(MIN(IF(BC302+BD302=0,1000000000,AO302*BB302/(BC302+BD302)),MIN(U302,AB302)/4,8*[1]Parametros!$B$12,24*BA302,300,IF(AV302=0,1000000000,2*((H302-2*([1]Parametros!$B$7+[1]Parametros!$B$9/2))+(I302-2*([1]Parametros!$B$7+[1]Parametros!$B$9/2)))/8))/10,0)*10</f>
        <v>120</v>
      </c>
      <c r="AQ302" s="13">
        <f>ROUNDDOWN(MIN(IF(BC302+BD302=0,1000000000,AO302*BB302/(BC302+BD302)),IF(AK302&gt;0.33*SQRT([1]Parametros!$B$2)*H302*MIN(U302,AB302)/1000,MIN(U302,AB302)/4,MIN(U302,AB302)/2),600,IF(AV302=0,1000000000,2*((H302-2*([1]Parametros!$B$7+[1]Parametros!$B$9/2))+(I302-2*([1]Parametros!$B$7+[1]Parametros!$B$9/2)))/8))/10,0)*10</f>
        <v>210</v>
      </c>
      <c r="AR302" s="13">
        <f>[1]Parametros!$B$6*(AJ302+MAX(BE302-BD302,0)*[1]Parametros!$B$4*MIN(U302,AB302)/1000)</f>
        <v>347.47925901885583</v>
      </c>
      <c r="AS302" s="13" t="str">
        <f t="shared" si="57"/>
        <v>CUMPLE</v>
      </c>
      <c r="AT302" s="13">
        <f>[1]Parametros!$B$6*0.083*SQRT([1]Parametros!$B$2)*(H302*I302)^2/(2*(H302+I302))/1000000</f>
        <v>11.862178757598967</v>
      </c>
      <c r="AU302" s="13" t="str">
        <f t="shared" si="58"/>
        <v>DESPRECIABLE</v>
      </c>
      <c r="AV302" s="13">
        <f>IF(Q302&lt;=AT302,0,Q302*1000000/([1]Parametros!$B$6*2*0.85*(H302-2*([1]Parametros!$B$7+[1]Parametros!$B$9/2))*(I302-2*([1]Parametros!$B$7+[1]Parametros!$B$9/2))*[1]Parametros!$B$4))</f>
        <v>0</v>
      </c>
      <c r="AW302" s="13">
        <f>AV302*2*((H302-2*([1]Parametros!$B$7+[1]Parametros!$B$9/2))+(I302-2*([1]Parametros!$B$7+[1]Parametros!$B$9/2)))*[1]Parametros!$B$4/[1]Parametros!$B$3</f>
        <v>0</v>
      </c>
      <c r="AX302" s="14">
        <v>0</v>
      </c>
      <c r="AY302" s="13" t="str">
        <f t="shared" si="59"/>
        <v>DESPRECIABLE</v>
      </c>
      <c r="AZ302" s="13" t="str">
        <f t="shared" si="60"/>
        <v>CUMPLE</v>
      </c>
      <c r="BA302" s="14">
        <v>9.5</v>
      </c>
      <c r="BB302" s="14">
        <v>71</v>
      </c>
      <c r="BC302" s="13">
        <f>MAX(IF(AK302=0,0,AK302*1000/([1]Parametros!$B$4*MIN(U302,AB302))),MAX(0.062*SQRT([1]Parametros!$B$2)*H302/[1]Parametros!$B$4,0.35*H302/[1]Parametros!$B$4))</f>
        <v>0.6759141360576737</v>
      </c>
      <c r="BD302" s="13">
        <f t="shared" si="61"/>
        <v>0</v>
      </c>
      <c r="BE302" s="13">
        <f t="shared" si="62"/>
        <v>1.1833333333333333</v>
      </c>
      <c r="BF302" s="13">
        <f>SQRT((AI302*1000/(H302*MIN(U302,AB302)))^2+(Q302*1000000*2*((H302-2*([1]Parametros!$B$7+[1]Parametros!$B$9/2))+(I302-2*([1]Parametros!$B$7+[1]Parametros!$B$9/2)))/(1.7*((H302-2*([1]Parametros!$B$7+[1]Parametros!$B$9/2))*(I302-2*([1]Parametros!$B$7+[1]Parametros!$B$9/2)))^2))^2)</f>
        <v>1.1011470090298561</v>
      </c>
      <c r="BG302" s="13">
        <f>[1]Parametros!$B$6*(AJ302*1000/(H302*MIN(U302,AB302))+0.66*SQRT([1]Parametros!$B$2))</f>
        <v>3.2939603822754151</v>
      </c>
      <c r="BH302" s="13" t="str">
        <f t="shared" si="63"/>
        <v>CUMPLE</v>
      </c>
      <c r="BI302" s="13">
        <f>AX302*[1]Parametros!$B$8</f>
        <v>0</v>
      </c>
      <c r="BJ302" s="15" t="str">
        <f t="shared" si="64"/>
        <v>CUMPLE</v>
      </c>
    </row>
    <row r="303" spans="1:62" x14ac:dyDescent="0.3">
      <c r="A303" s="43" t="s">
        <v>74</v>
      </c>
      <c r="B303" s="44">
        <v>906</v>
      </c>
      <c r="C303" s="13">
        <v>1</v>
      </c>
      <c r="D303" s="13">
        <v>2</v>
      </c>
      <c r="E303" s="13">
        <v>2</v>
      </c>
      <c r="F303" s="13">
        <v>500</v>
      </c>
      <c r="G303" s="13">
        <v>550</v>
      </c>
      <c r="H303" s="13">
        <v>500</v>
      </c>
      <c r="I303" s="13">
        <v>550</v>
      </c>
      <c r="J303" s="14">
        <v>95.416300000000007</v>
      </c>
      <c r="K303" s="13">
        <v>906</v>
      </c>
      <c r="L303" s="14">
        <v>48.812899999999999</v>
      </c>
      <c r="M303" s="13">
        <v>906</v>
      </c>
      <c r="N303" s="14">
        <v>100.38500000000001</v>
      </c>
      <c r="O303" s="14">
        <v>238.917</v>
      </c>
      <c r="P303" s="13">
        <v>906</v>
      </c>
      <c r="Q303" s="14">
        <v>2.5649000000000002</v>
      </c>
      <c r="R303" s="13">
        <f>MAX(MAX(1.4/[1]Parametros!$B$3,0.25*SQRT([1]Parametros!$B$2)/[1]Parametros!$B$3)*H303*U303,(0.85*[1]Parametros!$B$2/[1]Parametros!$B$3)*(1-SQRT(1-2*(J303*1000000/([1]Parametros!$B$5*H303*U303^2))/(0.85*[1]Parametros!$B$2)))*H303*U303)</f>
        <v>815.58333333333326</v>
      </c>
      <c r="S303" s="14">
        <v>5</v>
      </c>
      <c r="T303" s="14">
        <v>1</v>
      </c>
      <c r="U303" s="13">
        <f>IF(T303=1,I303-([1]Parametros!$B$7+[1]Parametros!$B$9+[1]Parametros!$B$12/2),I303-(ROUNDUP(S303/2,0)*([1]Parametros!$B$7+[1]Parametros!$B$9+[1]Parametros!$B$12/2)+ROUNDDOWN(S303/2,0)*([1]Parametros!$B$7+[1]Parametros!$B$9+[1]Parametros!$B$12/2+[1]Parametros!$B$12+[1]Parametros!$B$10))/S303)</f>
        <v>489.35</v>
      </c>
      <c r="V303" s="13">
        <f>S303*[1]Parametros!$B$8</f>
        <v>995</v>
      </c>
      <c r="W303" s="13">
        <f>[1]Parametros!$B$5*V303*[1]Parametros!$B$3*(U303-(V303*[1]Parametros!$B$3/(0.85*[1]Parametros!$B$2*H303))/2)/1000000</f>
        <v>177.44537938235294</v>
      </c>
      <c r="X303" s="13" t="str">
        <f t="shared" si="52"/>
        <v>CUMPLE</v>
      </c>
      <c r="Y303" s="13">
        <f>MAX(MAX(1.4/[1]Parametros!$B$3,0.25*SQRT([1]Parametros!$B$2)/[1]Parametros!$B$3)*H303*AB303,(0.85*[1]Parametros!$B$2/[1]Parametros!$B$3)*(1-SQRT(1-2*(L303*1000000/([1]Parametros!$B$5*H303*AB303^2))/(0.85*[1]Parametros!$B$2)))*H303*AB303)</f>
        <v>815.58333333333326</v>
      </c>
      <c r="Z303" s="14">
        <v>5</v>
      </c>
      <c r="AA303" s="14">
        <v>1</v>
      </c>
      <c r="AB303" s="13">
        <f>IF(AA303=1,I303-([1]Parametros!$B$7+[1]Parametros!$B$9+[1]Parametros!$B$12/2),I303-(ROUNDUP(Z303/2,0)*([1]Parametros!$B$7+[1]Parametros!$B$9+[1]Parametros!$B$12/2)+ROUNDDOWN(Z303/2,0)*([1]Parametros!$B$7+[1]Parametros!$B$9+[1]Parametros!$B$12/2+[1]Parametros!$B$12+[1]Parametros!$B$10))/Z303)</f>
        <v>489.35</v>
      </c>
      <c r="AC303" s="13">
        <f>Z303*[1]Parametros!$B$8</f>
        <v>995</v>
      </c>
      <c r="AD303" s="13">
        <f>[1]Parametros!$B$5*AC303*[1]Parametros!$B$3*(AB303-(AC303*[1]Parametros!$B$3/(0.85*[1]Parametros!$B$2*H303))/2)/1000000</f>
        <v>177.44537938235294</v>
      </c>
      <c r="AE303" s="13" t="str">
        <f t="shared" si="53"/>
        <v>CUMPLE</v>
      </c>
      <c r="AF303" s="13">
        <f>V303*1.25*[1]Parametros!$B$3*(U303-(V303*1.25*[1]Parametros!$B$3/(0.85*[1]Parametros!$B$2*H303))/2)/1000000</f>
        <v>244.15884319852941</v>
      </c>
      <c r="AG303" s="13">
        <f>AC303*1.25*[1]Parametros!$B$3*(AB303-(AC303*1.25*[1]Parametros!$B$3/(0.85*[1]Parametros!$B$2*H303))/2)/1000000</f>
        <v>244.15884319852941</v>
      </c>
      <c r="AH303" s="13">
        <f t="shared" si="54"/>
        <v>344.54384319852943</v>
      </c>
      <c r="AI303" s="13">
        <f t="shared" si="55"/>
        <v>344.54384319852943</v>
      </c>
      <c r="AJ303" s="13">
        <f>0.17*SQRT([1]Parametros!$B$2)*H303*MIN(U303,AB303)/1000</f>
        <v>220.09872869180776</v>
      </c>
      <c r="AK303" s="13">
        <f>MAX(AI303/[1]Parametros!$B$6-AJ303,0)</f>
        <v>239.29306223956479</v>
      </c>
      <c r="AL303" s="13">
        <f>0.66*SQRT([1]Parametros!$B$2)*H303*MIN(U303,AB303)/1000</f>
        <v>854.500946685842</v>
      </c>
      <c r="AM303" s="13" t="str">
        <f t="shared" si="56"/>
        <v>CUMPLE</v>
      </c>
      <c r="AN303" s="13" t="s">
        <v>64</v>
      </c>
      <c r="AO303" s="14">
        <v>2</v>
      </c>
      <c r="AP303" s="13">
        <f>ROUNDDOWN(MIN(IF(BC303+BD303=0,1000000000,AO303*BB303/(BC303+BD303)),MIN(U303,AB303)/4,8*[1]Parametros!$B$12,24*BA303,300,IF(AV303=0,1000000000,2*((H303-2*([1]Parametros!$B$7+[1]Parametros!$B$9/2))+(I303-2*([1]Parametros!$B$7+[1]Parametros!$B$9/2)))/8))/10,0)*10</f>
        <v>120</v>
      </c>
      <c r="AQ303" s="13">
        <f>ROUNDDOWN(MIN(IF(BC303+BD303=0,1000000000,AO303*BB303/(BC303+BD303)),IF(AK303&gt;0.33*SQRT([1]Parametros!$B$2)*H303*MIN(U303,AB303)/1000,MIN(U303,AB303)/4,MIN(U303,AB303)/2),600,IF(AV303=0,1000000000,2*((H303-2*([1]Parametros!$B$7+[1]Parametros!$B$9/2))+(I303-2*([1]Parametros!$B$7+[1]Parametros!$B$9/2)))/8))/10,0)*10</f>
        <v>120</v>
      </c>
      <c r="AR303" s="13">
        <f>[1]Parametros!$B$6*(AJ303+MAX(BE303-BD303,0)*[1]Parametros!$B$4*MIN(U303,AB303)/1000)</f>
        <v>347.47925901885583</v>
      </c>
      <c r="AS303" s="13" t="str">
        <f t="shared" si="57"/>
        <v>CUMPLE</v>
      </c>
      <c r="AT303" s="13">
        <f>[1]Parametros!$B$6*0.083*SQRT([1]Parametros!$B$2)*(H303*I303)^2/(2*(H303+I303))/1000000</f>
        <v>11.862178757598967</v>
      </c>
      <c r="AU303" s="13" t="str">
        <f t="shared" si="58"/>
        <v>DESPRECIABLE</v>
      </c>
      <c r="AV303" s="13">
        <f>IF(Q303&lt;=AT303,0,Q303*1000000/([1]Parametros!$B$6*2*0.85*(H303-2*([1]Parametros!$B$7+[1]Parametros!$B$9/2))*(I303-2*([1]Parametros!$B$7+[1]Parametros!$B$9/2))*[1]Parametros!$B$4))</f>
        <v>0</v>
      </c>
      <c r="AW303" s="13">
        <f>AV303*2*((H303-2*([1]Parametros!$B$7+[1]Parametros!$B$9/2))+(I303-2*([1]Parametros!$B$7+[1]Parametros!$B$9/2)))*[1]Parametros!$B$4/[1]Parametros!$B$3</f>
        <v>0</v>
      </c>
      <c r="AX303" s="14">
        <v>0</v>
      </c>
      <c r="AY303" s="13" t="str">
        <f t="shared" si="59"/>
        <v>DESPRECIABLE</v>
      </c>
      <c r="AZ303" s="13" t="str">
        <f t="shared" si="60"/>
        <v>CUMPLE</v>
      </c>
      <c r="BA303" s="14">
        <v>9.5</v>
      </c>
      <c r="BB303" s="14">
        <v>71</v>
      </c>
      <c r="BC303" s="13">
        <f>MAX(IF(AK303=0,0,AK303*1000/([1]Parametros!$B$4*MIN(U303,AB303))),MAX(0.062*SQRT([1]Parametros!$B$2)*H303/[1]Parametros!$B$4,0.35*H303/[1]Parametros!$B$4))</f>
        <v>1.1642901528245184</v>
      </c>
      <c r="BD303" s="13">
        <f t="shared" si="61"/>
        <v>0</v>
      </c>
      <c r="BE303" s="13">
        <f t="shared" si="62"/>
        <v>1.1833333333333333</v>
      </c>
      <c r="BF303" s="13">
        <f>SQRT((AI303*1000/(H303*MIN(U303,AB303)))^2+(Q303*1000000*2*((H303-2*([1]Parametros!$B$7+[1]Parametros!$B$9/2))+(I303-2*([1]Parametros!$B$7+[1]Parametros!$B$9/2)))/(1.7*((H303-2*([1]Parametros!$B$7+[1]Parametros!$B$9/2))*(I303-2*([1]Parametros!$B$7+[1]Parametros!$B$9/2)))^2))^2)</f>
        <v>1.4101760545755126</v>
      </c>
      <c r="BG303" s="13">
        <f>[1]Parametros!$B$6*(AJ303*1000/(H303*MIN(U303,AB303))+0.66*SQRT([1]Parametros!$B$2))</f>
        <v>3.2939603822754151</v>
      </c>
      <c r="BH303" s="13" t="str">
        <f t="shared" si="63"/>
        <v>CUMPLE</v>
      </c>
      <c r="BI303" s="13">
        <f>AX303*[1]Parametros!$B$8</f>
        <v>0</v>
      </c>
      <c r="BJ303" s="15" t="str">
        <f t="shared" si="64"/>
        <v>CUMPLE</v>
      </c>
    </row>
    <row r="304" spans="1:62" x14ac:dyDescent="0.3">
      <c r="A304" s="43" t="s">
        <v>74</v>
      </c>
      <c r="B304" s="44">
        <v>947</v>
      </c>
      <c r="C304" s="13">
        <v>1</v>
      </c>
      <c r="D304" s="13">
        <v>2</v>
      </c>
      <c r="E304" s="13">
        <v>2</v>
      </c>
      <c r="F304" s="13">
        <v>500</v>
      </c>
      <c r="G304" s="13">
        <v>550</v>
      </c>
      <c r="H304" s="13">
        <v>500</v>
      </c>
      <c r="I304" s="13">
        <v>550</v>
      </c>
      <c r="J304" s="14">
        <v>41.7896</v>
      </c>
      <c r="K304" s="13">
        <v>947</v>
      </c>
      <c r="L304" s="14">
        <v>16.300599999999999</v>
      </c>
      <c r="M304" s="13">
        <v>947</v>
      </c>
      <c r="N304" s="14">
        <v>53.180999999999997</v>
      </c>
      <c r="O304" s="14">
        <v>68.254999999999995</v>
      </c>
      <c r="P304" s="13">
        <v>947</v>
      </c>
      <c r="Q304" s="14">
        <v>3.0966999999999998</v>
      </c>
      <c r="R304" s="13">
        <f>MAX(MAX(1.4/[1]Parametros!$B$3,0.25*SQRT([1]Parametros!$B$2)/[1]Parametros!$B$3)*H304*U304,(0.85*[1]Parametros!$B$2/[1]Parametros!$B$3)*(1-SQRT(1-2*(J304*1000000/([1]Parametros!$B$5*H304*U304^2))/(0.85*[1]Parametros!$B$2)))*H304*U304)</f>
        <v>815.58333333333326</v>
      </c>
      <c r="S304" s="14">
        <v>5</v>
      </c>
      <c r="T304" s="14">
        <v>1</v>
      </c>
      <c r="U304" s="13">
        <f>IF(T304=1,I304-([1]Parametros!$B$7+[1]Parametros!$B$9+[1]Parametros!$B$12/2),I304-(ROUNDUP(S304/2,0)*([1]Parametros!$B$7+[1]Parametros!$B$9+[1]Parametros!$B$12/2)+ROUNDDOWN(S304/2,0)*([1]Parametros!$B$7+[1]Parametros!$B$9+[1]Parametros!$B$12/2+[1]Parametros!$B$12+[1]Parametros!$B$10))/S304)</f>
        <v>489.35</v>
      </c>
      <c r="V304" s="13">
        <f>S304*[1]Parametros!$B$8</f>
        <v>995</v>
      </c>
      <c r="W304" s="13">
        <f>[1]Parametros!$B$5*V304*[1]Parametros!$B$3*(U304-(V304*[1]Parametros!$B$3/(0.85*[1]Parametros!$B$2*H304))/2)/1000000</f>
        <v>177.44537938235294</v>
      </c>
      <c r="X304" s="13" t="str">
        <f t="shared" si="52"/>
        <v>CUMPLE</v>
      </c>
      <c r="Y304" s="13">
        <f>MAX(MAX(1.4/[1]Parametros!$B$3,0.25*SQRT([1]Parametros!$B$2)/[1]Parametros!$B$3)*H304*AB304,(0.85*[1]Parametros!$B$2/[1]Parametros!$B$3)*(1-SQRT(1-2*(L304*1000000/([1]Parametros!$B$5*H304*AB304^2))/(0.85*[1]Parametros!$B$2)))*H304*AB304)</f>
        <v>815.58333333333326</v>
      </c>
      <c r="Z304" s="14">
        <v>5</v>
      </c>
      <c r="AA304" s="14">
        <v>1</v>
      </c>
      <c r="AB304" s="13">
        <f>IF(AA304=1,I304-([1]Parametros!$B$7+[1]Parametros!$B$9+[1]Parametros!$B$12/2),I304-(ROUNDUP(Z304/2,0)*([1]Parametros!$B$7+[1]Parametros!$B$9+[1]Parametros!$B$12/2)+ROUNDDOWN(Z304/2,0)*([1]Parametros!$B$7+[1]Parametros!$B$9+[1]Parametros!$B$12/2+[1]Parametros!$B$12+[1]Parametros!$B$10))/Z304)</f>
        <v>489.35</v>
      </c>
      <c r="AC304" s="13">
        <f>Z304*[1]Parametros!$B$8</f>
        <v>995</v>
      </c>
      <c r="AD304" s="13">
        <f>[1]Parametros!$B$5*AC304*[1]Parametros!$B$3*(AB304-(AC304*[1]Parametros!$B$3/(0.85*[1]Parametros!$B$2*H304))/2)/1000000</f>
        <v>177.44537938235294</v>
      </c>
      <c r="AE304" s="13" t="str">
        <f t="shared" si="53"/>
        <v>CUMPLE</v>
      </c>
      <c r="AF304" s="13">
        <f>V304*1.25*[1]Parametros!$B$3*(U304-(V304*1.25*[1]Parametros!$B$3/(0.85*[1]Parametros!$B$2*H304))/2)/1000000</f>
        <v>244.15884319852941</v>
      </c>
      <c r="AG304" s="13">
        <f>AC304*1.25*[1]Parametros!$B$3*(AB304-(AC304*1.25*[1]Parametros!$B$3/(0.85*[1]Parametros!$B$2*H304))/2)/1000000</f>
        <v>244.15884319852941</v>
      </c>
      <c r="AH304" s="13">
        <f t="shared" si="54"/>
        <v>297.33984319852942</v>
      </c>
      <c r="AI304" s="13">
        <f t="shared" si="55"/>
        <v>297.33984319852942</v>
      </c>
      <c r="AJ304" s="13">
        <f>0.17*SQRT([1]Parametros!$B$2)*H304*MIN(U304,AB304)/1000</f>
        <v>220.09872869180776</v>
      </c>
      <c r="AK304" s="13">
        <f>MAX(AI304/[1]Parametros!$B$6-AJ304,0)</f>
        <v>176.35439557289811</v>
      </c>
      <c r="AL304" s="13">
        <f>0.66*SQRT([1]Parametros!$B$2)*H304*MIN(U304,AB304)/1000</f>
        <v>854.500946685842</v>
      </c>
      <c r="AM304" s="13" t="str">
        <f t="shared" si="56"/>
        <v>CUMPLE</v>
      </c>
      <c r="AN304" s="13" t="s">
        <v>64</v>
      </c>
      <c r="AO304" s="14">
        <v>2</v>
      </c>
      <c r="AP304" s="13">
        <f>ROUNDDOWN(MIN(IF(BC304+BD304=0,1000000000,AO304*BB304/(BC304+BD304)),MIN(U304,AB304)/4,8*[1]Parametros!$B$12,24*BA304,300,IF(AV304=0,1000000000,2*((H304-2*([1]Parametros!$B$7+[1]Parametros!$B$9/2))+(I304-2*([1]Parametros!$B$7+[1]Parametros!$B$9/2)))/8))/10,0)*10</f>
        <v>120</v>
      </c>
      <c r="AQ304" s="13">
        <f>ROUNDDOWN(MIN(IF(BC304+BD304=0,1000000000,AO304*BB304/(BC304+BD304)),IF(AK304&gt;0.33*SQRT([1]Parametros!$B$2)*H304*MIN(U304,AB304)/1000,MIN(U304,AB304)/4,MIN(U304,AB304)/2),600,IF(AV304=0,1000000000,2*((H304-2*([1]Parametros!$B$7+[1]Parametros!$B$9/2))+(I304-2*([1]Parametros!$B$7+[1]Parametros!$B$9/2)))/8))/10,0)*10</f>
        <v>160</v>
      </c>
      <c r="AR304" s="13">
        <f>[1]Parametros!$B$6*(AJ304+MAX(BE304-BD304,0)*[1]Parametros!$B$4*MIN(U304,AB304)/1000)</f>
        <v>347.47925901885583</v>
      </c>
      <c r="AS304" s="13" t="str">
        <f t="shared" si="57"/>
        <v>CUMPLE</v>
      </c>
      <c r="AT304" s="13">
        <f>[1]Parametros!$B$6*0.083*SQRT([1]Parametros!$B$2)*(H304*I304)^2/(2*(H304+I304))/1000000</f>
        <v>11.862178757598967</v>
      </c>
      <c r="AU304" s="13" t="str">
        <f t="shared" si="58"/>
        <v>DESPRECIABLE</v>
      </c>
      <c r="AV304" s="13">
        <f>IF(Q304&lt;=AT304,0,Q304*1000000/([1]Parametros!$B$6*2*0.85*(H304-2*([1]Parametros!$B$7+[1]Parametros!$B$9/2))*(I304-2*([1]Parametros!$B$7+[1]Parametros!$B$9/2))*[1]Parametros!$B$4))</f>
        <v>0</v>
      </c>
      <c r="AW304" s="13">
        <f>AV304*2*((H304-2*([1]Parametros!$B$7+[1]Parametros!$B$9/2))+(I304-2*([1]Parametros!$B$7+[1]Parametros!$B$9/2)))*[1]Parametros!$B$4/[1]Parametros!$B$3</f>
        <v>0</v>
      </c>
      <c r="AX304" s="14">
        <v>0</v>
      </c>
      <c r="AY304" s="13" t="str">
        <f t="shared" si="59"/>
        <v>DESPRECIABLE</v>
      </c>
      <c r="AZ304" s="13" t="str">
        <f t="shared" si="60"/>
        <v>CUMPLE</v>
      </c>
      <c r="BA304" s="14">
        <v>9.5</v>
      </c>
      <c r="BB304" s="14">
        <v>71</v>
      </c>
      <c r="BC304" s="13">
        <f>MAX(IF(AK304=0,0,AK304*1000/([1]Parametros!$B$4*MIN(U304,AB304))),MAX(0.062*SQRT([1]Parametros!$B$2)*H304/[1]Parametros!$B$4,0.35*H304/[1]Parametros!$B$4))</f>
        <v>0.85805950348566429</v>
      </c>
      <c r="BD304" s="13">
        <f t="shared" si="61"/>
        <v>0</v>
      </c>
      <c r="BE304" s="13">
        <f t="shared" si="62"/>
        <v>1.1833333333333333</v>
      </c>
      <c r="BF304" s="13">
        <f>SQRT((AI304*1000/(H304*MIN(U304,AB304)))^2+(Q304*1000000*2*((H304-2*([1]Parametros!$B$7+[1]Parametros!$B$9/2))+(I304-2*([1]Parametros!$B$7+[1]Parametros!$B$9/2)))/(1.7*((H304-2*([1]Parametros!$B$7+[1]Parametros!$B$9/2))*(I304-2*([1]Parametros!$B$7+[1]Parametros!$B$9/2)))^2))^2)</f>
        <v>1.2186311878830611</v>
      </c>
      <c r="BG304" s="13">
        <f>[1]Parametros!$B$6*(AJ304*1000/(H304*MIN(U304,AB304))+0.66*SQRT([1]Parametros!$B$2))</f>
        <v>3.2939603822754151</v>
      </c>
      <c r="BH304" s="13" t="str">
        <f t="shared" si="63"/>
        <v>CUMPLE</v>
      </c>
      <c r="BI304" s="13">
        <f>AX304*[1]Parametros!$B$8</f>
        <v>0</v>
      </c>
      <c r="BJ304" s="15" t="str">
        <f t="shared" si="64"/>
        <v>CUMPLE</v>
      </c>
    </row>
    <row r="305" spans="1:62" x14ac:dyDescent="0.3">
      <c r="A305" s="43" t="s">
        <v>74</v>
      </c>
      <c r="B305" s="44">
        <v>948</v>
      </c>
      <c r="C305" s="13">
        <v>1</v>
      </c>
      <c r="D305" s="13">
        <v>3.05</v>
      </c>
      <c r="E305" s="13">
        <v>3.05</v>
      </c>
      <c r="F305" s="13">
        <v>500</v>
      </c>
      <c r="G305" s="13">
        <v>550</v>
      </c>
      <c r="H305" s="13">
        <v>500</v>
      </c>
      <c r="I305" s="13">
        <v>550</v>
      </c>
      <c r="J305" s="14">
        <v>63.4041</v>
      </c>
      <c r="K305" s="13">
        <v>948</v>
      </c>
      <c r="L305" s="14">
        <v>31.7287</v>
      </c>
      <c r="M305" s="13">
        <v>948</v>
      </c>
      <c r="N305" s="14">
        <v>66.212000000000003</v>
      </c>
      <c r="O305" s="14">
        <v>154.56700000000001</v>
      </c>
      <c r="P305" s="13">
        <v>948</v>
      </c>
      <c r="Q305" s="14">
        <v>1.5085999999999999</v>
      </c>
      <c r="R305" s="13">
        <f>MAX(MAX(1.4/[1]Parametros!$B$3,0.25*SQRT([1]Parametros!$B$2)/[1]Parametros!$B$3)*H305*U305,(0.85*[1]Parametros!$B$2/[1]Parametros!$B$3)*(1-SQRT(1-2*(J305*1000000/([1]Parametros!$B$5*H305*U305^2))/(0.85*[1]Parametros!$B$2)))*H305*U305)</f>
        <v>815.58333333333326</v>
      </c>
      <c r="S305" s="14">
        <v>5</v>
      </c>
      <c r="T305" s="14">
        <v>1</v>
      </c>
      <c r="U305" s="13">
        <f>IF(T305=1,I305-([1]Parametros!$B$7+[1]Parametros!$B$9+[1]Parametros!$B$12/2),I305-(ROUNDUP(S305/2,0)*([1]Parametros!$B$7+[1]Parametros!$B$9+[1]Parametros!$B$12/2)+ROUNDDOWN(S305/2,0)*([1]Parametros!$B$7+[1]Parametros!$B$9+[1]Parametros!$B$12/2+[1]Parametros!$B$12+[1]Parametros!$B$10))/S305)</f>
        <v>489.35</v>
      </c>
      <c r="V305" s="13">
        <f>S305*[1]Parametros!$B$8</f>
        <v>995</v>
      </c>
      <c r="W305" s="13">
        <f>[1]Parametros!$B$5*V305*[1]Parametros!$B$3*(U305-(V305*[1]Parametros!$B$3/(0.85*[1]Parametros!$B$2*H305))/2)/1000000</f>
        <v>177.44537938235294</v>
      </c>
      <c r="X305" s="13" t="str">
        <f t="shared" si="52"/>
        <v>CUMPLE</v>
      </c>
      <c r="Y305" s="13">
        <f>MAX(MAX(1.4/[1]Parametros!$B$3,0.25*SQRT([1]Parametros!$B$2)/[1]Parametros!$B$3)*H305*AB305,(0.85*[1]Parametros!$B$2/[1]Parametros!$B$3)*(1-SQRT(1-2*(L305*1000000/([1]Parametros!$B$5*H305*AB305^2))/(0.85*[1]Parametros!$B$2)))*H305*AB305)</f>
        <v>815.58333333333326</v>
      </c>
      <c r="Z305" s="14">
        <v>5</v>
      </c>
      <c r="AA305" s="14">
        <v>1</v>
      </c>
      <c r="AB305" s="13">
        <f>IF(AA305=1,I305-([1]Parametros!$B$7+[1]Parametros!$B$9+[1]Parametros!$B$12/2),I305-(ROUNDUP(Z305/2,0)*([1]Parametros!$B$7+[1]Parametros!$B$9+[1]Parametros!$B$12/2)+ROUNDDOWN(Z305/2,0)*([1]Parametros!$B$7+[1]Parametros!$B$9+[1]Parametros!$B$12/2+[1]Parametros!$B$12+[1]Parametros!$B$10))/Z305)</f>
        <v>489.35</v>
      </c>
      <c r="AC305" s="13">
        <f>Z305*[1]Parametros!$B$8</f>
        <v>995</v>
      </c>
      <c r="AD305" s="13">
        <f>[1]Parametros!$B$5*AC305*[1]Parametros!$B$3*(AB305-(AC305*[1]Parametros!$B$3/(0.85*[1]Parametros!$B$2*H305))/2)/1000000</f>
        <v>177.44537938235294</v>
      </c>
      <c r="AE305" s="13" t="str">
        <f t="shared" si="53"/>
        <v>CUMPLE</v>
      </c>
      <c r="AF305" s="13">
        <f>V305*1.25*[1]Parametros!$B$3*(U305-(V305*1.25*[1]Parametros!$B$3/(0.85*[1]Parametros!$B$2*H305))/2)/1000000</f>
        <v>244.15884319852941</v>
      </c>
      <c r="AG305" s="13">
        <f>AC305*1.25*[1]Parametros!$B$3*(AB305-(AC305*1.25*[1]Parametros!$B$3/(0.85*[1]Parametros!$B$2*H305))/2)/1000000</f>
        <v>244.15884319852941</v>
      </c>
      <c r="AH305" s="13">
        <f t="shared" si="54"/>
        <v>226.31615947444556</v>
      </c>
      <c r="AI305" s="13">
        <f t="shared" si="55"/>
        <v>226.31615947444556</v>
      </c>
      <c r="AJ305" s="13">
        <f>0.17*SQRT([1]Parametros!$B$2)*H305*MIN(U305,AB305)/1000</f>
        <v>220.09872869180776</v>
      </c>
      <c r="AK305" s="13">
        <f>MAX(AI305/[1]Parametros!$B$6-AJ305,0)</f>
        <v>81.656150607452958</v>
      </c>
      <c r="AL305" s="13">
        <f>0.66*SQRT([1]Parametros!$B$2)*H305*MIN(U305,AB305)/1000</f>
        <v>854.500946685842</v>
      </c>
      <c r="AM305" s="13" t="str">
        <f t="shared" si="56"/>
        <v>CUMPLE</v>
      </c>
      <c r="AN305" s="13" t="s">
        <v>64</v>
      </c>
      <c r="AO305" s="14">
        <v>2</v>
      </c>
      <c r="AP305" s="13">
        <f>ROUNDDOWN(MIN(IF(BC305+BD305=0,1000000000,AO305*BB305/(BC305+BD305)),MIN(U305,AB305)/4,8*[1]Parametros!$B$12,24*BA305,300,IF(AV305=0,1000000000,2*((H305-2*([1]Parametros!$B$7+[1]Parametros!$B$9/2))+(I305-2*([1]Parametros!$B$7+[1]Parametros!$B$9/2)))/8))/10,0)*10</f>
        <v>120</v>
      </c>
      <c r="AQ305" s="13">
        <f>ROUNDDOWN(MIN(IF(BC305+BD305=0,1000000000,AO305*BB305/(BC305+BD305)),IF(AK305&gt;0.33*SQRT([1]Parametros!$B$2)*H305*MIN(U305,AB305)/1000,MIN(U305,AB305)/4,MIN(U305,AB305)/2),600,IF(AV305=0,1000000000,2*((H305-2*([1]Parametros!$B$7+[1]Parametros!$B$9/2))+(I305-2*([1]Parametros!$B$7+[1]Parametros!$B$9/2)))/8))/10,0)*10</f>
        <v>240</v>
      </c>
      <c r="AR305" s="13">
        <f>[1]Parametros!$B$6*(AJ305+MAX(BE305-BD305,0)*[1]Parametros!$B$4*MIN(U305,AB305)/1000)</f>
        <v>347.47925901885583</v>
      </c>
      <c r="AS305" s="13" t="str">
        <f t="shared" si="57"/>
        <v>CUMPLE</v>
      </c>
      <c r="AT305" s="13">
        <f>[1]Parametros!$B$6*0.083*SQRT([1]Parametros!$B$2)*(H305*I305)^2/(2*(H305+I305))/1000000</f>
        <v>11.862178757598967</v>
      </c>
      <c r="AU305" s="13" t="str">
        <f t="shared" si="58"/>
        <v>DESPRECIABLE</v>
      </c>
      <c r="AV305" s="13">
        <f>IF(Q305&lt;=AT305,0,Q305*1000000/([1]Parametros!$B$6*2*0.85*(H305-2*([1]Parametros!$B$7+[1]Parametros!$B$9/2))*(I305-2*([1]Parametros!$B$7+[1]Parametros!$B$9/2))*[1]Parametros!$B$4))</f>
        <v>0</v>
      </c>
      <c r="AW305" s="13">
        <f>AV305*2*((H305-2*([1]Parametros!$B$7+[1]Parametros!$B$9/2))+(I305-2*([1]Parametros!$B$7+[1]Parametros!$B$9/2)))*[1]Parametros!$B$4/[1]Parametros!$B$3</f>
        <v>0</v>
      </c>
      <c r="AX305" s="14">
        <v>0</v>
      </c>
      <c r="AY305" s="13" t="str">
        <f t="shared" si="59"/>
        <v>DESPRECIABLE</v>
      </c>
      <c r="AZ305" s="13" t="str">
        <f t="shared" si="60"/>
        <v>CUMPLE</v>
      </c>
      <c r="BA305" s="14">
        <v>9.5</v>
      </c>
      <c r="BB305" s="14">
        <v>71</v>
      </c>
      <c r="BC305" s="13">
        <f>MAX(IF(AK305=0,0,AK305*1000/([1]Parametros!$B$4*MIN(U305,AB305))),MAX(0.062*SQRT([1]Parametros!$B$2)*H305/[1]Parametros!$B$4,0.35*H305/[1]Parametros!$B$4))</f>
        <v>0.41666666666666669</v>
      </c>
      <c r="BD305" s="13">
        <f t="shared" si="61"/>
        <v>0</v>
      </c>
      <c r="BE305" s="13">
        <f t="shared" si="62"/>
        <v>1.1833333333333333</v>
      </c>
      <c r="BF305" s="13">
        <f>SQRT((AI305*1000/(H305*MIN(U305,AB305)))^2+(Q305*1000000*2*((H305-2*([1]Parametros!$B$7+[1]Parametros!$B$9/2))+(I305-2*([1]Parametros!$B$7+[1]Parametros!$B$9/2)))/(1.7*((H305-2*([1]Parametros!$B$7+[1]Parametros!$B$9/2))*(I305-2*([1]Parametros!$B$7+[1]Parametros!$B$9/2)))^2))^2)</f>
        <v>0.92602342111621549</v>
      </c>
      <c r="BG305" s="13">
        <f>[1]Parametros!$B$6*(AJ305*1000/(H305*MIN(U305,AB305))+0.66*SQRT([1]Parametros!$B$2))</f>
        <v>3.2939603822754151</v>
      </c>
      <c r="BH305" s="13" t="str">
        <f t="shared" si="63"/>
        <v>CUMPLE</v>
      </c>
      <c r="BI305" s="13">
        <f>AX305*[1]Parametros!$B$8</f>
        <v>0</v>
      </c>
      <c r="BJ305" s="15" t="str">
        <f t="shared" si="64"/>
        <v>CUMPLE</v>
      </c>
    </row>
    <row r="306" spans="1:62" x14ac:dyDescent="0.3">
      <c r="A306" s="43" t="s">
        <v>74</v>
      </c>
      <c r="B306" s="44">
        <v>949</v>
      </c>
      <c r="C306" s="13">
        <v>1</v>
      </c>
      <c r="D306" s="13">
        <v>2</v>
      </c>
      <c r="E306" s="13">
        <v>2</v>
      </c>
      <c r="F306" s="13">
        <v>500</v>
      </c>
      <c r="G306" s="13">
        <v>550</v>
      </c>
      <c r="H306" s="13">
        <v>500</v>
      </c>
      <c r="I306" s="13">
        <v>550</v>
      </c>
      <c r="J306" s="14">
        <v>44.082900000000002</v>
      </c>
      <c r="K306" s="13">
        <v>949</v>
      </c>
      <c r="L306" s="14">
        <v>11.9688</v>
      </c>
      <c r="M306" s="13">
        <v>949</v>
      </c>
      <c r="N306" s="14">
        <v>50.811</v>
      </c>
      <c r="O306" s="14">
        <v>107.749</v>
      </c>
      <c r="P306" s="13">
        <v>949</v>
      </c>
      <c r="Q306" s="14">
        <v>1.2384999999999999</v>
      </c>
      <c r="R306" s="13">
        <f>MAX(MAX(1.4/[1]Parametros!$B$3,0.25*SQRT([1]Parametros!$B$2)/[1]Parametros!$B$3)*H306*U306,(0.85*[1]Parametros!$B$2/[1]Parametros!$B$3)*(1-SQRT(1-2*(J306*1000000/([1]Parametros!$B$5*H306*U306^2))/(0.85*[1]Parametros!$B$2)))*H306*U306)</f>
        <v>815.58333333333326</v>
      </c>
      <c r="S306" s="14">
        <v>5</v>
      </c>
      <c r="T306" s="14">
        <v>1</v>
      </c>
      <c r="U306" s="13">
        <f>IF(T306=1,I306-([1]Parametros!$B$7+[1]Parametros!$B$9+[1]Parametros!$B$12/2),I306-(ROUNDUP(S306/2,0)*([1]Parametros!$B$7+[1]Parametros!$B$9+[1]Parametros!$B$12/2)+ROUNDDOWN(S306/2,0)*([1]Parametros!$B$7+[1]Parametros!$B$9+[1]Parametros!$B$12/2+[1]Parametros!$B$12+[1]Parametros!$B$10))/S306)</f>
        <v>489.35</v>
      </c>
      <c r="V306" s="13">
        <f>S306*[1]Parametros!$B$8</f>
        <v>995</v>
      </c>
      <c r="W306" s="13">
        <f>[1]Parametros!$B$5*V306*[1]Parametros!$B$3*(U306-(V306*[1]Parametros!$B$3/(0.85*[1]Parametros!$B$2*H306))/2)/1000000</f>
        <v>177.44537938235294</v>
      </c>
      <c r="X306" s="13" t="str">
        <f t="shared" si="52"/>
        <v>CUMPLE</v>
      </c>
      <c r="Y306" s="13">
        <f>MAX(MAX(1.4/[1]Parametros!$B$3,0.25*SQRT([1]Parametros!$B$2)/[1]Parametros!$B$3)*H306*AB306,(0.85*[1]Parametros!$B$2/[1]Parametros!$B$3)*(1-SQRT(1-2*(L306*1000000/([1]Parametros!$B$5*H306*AB306^2))/(0.85*[1]Parametros!$B$2)))*H306*AB306)</f>
        <v>815.58333333333326</v>
      </c>
      <c r="Z306" s="14">
        <v>5</v>
      </c>
      <c r="AA306" s="14">
        <v>1</v>
      </c>
      <c r="AB306" s="13">
        <f>IF(AA306=1,I306-([1]Parametros!$B$7+[1]Parametros!$B$9+[1]Parametros!$B$12/2),I306-(ROUNDUP(Z306/2,0)*([1]Parametros!$B$7+[1]Parametros!$B$9+[1]Parametros!$B$12/2)+ROUNDDOWN(Z306/2,0)*([1]Parametros!$B$7+[1]Parametros!$B$9+[1]Parametros!$B$12/2+[1]Parametros!$B$12+[1]Parametros!$B$10))/Z306)</f>
        <v>489.35</v>
      </c>
      <c r="AC306" s="13">
        <f>Z306*[1]Parametros!$B$8</f>
        <v>995</v>
      </c>
      <c r="AD306" s="13">
        <f>[1]Parametros!$B$5*AC306*[1]Parametros!$B$3*(AB306-(AC306*[1]Parametros!$B$3/(0.85*[1]Parametros!$B$2*H306))/2)/1000000</f>
        <v>177.44537938235294</v>
      </c>
      <c r="AE306" s="13" t="str">
        <f t="shared" si="53"/>
        <v>CUMPLE</v>
      </c>
      <c r="AF306" s="13">
        <f>V306*1.25*[1]Parametros!$B$3*(U306-(V306*1.25*[1]Parametros!$B$3/(0.85*[1]Parametros!$B$2*H306))/2)/1000000</f>
        <v>244.15884319852941</v>
      </c>
      <c r="AG306" s="13">
        <f>AC306*1.25*[1]Parametros!$B$3*(AB306-(AC306*1.25*[1]Parametros!$B$3/(0.85*[1]Parametros!$B$2*H306))/2)/1000000</f>
        <v>244.15884319852941</v>
      </c>
      <c r="AH306" s="13">
        <f t="shared" si="54"/>
        <v>294.96984319852942</v>
      </c>
      <c r="AI306" s="13">
        <f t="shared" si="55"/>
        <v>294.96984319852942</v>
      </c>
      <c r="AJ306" s="13">
        <f>0.17*SQRT([1]Parametros!$B$2)*H306*MIN(U306,AB306)/1000</f>
        <v>220.09872869180776</v>
      </c>
      <c r="AK306" s="13">
        <f>MAX(AI306/[1]Parametros!$B$6-AJ306,0)</f>
        <v>173.19439557289815</v>
      </c>
      <c r="AL306" s="13">
        <f>0.66*SQRT([1]Parametros!$B$2)*H306*MIN(U306,AB306)/1000</f>
        <v>854.500946685842</v>
      </c>
      <c r="AM306" s="13" t="str">
        <f t="shared" si="56"/>
        <v>CUMPLE</v>
      </c>
      <c r="AN306" s="13" t="s">
        <v>64</v>
      </c>
      <c r="AO306" s="14">
        <v>2</v>
      </c>
      <c r="AP306" s="13">
        <f>ROUNDDOWN(MIN(IF(BC306+BD306=0,1000000000,AO306*BB306/(BC306+BD306)),MIN(U306,AB306)/4,8*[1]Parametros!$B$12,24*BA306,300,IF(AV306=0,1000000000,2*((H306-2*([1]Parametros!$B$7+[1]Parametros!$B$9/2))+(I306-2*([1]Parametros!$B$7+[1]Parametros!$B$9/2)))/8))/10,0)*10</f>
        <v>120</v>
      </c>
      <c r="AQ306" s="13">
        <f>ROUNDDOWN(MIN(IF(BC306+BD306=0,1000000000,AO306*BB306/(BC306+BD306)),IF(AK306&gt;0.33*SQRT([1]Parametros!$B$2)*H306*MIN(U306,AB306)/1000,MIN(U306,AB306)/4,MIN(U306,AB306)/2),600,IF(AV306=0,1000000000,2*((H306-2*([1]Parametros!$B$7+[1]Parametros!$B$9/2))+(I306-2*([1]Parametros!$B$7+[1]Parametros!$B$9/2)))/8))/10,0)*10</f>
        <v>160</v>
      </c>
      <c r="AR306" s="13">
        <f>[1]Parametros!$B$6*(AJ306+MAX(BE306-BD306,0)*[1]Parametros!$B$4*MIN(U306,AB306)/1000)</f>
        <v>347.47925901885583</v>
      </c>
      <c r="AS306" s="13" t="str">
        <f t="shared" si="57"/>
        <v>CUMPLE</v>
      </c>
      <c r="AT306" s="13">
        <f>[1]Parametros!$B$6*0.083*SQRT([1]Parametros!$B$2)*(H306*I306)^2/(2*(H306+I306))/1000000</f>
        <v>11.862178757598967</v>
      </c>
      <c r="AU306" s="13" t="str">
        <f t="shared" si="58"/>
        <v>DESPRECIABLE</v>
      </c>
      <c r="AV306" s="13">
        <f>IF(Q306&lt;=AT306,0,Q306*1000000/([1]Parametros!$B$6*2*0.85*(H306-2*([1]Parametros!$B$7+[1]Parametros!$B$9/2))*(I306-2*([1]Parametros!$B$7+[1]Parametros!$B$9/2))*[1]Parametros!$B$4))</f>
        <v>0</v>
      </c>
      <c r="AW306" s="13">
        <f>AV306*2*((H306-2*([1]Parametros!$B$7+[1]Parametros!$B$9/2))+(I306-2*([1]Parametros!$B$7+[1]Parametros!$B$9/2)))*[1]Parametros!$B$4/[1]Parametros!$B$3</f>
        <v>0</v>
      </c>
      <c r="AX306" s="14">
        <v>0</v>
      </c>
      <c r="AY306" s="13" t="str">
        <f t="shared" si="59"/>
        <v>DESPRECIABLE</v>
      </c>
      <c r="AZ306" s="13" t="str">
        <f t="shared" si="60"/>
        <v>CUMPLE</v>
      </c>
      <c r="BA306" s="14">
        <v>9.5</v>
      </c>
      <c r="BB306" s="14">
        <v>71</v>
      </c>
      <c r="BC306" s="13">
        <f>MAX(IF(AK306=0,0,AK306*1000/([1]Parametros!$B$4*MIN(U306,AB306))),MAX(0.062*SQRT([1]Parametros!$B$2)*H306/[1]Parametros!$B$4,0.35*H306/[1]Parametros!$B$4))</f>
        <v>0.84268439461918943</v>
      </c>
      <c r="BD306" s="13">
        <f t="shared" si="61"/>
        <v>0</v>
      </c>
      <c r="BE306" s="13">
        <f t="shared" si="62"/>
        <v>1.1833333333333333</v>
      </c>
      <c r="BF306" s="13">
        <f>SQRT((AI306*1000/(H306*MIN(U306,AB306)))^2+(Q306*1000000*2*((H306-2*([1]Parametros!$B$7+[1]Parametros!$B$9/2))+(I306-2*([1]Parametros!$B$7+[1]Parametros!$B$9/2)))/(1.7*((H306-2*([1]Parametros!$B$7+[1]Parametros!$B$9/2))*(I306-2*([1]Parametros!$B$7+[1]Parametros!$B$9/2)))^2))^2)</f>
        <v>1.2061045242142863</v>
      </c>
      <c r="BG306" s="13">
        <f>[1]Parametros!$B$6*(AJ306*1000/(H306*MIN(U306,AB306))+0.66*SQRT([1]Parametros!$B$2))</f>
        <v>3.2939603822754151</v>
      </c>
      <c r="BH306" s="13" t="str">
        <f t="shared" si="63"/>
        <v>CUMPLE</v>
      </c>
      <c r="BI306" s="13">
        <f>AX306*[1]Parametros!$B$8</f>
        <v>0</v>
      </c>
      <c r="BJ306" s="15" t="str">
        <f t="shared" si="64"/>
        <v>CUMPLE</v>
      </c>
    </row>
    <row r="307" spans="1:62" x14ac:dyDescent="0.3">
      <c r="A307" s="43" t="s">
        <v>74</v>
      </c>
      <c r="B307" s="44">
        <v>950</v>
      </c>
      <c r="C307" s="13">
        <v>1</v>
      </c>
      <c r="D307" s="13">
        <v>1.9</v>
      </c>
      <c r="E307" s="13">
        <v>1.9</v>
      </c>
      <c r="F307" s="13">
        <v>500</v>
      </c>
      <c r="G307" s="13">
        <v>550</v>
      </c>
      <c r="H307" s="13">
        <v>500</v>
      </c>
      <c r="I307" s="13">
        <v>550</v>
      </c>
      <c r="J307" s="14">
        <v>47.951900000000002</v>
      </c>
      <c r="K307" s="13">
        <v>950</v>
      </c>
      <c r="L307" s="14">
        <v>17.473099999999999</v>
      </c>
      <c r="M307" s="13">
        <v>950</v>
      </c>
      <c r="N307" s="14">
        <v>54.738</v>
      </c>
      <c r="O307" s="14">
        <v>121.07599999999999</v>
      </c>
      <c r="P307" s="13">
        <v>950</v>
      </c>
      <c r="Q307" s="14">
        <v>1.4360999999999999</v>
      </c>
      <c r="R307" s="13">
        <f>MAX(MAX(1.4/[1]Parametros!$B$3,0.25*SQRT([1]Parametros!$B$2)/[1]Parametros!$B$3)*H307*U307,(0.85*[1]Parametros!$B$2/[1]Parametros!$B$3)*(1-SQRT(1-2*(J307*1000000/([1]Parametros!$B$5*H307*U307^2))/(0.85*[1]Parametros!$B$2)))*H307*U307)</f>
        <v>815.58333333333326</v>
      </c>
      <c r="S307" s="14">
        <v>5</v>
      </c>
      <c r="T307" s="14">
        <v>1</v>
      </c>
      <c r="U307" s="13">
        <f>IF(T307=1,I307-([1]Parametros!$B$7+[1]Parametros!$B$9+[1]Parametros!$B$12/2),I307-(ROUNDUP(S307/2,0)*([1]Parametros!$B$7+[1]Parametros!$B$9+[1]Parametros!$B$12/2)+ROUNDDOWN(S307/2,0)*([1]Parametros!$B$7+[1]Parametros!$B$9+[1]Parametros!$B$12/2+[1]Parametros!$B$12+[1]Parametros!$B$10))/S307)</f>
        <v>489.35</v>
      </c>
      <c r="V307" s="13">
        <f>S307*[1]Parametros!$B$8</f>
        <v>995</v>
      </c>
      <c r="W307" s="13">
        <f>[1]Parametros!$B$5*V307*[1]Parametros!$B$3*(U307-(V307*[1]Parametros!$B$3/(0.85*[1]Parametros!$B$2*H307))/2)/1000000</f>
        <v>177.44537938235294</v>
      </c>
      <c r="X307" s="13" t="str">
        <f t="shared" si="52"/>
        <v>CUMPLE</v>
      </c>
      <c r="Y307" s="13">
        <f>MAX(MAX(1.4/[1]Parametros!$B$3,0.25*SQRT([1]Parametros!$B$2)/[1]Parametros!$B$3)*H307*AB307,(0.85*[1]Parametros!$B$2/[1]Parametros!$B$3)*(1-SQRT(1-2*(L307*1000000/([1]Parametros!$B$5*H307*AB307^2))/(0.85*[1]Parametros!$B$2)))*H307*AB307)</f>
        <v>815.58333333333326</v>
      </c>
      <c r="Z307" s="14">
        <v>5</v>
      </c>
      <c r="AA307" s="14">
        <v>1</v>
      </c>
      <c r="AB307" s="13">
        <f>IF(AA307=1,I307-([1]Parametros!$B$7+[1]Parametros!$B$9+[1]Parametros!$B$12/2),I307-(ROUNDUP(Z307/2,0)*([1]Parametros!$B$7+[1]Parametros!$B$9+[1]Parametros!$B$12/2)+ROUNDDOWN(Z307/2,0)*([1]Parametros!$B$7+[1]Parametros!$B$9+[1]Parametros!$B$12/2+[1]Parametros!$B$12+[1]Parametros!$B$10))/Z307)</f>
        <v>489.35</v>
      </c>
      <c r="AC307" s="13">
        <f>Z307*[1]Parametros!$B$8</f>
        <v>995</v>
      </c>
      <c r="AD307" s="13">
        <f>[1]Parametros!$B$5*AC307*[1]Parametros!$B$3*(AB307-(AC307*[1]Parametros!$B$3/(0.85*[1]Parametros!$B$2*H307))/2)/1000000</f>
        <v>177.44537938235294</v>
      </c>
      <c r="AE307" s="13" t="str">
        <f t="shared" si="53"/>
        <v>CUMPLE</v>
      </c>
      <c r="AF307" s="13">
        <f>V307*1.25*[1]Parametros!$B$3*(U307-(V307*1.25*[1]Parametros!$B$3/(0.85*[1]Parametros!$B$2*H307))/2)/1000000</f>
        <v>244.15884319852941</v>
      </c>
      <c r="AG307" s="13">
        <f>AC307*1.25*[1]Parametros!$B$3*(AB307-(AC307*1.25*[1]Parametros!$B$3/(0.85*[1]Parametros!$B$2*H307))/2)/1000000</f>
        <v>244.15884319852941</v>
      </c>
      <c r="AH307" s="13">
        <f t="shared" si="54"/>
        <v>311.74730863003094</v>
      </c>
      <c r="AI307" s="13">
        <f t="shared" si="55"/>
        <v>311.74730863003094</v>
      </c>
      <c r="AJ307" s="13">
        <f>0.17*SQRT([1]Parametros!$B$2)*H307*MIN(U307,AB307)/1000</f>
        <v>220.09872869180776</v>
      </c>
      <c r="AK307" s="13">
        <f>MAX(AI307/[1]Parametros!$B$6-AJ307,0)</f>
        <v>195.56434948156681</v>
      </c>
      <c r="AL307" s="13">
        <f>0.66*SQRT([1]Parametros!$B$2)*H307*MIN(U307,AB307)/1000</f>
        <v>854.500946685842</v>
      </c>
      <c r="AM307" s="13" t="str">
        <f t="shared" si="56"/>
        <v>CUMPLE</v>
      </c>
      <c r="AN307" s="13" t="s">
        <v>64</v>
      </c>
      <c r="AO307" s="14">
        <v>2</v>
      </c>
      <c r="AP307" s="13">
        <f>ROUNDDOWN(MIN(IF(BC307+BD307=0,1000000000,AO307*BB307/(BC307+BD307)),MIN(U307,AB307)/4,8*[1]Parametros!$B$12,24*BA307,300,IF(AV307=0,1000000000,2*((H307-2*([1]Parametros!$B$7+[1]Parametros!$B$9/2))+(I307-2*([1]Parametros!$B$7+[1]Parametros!$B$9/2)))/8))/10,0)*10</f>
        <v>120</v>
      </c>
      <c r="AQ307" s="13">
        <f>ROUNDDOWN(MIN(IF(BC307+BD307=0,1000000000,AO307*BB307/(BC307+BD307)),IF(AK307&gt;0.33*SQRT([1]Parametros!$B$2)*H307*MIN(U307,AB307)/1000,MIN(U307,AB307)/4,MIN(U307,AB307)/2),600,IF(AV307=0,1000000000,2*((H307-2*([1]Parametros!$B$7+[1]Parametros!$B$9/2))+(I307-2*([1]Parametros!$B$7+[1]Parametros!$B$9/2)))/8))/10,0)*10</f>
        <v>140</v>
      </c>
      <c r="AR307" s="13">
        <f>[1]Parametros!$B$6*(AJ307+MAX(BE307-BD307,0)*[1]Parametros!$B$4*MIN(U307,AB307)/1000)</f>
        <v>347.47925901885583</v>
      </c>
      <c r="AS307" s="13" t="str">
        <f t="shared" si="57"/>
        <v>CUMPLE</v>
      </c>
      <c r="AT307" s="13">
        <f>[1]Parametros!$B$6*0.083*SQRT([1]Parametros!$B$2)*(H307*I307)^2/(2*(H307+I307))/1000000</f>
        <v>11.862178757598967</v>
      </c>
      <c r="AU307" s="13" t="str">
        <f t="shared" si="58"/>
        <v>DESPRECIABLE</v>
      </c>
      <c r="AV307" s="13">
        <f>IF(Q307&lt;=AT307,0,Q307*1000000/([1]Parametros!$B$6*2*0.85*(H307-2*([1]Parametros!$B$7+[1]Parametros!$B$9/2))*(I307-2*([1]Parametros!$B$7+[1]Parametros!$B$9/2))*[1]Parametros!$B$4))</f>
        <v>0</v>
      </c>
      <c r="AW307" s="13">
        <f>AV307*2*((H307-2*([1]Parametros!$B$7+[1]Parametros!$B$9/2))+(I307-2*([1]Parametros!$B$7+[1]Parametros!$B$9/2)))*[1]Parametros!$B$4/[1]Parametros!$B$3</f>
        <v>0</v>
      </c>
      <c r="AX307" s="14">
        <v>0</v>
      </c>
      <c r="AY307" s="13" t="str">
        <f t="shared" si="59"/>
        <v>DESPRECIABLE</v>
      </c>
      <c r="AZ307" s="13" t="str">
        <f t="shared" si="60"/>
        <v>CUMPLE</v>
      </c>
      <c r="BA307" s="14">
        <v>9.5</v>
      </c>
      <c r="BB307" s="14">
        <v>71</v>
      </c>
      <c r="BC307" s="13">
        <f>MAX(IF(AK307=0,0,AK307*1000/([1]Parametros!$B$4*MIN(U307,AB307))),MAX(0.062*SQRT([1]Parametros!$B$2)*H307/[1]Parametros!$B$4,0.35*H307/[1]Parametros!$B$4))</f>
        <v>0.95152631762039441</v>
      </c>
      <c r="BD307" s="13">
        <f t="shared" si="61"/>
        <v>0</v>
      </c>
      <c r="BE307" s="13">
        <f t="shared" si="62"/>
        <v>1.1833333333333333</v>
      </c>
      <c r="BF307" s="13">
        <f>SQRT((AI307*1000/(H307*MIN(U307,AB307)))^2+(Q307*1000000*2*((H307-2*([1]Parametros!$B$7+[1]Parametros!$B$9/2))+(I307-2*([1]Parametros!$B$7+[1]Parametros!$B$9/2)))/(1.7*((H307-2*([1]Parametros!$B$7+[1]Parametros!$B$9/2))*(I307-2*([1]Parametros!$B$7+[1]Parametros!$B$9/2)))^2))^2)</f>
        <v>1.2748237296939706</v>
      </c>
      <c r="BG307" s="13">
        <f>[1]Parametros!$B$6*(AJ307*1000/(H307*MIN(U307,AB307))+0.66*SQRT([1]Parametros!$B$2))</f>
        <v>3.2939603822754151</v>
      </c>
      <c r="BH307" s="13" t="str">
        <f t="shared" si="63"/>
        <v>CUMPLE</v>
      </c>
      <c r="BI307" s="13">
        <f>AX307*[1]Parametros!$B$8</f>
        <v>0</v>
      </c>
      <c r="BJ307" s="15" t="str">
        <f t="shared" si="64"/>
        <v>CUMPLE</v>
      </c>
    </row>
    <row r="308" spans="1:62" x14ac:dyDescent="0.3">
      <c r="A308" s="43" t="s">
        <v>74</v>
      </c>
      <c r="B308" s="44">
        <v>951</v>
      </c>
      <c r="C308" s="13">
        <v>1</v>
      </c>
      <c r="D308" s="13">
        <v>3.4</v>
      </c>
      <c r="E308" s="13">
        <v>3.4</v>
      </c>
      <c r="F308" s="13">
        <v>500</v>
      </c>
      <c r="G308" s="13">
        <v>550</v>
      </c>
      <c r="H308" s="13">
        <v>500</v>
      </c>
      <c r="I308" s="13">
        <v>550</v>
      </c>
      <c r="J308" s="14">
        <v>57.913899999999998</v>
      </c>
      <c r="K308" s="13">
        <v>951</v>
      </c>
      <c r="L308" s="14">
        <v>28.829899999999999</v>
      </c>
      <c r="M308" s="13">
        <v>951</v>
      </c>
      <c r="N308" s="14">
        <v>64.73</v>
      </c>
      <c r="O308" s="14">
        <v>125.157</v>
      </c>
      <c r="P308" s="13">
        <v>951</v>
      </c>
      <c r="Q308" s="14">
        <v>10.4541</v>
      </c>
      <c r="R308" s="13">
        <f>MAX(MAX(1.4/[1]Parametros!$B$3,0.25*SQRT([1]Parametros!$B$2)/[1]Parametros!$B$3)*H308*U308,(0.85*[1]Parametros!$B$2/[1]Parametros!$B$3)*(1-SQRT(1-2*(J308*1000000/([1]Parametros!$B$5*H308*U308^2))/(0.85*[1]Parametros!$B$2)))*H308*U308)</f>
        <v>815.58333333333326</v>
      </c>
      <c r="S308" s="14">
        <v>5</v>
      </c>
      <c r="T308" s="14">
        <v>1</v>
      </c>
      <c r="U308" s="13">
        <f>IF(T308=1,I308-([1]Parametros!$B$7+[1]Parametros!$B$9+[1]Parametros!$B$12/2),I308-(ROUNDUP(S308/2,0)*([1]Parametros!$B$7+[1]Parametros!$B$9+[1]Parametros!$B$12/2)+ROUNDDOWN(S308/2,0)*([1]Parametros!$B$7+[1]Parametros!$B$9+[1]Parametros!$B$12/2+[1]Parametros!$B$12+[1]Parametros!$B$10))/S308)</f>
        <v>489.35</v>
      </c>
      <c r="V308" s="13">
        <f>S308*[1]Parametros!$B$8</f>
        <v>995</v>
      </c>
      <c r="W308" s="13">
        <f>[1]Parametros!$B$5*V308*[1]Parametros!$B$3*(U308-(V308*[1]Parametros!$B$3/(0.85*[1]Parametros!$B$2*H308))/2)/1000000</f>
        <v>177.44537938235294</v>
      </c>
      <c r="X308" s="13" t="str">
        <f t="shared" si="52"/>
        <v>CUMPLE</v>
      </c>
      <c r="Y308" s="13">
        <f>MAX(MAX(1.4/[1]Parametros!$B$3,0.25*SQRT([1]Parametros!$B$2)/[1]Parametros!$B$3)*H308*AB308,(0.85*[1]Parametros!$B$2/[1]Parametros!$B$3)*(1-SQRT(1-2*(L308*1000000/([1]Parametros!$B$5*H308*AB308^2))/(0.85*[1]Parametros!$B$2)))*H308*AB308)</f>
        <v>815.58333333333326</v>
      </c>
      <c r="Z308" s="14">
        <v>5</v>
      </c>
      <c r="AA308" s="14">
        <v>1</v>
      </c>
      <c r="AB308" s="13">
        <f>IF(AA308=1,I308-([1]Parametros!$B$7+[1]Parametros!$B$9+[1]Parametros!$B$12/2),I308-(ROUNDUP(Z308/2,0)*([1]Parametros!$B$7+[1]Parametros!$B$9+[1]Parametros!$B$12/2)+ROUNDDOWN(Z308/2,0)*([1]Parametros!$B$7+[1]Parametros!$B$9+[1]Parametros!$B$12/2+[1]Parametros!$B$12+[1]Parametros!$B$10))/Z308)</f>
        <v>489.35</v>
      </c>
      <c r="AC308" s="13">
        <f>Z308*[1]Parametros!$B$8</f>
        <v>995</v>
      </c>
      <c r="AD308" s="13">
        <f>[1]Parametros!$B$5*AC308*[1]Parametros!$B$3*(AB308-(AC308*[1]Parametros!$B$3/(0.85*[1]Parametros!$B$2*H308))/2)/1000000</f>
        <v>177.44537938235294</v>
      </c>
      <c r="AE308" s="13" t="str">
        <f t="shared" si="53"/>
        <v>CUMPLE</v>
      </c>
      <c r="AF308" s="13">
        <f>V308*1.25*[1]Parametros!$B$3*(U308-(V308*1.25*[1]Parametros!$B$3/(0.85*[1]Parametros!$B$2*H308))/2)/1000000</f>
        <v>244.15884319852941</v>
      </c>
      <c r="AG308" s="13">
        <f>AC308*1.25*[1]Parametros!$B$3*(AB308-(AC308*1.25*[1]Parametros!$B$3/(0.85*[1]Parametros!$B$2*H308))/2)/1000000</f>
        <v>244.15884319852941</v>
      </c>
      <c r="AH308" s="13">
        <f t="shared" si="54"/>
        <v>208.35284894031145</v>
      </c>
      <c r="AI308" s="13">
        <f t="shared" si="55"/>
        <v>208.35284894031145</v>
      </c>
      <c r="AJ308" s="13">
        <f>0.17*SQRT([1]Parametros!$B$2)*H308*MIN(U308,AB308)/1000</f>
        <v>220.09872869180776</v>
      </c>
      <c r="AK308" s="13">
        <f>MAX(AI308/[1]Parametros!$B$6-AJ308,0)</f>
        <v>57.705069895274164</v>
      </c>
      <c r="AL308" s="13">
        <f>0.66*SQRT([1]Parametros!$B$2)*H308*MIN(U308,AB308)/1000</f>
        <v>854.500946685842</v>
      </c>
      <c r="AM308" s="13" t="str">
        <f t="shared" si="56"/>
        <v>CUMPLE</v>
      </c>
      <c r="AN308" s="13" t="s">
        <v>64</v>
      </c>
      <c r="AO308" s="14">
        <v>2</v>
      </c>
      <c r="AP308" s="13">
        <f>ROUNDDOWN(MIN(IF(BC308+BD308=0,1000000000,AO308*BB308/(BC308+BD308)),MIN(U308,AB308)/4,8*[1]Parametros!$B$12,24*BA308,300,IF(AV308=0,1000000000,2*((H308-2*([1]Parametros!$B$7+[1]Parametros!$B$9/2))+(I308-2*([1]Parametros!$B$7+[1]Parametros!$B$9/2)))/8))/10,0)*10</f>
        <v>120</v>
      </c>
      <c r="AQ308" s="13">
        <f>ROUNDDOWN(MIN(IF(BC308+BD308=0,1000000000,AO308*BB308/(BC308+BD308)),IF(AK308&gt;0.33*SQRT([1]Parametros!$B$2)*H308*MIN(U308,AB308)/1000,MIN(U308,AB308)/4,MIN(U308,AB308)/2),600,IF(AV308=0,1000000000,2*((H308-2*([1]Parametros!$B$7+[1]Parametros!$B$9/2))+(I308-2*([1]Parametros!$B$7+[1]Parametros!$B$9/2)))/8))/10,0)*10</f>
        <v>240</v>
      </c>
      <c r="AR308" s="13">
        <f>[1]Parametros!$B$6*(AJ308+MAX(BE308-BD308,0)*[1]Parametros!$B$4*MIN(U308,AB308)/1000)</f>
        <v>347.47925901885583</v>
      </c>
      <c r="AS308" s="13" t="str">
        <f t="shared" si="57"/>
        <v>CUMPLE</v>
      </c>
      <c r="AT308" s="13">
        <f>[1]Parametros!$B$6*0.083*SQRT([1]Parametros!$B$2)*(H308*I308)^2/(2*(H308+I308))/1000000</f>
        <v>11.862178757598967</v>
      </c>
      <c r="AU308" s="13" t="str">
        <f t="shared" si="58"/>
        <v>DESPRECIABLE</v>
      </c>
      <c r="AV308" s="13">
        <f>IF(Q308&lt;=AT308,0,Q308*1000000/([1]Parametros!$B$6*2*0.85*(H308-2*([1]Parametros!$B$7+[1]Parametros!$B$9/2))*(I308-2*([1]Parametros!$B$7+[1]Parametros!$B$9/2))*[1]Parametros!$B$4))</f>
        <v>0</v>
      </c>
      <c r="AW308" s="13">
        <f>AV308*2*((H308-2*([1]Parametros!$B$7+[1]Parametros!$B$9/2))+(I308-2*([1]Parametros!$B$7+[1]Parametros!$B$9/2)))*[1]Parametros!$B$4/[1]Parametros!$B$3</f>
        <v>0</v>
      </c>
      <c r="AX308" s="14">
        <v>0</v>
      </c>
      <c r="AY308" s="13" t="str">
        <f t="shared" si="59"/>
        <v>DESPRECIABLE</v>
      </c>
      <c r="AZ308" s="13" t="str">
        <f t="shared" si="60"/>
        <v>CUMPLE</v>
      </c>
      <c r="BA308" s="14">
        <v>9.5</v>
      </c>
      <c r="BB308" s="14">
        <v>71</v>
      </c>
      <c r="BC308" s="13">
        <f>MAX(IF(AK308=0,0,AK308*1000/([1]Parametros!$B$4*MIN(U308,AB308))),MAX(0.062*SQRT([1]Parametros!$B$2)*H308/[1]Parametros!$B$4,0.35*H308/[1]Parametros!$B$4))</f>
        <v>0.41666666666666669</v>
      </c>
      <c r="BD308" s="13">
        <f t="shared" si="61"/>
        <v>0</v>
      </c>
      <c r="BE308" s="13">
        <f t="shared" si="62"/>
        <v>1.1833333333333333</v>
      </c>
      <c r="BF308" s="13">
        <f>SQRT((AI308*1000/(H308*MIN(U308,AB308)))^2+(Q308*1000000*2*((H308-2*([1]Parametros!$B$7+[1]Parametros!$B$9/2))+(I308-2*([1]Parametros!$B$7+[1]Parametros!$B$9/2)))/(1.7*((H308-2*([1]Parametros!$B$7+[1]Parametros!$B$9/2))*(I308-2*([1]Parametros!$B$7+[1]Parametros!$B$9/2)))^2))^2)</f>
        <v>0.90503470783539386</v>
      </c>
      <c r="BG308" s="13">
        <f>[1]Parametros!$B$6*(AJ308*1000/(H308*MIN(U308,AB308))+0.66*SQRT([1]Parametros!$B$2))</f>
        <v>3.2939603822754151</v>
      </c>
      <c r="BH308" s="13" t="str">
        <f t="shared" si="63"/>
        <v>CUMPLE</v>
      </c>
      <c r="BI308" s="13">
        <f>AX308*[1]Parametros!$B$8</f>
        <v>0</v>
      </c>
      <c r="BJ308" s="15" t="str">
        <f t="shared" si="64"/>
        <v>CUMPLE</v>
      </c>
    </row>
    <row r="309" spans="1:62" x14ac:dyDescent="0.3">
      <c r="A309" s="43" t="s">
        <v>74</v>
      </c>
      <c r="B309" s="44">
        <v>952</v>
      </c>
      <c r="C309" s="13">
        <v>1</v>
      </c>
      <c r="D309" s="13">
        <v>3.4</v>
      </c>
      <c r="E309" s="13">
        <v>3.4</v>
      </c>
      <c r="F309" s="13">
        <v>500</v>
      </c>
      <c r="G309" s="13">
        <v>550</v>
      </c>
      <c r="H309" s="13">
        <v>500</v>
      </c>
      <c r="I309" s="13">
        <v>550</v>
      </c>
      <c r="J309" s="14">
        <v>58.0002</v>
      </c>
      <c r="K309" s="13">
        <v>952</v>
      </c>
      <c r="L309" s="14">
        <v>28.869199999999999</v>
      </c>
      <c r="M309" s="13">
        <v>952</v>
      </c>
      <c r="N309" s="14">
        <v>64.78</v>
      </c>
      <c r="O309" s="14">
        <v>125.41</v>
      </c>
      <c r="P309" s="13">
        <v>952</v>
      </c>
      <c r="Q309" s="14">
        <v>10.4878</v>
      </c>
      <c r="R309" s="13">
        <f>MAX(MAX(1.4/[1]Parametros!$B$3,0.25*SQRT([1]Parametros!$B$2)/[1]Parametros!$B$3)*H309*U309,(0.85*[1]Parametros!$B$2/[1]Parametros!$B$3)*(1-SQRT(1-2*(J309*1000000/([1]Parametros!$B$5*H309*U309^2))/(0.85*[1]Parametros!$B$2)))*H309*U309)</f>
        <v>815.58333333333326</v>
      </c>
      <c r="S309" s="14">
        <v>5</v>
      </c>
      <c r="T309" s="14">
        <v>1</v>
      </c>
      <c r="U309" s="13">
        <f>IF(T309=1,I309-([1]Parametros!$B$7+[1]Parametros!$B$9+[1]Parametros!$B$12/2),I309-(ROUNDUP(S309/2,0)*([1]Parametros!$B$7+[1]Parametros!$B$9+[1]Parametros!$B$12/2)+ROUNDDOWN(S309/2,0)*([1]Parametros!$B$7+[1]Parametros!$B$9+[1]Parametros!$B$12/2+[1]Parametros!$B$12+[1]Parametros!$B$10))/S309)</f>
        <v>489.35</v>
      </c>
      <c r="V309" s="13">
        <f>S309*[1]Parametros!$B$8</f>
        <v>995</v>
      </c>
      <c r="W309" s="13">
        <f>[1]Parametros!$B$5*V309*[1]Parametros!$B$3*(U309-(V309*[1]Parametros!$B$3/(0.85*[1]Parametros!$B$2*H309))/2)/1000000</f>
        <v>177.44537938235294</v>
      </c>
      <c r="X309" s="13" t="str">
        <f t="shared" si="52"/>
        <v>CUMPLE</v>
      </c>
      <c r="Y309" s="13">
        <f>MAX(MAX(1.4/[1]Parametros!$B$3,0.25*SQRT([1]Parametros!$B$2)/[1]Parametros!$B$3)*H309*AB309,(0.85*[1]Parametros!$B$2/[1]Parametros!$B$3)*(1-SQRT(1-2*(L309*1000000/([1]Parametros!$B$5*H309*AB309^2))/(0.85*[1]Parametros!$B$2)))*H309*AB309)</f>
        <v>815.58333333333326</v>
      </c>
      <c r="Z309" s="14">
        <v>5</v>
      </c>
      <c r="AA309" s="14">
        <v>1</v>
      </c>
      <c r="AB309" s="13">
        <f>IF(AA309=1,I309-([1]Parametros!$B$7+[1]Parametros!$B$9+[1]Parametros!$B$12/2),I309-(ROUNDUP(Z309/2,0)*([1]Parametros!$B$7+[1]Parametros!$B$9+[1]Parametros!$B$12/2)+ROUNDDOWN(Z309/2,0)*([1]Parametros!$B$7+[1]Parametros!$B$9+[1]Parametros!$B$12/2+[1]Parametros!$B$12+[1]Parametros!$B$10))/Z309)</f>
        <v>489.35</v>
      </c>
      <c r="AC309" s="13">
        <f>Z309*[1]Parametros!$B$8</f>
        <v>995</v>
      </c>
      <c r="AD309" s="13">
        <f>[1]Parametros!$B$5*AC309*[1]Parametros!$B$3*(AB309-(AC309*[1]Parametros!$B$3/(0.85*[1]Parametros!$B$2*H309))/2)/1000000</f>
        <v>177.44537938235294</v>
      </c>
      <c r="AE309" s="13" t="str">
        <f t="shared" si="53"/>
        <v>CUMPLE</v>
      </c>
      <c r="AF309" s="13">
        <f>V309*1.25*[1]Parametros!$B$3*(U309-(V309*1.25*[1]Parametros!$B$3/(0.85*[1]Parametros!$B$2*H309))/2)/1000000</f>
        <v>244.15884319852941</v>
      </c>
      <c r="AG309" s="13">
        <f>AC309*1.25*[1]Parametros!$B$3*(AB309-(AC309*1.25*[1]Parametros!$B$3/(0.85*[1]Parametros!$B$2*H309))/2)/1000000</f>
        <v>244.15884319852941</v>
      </c>
      <c r="AH309" s="13">
        <f t="shared" si="54"/>
        <v>208.40284894031143</v>
      </c>
      <c r="AI309" s="13">
        <f t="shared" si="55"/>
        <v>208.40284894031143</v>
      </c>
      <c r="AJ309" s="13">
        <f>0.17*SQRT([1]Parametros!$B$2)*H309*MIN(U309,AB309)/1000</f>
        <v>220.09872869180776</v>
      </c>
      <c r="AK309" s="13">
        <f>MAX(AI309/[1]Parametros!$B$6-AJ309,0)</f>
        <v>57.771736561940827</v>
      </c>
      <c r="AL309" s="13">
        <f>0.66*SQRT([1]Parametros!$B$2)*H309*MIN(U309,AB309)/1000</f>
        <v>854.500946685842</v>
      </c>
      <c r="AM309" s="13" t="str">
        <f t="shared" si="56"/>
        <v>CUMPLE</v>
      </c>
      <c r="AN309" s="13" t="s">
        <v>64</v>
      </c>
      <c r="AO309" s="14">
        <v>2</v>
      </c>
      <c r="AP309" s="13">
        <f>ROUNDDOWN(MIN(IF(BC309+BD309=0,1000000000,AO309*BB309/(BC309+BD309)),MIN(U309,AB309)/4,8*[1]Parametros!$B$12,24*BA309,300,IF(AV309=0,1000000000,2*((H309-2*([1]Parametros!$B$7+[1]Parametros!$B$9/2))+(I309-2*([1]Parametros!$B$7+[1]Parametros!$B$9/2)))/8))/10,0)*10</f>
        <v>120</v>
      </c>
      <c r="AQ309" s="13">
        <f>ROUNDDOWN(MIN(IF(BC309+BD309=0,1000000000,AO309*BB309/(BC309+BD309)),IF(AK309&gt;0.33*SQRT([1]Parametros!$B$2)*H309*MIN(U309,AB309)/1000,MIN(U309,AB309)/4,MIN(U309,AB309)/2),600,IF(AV309=0,1000000000,2*((H309-2*([1]Parametros!$B$7+[1]Parametros!$B$9/2))+(I309-2*([1]Parametros!$B$7+[1]Parametros!$B$9/2)))/8))/10,0)*10</f>
        <v>240</v>
      </c>
      <c r="AR309" s="13">
        <f>[1]Parametros!$B$6*(AJ309+MAX(BE309-BD309,0)*[1]Parametros!$B$4*MIN(U309,AB309)/1000)</f>
        <v>347.47925901885583</v>
      </c>
      <c r="AS309" s="13" t="str">
        <f t="shared" si="57"/>
        <v>CUMPLE</v>
      </c>
      <c r="AT309" s="13">
        <f>[1]Parametros!$B$6*0.083*SQRT([1]Parametros!$B$2)*(H309*I309)^2/(2*(H309+I309))/1000000</f>
        <v>11.862178757598967</v>
      </c>
      <c r="AU309" s="13" t="str">
        <f t="shared" si="58"/>
        <v>DESPRECIABLE</v>
      </c>
      <c r="AV309" s="13">
        <f>IF(Q309&lt;=AT309,0,Q309*1000000/([1]Parametros!$B$6*2*0.85*(H309-2*([1]Parametros!$B$7+[1]Parametros!$B$9/2))*(I309-2*([1]Parametros!$B$7+[1]Parametros!$B$9/2))*[1]Parametros!$B$4))</f>
        <v>0</v>
      </c>
      <c r="AW309" s="13">
        <f>AV309*2*((H309-2*([1]Parametros!$B$7+[1]Parametros!$B$9/2))+(I309-2*([1]Parametros!$B$7+[1]Parametros!$B$9/2)))*[1]Parametros!$B$4/[1]Parametros!$B$3</f>
        <v>0</v>
      </c>
      <c r="AX309" s="14">
        <v>0</v>
      </c>
      <c r="AY309" s="13" t="str">
        <f t="shared" si="59"/>
        <v>DESPRECIABLE</v>
      </c>
      <c r="AZ309" s="13" t="str">
        <f t="shared" si="60"/>
        <v>CUMPLE</v>
      </c>
      <c r="BA309" s="14">
        <v>9.5</v>
      </c>
      <c r="BB309" s="14">
        <v>71</v>
      </c>
      <c r="BC309" s="13">
        <f>MAX(IF(AK309=0,0,AK309*1000/([1]Parametros!$B$4*MIN(U309,AB309))),MAX(0.062*SQRT([1]Parametros!$B$2)*H309/[1]Parametros!$B$4,0.35*H309/[1]Parametros!$B$4))</f>
        <v>0.41666666666666669</v>
      </c>
      <c r="BD309" s="13">
        <f t="shared" si="61"/>
        <v>0</v>
      </c>
      <c r="BE309" s="13">
        <f t="shared" si="62"/>
        <v>1.1833333333333333</v>
      </c>
      <c r="BF309" s="13">
        <f>SQRT((AI309*1000/(H309*MIN(U309,AB309)))^2+(Q309*1000000*2*((H309-2*([1]Parametros!$B$7+[1]Parametros!$B$9/2))+(I309-2*([1]Parametros!$B$7+[1]Parametros!$B$9/2)))/(1.7*((H309-2*([1]Parametros!$B$7+[1]Parametros!$B$9/2))*(I309-2*([1]Parametros!$B$7+[1]Parametros!$B$9/2)))^2))^2)</f>
        <v>0.90556203543036073</v>
      </c>
      <c r="BG309" s="13">
        <f>[1]Parametros!$B$6*(AJ309*1000/(H309*MIN(U309,AB309))+0.66*SQRT([1]Parametros!$B$2))</f>
        <v>3.2939603822754151</v>
      </c>
      <c r="BH309" s="13" t="str">
        <f t="shared" si="63"/>
        <v>CUMPLE</v>
      </c>
      <c r="BI309" s="13">
        <f>AX309*[1]Parametros!$B$8</f>
        <v>0</v>
      </c>
      <c r="BJ309" s="15" t="str">
        <f t="shared" si="64"/>
        <v>CUMPLE</v>
      </c>
    </row>
    <row r="310" spans="1:62" x14ac:dyDescent="0.3">
      <c r="A310" s="43" t="s">
        <v>74</v>
      </c>
      <c r="B310" s="44">
        <v>953</v>
      </c>
      <c r="C310" s="13">
        <v>1</v>
      </c>
      <c r="D310" s="13">
        <v>1.9</v>
      </c>
      <c r="E310" s="13">
        <v>1.9</v>
      </c>
      <c r="F310" s="13">
        <v>500</v>
      </c>
      <c r="G310" s="13">
        <v>550</v>
      </c>
      <c r="H310" s="13">
        <v>500</v>
      </c>
      <c r="I310" s="13">
        <v>550</v>
      </c>
      <c r="J310" s="14">
        <v>48.030799999999999</v>
      </c>
      <c r="K310" s="13">
        <v>953</v>
      </c>
      <c r="L310" s="14">
        <v>17.5198</v>
      </c>
      <c r="M310" s="13">
        <v>953</v>
      </c>
      <c r="N310" s="14">
        <v>54.807000000000002</v>
      </c>
      <c r="O310" s="14">
        <v>121.129</v>
      </c>
      <c r="P310" s="13">
        <v>953</v>
      </c>
      <c r="Q310" s="14">
        <v>1.4550000000000001</v>
      </c>
      <c r="R310" s="13">
        <f>MAX(MAX(1.4/[1]Parametros!$B$3,0.25*SQRT([1]Parametros!$B$2)/[1]Parametros!$B$3)*H310*U310,(0.85*[1]Parametros!$B$2/[1]Parametros!$B$3)*(1-SQRT(1-2*(J310*1000000/([1]Parametros!$B$5*H310*U310^2))/(0.85*[1]Parametros!$B$2)))*H310*U310)</f>
        <v>815.58333333333326</v>
      </c>
      <c r="S310" s="14">
        <v>5</v>
      </c>
      <c r="T310" s="14">
        <v>1</v>
      </c>
      <c r="U310" s="13">
        <f>IF(T310=1,I310-([1]Parametros!$B$7+[1]Parametros!$B$9+[1]Parametros!$B$12/2),I310-(ROUNDUP(S310/2,0)*([1]Parametros!$B$7+[1]Parametros!$B$9+[1]Parametros!$B$12/2)+ROUNDDOWN(S310/2,0)*([1]Parametros!$B$7+[1]Parametros!$B$9+[1]Parametros!$B$12/2+[1]Parametros!$B$12+[1]Parametros!$B$10))/S310)</f>
        <v>489.35</v>
      </c>
      <c r="V310" s="13">
        <f>S310*[1]Parametros!$B$8</f>
        <v>995</v>
      </c>
      <c r="W310" s="13">
        <f>[1]Parametros!$B$5*V310*[1]Parametros!$B$3*(U310-(V310*[1]Parametros!$B$3/(0.85*[1]Parametros!$B$2*H310))/2)/1000000</f>
        <v>177.44537938235294</v>
      </c>
      <c r="X310" s="13" t="str">
        <f t="shared" si="52"/>
        <v>CUMPLE</v>
      </c>
      <c r="Y310" s="13">
        <f>MAX(MAX(1.4/[1]Parametros!$B$3,0.25*SQRT([1]Parametros!$B$2)/[1]Parametros!$B$3)*H310*AB310,(0.85*[1]Parametros!$B$2/[1]Parametros!$B$3)*(1-SQRT(1-2*(L310*1000000/([1]Parametros!$B$5*H310*AB310^2))/(0.85*[1]Parametros!$B$2)))*H310*AB310)</f>
        <v>815.58333333333326</v>
      </c>
      <c r="Z310" s="14">
        <v>5</v>
      </c>
      <c r="AA310" s="14">
        <v>1</v>
      </c>
      <c r="AB310" s="13">
        <f>IF(AA310=1,I310-([1]Parametros!$B$7+[1]Parametros!$B$9+[1]Parametros!$B$12/2),I310-(ROUNDUP(Z310/2,0)*([1]Parametros!$B$7+[1]Parametros!$B$9+[1]Parametros!$B$12/2)+ROUNDDOWN(Z310/2,0)*([1]Parametros!$B$7+[1]Parametros!$B$9+[1]Parametros!$B$12/2+[1]Parametros!$B$12+[1]Parametros!$B$10))/Z310)</f>
        <v>489.35</v>
      </c>
      <c r="AC310" s="13">
        <f>Z310*[1]Parametros!$B$8</f>
        <v>995</v>
      </c>
      <c r="AD310" s="13">
        <f>[1]Parametros!$B$5*AC310*[1]Parametros!$B$3*(AB310-(AC310*[1]Parametros!$B$3/(0.85*[1]Parametros!$B$2*H310))/2)/1000000</f>
        <v>177.44537938235294</v>
      </c>
      <c r="AE310" s="13" t="str">
        <f t="shared" si="53"/>
        <v>CUMPLE</v>
      </c>
      <c r="AF310" s="13">
        <f>V310*1.25*[1]Parametros!$B$3*(U310-(V310*1.25*[1]Parametros!$B$3/(0.85*[1]Parametros!$B$2*H310))/2)/1000000</f>
        <v>244.15884319852941</v>
      </c>
      <c r="AG310" s="13">
        <f>AC310*1.25*[1]Parametros!$B$3*(AB310-(AC310*1.25*[1]Parametros!$B$3/(0.85*[1]Parametros!$B$2*H310))/2)/1000000</f>
        <v>244.15884319852941</v>
      </c>
      <c r="AH310" s="13">
        <f t="shared" si="54"/>
        <v>311.81630863003096</v>
      </c>
      <c r="AI310" s="13">
        <f t="shared" si="55"/>
        <v>311.81630863003096</v>
      </c>
      <c r="AJ310" s="13">
        <f>0.17*SQRT([1]Parametros!$B$2)*H310*MIN(U310,AB310)/1000</f>
        <v>220.09872869180776</v>
      </c>
      <c r="AK310" s="13">
        <f>MAX(AI310/[1]Parametros!$B$6-AJ310,0)</f>
        <v>195.65634948156685</v>
      </c>
      <c r="AL310" s="13">
        <f>0.66*SQRT([1]Parametros!$B$2)*H310*MIN(U310,AB310)/1000</f>
        <v>854.500946685842</v>
      </c>
      <c r="AM310" s="13" t="str">
        <f t="shared" si="56"/>
        <v>CUMPLE</v>
      </c>
      <c r="AN310" s="13" t="s">
        <v>64</v>
      </c>
      <c r="AO310" s="14">
        <v>2</v>
      </c>
      <c r="AP310" s="13">
        <f>ROUNDDOWN(MIN(IF(BC310+BD310=0,1000000000,AO310*BB310/(BC310+BD310)),MIN(U310,AB310)/4,8*[1]Parametros!$B$12,24*BA310,300,IF(AV310=0,1000000000,2*((H310-2*([1]Parametros!$B$7+[1]Parametros!$B$9/2))+(I310-2*([1]Parametros!$B$7+[1]Parametros!$B$9/2)))/8))/10,0)*10</f>
        <v>120</v>
      </c>
      <c r="AQ310" s="13">
        <f>ROUNDDOWN(MIN(IF(BC310+BD310=0,1000000000,AO310*BB310/(BC310+BD310)),IF(AK310&gt;0.33*SQRT([1]Parametros!$B$2)*H310*MIN(U310,AB310)/1000,MIN(U310,AB310)/4,MIN(U310,AB310)/2),600,IF(AV310=0,1000000000,2*((H310-2*([1]Parametros!$B$7+[1]Parametros!$B$9/2))+(I310-2*([1]Parametros!$B$7+[1]Parametros!$B$9/2)))/8))/10,0)*10</f>
        <v>140</v>
      </c>
      <c r="AR310" s="13">
        <f>[1]Parametros!$B$6*(AJ310+MAX(BE310-BD310,0)*[1]Parametros!$B$4*MIN(U310,AB310)/1000)</f>
        <v>347.47925901885583</v>
      </c>
      <c r="AS310" s="13" t="str">
        <f t="shared" si="57"/>
        <v>CUMPLE</v>
      </c>
      <c r="AT310" s="13">
        <f>[1]Parametros!$B$6*0.083*SQRT([1]Parametros!$B$2)*(H310*I310)^2/(2*(H310+I310))/1000000</f>
        <v>11.862178757598967</v>
      </c>
      <c r="AU310" s="13" t="str">
        <f t="shared" si="58"/>
        <v>DESPRECIABLE</v>
      </c>
      <c r="AV310" s="13">
        <f>IF(Q310&lt;=AT310,0,Q310*1000000/([1]Parametros!$B$6*2*0.85*(H310-2*([1]Parametros!$B$7+[1]Parametros!$B$9/2))*(I310-2*([1]Parametros!$B$7+[1]Parametros!$B$9/2))*[1]Parametros!$B$4))</f>
        <v>0</v>
      </c>
      <c r="AW310" s="13">
        <f>AV310*2*((H310-2*([1]Parametros!$B$7+[1]Parametros!$B$9/2))+(I310-2*([1]Parametros!$B$7+[1]Parametros!$B$9/2)))*[1]Parametros!$B$4/[1]Parametros!$B$3</f>
        <v>0</v>
      </c>
      <c r="AX310" s="14">
        <v>0</v>
      </c>
      <c r="AY310" s="13" t="str">
        <f t="shared" si="59"/>
        <v>DESPRECIABLE</v>
      </c>
      <c r="AZ310" s="13" t="str">
        <f t="shared" si="60"/>
        <v>CUMPLE</v>
      </c>
      <c r="BA310" s="14">
        <v>9.5</v>
      </c>
      <c r="BB310" s="14">
        <v>71</v>
      </c>
      <c r="BC310" s="13">
        <f>MAX(IF(AK310=0,0,AK310*1000/([1]Parametros!$B$4*MIN(U310,AB310))),MAX(0.062*SQRT([1]Parametros!$B$2)*H310/[1]Parametros!$B$4,0.35*H310/[1]Parametros!$B$4))</f>
        <v>0.95197394737220331</v>
      </c>
      <c r="BD310" s="13">
        <f t="shared" si="61"/>
        <v>0</v>
      </c>
      <c r="BE310" s="13">
        <f t="shared" si="62"/>
        <v>1.1833333333333333</v>
      </c>
      <c r="BF310" s="13">
        <f>SQRT((AI310*1000/(H310*MIN(U310,AB310)))^2+(Q310*1000000*2*((H310-2*([1]Parametros!$B$7+[1]Parametros!$B$9/2))+(I310-2*([1]Parametros!$B$7+[1]Parametros!$B$9/2)))/(1.7*((H310-2*([1]Parametros!$B$7+[1]Parametros!$B$9/2))*(I310-2*([1]Parametros!$B$7+[1]Parametros!$B$9/2)))^2))^2)</f>
        <v>1.2751240020177559</v>
      </c>
      <c r="BG310" s="13">
        <f>[1]Parametros!$B$6*(AJ310*1000/(H310*MIN(U310,AB310))+0.66*SQRT([1]Parametros!$B$2))</f>
        <v>3.2939603822754151</v>
      </c>
      <c r="BH310" s="13" t="str">
        <f t="shared" si="63"/>
        <v>CUMPLE</v>
      </c>
      <c r="BI310" s="13">
        <f>AX310*[1]Parametros!$B$8</f>
        <v>0</v>
      </c>
      <c r="BJ310" s="15" t="str">
        <f t="shared" si="64"/>
        <v>CUMPLE</v>
      </c>
    </row>
    <row r="311" spans="1:62" x14ac:dyDescent="0.3">
      <c r="A311" s="43" t="s">
        <v>74</v>
      </c>
      <c r="B311" s="44">
        <v>954</v>
      </c>
      <c r="C311" s="13">
        <v>1</v>
      </c>
      <c r="D311" s="13">
        <v>2</v>
      </c>
      <c r="E311" s="13">
        <v>2</v>
      </c>
      <c r="F311" s="13">
        <v>500</v>
      </c>
      <c r="G311" s="13">
        <v>550</v>
      </c>
      <c r="H311" s="13">
        <v>500</v>
      </c>
      <c r="I311" s="13">
        <v>550</v>
      </c>
      <c r="J311" s="14">
        <v>43.9985</v>
      </c>
      <c r="K311" s="13">
        <v>954</v>
      </c>
      <c r="L311" s="14">
        <v>11.928000000000001</v>
      </c>
      <c r="M311" s="13">
        <v>954</v>
      </c>
      <c r="N311" s="14">
        <v>50.750999999999998</v>
      </c>
      <c r="O311" s="14">
        <v>107.69</v>
      </c>
      <c r="P311" s="13">
        <v>954</v>
      </c>
      <c r="Q311" s="14">
        <v>1.2334000000000001</v>
      </c>
      <c r="R311" s="13">
        <f>MAX(MAX(1.4/[1]Parametros!$B$3,0.25*SQRT([1]Parametros!$B$2)/[1]Parametros!$B$3)*H311*U311,(0.85*[1]Parametros!$B$2/[1]Parametros!$B$3)*(1-SQRT(1-2*(J311*1000000/([1]Parametros!$B$5*H311*U311^2))/(0.85*[1]Parametros!$B$2)))*H311*U311)</f>
        <v>815.58333333333326</v>
      </c>
      <c r="S311" s="14">
        <v>5</v>
      </c>
      <c r="T311" s="14">
        <v>1</v>
      </c>
      <c r="U311" s="13">
        <f>IF(T311=1,I311-([1]Parametros!$B$7+[1]Parametros!$B$9+[1]Parametros!$B$12/2),I311-(ROUNDUP(S311/2,0)*([1]Parametros!$B$7+[1]Parametros!$B$9+[1]Parametros!$B$12/2)+ROUNDDOWN(S311/2,0)*([1]Parametros!$B$7+[1]Parametros!$B$9+[1]Parametros!$B$12/2+[1]Parametros!$B$12+[1]Parametros!$B$10))/S311)</f>
        <v>489.35</v>
      </c>
      <c r="V311" s="13">
        <f>S311*[1]Parametros!$B$8</f>
        <v>995</v>
      </c>
      <c r="W311" s="13">
        <f>[1]Parametros!$B$5*V311*[1]Parametros!$B$3*(U311-(V311*[1]Parametros!$B$3/(0.85*[1]Parametros!$B$2*H311))/2)/1000000</f>
        <v>177.44537938235294</v>
      </c>
      <c r="X311" s="13" t="str">
        <f t="shared" si="52"/>
        <v>CUMPLE</v>
      </c>
      <c r="Y311" s="13">
        <f>MAX(MAX(1.4/[1]Parametros!$B$3,0.25*SQRT([1]Parametros!$B$2)/[1]Parametros!$B$3)*H311*AB311,(0.85*[1]Parametros!$B$2/[1]Parametros!$B$3)*(1-SQRT(1-2*(L311*1000000/([1]Parametros!$B$5*H311*AB311^2))/(0.85*[1]Parametros!$B$2)))*H311*AB311)</f>
        <v>815.58333333333326</v>
      </c>
      <c r="Z311" s="14">
        <v>5</v>
      </c>
      <c r="AA311" s="14">
        <v>1</v>
      </c>
      <c r="AB311" s="13">
        <f>IF(AA311=1,I311-([1]Parametros!$B$7+[1]Parametros!$B$9+[1]Parametros!$B$12/2),I311-(ROUNDUP(Z311/2,0)*([1]Parametros!$B$7+[1]Parametros!$B$9+[1]Parametros!$B$12/2)+ROUNDDOWN(Z311/2,0)*([1]Parametros!$B$7+[1]Parametros!$B$9+[1]Parametros!$B$12/2+[1]Parametros!$B$12+[1]Parametros!$B$10))/Z311)</f>
        <v>489.35</v>
      </c>
      <c r="AC311" s="13">
        <f>Z311*[1]Parametros!$B$8</f>
        <v>995</v>
      </c>
      <c r="AD311" s="13">
        <f>[1]Parametros!$B$5*AC311*[1]Parametros!$B$3*(AB311-(AC311*[1]Parametros!$B$3/(0.85*[1]Parametros!$B$2*H311))/2)/1000000</f>
        <v>177.44537938235294</v>
      </c>
      <c r="AE311" s="13" t="str">
        <f t="shared" si="53"/>
        <v>CUMPLE</v>
      </c>
      <c r="AF311" s="13">
        <f>V311*1.25*[1]Parametros!$B$3*(U311-(V311*1.25*[1]Parametros!$B$3/(0.85*[1]Parametros!$B$2*H311))/2)/1000000</f>
        <v>244.15884319852941</v>
      </c>
      <c r="AG311" s="13">
        <f>AC311*1.25*[1]Parametros!$B$3*(AB311-(AC311*1.25*[1]Parametros!$B$3/(0.85*[1]Parametros!$B$2*H311))/2)/1000000</f>
        <v>244.15884319852941</v>
      </c>
      <c r="AH311" s="13">
        <f t="shared" si="54"/>
        <v>294.90984319852942</v>
      </c>
      <c r="AI311" s="13">
        <f t="shared" si="55"/>
        <v>294.90984319852942</v>
      </c>
      <c r="AJ311" s="13">
        <f>0.17*SQRT([1]Parametros!$B$2)*H311*MIN(U311,AB311)/1000</f>
        <v>220.09872869180776</v>
      </c>
      <c r="AK311" s="13">
        <f>MAX(AI311/[1]Parametros!$B$6-AJ311,0)</f>
        <v>173.1143955728981</v>
      </c>
      <c r="AL311" s="13">
        <f>0.66*SQRT([1]Parametros!$B$2)*H311*MIN(U311,AB311)/1000</f>
        <v>854.500946685842</v>
      </c>
      <c r="AM311" s="13" t="str">
        <f t="shared" si="56"/>
        <v>CUMPLE</v>
      </c>
      <c r="AN311" s="13" t="s">
        <v>64</v>
      </c>
      <c r="AO311" s="14">
        <v>2</v>
      </c>
      <c r="AP311" s="13">
        <f>ROUNDDOWN(MIN(IF(BC311+BD311=0,1000000000,AO311*BB311/(BC311+BD311)),MIN(U311,AB311)/4,8*[1]Parametros!$B$12,24*BA311,300,IF(AV311=0,1000000000,2*((H311-2*([1]Parametros!$B$7+[1]Parametros!$B$9/2))+(I311-2*([1]Parametros!$B$7+[1]Parametros!$B$9/2)))/8))/10,0)*10</f>
        <v>120</v>
      </c>
      <c r="AQ311" s="13">
        <f>ROUNDDOWN(MIN(IF(BC311+BD311=0,1000000000,AO311*BB311/(BC311+BD311)),IF(AK311&gt;0.33*SQRT([1]Parametros!$B$2)*H311*MIN(U311,AB311)/1000,MIN(U311,AB311)/4,MIN(U311,AB311)/2),600,IF(AV311=0,1000000000,2*((H311-2*([1]Parametros!$B$7+[1]Parametros!$B$9/2))+(I311-2*([1]Parametros!$B$7+[1]Parametros!$B$9/2)))/8))/10,0)*10</f>
        <v>160</v>
      </c>
      <c r="AR311" s="13">
        <f>[1]Parametros!$B$6*(AJ311+MAX(BE311-BD311,0)*[1]Parametros!$B$4*MIN(U311,AB311)/1000)</f>
        <v>347.47925901885583</v>
      </c>
      <c r="AS311" s="13" t="str">
        <f t="shared" si="57"/>
        <v>CUMPLE</v>
      </c>
      <c r="AT311" s="13">
        <f>[1]Parametros!$B$6*0.083*SQRT([1]Parametros!$B$2)*(H311*I311)^2/(2*(H311+I311))/1000000</f>
        <v>11.862178757598967</v>
      </c>
      <c r="AU311" s="13" t="str">
        <f t="shared" si="58"/>
        <v>DESPRECIABLE</v>
      </c>
      <c r="AV311" s="13">
        <f>IF(Q311&lt;=AT311,0,Q311*1000000/([1]Parametros!$B$6*2*0.85*(H311-2*([1]Parametros!$B$7+[1]Parametros!$B$9/2))*(I311-2*([1]Parametros!$B$7+[1]Parametros!$B$9/2))*[1]Parametros!$B$4))</f>
        <v>0</v>
      </c>
      <c r="AW311" s="13">
        <f>AV311*2*((H311-2*([1]Parametros!$B$7+[1]Parametros!$B$9/2))+(I311-2*([1]Parametros!$B$7+[1]Parametros!$B$9/2)))*[1]Parametros!$B$4/[1]Parametros!$B$3</f>
        <v>0</v>
      </c>
      <c r="AX311" s="14">
        <v>0</v>
      </c>
      <c r="AY311" s="13" t="str">
        <f t="shared" si="59"/>
        <v>DESPRECIABLE</v>
      </c>
      <c r="AZ311" s="13" t="str">
        <f t="shared" si="60"/>
        <v>CUMPLE</v>
      </c>
      <c r="BA311" s="14">
        <v>9.5</v>
      </c>
      <c r="BB311" s="14">
        <v>71</v>
      </c>
      <c r="BC311" s="13">
        <f>MAX(IF(AK311=0,0,AK311*1000/([1]Parametros!$B$4*MIN(U311,AB311))),MAX(0.062*SQRT([1]Parametros!$B$2)*H311/[1]Parametros!$B$4,0.35*H311/[1]Parametros!$B$4))</f>
        <v>0.84229515135674682</v>
      </c>
      <c r="BD311" s="13">
        <f t="shared" si="61"/>
        <v>0</v>
      </c>
      <c r="BE311" s="13">
        <f t="shared" si="62"/>
        <v>1.1833333333333333</v>
      </c>
      <c r="BF311" s="13">
        <f>SQRT((AI311*1000/(H311*MIN(U311,AB311)))^2+(Q311*1000000*2*((H311-2*([1]Parametros!$B$7+[1]Parametros!$B$9/2))+(I311-2*([1]Parametros!$B$7+[1]Parametros!$B$9/2)))/(1.7*((H311-2*([1]Parametros!$B$7+[1]Parametros!$B$9/2))*(I311-2*([1]Parametros!$B$7+[1]Parametros!$B$9/2)))^2))^2)</f>
        <v>1.2058549184367748</v>
      </c>
      <c r="BG311" s="13">
        <f>[1]Parametros!$B$6*(AJ311*1000/(H311*MIN(U311,AB311))+0.66*SQRT([1]Parametros!$B$2))</f>
        <v>3.2939603822754151</v>
      </c>
      <c r="BH311" s="13" t="str">
        <f t="shared" si="63"/>
        <v>CUMPLE</v>
      </c>
      <c r="BI311" s="13">
        <f>AX311*[1]Parametros!$B$8</f>
        <v>0</v>
      </c>
      <c r="BJ311" s="15" t="str">
        <f t="shared" si="64"/>
        <v>CUMPLE</v>
      </c>
    </row>
    <row r="312" spans="1:62" x14ac:dyDescent="0.3">
      <c r="A312" s="43" t="s">
        <v>74</v>
      </c>
      <c r="B312" s="44">
        <v>955</v>
      </c>
      <c r="C312" s="13">
        <v>1</v>
      </c>
      <c r="D312" s="13">
        <v>3.05</v>
      </c>
      <c r="E312" s="13">
        <v>3.05</v>
      </c>
      <c r="F312" s="13">
        <v>500</v>
      </c>
      <c r="G312" s="13">
        <v>550</v>
      </c>
      <c r="H312" s="13">
        <v>500</v>
      </c>
      <c r="I312" s="13">
        <v>550</v>
      </c>
      <c r="J312" s="14">
        <v>63.508600000000001</v>
      </c>
      <c r="K312" s="13">
        <v>955</v>
      </c>
      <c r="L312" s="14">
        <v>31.6662</v>
      </c>
      <c r="M312" s="13">
        <v>955</v>
      </c>
      <c r="N312" s="14">
        <v>66.266999999999996</v>
      </c>
      <c r="O312" s="14">
        <v>154.619</v>
      </c>
      <c r="P312" s="13">
        <v>955</v>
      </c>
      <c r="Q312" s="14">
        <v>1.5084</v>
      </c>
      <c r="R312" s="13">
        <f>MAX(MAX(1.4/[1]Parametros!$B$3,0.25*SQRT([1]Parametros!$B$2)/[1]Parametros!$B$3)*H312*U312,(0.85*[1]Parametros!$B$2/[1]Parametros!$B$3)*(1-SQRT(1-2*(J312*1000000/([1]Parametros!$B$5*H312*U312^2))/(0.85*[1]Parametros!$B$2)))*H312*U312)</f>
        <v>815.58333333333326</v>
      </c>
      <c r="S312" s="14">
        <v>5</v>
      </c>
      <c r="T312" s="14">
        <v>1</v>
      </c>
      <c r="U312" s="13">
        <f>IF(T312=1,I312-([1]Parametros!$B$7+[1]Parametros!$B$9+[1]Parametros!$B$12/2),I312-(ROUNDUP(S312/2,0)*([1]Parametros!$B$7+[1]Parametros!$B$9+[1]Parametros!$B$12/2)+ROUNDDOWN(S312/2,0)*([1]Parametros!$B$7+[1]Parametros!$B$9+[1]Parametros!$B$12/2+[1]Parametros!$B$12+[1]Parametros!$B$10))/S312)</f>
        <v>489.35</v>
      </c>
      <c r="V312" s="13">
        <f>S312*[1]Parametros!$B$8</f>
        <v>995</v>
      </c>
      <c r="W312" s="13">
        <f>[1]Parametros!$B$5*V312*[1]Parametros!$B$3*(U312-(V312*[1]Parametros!$B$3/(0.85*[1]Parametros!$B$2*H312))/2)/1000000</f>
        <v>177.44537938235294</v>
      </c>
      <c r="X312" s="13" t="str">
        <f t="shared" si="52"/>
        <v>CUMPLE</v>
      </c>
      <c r="Y312" s="13">
        <f>MAX(MAX(1.4/[1]Parametros!$B$3,0.25*SQRT([1]Parametros!$B$2)/[1]Parametros!$B$3)*H312*AB312,(0.85*[1]Parametros!$B$2/[1]Parametros!$B$3)*(1-SQRT(1-2*(L312*1000000/([1]Parametros!$B$5*H312*AB312^2))/(0.85*[1]Parametros!$B$2)))*H312*AB312)</f>
        <v>815.58333333333326</v>
      </c>
      <c r="Z312" s="14">
        <v>5</v>
      </c>
      <c r="AA312" s="14">
        <v>1</v>
      </c>
      <c r="AB312" s="13">
        <f>IF(AA312=1,I312-([1]Parametros!$B$7+[1]Parametros!$B$9+[1]Parametros!$B$12/2),I312-(ROUNDUP(Z312/2,0)*([1]Parametros!$B$7+[1]Parametros!$B$9+[1]Parametros!$B$12/2)+ROUNDDOWN(Z312/2,0)*([1]Parametros!$B$7+[1]Parametros!$B$9+[1]Parametros!$B$12/2+[1]Parametros!$B$12+[1]Parametros!$B$10))/Z312)</f>
        <v>489.35</v>
      </c>
      <c r="AC312" s="13">
        <f>Z312*[1]Parametros!$B$8</f>
        <v>995</v>
      </c>
      <c r="AD312" s="13">
        <f>[1]Parametros!$B$5*AC312*[1]Parametros!$B$3*(AB312-(AC312*[1]Parametros!$B$3/(0.85*[1]Parametros!$B$2*H312))/2)/1000000</f>
        <v>177.44537938235294</v>
      </c>
      <c r="AE312" s="13" t="str">
        <f t="shared" si="53"/>
        <v>CUMPLE</v>
      </c>
      <c r="AF312" s="13">
        <f>V312*1.25*[1]Parametros!$B$3*(U312-(V312*1.25*[1]Parametros!$B$3/(0.85*[1]Parametros!$B$2*H312))/2)/1000000</f>
        <v>244.15884319852941</v>
      </c>
      <c r="AG312" s="13">
        <f>AC312*1.25*[1]Parametros!$B$3*(AB312-(AC312*1.25*[1]Parametros!$B$3/(0.85*[1]Parametros!$B$2*H312))/2)/1000000</f>
        <v>244.15884319852941</v>
      </c>
      <c r="AH312" s="13">
        <f t="shared" si="54"/>
        <v>226.37115947444553</v>
      </c>
      <c r="AI312" s="13">
        <f t="shared" si="55"/>
        <v>226.37115947444553</v>
      </c>
      <c r="AJ312" s="13">
        <f>0.17*SQRT([1]Parametros!$B$2)*H312*MIN(U312,AB312)/1000</f>
        <v>220.09872869180776</v>
      </c>
      <c r="AK312" s="13">
        <f>MAX(AI312/[1]Parametros!$B$6-AJ312,0)</f>
        <v>81.729483940786281</v>
      </c>
      <c r="AL312" s="13">
        <f>0.66*SQRT([1]Parametros!$B$2)*H312*MIN(U312,AB312)/1000</f>
        <v>854.500946685842</v>
      </c>
      <c r="AM312" s="13" t="str">
        <f t="shared" si="56"/>
        <v>CUMPLE</v>
      </c>
      <c r="AN312" s="13" t="s">
        <v>64</v>
      </c>
      <c r="AO312" s="14">
        <v>2</v>
      </c>
      <c r="AP312" s="13">
        <f>ROUNDDOWN(MIN(IF(BC312+BD312=0,1000000000,AO312*BB312/(BC312+BD312)),MIN(U312,AB312)/4,8*[1]Parametros!$B$12,24*BA312,300,IF(AV312=0,1000000000,2*((H312-2*([1]Parametros!$B$7+[1]Parametros!$B$9/2))+(I312-2*([1]Parametros!$B$7+[1]Parametros!$B$9/2)))/8))/10,0)*10</f>
        <v>120</v>
      </c>
      <c r="AQ312" s="13">
        <f>ROUNDDOWN(MIN(IF(BC312+BD312=0,1000000000,AO312*BB312/(BC312+BD312)),IF(AK312&gt;0.33*SQRT([1]Parametros!$B$2)*H312*MIN(U312,AB312)/1000,MIN(U312,AB312)/4,MIN(U312,AB312)/2),600,IF(AV312=0,1000000000,2*((H312-2*([1]Parametros!$B$7+[1]Parametros!$B$9/2))+(I312-2*([1]Parametros!$B$7+[1]Parametros!$B$9/2)))/8))/10,0)*10</f>
        <v>240</v>
      </c>
      <c r="AR312" s="13">
        <f>[1]Parametros!$B$6*(AJ312+MAX(BE312-BD312,0)*[1]Parametros!$B$4*MIN(U312,AB312)/1000)</f>
        <v>347.47925901885583</v>
      </c>
      <c r="AS312" s="13" t="str">
        <f t="shared" si="57"/>
        <v>CUMPLE</v>
      </c>
      <c r="AT312" s="13">
        <f>[1]Parametros!$B$6*0.083*SQRT([1]Parametros!$B$2)*(H312*I312)^2/(2*(H312+I312))/1000000</f>
        <v>11.862178757598967</v>
      </c>
      <c r="AU312" s="13" t="str">
        <f t="shared" si="58"/>
        <v>DESPRECIABLE</v>
      </c>
      <c r="AV312" s="13">
        <f>IF(Q312&lt;=AT312,0,Q312*1000000/([1]Parametros!$B$6*2*0.85*(H312-2*([1]Parametros!$B$7+[1]Parametros!$B$9/2))*(I312-2*([1]Parametros!$B$7+[1]Parametros!$B$9/2))*[1]Parametros!$B$4))</f>
        <v>0</v>
      </c>
      <c r="AW312" s="13">
        <f>AV312*2*((H312-2*([1]Parametros!$B$7+[1]Parametros!$B$9/2))+(I312-2*([1]Parametros!$B$7+[1]Parametros!$B$9/2)))*[1]Parametros!$B$4/[1]Parametros!$B$3</f>
        <v>0</v>
      </c>
      <c r="AX312" s="14">
        <v>0</v>
      </c>
      <c r="AY312" s="13" t="str">
        <f t="shared" si="59"/>
        <v>DESPRECIABLE</v>
      </c>
      <c r="AZ312" s="13" t="str">
        <f t="shared" si="60"/>
        <v>CUMPLE</v>
      </c>
      <c r="BA312" s="14">
        <v>9.5</v>
      </c>
      <c r="BB312" s="14">
        <v>71</v>
      </c>
      <c r="BC312" s="13">
        <f>MAX(IF(AK312=0,0,AK312*1000/([1]Parametros!$B$4*MIN(U312,AB312))),MAX(0.062*SQRT([1]Parametros!$B$2)*H312/[1]Parametros!$B$4,0.35*H312/[1]Parametros!$B$4))</f>
        <v>0.41666666666666669</v>
      </c>
      <c r="BD312" s="13">
        <f t="shared" si="61"/>
        <v>0</v>
      </c>
      <c r="BE312" s="13">
        <f t="shared" si="62"/>
        <v>1.1833333333333333</v>
      </c>
      <c r="BF312" s="13">
        <f>SQRT((AI312*1000/(H312*MIN(U312,AB312)))^2+(Q312*1000000*2*((H312-2*([1]Parametros!$B$7+[1]Parametros!$B$9/2))+(I312-2*([1]Parametros!$B$7+[1]Parametros!$B$9/2)))/(1.7*((H312-2*([1]Parametros!$B$7+[1]Parametros!$B$9/2))*(I312-2*([1]Parametros!$B$7+[1]Parametros!$B$9/2)))^2))^2)</f>
        <v>0.92624767256788465</v>
      </c>
      <c r="BG312" s="13">
        <f>[1]Parametros!$B$6*(AJ312*1000/(H312*MIN(U312,AB312))+0.66*SQRT([1]Parametros!$B$2))</f>
        <v>3.2939603822754151</v>
      </c>
      <c r="BH312" s="13" t="str">
        <f t="shared" si="63"/>
        <v>CUMPLE</v>
      </c>
      <c r="BI312" s="13">
        <f>AX312*[1]Parametros!$B$8</f>
        <v>0</v>
      </c>
      <c r="BJ312" s="15" t="str">
        <f t="shared" si="64"/>
        <v>CUMPLE</v>
      </c>
    </row>
    <row r="313" spans="1:62" x14ac:dyDescent="0.3">
      <c r="A313" s="43" t="s">
        <v>74</v>
      </c>
      <c r="B313" s="44">
        <v>956</v>
      </c>
      <c r="C313" s="13">
        <v>1</v>
      </c>
      <c r="D313" s="13">
        <v>2</v>
      </c>
      <c r="E313" s="13">
        <v>2</v>
      </c>
      <c r="F313" s="13">
        <v>500</v>
      </c>
      <c r="G313" s="13">
        <v>550</v>
      </c>
      <c r="H313" s="13">
        <v>500</v>
      </c>
      <c r="I313" s="13">
        <v>550</v>
      </c>
      <c r="J313" s="14">
        <v>41.874099999999999</v>
      </c>
      <c r="K313" s="13">
        <v>956</v>
      </c>
      <c r="L313" s="14">
        <v>16.312100000000001</v>
      </c>
      <c r="M313" s="13">
        <v>956</v>
      </c>
      <c r="N313" s="14">
        <v>53.243000000000002</v>
      </c>
      <c r="O313" s="14">
        <v>68.313000000000002</v>
      </c>
      <c r="P313" s="13">
        <v>956</v>
      </c>
      <c r="Q313" s="14">
        <v>3.0960999999999999</v>
      </c>
      <c r="R313" s="13">
        <f>MAX(MAX(1.4/[1]Parametros!$B$3,0.25*SQRT([1]Parametros!$B$2)/[1]Parametros!$B$3)*H313*U313,(0.85*[1]Parametros!$B$2/[1]Parametros!$B$3)*(1-SQRT(1-2*(J313*1000000/([1]Parametros!$B$5*H313*U313^2))/(0.85*[1]Parametros!$B$2)))*H313*U313)</f>
        <v>815.58333333333326</v>
      </c>
      <c r="S313" s="14">
        <v>5</v>
      </c>
      <c r="T313" s="14">
        <v>1</v>
      </c>
      <c r="U313" s="13">
        <f>IF(T313=1,I313-([1]Parametros!$B$7+[1]Parametros!$B$9+[1]Parametros!$B$12/2),I313-(ROUNDUP(S313/2,0)*([1]Parametros!$B$7+[1]Parametros!$B$9+[1]Parametros!$B$12/2)+ROUNDDOWN(S313/2,0)*([1]Parametros!$B$7+[1]Parametros!$B$9+[1]Parametros!$B$12/2+[1]Parametros!$B$12+[1]Parametros!$B$10))/S313)</f>
        <v>489.35</v>
      </c>
      <c r="V313" s="13">
        <f>S313*[1]Parametros!$B$8</f>
        <v>995</v>
      </c>
      <c r="W313" s="13">
        <f>[1]Parametros!$B$5*V313*[1]Parametros!$B$3*(U313-(V313*[1]Parametros!$B$3/(0.85*[1]Parametros!$B$2*H313))/2)/1000000</f>
        <v>177.44537938235294</v>
      </c>
      <c r="X313" s="13" t="str">
        <f t="shared" si="52"/>
        <v>CUMPLE</v>
      </c>
      <c r="Y313" s="13">
        <f>MAX(MAX(1.4/[1]Parametros!$B$3,0.25*SQRT([1]Parametros!$B$2)/[1]Parametros!$B$3)*H313*AB313,(0.85*[1]Parametros!$B$2/[1]Parametros!$B$3)*(1-SQRT(1-2*(L313*1000000/([1]Parametros!$B$5*H313*AB313^2))/(0.85*[1]Parametros!$B$2)))*H313*AB313)</f>
        <v>815.58333333333326</v>
      </c>
      <c r="Z313" s="14">
        <v>5</v>
      </c>
      <c r="AA313" s="14">
        <v>1</v>
      </c>
      <c r="AB313" s="13">
        <f>IF(AA313=1,I313-([1]Parametros!$B$7+[1]Parametros!$B$9+[1]Parametros!$B$12/2),I313-(ROUNDUP(Z313/2,0)*([1]Parametros!$B$7+[1]Parametros!$B$9+[1]Parametros!$B$12/2)+ROUNDDOWN(Z313/2,0)*([1]Parametros!$B$7+[1]Parametros!$B$9+[1]Parametros!$B$12/2+[1]Parametros!$B$12+[1]Parametros!$B$10))/Z313)</f>
        <v>489.35</v>
      </c>
      <c r="AC313" s="13">
        <f>Z313*[1]Parametros!$B$8</f>
        <v>995</v>
      </c>
      <c r="AD313" s="13">
        <f>[1]Parametros!$B$5*AC313*[1]Parametros!$B$3*(AB313-(AC313*[1]Parametros!$B$3/(0.85*[1]Parametros!$B$2*H313))/2)/1000000</f>
        <v>177.44537938235294</v>
      </c>
      <c r="AE313" s="13" t="str">
        <f t="shared" si="53"/>
        <v>CUMPLE</v>
      </c>
      <c r="AF313" s="13">
        <f>V313*1.25*[1]Parametros!$B$3*(U313-(V313*1.25*[1]Parametros!$B$3/(0.85*[1]Parametros!$B$2*H313))/2)/1000000</f>
        <v>244.15884319852941</v>
      </c>
      <c r="AG313" s="13">
        <f>AC313*1.25*[1]Parametros!$B$3*(AB313-(AC313*1.25*[1]Parametros!$B$3/(0.85*[1]Parametros!$B$2*H313))/2)/1000000</f>
        <v>244.15884319852941</v>
      </c>
      <c r="AH313" s="13">
        <f t="shared" si="54"/>
        <v>297.40184319852943</v>
      </c>
      <c r="AI313" s="13">
        <f t="shared" si="55"/>
        <v>297.40184319852943</v>
      </c>
      <c r="AJ313" s="13">
        <f>0.17*SQRT([1]Parametros!$B$2)*H313*MIN(U313,AB313)/1000</f>
        <v>220.09872869180776</v>
      </c>
      <c r="AK313" s="13">
        <f>MAX(AI313/[1]Parametros!$B$6-AJ313,0)</f>
        <v>176.4370622395648</v>
      </c>
      <c r="AL313" s="13">
        <f>0.66*SQRT([1]Parametros!$B$2)*H313*MIN(U313,AB313)/1000</f>
        <v>854.500946685842</v>
      </c>
      <c r="AM313" s="13" t="str">
        <f t="shared" si="56"/>
        <v>CUMPLE</v>
      </c>
      <c r="AN313" s="13" t="s">
        <v>64</v>
      </c>
      <c r="AO313" s="14">
        <v>2</v>
      </c>
      <c r="AP313" s="13">
        <f>ROUNDDOWN(MIN(IF(BC313+BD313=0,1000000000,AO313*BB313/(BC313+BD313)),MIN(U313,AB313)/4,8*[1]Parametros!$B$12,24*BA313,300,IF(AV313=0,1000000000,2*((H313-2*([1]Parametros!$B$7+[1]Parametros!$B$9/2))+(I313-2*([1]Parametros!$B$7+[1]Parametros!$B$9/2)))/8))/10,0)*10</f>
        <v>120</v>
      </c>
      <c r="AQ313" s="13">
        <f>ROUNDDOWN(MIN(IF(BC313+BD313=0,1000000000,AO313*BB313/(BC313+BD313)),IF(AK313&gt;0.33*SQRT([1]Parametros!$B$2)*H313*MIN(U313,AB313)/1000,MIN(U313,AB313)/4,MIN(U313,AB313)/2),600,IF(AV313=0,1000000000,2*((H313-2*([1]Parametros!$B$7+[1]Parametros!$B$9/2))+(I313-2*([1]Parametros!$B$7+[1]Parametros!$B$9/2)))/8))/10,0)*10</f>
        <v>160</v>
      </c>
      <c r="AR313" s="13">
        <f>[1]Parametros!$B$6*(AJ313+MAX(BE313-BD313,0)*[1]Parametros!$B$4*MIN(U313,AB313)/1000)</f>
        <v>347.47925901885583</v>
      </c>
      <c r="AS313" s="13" t="str">
        <f t="shared" si="57"/>
        <v>CUMPLE</v>
      </c>
      <c r="AT313" s="13">
        <f>[1]Parametros!$B$6*0.083*SQRT([1]Parametros!$B$2)*(H313*I313)^2/(2*(H313+I313))/1000000</f>
        <v>11.862178757598967</v>
      </c>
      <c r="AU313" s="13" t="str">
        <f t="shared" si="58"/>
        <v>DESPRECIABLE</v>
      </c>
      <c r="AV313" s="13">
        <f>IF(Q313&lt;=AT313,0,Q313*1000000/([1]Parametros!$B$6*2*0.85*(H313-2*([1]Parametros!$B$7+[1]Parametros!$B$9/2))*(I313-2*([1]Parametros!$B$7+[1]Parametros!$B$9/2))*[1]Parametros!$B$4))</f>
        <v>0</v>
      </c>
      <c r="AW313" s="13">
        <f>AV313*2*((H313-2*([1]Parametros!$B$7+[1]Parametros!$B$9/2))+(I313-2*([1]Parametros!$B$7+[1]Parametros!$B$9/2)))*[1]Parametros!$B$4/[1]Parametros!$B$3</f>
        <v>0</v>
      </c>
      <c r="AX313" s="14">
        <v>0</v>
      </c>
      <c r="AY313" s="13" t="str">
        <f t="shared" si="59"/>
        <v>DESPRECIABLE</v>
      </c>
      <c r="AZ313" s="13" t="str">
        <f t="shared" si="60"/>
        <v>CUMPLE</v>
      </c>
      <c r="BA313" s="14">
        <v>9.5</v>
      </c>
      <c r="BB313" s="14">
        <v>71</v>
      </c>
      <c r="BC313" s="13">
        <f>MAX(IF(AK313=0,0,AK313*1000/([1]Parametros!$B$4*MIN(U313,AB313))),MAX(0.062*SQRT([1]Parametros!$B$2)*H313/[1]Parametros!$B$4,0.35*H313/[1]Parametros!$B$4))</f>
        <v>0.85846172152352151</v>
      </c>
      <c r="BD313" s="13">
        <f t="shared" si="61"/>
        <v>0</v>
      </c>
      <c r="BE313" s="13">
        <f t="shared" si="62"/>
        <v>1.1833333333333333</v>
      </c>
      <c r="BF313" s="13">
        <f>SQRT((AI313*1000/(H313*MIN(U313,AB313)))^2+(Q313*1000000*2*((H313-2*([1]Parametros!$B$7+[1]Parametros!$B$9/2))+(I313-2*([1]Parametros!$B$7+[1]Parametros!$B$9/2)))/(1.7*((H313-2*([1]Parametros!$B$7+[1]Parametros!$B$9/2))*(I313-2*([1]Parametros!$B$7+[1]Parametros!$B$9/2)))^2))^2)</f>
        <v>1.2188825707725117</v>
      </c>
      <c r="BG313" s="13">
        <f>[1]Parametros!$B$6*(AJ313*1000/(H313*MIN(U313,AB313))+0.66*SQRT([1]Parametros!$B$2))</f>
        <v>3.2939603822754151</v>
      </c>
      <c r="BH313" s="13" t="str">
        <f t="shared" si="63"/>
        <v>CUMPLE</v>
      </c>
      <c r="BI313" s="13">
        <f>AX313*[1]Parametros!$B$8</f>
        <v>0</v>
      </c>
      <c r="BJ313" s="15" t="str">
        <f t="shared" si="64"/>
        <v>CUMPLE</v>
      </c>
    </row>
    <row r="314" spans="1:62" x14ac:dyDescent="0.3">
      <c r="A314" s="43" t="s">
        <v>74</v>
      </c>
      <c r="B314" s="44">
        <v>991</v>
      </c>
      <c r="C314" s="13">
        <v>1</v>
      </c>
      <c r="D314" s="13">
        <v>2</v>
      </c>
      <c r="E314" s="13">
        <v>2</v>
      </c>
      <c r="F314" s="13">
        <v>500</v>
      </c>
      <c r="G314" s="13">
        <v>550</v>
      </c>
      <c r="H314" s="13">
        <v>500</v>
      </c>
      <c r="I314" s="13">
        <v>550</v>
      </c>
      <c r="J314" s="14">
        <v>41.777700000000003</v>
      </c>
      <c r="K314" s="13">
        <v>991</v>
      </c>
      <c r="L314" s="14">
        <v>16.299499999999998</v>
      </c>
      <c r="M314" s="13">
        <v>991</v>
      </c>
      <c r="N314" s="14">
        <v>53.171999999999997</v>
      </c>
      <c r="O314" s="14">
        <v>68.248000000000005</v>
      </c>
      <c r="P314" s="13">
        <v>991</v>
      </c>
      <c r="Q314" s="14">
        <v>3.0964999999999998</v>
      </c>
      <c r="R314" s="13">
        <f>MAX(MAX(1.4/[1]Parametros!$B$3,0.25*SQRT([1]Parametros!$B$2)/[1]Parametros!$B$3)*H314*U314,(0.85*[1]Parametros!$B$2/[1]Parametros!$B$3)*(1-SQRT(1-2*(J314*1000000/([1]Parametros!$B$5*H314*U314^2))/(0.85*[1]Parametros!$B$2)))*H314*U314)</f>
        <v>815.58333333333326</v>
      </c>
      <c r="S314" s="14">
        <v>5</v>
      </c>
      <c r="T314" s="14">
        <v>1</v>
      </c>
      <c r="U314" s="13">
        <f>IF(T314=1,I314-([1]Parametros!$B$7+[1]Parametros!$B$9+[1]Parametros!$B$12/2),I314-(ROUNDUP(S314/2,0)*([1]Parametros!$B$7+[1]Parametros!$B$9+[1]Parametros!$B$12/2)+ROUNDDOWN(S314/2,0)*([1]Parametros!$B$7+[1]Parametros!$B$9+[1]Parametros!$B$12/2+[1]Parametros!$B$12+[1]Parametros!$B$10))/S314)</f>
        <v>489.35</v>
      </c>
      <c r="V314" s="13">
        <f>S314*[1]Parametros!$B$8</f>
        <v>995</v>
      </c>
      <c r="W314" s="13">
        <f>[1]Parametros!$B$5*V314*[1]Parametros!$B$3*(U314-(V314*[1]Parametros!$B$3/(0.85*[1]Parametros!$B$2*H314))/2)/1000000</f>
        <v>177.44537938235294</v>
      </c>
      <c r="X314" s="13" t="str">
        <f t="shared" si="52"/>
        <v>CUMPLE</v>
      </c>
      <c r="Y314" s="13">
        <f>MAX(MAX(1.4/[1]Parametros!$B$3,0.25*SQRT([1]Parametros!$B$2)/[1]Parametros!$B$3)*H314*AB314,(0.85*[1]Parametros!$B$2/[1]Parametros!$B$3)*(1-SQRT(1-2*(L314*1000000/([1]Parametros!$B$5*H314*AB314^2))/(0.85*[1]Parametros!$B$2)))*H314*AB314)</f>
        <v>815.58333333333326</v>
      </c>
      <c r="Z314" s="14">
        <v>5</v>
      </c>
      <c r="AA314" s="14">
        <v>1</v>
      </c>
      <c r="AB314" s="13">
        <f>IF(AA314=1,I314-([1]Parametros!$B$7+[1]Parametros!$B$9+[1]Parametros!$B$12/2),I314-(ROUNDUP(Z314/2,0)*([1]Parametros!$B$7+[1]Parametros!$B$9+[1]Parametros!$B$12/2)+ROUNDDOWN(Z314/2,0)*([1]Parametros!$B$7+[1]Parametros!$B$9+[1]Parametros!$B$12/2+[1]Parametros!$B$12+[1]Parametros!$B$10))/Z314)</f>
        <v>489.35</v>
      </c>
      <c r="AC314" s="13">
        <f>Z314*[1]Parametros!$B$8</f>
        <v>995</v>
      </c>
      <c r="AD314" s="13">
        <f>[1]Parametros!$B$5*AC314*[1]Parametros!$B$3*(AB314-(AC314*[1]Parametros!$B$3/(0.85*[1]Parametros!$B$2*H314))/2)/1000000</f>
        <v>177.44537938235294</v>
      </c>
      <c r="AE314" s="13" t="str">
        <f t="shared" si="53"/>
        <v>CUMPLE</v>
      </c>
      <c r="AF314" s="13">
        <f>V314*1.25*[1]Parametros!$B$3*(U314-(V314*1.25*[1]Parametros!$B$3/(0.85*[1]Parametros!$B$2*H314))/2)/1000000</f>
        <v>244.15884319852941</v>
      </c>
      <c r="AG314" s="13">
        <f>AC314*1.25*[1]Parametros!$B$3*(AB314-(AC314*1.25*[1]Parametros!$B$3/(0.85*[1]Parametros!$B$2*H314))/2)/1000000</f>
        <v>244.15884319852941</v>
      </c>
      <c r="AH314" s="13">
        <f t="shared" si="54"/>
        <v>297.33084319852941</v>
      </c>
      <c r="AI314" s="13">
        <f t="shared" si="55"/>
        <v>297.33084319852941</v>
      </c>
      <c r="AJ314" s="13">
        <f>0.17*SQRT([1]Parametros!$B$2)*H314*MIN(U314,AB314)/1000</f>
        <v>220.09872869180776</v>
      </c>
      <c r="AK314" s="13">
        <f>MAX(AI314/[1]Parametros!$B$6-AJ314,0)</f>
        <v>176.34239557289811</v>
      </c>
      <c r="AL314" s="13">
        <f>0.66*SQRT([1]Parametros!$B$2)*H314*MIN(U314,AB314)/1000</f>
        <v>854.500946685842</v>
      </c>
      <c r="AM314" s="13" t="str">
        <f t="shared" si="56"/>
        <v>CUMPLE</v>
      </c>
      <c r="AN314" s="13" t="s">
        <v>64</v>
      </c>
      <c r="AO314" s="14">
        <v>2</v>
      </c>
      <c r="AP314" s="13">
        <f>ROUNDDOWN(MIN(IF(BC314+BD314=0,1000000000,AO314*BB314/(BC314+BD314)),MIN(U314,AB314)/4,8*[1]Parametros!$B$12,24*BA314,300,IF(AV314=0,1000000000,2*((H314-2*([1]Parametros!$B$7+[1]Parametros!$B$9/2))+(I314-2*([1]Parametros!$B$7+[1]Parametros!$B$9/2)))/8))/10,0)*10</f>
        <v>120</v>
      </c>
      <c r="AQ314" s="13">
        <f>ROUNDDOWN(MIN(IF(BC314+BD314=0,1000000000,AO314*BB314/(BC314+BD314)),IF(AK314&gt;0.33*SQRT([1]Parametros!$B$2)*H314*MIN(U314,AB314)/1000,MIN(U314,AB314)/4,MIN(U314,AB314)/2),600,IF(AV314=0,1000000000,2*((H314-2*([1]Parametros!$B$7+[1]Parametros!$B$9/2))+(I314-2*([1]Parametros!$B$7+[1]Parametros!$B$9/2)))/8))/10,0)*10</f>
        <v>160</v>
      </c>
      <c r="AR314" s="13">
        <f>[1]Parametros!$B$6*(AJ314+MAX(BE314-BD314,0)*[1]Parametros!$B$4*MIN(U314,AB314)/1000)</f>
        <v>347.47925901885583</v>
      </c>
      <c r="AS314" s="13" t="str">
        <f t="shared" si="57"/>
        <v>CUMPLE</v>
      </c>
      <c r="AT314" s="13">
        <f>[1]Parametros!$B$6*0.083*SQRT([1]Parametros!$B$2)*(H314*I314)^2/(2*(H314+I314))/1000000</f>
        <v>11.862178757598967</v>
      </c>
      <c r="AU314" s="13" t="str">
        <f t="shared" si="58"/>
        <v>DESPRECIABLE</v>
      </c>
      <c r="AV314" s="13">
        <f>IF(Q314&lt;=AT314,0,Q314*1000000/([1]Parametros!$B$6*2*0.85*(H314-2*([1]Parametros!$B$7+[1]Parametros!$B$9/2))*(I314-2*([1]Parametros!$B$7+[1]Parametros!$B$9/2))*[1]Parametros!$B$4))</f>
        <v>0</v>
      </c>
      <c r="AW314" s="13">
        <f>AV314*2*((H314-2*([1]Parametros!$B$7+[1]Parametros!$B$9/2))+(I314-2*([1]Parametros!$B$7+[1]Parametros!$B$9/2)))*[1]Parametros!$B$4/[1]Parametros!$B$3</f>
        <v>0</v>
      </c>
      <c r="AX314" s="14">
        <v>0</v>
      </c>
      <c r="AY314" s="13" t="str">
        <f t="shared" si="59"/>
        <v>DESPRECIABLE</v>
      </c>
      <c r="AZ314" s="13" t="str">
        <f t="shared" si="60"/>
        <v>CUMPLE</v>
      </c>
      <c r="BA314" s="14">
        <v>9.5</v>
      </c>
      <c r="BB314" s="14">
        <v>71</v>
      </c>
      <c r="BC314" s="13">
        <f>MAX(IF(AK314=0,0,AK314*1000/([1]Parametros!$B$4*MIN(U314,AB314))),MAX(0.062*SQRT([1]Parametros!$B$2)*H314/[1]Parametros!$B$4,0.35*H314/[1]Parametros!$B$4))</f>
        <v>0.85800111699629789</v>
      </c>
      <c r="BD314" s="13">
        <f t="shared" si="61"/>
        <v>0</v>
      </c>
      <c r="BE314" s="13">
        <f t="shared" si="62"/>
        <v>1.1833333333333333</v>
      </c>
      <c r="BF314" s="13">
        <f>SQRT((AI314*1000/(H314*MIN(U314,AB314)))^2+(Q314*1000000*2*((H314-2*([1]Parametros!$B$7+[1]Parametros!$B$9/2))+(I314-2*([1]Parametros!$B$7+[1]Parametros!$B$9/2)))/(1.7*((H314-2*([1]Parametros!$B$7+[1]Parametros!$B$9/2))*(I314-2*([1]Parametros!$B$7+[1]Parametros!$B$9/2)))^2))^2)</f>
        <v>1.2185940697313524</v>
      </c>
      <c r="BG314" s="13">
        <f>[1]Parametros!$B$6*(AJ314*1000/(H314*MIN(U314,AB314))+0.66*SQRT([1]Parametros!$B$2))</f>
        <v>3.2939603822754151</v>
      </c>
      <c r="BH314" s="13" t="str">
        <f t="shared" si="63"/>
        <v>CUMPLE</v>
      </c>
      <c r="BI314" s="13">
        <f>AX314*[1]Parametros!$B$8</f>
        <v>0</v>
      </c>
      <c r="BJ314" s="15" t="str">
        <f t="shared" si="64"/>
        <v>CUMPLE</v>
      </c>
    </row>
    <row r="315" spans="1:62" x14ac:dyDescent="0.3">
      <c r="A315" s="43" t="s">
        <v>74</v>
      </c>
      <c r="B315" s="44">
        <v>992</v>
      </c>
      <c r="C315" s="13">
        <v>1</v>
      </c>
      <c r="D315" s="13">
        <v>3.05</v>
      </c>
      <c r="E315" s="13">
        <v>3.05</v>
      </c>
      <c r="F315" s="13">
        <v>500</v>
      </c>
      <c r="G315" s="13">
        <v>550</v>
      </c>
      <c r="H315" s="13">
        <v>500</v>
      </c>
      <c r="I315" s="13">
        <v>550</v>
      </c>
      <c r="J315" s="14">
        <v>63.390999999999998</v>
      </c>
      <c r="K315" s="13">
        <v>992</v>
      </c>
      <c r="L315" s="14">
        <v>31.735800000000001</v>
      </c>
      <c r="M315" s="13">
        <v>992</v>
      </c>
      <c r="N315" s="14">
        <v>66.203999999999994</v>
      </c>
      <c r="O315" s="14">
        <v>154.56</v>
      </c>
      <c r="P315" s="13">
        <v>992</v>
      </c>
      <c r="Q315" s="14">
        <v>1.5089999999999999</v>
      </c>
      <c r="R315" s="13">
        <f>MAX(MAX(1.4/[1]Parametros!$B$3,0.25*SQRT([1]Parametros!$B$2)/[1]Parametros!$B$3)*H315*U315,(0.85*[1]Parametros!$B$2/[1]Parametros!$B$3)*(1-SQRT(1-2*(J315*1000000/([1]Parametros!$B$5*H315*U315^2))/(0.85*[1]Parametros!$B$2)))*H315*U315)</f>
        <v>815.58333333333326</v>
      </c>
      <c r="S315" s="14">
        <v>5</v>
      </c>
      <c r="T315" s="14">
        <v>1</v>
      </c>
      <c r="U315" s="13">
        <f>IF(T315=1,I315-([1]Parametros!$B$7+[1]Parametros!$B$9+[1]Parametros!$B$12/2),I315-(ROUNDUP(S315/2,0)*([1]Parametros!$B$7+[1]Parametros!$B$9+[1]Parametros!$B$12/2)+ROUNDDOWN(S315/2,0)*([1]Parametros!$B$7+[1]Parametros!$B$9+[1]Parametros!$B$12/2+[1]Parametros!$B$12+[1]Parametros!$B$10))/S315)</f>
        <v>489.35</v>
      </c>
      <c r="V315" s="13">
        <f>S315*[1]Parametros!$B$8</f>
        <v>995</v>
      </c>
      <c r="W315" s="13">
        <f>[1]Parametros!$B$5*V315*[1]Parametros!$B$3*(U315-(V315*[1]Parametros!$B$3/(0.85*[1]Parametros!$B$2*H315))/2)/1000000</f>
        <v>177.44537938235294</v>
      </c>
      <c r="X315" s="13" t="str">
        <f t="shared" si="52"/>
        <v>CUMPLE</v>
      </c>
      <c r="Y315" s="13">
        <f>MAX(MAX(1.4/[1]Parametros!$B$3,0.25*SQRT([1]Parametros!$B$2)/[1]Parametros!$B$3)*H315*AB315,(0.85*[1]Parametros!$B$2/[1]Parametros!$B$3)*(1-SQRT(1-2*(L315*1000000/([1]Parametros!$B$5*H315*AB315^2))/(0.85*[1]Parametros!$B$2)))*H315*AB315)</f>
        <v>815.58333333333326</v>
      </c>
      <c r="Z315" s="14">
        <v>5</v>
      </c>
      <c r="AA315" s="14">
        <v>1</v>
      </c>
      <c r="AB315" s="13">
        <f>IF(AA315=1,I315-([1]Parametros!$B$7+[1]Parametros!$B$9+[1]Parametros!$B$12/2),I315-(ROUNDUP(Z315/2,0)*([1]Parametros!$B$7+[1]Parametros!$B$9+[1]Parametros!$B$12/2)+ROUNDDOWN(Z315/2,0)*([1]Parametros!$B$7+[1]Parametros!$B$9+[1]Parametros!$B$12/2+[1]Parametros!$B$12+[1]Parametros!$B$10))/Z315)</f>
        <v>489.35</v>
      </c>
      <c r="AC315" s="13">
        <f>Z315*[1]Parametros!$B$8</f>
        <v>995</v>
      </c>
      <c r="AD315" s="13">
        <f>[1]Parametros!$B$5*AC315*[1]Parametros!$B$3*(AB315-(AC315*[1]Parametros!$B$3/(0.85*[1]Parametros!$B$2*H315))/2)/1000000</f>
        <v>177.44537938235294</v>
      </c>
      <c r="AE315" s="13" t="str">
        <f t="shared" si="53"/>
        <v>CUMPLE</v>
      </c>
      <c r="AF315" s="13">
        <f>V315*1.25*[1]Parametros!$B$3*(U315-(V315*1.25*[1]Parametros!$B$3/(0.85*[1]Parametros!$B$2*H315))/2)/1000000</f>
        <v>244.15884319852941</v>
      </c>
      <c r="AG315" s="13">
        <f>AC315*1.25*[1]Parametros!$B$3*(AB315-(AC315*1.25*[1]Parametros!$B$3/(0.85*[1]Parametros!$B$2*H315))/2)/1000000</f>
        <v>244.15884319852941</v>
      </c>
      <c r="AH315" s="13">
        <f t="shared" si="54"/>
        <v>226.30815947444552</v>
      </c>
      <c r="AI315" s="13">
        <f t="shared" si="55"/>
        <v>226.30815947444552</v>
      </c>
      <c r="AJ315" s="13">
        <f>0.17*SQRT([1]Parametros!$B$2)*H315*MIN(U315,AB315)/1000</f>
        <v>220.09872869180776</v>
      </c>
      <c r="AK315" s="13">
        <f>MAX(AI315/[1]Parametros!$B$6-AJ315,0)</f>
        <v>81.645483940786278</v>
      </c>
      <c r="AL315" s="13">
        <f>0.66*SQRT([1]Parametros!$B$2)*H315*MIN(U315,AB315)/1000</f>
        <v>854.500946685842</v>
      </c>
      <c r="AM315" s="13" t="str">
        <f t="shared" si="56"/>
        <v>CUMPLE</v>
      </c>
      <c r="AN315" s="13" t="s">
        <v>64</v>
      </c>
      <c r="AO315" s="14">
        <v>2</v>
      </c>
      <c r="AP315" s="13">
        <f>ROUNDDOWN(MIN(IF(BC315+BD315=0,1000000000,AO315*BB315/(BC315+BD315)),MIN(U315,AB315)/4,8*[1]Parametros!$B$12,24*BA315,300,IF(AV315=0,1000000000,2*((H315-2*([1]Parametros!$B$7+[1]Parametros!$B$9/2))+(I315-2*([1]Parametros!$B$7+[1]Parametros!$B$9/2)))/8))/10,0)*10</f>
        <v>120</v>
      </c>
      <c r="AQ315" s="13">
        <f>ROUNDDOWN(MIN(IF(BC315+BD315=0,1000000000,AO315*BB315/(BC315+BD315)),IF(AK315&gt;0.33*SQRT([1]Parametros!$B$2)*H315*MIN(U315,AB315)/1000,MIN(U315,AB315)/4,MIN(U315,AB315)/2),600,IF(AV315=0,1000000000,2*((H315-2*([1]Parametros!$B$7+[1]Parametros!$B$9/2))+(I315-2*([1]Parametros!$B$7+[1]Parametros!$B$9/2)))/8))/10,0)*10</f>
        <v>240</v>
      </c>
      <c r="AR315" s="13">
        <f>[1]Parametros!$B$6*(AJ315+MAX(BE315-BD315,0)*[1]Parametros!$B$4*MIN(U315,AB315)/1000)</f>
        <v>347.47925901885583</v>
      </c>
      <c r="AS315" s="13" t="str">
        <f t="shared" si="57"/>
        <v>CUMPLE</v>
      </c>
      <c r="AT315" s="13">
        <f>[1]Parametros!$B$6*0.083*SQRT([1]Parametros!$B$2)*(H315*I315)^2/(2*(H315+I315))/1000000</f>
        <v>11.862178757598967</v>
      </c>
      <c r="AU315" s="13" t="str">
        <f t="shared" si="58"/>
        <v>DESPRECIABLE</v>
      </c>
      <c r="AV315" s="13">
        <f>IF(Q315&lt;=AT315,0,Q315*1000000/([1]Parametros!$B$6*2*0.85*(H315-2*([1]Parametros!$B$7+[1]Parametros!$B$9/2))*(I315-2*([1]Parametros!$B$7+[1]Parametros!$B$9/2))*[1]Parametros!$B$4))</f>
        <v>0</v>
      </c>
      <c r="AW315" s="13">
        <f>AV315*2*((H315-2*([1]Parametros!$B$7+[1]Parametros!$B$9/2))+(I315-2*([1]Parametros!$B$7+[1]Parametros!$B$9/2)))*[1]Parametros!$B$4/[1]Parametros!$B$3</f>
        <v>0</v>
      </c>
      <c r="AX315" s="14">
        <v>0</v>
      </c>
      <c r="AY315" s="13" t="str">
        <f t="shared" si="59"/>
        <v>DESPRECIABLE</v>
      </c>
      <c r="AZ315" s="13" t="str">
        <f t="shared" si="60"/>
        <v>CUMPLE</v>
      </c>
      <c r="BA315" s="14">
        <v>9.5</v>
      </c>
      <c r="BB315" s="14">
        <v>71</v>
      </c>
      <c r="BC315" s="13">
        <f>MAX(IF(AK315=0,0,AK315*1000/([1]Parametros!$B$4*MIN(U315,AB315))),MAX(0.062*SQRT([1]Parametros!$B$2)*H315/[1]Parametros!$B$4,0.35*H315/[1]Parametros!$B$4))</f>
        <v>0.41666666666666669</v>
      </c>
      <c r="BD315" s="13">
        <f t="shared" si="61"/>
        <v>0</v>
      </c>
      <c r="BE315" s="13">
        <f t="shared" si="62"/>
        <v>1.1833333333333333</v>
      </c>
      <c r="BF315" s="13">
        <f>SQRT((AI315*1000/(H315*MIN(U315,AB315)))^2+(Q315*1000000*2*((H315-2*([1]Parametros!$B$7+[1]Parametros!$B$9/2))+(I315-2*([1]Parametros!$B$7+[1]Parametros!$B$9/2)))/(1.7*((H315-2*([1]Parametros!$B$7+[1]Parametros!$B$9/2))*(I315-2*([1]Parametros!$B$7+[1]Parametros!$B$9/2)))^2))^2)</f>
        <v>0.9259913222972489</v>
      </c>
      <c r="BG315" s="13">
        <f>[1]Parametros!$B$6*(AJ315*1000/(H315*MIN(U315,AB315))+0.66*SQRT([1]Parametros!$B$2))</f>
        <v>3.2939603822754151</v>
      </c>
      <c r="BH315" s="13" t="str">
        <f t="shared" si="63"/>
        <v>CUMPLE</v>
      </c>
      <c r="BI315" s="13">
        <f>AX315*[1]Parametros!$B$8</f>
        <v>0</v>
      </c>
      <c r="BJ315" s="15" t="str">
        <f t="shared" si="64"/>
        <v>CUMPLE</v>
      </c>
    </row>
    <row r="316" spans="1:62" x14ac:dyDescent="0.3">
      <c r="A316" s="43" t="s">
        <v>74</v>
      </c>
      <c r="B316" s="44">
        <v>993</v>
      </c>
      <c r="C316" s="13">
        <v>1</v>
      </c>
      <c r="D316" s="13">
        <v>2</v>
      </c>
      <c r="E316" s="13">
        <v>2</v>
      </c>
      <c r="F316" s="13">
        <v>500</v>
      </c>
      <c r="G316" s="13">
        <v>550</v>
      </c>
      <c r="H316" s="13">
        <v>500</v>
      </c>
      <c r="I316" s="13">
        <v>550</v>
      </c>
      <c r="J316" s="14">
        <v>44.095500000000001</v>
      </c>
      <c r="K316" s="13">
        <v>993</v>
      </c>
      <c r="L316" s="14">
        <v>11.975199999999999</v>
      </c>
      <c r="M316" s="13">
        <v>993</v>
      </c>
      <c r="N316" s="14">
        <v>50.820999999999998</v>
      </c>
      <c r="O316" s="14">
        <v>107.758</v>
      </c>
      <c r="P316" s="13">
        <v>993</v>
      </c>
      <c r="Q316" s="14">
        <v>1.2403</v>
      </c>
      <c r="R316" s="13">
        <f>MAX(MAX(1.4/[1]Parametros!$B$3,0.25*SQRT([1]Parametros!$B$2)/[1]Parametros!$B$3)*H316*U316,(0.85*[1]Parametros!$B$2/[1]Parametros!$B$3)*(1-SQRT(1-2*(J316*1000000/([1]Parametros!$B$5*H316*U316^2))/(0.85*[1]Parametros!$B$2)))*H316*U316)</f>
        <v>815.58333333333326</v>
      </c>
      <c r="S316" s="14">
        <v>5</v>
      </c>
      <c r="T316" s="14">
        <v>1</v>
      </c>
      <c r="U316" s="13">
        <f>IF(T316=1,I316-([1]Parametros!$B$7+[1]Parametros!$B$9+[1]Parametros!$B$12/2),I316-(ROUNDUP(S316/2,0)*([1]Parametros!$B$7+[1]Parametros!$B$9+[1]Parametros!$B$12/2)+ROUNDDOWN(S316/2,0)*([1]Parametros!$B$7+[1]Parametros!$B$9+[1]Parametros!$B$12/2+[1]Parametros!$B$12+[1]Parametros!$B$10))/S316)</f>
        <v>489.35</v>
      </c>
      <c r="V316" s="13">
        <f>S316*[1]Parametros!$B$8</f>
        <v>995</v>
      </c>
      <c r="W316" s="13">
        <f>[1]Parametros!$B$5*V316*[1]Parametros!$B$3*(U316-(V316*[1]Parametros!$B$3/(0.85*[1]Parametros!$B$2*H316))/2)/1000000</f>
        <v>177.44537938235294</v>
      </c>
      <c r="X316" s="13" t="str">
        <f t="shared" si="52"/>
        <v>CUMPLE</v>
      </c>
      <c r="Y316" s="13">
        <f>MAX(MAX(1.4/[1]Parametros!$B$3,0.25*SQRT([1]Parametros!$B$2)/[1]Parametros!$B$3)*H316*AB316,(0.85*[1]Parametros!$B$2/[1]Parametros!$B$3)*(1-SQRT(1-2*(L316*1000000/([1]Parametros!$B$5*H316*AB316^2))/(0.85*[1]Parametros!$B$2)))*H316*AB316)</f>
        <v>815.58333333333326</v>
      </c>
      <c r="Z316" s="14">
        <v>5</v>
      </c>
      <c r="AA316" s="14">
        <v>1</v>
      </c>
      <c r="AB316" s="13">
        <f>IF(AA316=1,I316-([1]Parametros!$B$7+[1]Parametros!$B$9+[1]Parametros!$B$12/2),I316-(ROUNDUP(Z316/2,0)*([1]Parametros!$B$7+[1]Parametros!$B$9+[1]Parametros!$B$12/2)+ROUNDDOWN(Z316/2,0)*([1]Parametros!$B$7+[1]Parametros!$B$9+[1]Parametros!$B$12/2+[1]Parametros!$B$12+[1]Parametros!$B$10))/Z316)</f>
        <v>489.35</v>
      </c>
      <c r="AC316" s="13">
        <f>Z316*[1]Parametros!$B$8</f>
        <v>995</v>
      </c>
      <c r="AD316" s="13">
        <f>[1]Parametros!$B$5*AC316*[1]Parametros!$B$3*(AB316-(AC316*[1]Parametros!$B$3/(0.85*[1]Parametros!$B$2*H316))/2)/1000000</f>
        <v>177.44537938235294</v>
      </c>
      <c r="AE316" s="13" t="str">
        <f t="shared" si="53"/>
        <v>CUMPLE</v>
      </c>
      <c r="AF316" s="13">
        <f>V316*1.25*[1]Parametros!$B$3*(U316-(V316*1.25*[1]Parametros!$B$3/(0.85*[1]Parametros!$B$2*H316))/2)/1000000</f>
        <v>244.15884319852941</v>
      </c>
      <c r="AG316" s="13">
        <f>AC316*1.25*[1]Parametros!$B$3*(AB316-(AC316*1.25*[1]Parametros!$B$3/(0.85*[1]Parametros!$B$2*H316))/2)/1000000</f>
        <v>244.15884319852941</v>
      </c>
      <c r="AH316" s="13">
        <f t="shared" si="54"/>
        <v>294.97984319852941</v>
      </c>
      <c r="AI316" s="13">
        <f t="shared" si="55"/>
        <v>294.97984319852941</v>
      </c>
      <c r="AJ316" s="13">
        <f>0.17*SQRT([1]Parametros!$B$2)*H316*MIN(U316,AB316)/1000</f>
        <v>220.09872869180776</v>
      </c>
      <c r="AK316" s="13">
        <f>MAX(AI316/[1]Parametros!$B$6-AJ316,0)</f>
        <v>173.20772890623147</v>
      </c>
      <c r="AL316" s="13">
        <f>0.66*SQRT([1]Parametros!$B$2)*H316*MIN(U316,AB316)/1000</f>
        <v>854.500946685842</v>
      </c>
      <c r="AM316" s="13" t="str">
        <f t="shared" si="56"/>
        <v>CUMPLE</v>
      </c>
      <c r="AN316" s="13" t="s">
        <v>64</v>
      </c>
      <c r="AO316" s="14">
        <v>2</v>
      </c>
      <c r="AP316" s="13">
        <f>ROUNDDOWN(MIN(IF(BC316+BD316=0,1000000000,AO316*BB316/(BC316+BD316)),MIN(U316,AB316)/4,8*[1]Parametros!$B$12,24*BA316,300,IF(AV316=0,1000000000,2*((H316-2*([1]Parametros!$B$7+[1]Parametros!$B$9/2))+(I316-2*([1]Parametros!$B$7+[1]Parametros!$B$9/2)))/8))/10,0)*10</f>
        <v>120</v>
      </c>
      <c r="AQ316" s="13">
        <f>ROUNDDOWN(MIN(IF(BC316+BD316=0,1000000000,AO316*BB316/(BC316+BD316)),IF(AK316&gt;0.33*SQRT([1]Parametros!$B$2)*H316*MIN(U316,AB316)/1000,MIN(U316,AB316)/4,MIN(U316,AB316)/2),600,IF(AV316=0,1000000000,2*((H316-2*([1]Parametros!$B$7+[1]Parametros!$B$9/2))+(I316-2*([1]Parametros!$B$7+[1]Parametros!$B$9/2)))/8))/10,0)*10</f>
        <v>160</v>
      </c>
      <c r="AR316" s="13">
        <f>[1]Parametros!$B$6*(AJ316+MAX(BE316-BD316,0)*[1]Parametros!$B$4*MIN(U316,AB316)/1000)</f>
        <v>347.47925901885583</v>
      </c>
      <c r="AS316" s="13" t="str">
        <f t="shared" si="57"/>
        <v>CUMPLE</v>
      </c>
      <c r="AT316" s="13">
        <f>[1]Parametros!$B$6*0.083*SQRT([1]Parametros!$B$2)*(H316*I316)^2/(2*(H316+I316))/1000000</f>
        <v>11.862178757598967</v>
      </c>
      <c r="AU316" s="13" t="str">
        <f t="shared" si="58"/>
        <v>DESPRECIABLE</v>
      </c>
      <c r="AV316" s="13">
        <f>IF(Q316&lt;=AT316,0,Q316*1000000/([1]Parametros!$B$6*2*0.85*(H316-2*([1]Parametros!$B$7+[1]Parametros!$B$9/2))*(I316-2*([1]Parametros!$B$7+[1]Parametros!$B$9/2))*[1]Parametros!$B$4))</f>
        <v>0</v>
      </c>
      <c r="AW316" s="13">
        <f>AV316*2*((H316-2*([1]Parametros!$B$7+[1]Parametros!$B$9/2))+(I316-2*([1]Parametros!$B$7+[1]Parametros!$B$9/2)))*[1]Parametros!$B$4/[1]Parametros!$B$3</f>
        <v>0</v>
      </c>
      <c r="AX316" s="14">
        <v>0</v>
      </c>
      <c r="AY316" s="13" t="str">
        <f t="shared" si="59"/>
        <v>DESPRECIABLE</v>
      </c>
      <c r="AZ316" s="13" t="str">
        <f t="shared" si="60"/>
        <v>CUMPLE</v>
      </c>
      <c r="BA316" s="14">
        <v>9.5</v>
      </c>
      <c r="BB316" s="14">
        <v>71</v>
      </c>
      <c r="BC316" s="13">
        <f>MAX(IF(AK316=0,0,AK316*1000/([1]Parametros!$B$4*MIN(U316,AB316))),MAX(0.062*SQRT([1]Parametros!$B$2)*H316/[1]Parametros!$B$4,0.35*H316/[1]Parametros!$B$4))</f>
        <v>0.84274926849626308</v>
      </c>
      <c r="BD316" s="13">
        <f t="shared" si="61"/>
        <v>0</v>
      </c>
      <c r="BE316" s="13">
        <f t="shared" si="62"/>
        <v>1.1833333333333333</v>
      </c>
      <c r="BF316" s="13">
        <f>SQRT((AI316*1000/(H316*MIN(U316,AB316)))^2+(Q316*1000000*2*((H316-2*([1]Parametros!$B$7+[1]Parametros!$B$9/2))+(I316-2*([1]Parametros!$B$7+[1]Parametros!$B$9/2)))/(1.7*((H316-2*([1]Parametros!$B$7+[1]Parametros!$B$9/2))*(I316-2*([1]Parametros!$B$7+[1]Parametros!$B$9/2)))^2))^2)</f>
        <v>1.2061469662919473</v>
      </c>
      <c r="BG316" s="13">
        <f>[1]Parametros!$B$6*(AJ316*1000/(H316*MIN(U316,AB316))+0.66*SQRT([1]Parametros!$B$2))</f>
        <v>3.2939603822754151</v>
      </c>
      <c r="BH316" s="13" t="str">
        <f t="shared" si="63"/>
        <v>CUMPLE</v>
      </c>
      <c r="BI316" s="13">
        <f>AX316*[1]Parametros!$B$8</f>
        <v>0</v>
      </c>
      <c r="BJ316" s="15" t="str">
        <f t="shared" si="64"/>
        <v>CUMPLE</v>
      </c>
    </row>
    <row r="317" spans="1:62" x14ac:dyDescent="0.3">
      <c r="A317" s="43" t="s">
        <v>74</v>
      </c>
      <c r="B317" s="44">
        <v>994</v>
      </c>
      <c r="C317" s="13">
        <v>1</v>
      </c>
      <c r="D317" s="13">
        <v>1.9</v>
      </c>
      <c r="E317" s="13">
        <v>1.9</v>
      </c>
      <c r="F317" s="13">
        <v>500</v>
      </c>
      <c r="G317" s="13">
        <v>550</v>
      </c>
      <c r="H317" s="13">
        <v>500</v>
      </c>
      <c r="I317" s="13">
        <v>550</v>
      </c>
      <c r="J317" s="14">
        <v>47.938699999999997</v>
      </c>
      <c r="K317" s="13">
        <v>994</v>
      </c>
      <c r="L317" s="14">
        <v>17.466899999999999</v>
      </c>
      <c r="M317" s="13">
        <v>994</v>
      </c>
      <c r="N317" s="14">
        <v>54.726999999999997</v>
      </c>
      <c r="O317" s="14">
        <v>121.066</v>
      </c>
      <c r="P317" s="13">
        <v>994</v>
      </c>
      <c r="Q317" s="14">
        <v>1.4352</v>
      </c>
      <c r="R317" s="13">
        <f>MAX(MAX(1.4/[1]Parametros!$B$3,0.25*SQRT([1]Parametros!$B$2)/[1]Parametros!$B$3)*H317*U317,(0.85*[1]Parametros!$B$2/[1]Parametros!$B$3)*(1-SQRT(1-2*(J317*1000000/([1]Parametros!$B$5*H317*U317^2))/(0.85*[1]Parametros!$B$2)))*H317*U317)</f>
        <v>815.58333333333326</v>
      </c>
      <c r="S317" s="14">
        <v>5</v>
      </c>
      <c r="T317" s="14">
        <v>1</v>
      </c>
      <c r="U317" s="13">
        <f>IF(T317=1,I317-([1]Parametros!$B$7+[1]Parametros!$B$9+[1]Parametros!$B$12/2),I317-(ROUNDUP(S317/2,0)*([1]Parametros!$B$7+[1]Parametros!$B$9+[1]Parametros!$B$12/2)+ROUNDDOWN(S317/2,0)*([1]Parametros!$B$7+[1]Parametros!$B$9+[1]Parametros!$B$12/2+[1]Parametros!$B$12+[1]Parametros!$B$10))/S317)</f>
        <v>489.35</v>
      </c>
      <c r="V317" s="13">
        <f>S317*[1]Parametros!$B$8</f>
        <v>995</v>
      </c>
      <c r="W317" s="13">
        <f>[1]Parametros!$B$5*V317*[1]Parametros!$B$3*(U317-(V317*[1]Parametros!$B$3/(0.85*[1]Parametros!$B$2*H317))/2)/1000000</f>
        <v>177.44537938235294</v>
      </c>
      <c r="X317" s="13" t="str">
        <f t="shared" si="52"/>
        <v>CUMPLE</v>
      </c>
      <c r="Y317" s="13">
        <f>MAX(MAX(1.4/[1]Parametros!$B$3,0.25*SQRT([1]Parametros!$B$2)/[1]Parametros!$B$3)*H317*AB317,(0.85*[1]Parametros!$B$2/[1]Parametros!$B$3)*(1-SQRT(1-2*(L317*1000000/([1]Parametros!$B$5*H317*AB317^2))/(0.85*[1]Parametros!$B$2)))*H317*AB317)</f>
        <v>815.58333333333326</v>
      </c>
      <c r="Z317" s="14">
        <v>5</v>
      </c>
      <c r="AA317" s="14">
        <v>1</v>
      </c>
      <c r="AB317" s="13">
        <f>IF(AA317=1,I317-([1]Parametros!$B$7+[1]Parametros!$B$9+[1]Parametros!$B$12/2),I317-(ROUNDUP(Z317/2,0)*([1]Parametros!$B$7+[1]Parametros!$B$9+[1]Parametros!$B$12/2)+ROUNDDOWN(Z317/2,0)*([1]Parametros!$B$7+[1]Parametros!$B$9+[1]Parametros!$B$12/2+[1]Parametros!$B$12+[1]Parametros!$B$10))/Z317)</f>
        <v>489.35</v>
      </c>
      <c r="AC317" s="13">
        <f>Z317*[1]Parametros!$B$8</f>
        <v>995</v>
      </c>
      <c r="AD317" s="13">
        <f>[1]Parametros!$B$5*AC317*[1]Parametros!$B$3*(AB317-(AC317*[1]Parametros!$B$3/(0.85*[1]Parametros!$B$2*H317))/2)/1000000</f>
        <v>177.44537938235294</v>
      </c>
      <c r="AE317" s="13" t="str">
        <f t="shared" si="53"/>
        <v>CUMPLE</v>
      </c>
      <c r="AF317" s="13">
        <f>V317*1.25*[1]Parametros!$B$3*(U317-(V317*1.25*[1]Parametros!$B$3/(0.85*[1]Parametros!$B$2*H317))/2)/1000000</f>
        <v>244.15884319852941</v>
      </c>
      <c r="AG317" s="13">
        <f>AC317*1.25*[1]Parametros!$B$3*(AB317-(AC317*1.25*[1]Parametros!$B$3/(0.85*[1]Parametros!$B$2*H317))/2)/1000000</f>
        <v>244.15884319852941</v>
      </c>
      <c r="AH317" s="13">
        <f t="shared" si="54"/>
        <v>311.73630863003092</v>
      </c>
      <c r="AI317" s="13">
        <f t="shared" si="55"/>
        <v>311.73630863003092</v>
      </c>
      <c r="AJ317" s="13">
        <f>0.17*SQRT([1]Parametros!$B$2)*H317*MIN(U317,AB317)/1000</f>
        <v>220.09872869180776</v>
      </c>
      <c r="AK317" s="13">
        <f>MAX(AI317/[1]Parametros!$B$6-AJ317,0)</f>
        <v>195.54968281490011</v>
      </c>
      <c r="AL317" s="13">
        <f>0.66*SQRT([1]Parametros!$B$2)*H317*MIN(U317,AB317)/1000</f>
        <v>854.500946685842</v>
      </c>
      <c r="AM317" s="13" t="str">
        <f t="shared" si="56"/>
        <v>CUMPLE</v>
      </c>
      <c r="AN317" s="13" t="s">
        <v>64</v>
      </c>
      <c r="AO317" s="14">
        <v>2</v>
      </c>
      <c r="AP317" s="13">
        <f>ROUNDDOWN(MIN(IF(BC317+BD317=0,1000000000,AO317*BB317/(BC317+BD317)),MIN(U317,AB317)/4,8*[1]Parametros!$B$12,24*BA317,300,IF(AV317=0,1000000000,2*((H317-2*([1]Parametros!$B$7+[1]Parametros!$B$9/2))+(I317-2*([1]Parametros!$B$7+[1]Parametros!$B$9/2)))/8))/10,0)*10</f>
        <v>120</v>
      </c>
      <c r="AQ317" s="13">
        <f>ROUNDDOWN(MIN(IF(BC317+BD317=0,1000000000,AO317*BB317/(BC317+BD317)),IF(AK317&gt;0.33*SQRT([1]Parametros!$B$2)*H317*MIN(U317,AB317)/1000,MIN(U317,AB317)/4,MIN(U317,AB317)/2),600,IF(AV317=0,1000000000,2*((H317-2*([1]Parametros!$B$7+[1]Parametros!$B$9/2))+(I317-2*([1]Parametros!$B$7+[1]Parametros!$B$9/2)))/8))/10,0)*10</f>
        <v>140</v>
      </c>
      <c r="AR317" s="13">
        <f>[1]Parametros!$B$6*(AJ317+MAX(BE317-BD317,0)*[1]Parametros!$B$4*MIN(U317,AB317)/1000)</f>
        <v>347.47925901885583</v>
      </c>
      <c r="AS317" s="13" t="str">
        <f t="shared" si="57"/>
        <v>CUMPLE</v>
      </c>
      <c r="AT317" s="13">
        <f>[1]Parametros!$B$6*0.083*SQRT([1]Parametros!$B$2)*(H317*I317)^2/(2*(H317+I317))/1000000</f>
        <v>11.862178757598967</v>
      </c>
      <c r="AU317" s="13" t="str">
        <f t="shared" si="58"/>
        <v>DESPRECIABLE</v>
      </c>
      <c r="AV317" s="13">
        <f>IF(Q317&lt;=AT317,0,Q317*1000000/([1]Parametros!$B$6*2*0.85*(H317-2*([1]Parametros!$B$7+[1]Parametros!$B$9/2))*(I317-2*([1]Parametros!$B$7+[1]Parametros!$B$9/2))*[1]Parametros!$B$4))</f>
        <v>0</v>
      </c>
      <c r="AW317" s="13">
        <f>AV317*2*((H317-2*([1]Parametros!$B$7+[1]Parametros!$B$9/2))+(I317-2*([1]Parametros!$B$7+[1]Parametros!$B$9/2)))*[1]Parametros!$B$4/[1]Parametros!$B$3</f>
        <v>0</v>
      </c>
      <c r="AX317" s="14">
        <v>0</v>
      </c>
      <c r="AY317" s="13" t="str">
        <f t="shared" si="59"/>
        <v>DESPRECIABLE</v>
      </c>
      <c r="AZ317" s="13" t="str">
        <f t="shared" si="60"/>
        <v>CUMPLE</v>
      </c>
      <c r="BA317" s="14">
        <v>9.5</v>
      </c>
      <c r="BB317" s="14">
        <v>71</v>
      </c>
      <c r="BC317" s="13">
        <f>MAX(IF(AK317=0,0,AK317*1000/([1]Parametros!$B$4*MIN(U317,AB317))),MAX(0.062*SQRT([1]Parametros!$B$2)*H317/[1]Parametros!$B$4,0.35*H317/[1]Parametros!$B$4))</f>
        <v>0.95145495635561328</v>
      </c>
      <c r="BD317" s="13">
        <f t="shared" si="61"/>
        <v>0</v>
      </c>
      <c r="BE317" s="13">
        <f t="shared" si="62"/>
        <v>1.1833333333333333</v>
      </c>
      <c r="BF317" s="13">
        <f>SQRT((AI317*1000/(H317*MIN(U317,AB317)))^2+(Q317*1000000*2*((H317-2*([1]Parametros!$B$7+[1]Parametros!$B$9/2))+(I317-2*([1]Parametros!$B$7+[1]Parametros!$B$9/2)))/(1.7*((H317-2*([1]Parametros!$B$7+[1]Parametros!$B$9/2))*(I317-2*([1]Parametros!$B$7+[1]Parametros!$B$9/2)))^2))^2)</f>
        <v>1.2747779252898197</v>
      </c>
      <c r="BG317" s="13">
        <f>[1]Parametros!$B$6*(AJ317*1000/(H317*MIN(U317,AB317))+0.66*SQRT([1]Parametros!$B$2))</f>
        <v>3.2939603822754151</v>
      </c>
      <c r="BH317" s="13" t="str">
        <f t="shared" si="63"/>
        <v>CUMPLE</v>
      </c>
      <c r="BI317" s="13">
        <f>AX317*[1]Parametros!$B$8</f>
        <v>0</v>
      </c>
      <c r="BJ317" s="15" t="str">
        <f t="shared" si="64"/>
        <v>CUMPLE</v>
      </c>
    </row>
    <row r="318" spans="1:62" x14ac:dyDescent="0.3">
      <c r="A318" s="43" t="s">
        <v>74</v>
      </c>
      <c r="B318" s="44">
        <v>995</v>
      </c>
      <c r="C318" s="13">
        <v>1</v>
      </c>
      <c r="D318" s="13">
        <v>3.4</v>
      </c>
      <c r="E318" s="13">
        <v>3.4</v>
      </c>
      <c r="F318" s="13">
        <v>500</v>
      </c>
      <c r="G318" s="13">
        <v>550</v>
      </c>
      <c r="H318" s="13">
        <v>500</v>
      </c>
      <c r="I318" s="13">
        <v>550</v>
      </c>
      <c r="J318" s="14">
        <v>57.927100000000003</v>
      </c>
      <c r="K318" s="13">
        <v>995</v>
      </c>
      <c r="L318" s="14">
        <v>28.832000000000001</v>
      </c>
      <c r="M318" s="13">
        <v>995</v>
      </c>
      <c r="N318" s="14">
        <v>64.736000000000004</v>
      </c>
      <c r="O318" s="14">
        <v>125.163</v>
      </c>
      <c r="P318" s="13">
        <v>995</v>
      </c>
      <c r="Q318" s="14">
        <v>10.454700000000001</v>
      </c>
      <c r="R318" s="13">
        <f>MAX(MAX(1.4/[1]Parametros!$B$3,0.25*SQRT([1]Parametros!$B$2)/[1]Parametros!$B$3)*H318*U318,(0.85*[1]Parametros!$B$2/[1]Parametros!$B$3)*(1-SQRT(1-2*(J318*1000000/([1]Parametros!$B$5*H318*U318^2))/(0.85*[1]Parametros!$B$2)))*H318*U318)</f>
        <v>815.58333333333326</v>
      </c>
      <c r="S318" s="14">
        <v>5</v>
      </c>
      <c r="T318" s="14">
        <v>1</v>
      </c>
      <c r="U318" s="13">
        <f>IF(T318=1,I318-([1]Parametros!$B$7+[1]Parametros!$B$9+[1]Parametros!$B$12/2),I318-(ROUNDUP(S318/2,0)*([1]Parametros!$B$7+[1]Parametros!$B$9+[1]Parametros!$B$12/2)+ROUNDDOWN(S318/2,0)*([1]Parametros!$B$7+[1]Parametros!$B$9+[1]Parametros!$B$12/2+[1]Parametros!$B$12+[1]Parametros!$B$10))/S318)</f>
        <v>489.35</v>
      </c>
      <c r="V318" s="13">
        <f>S318*[1]Parametros!$B$8</f>
        <v>995</v>
      </c>
      <c r="W318" s="13">
        <f>[1]Parametros!$B$5*V318*[1]Parametros!$B$3*(U318-(V318*[1]Parametros!$B$3/(0.85*[1]Parametros!$B$2*H318))/2)/1000000</f>
        <v>177.44537938235294</v>
      </c>
      <c r="X318" s="13" t="str">
        <f t="shared" si="52"/>
        <v>CUMPLE</v>
      </c>
      <c r="Y318" s="13">
        <f>MAX(MAX(1.4/[1]Parametros!$B$3,0.25*SQRT([1]Parametros!$B$2)/[1]Parametros!$B$3)*H318*AB318,(0.85*[1]Parametros!$B$2/[1]Parametros!$B$3)*(1-SQRT(1-2*(L318*1000000/([1]Parametros!$B$5*H318*AB318^2))/(0.85*[1]Parametros!$B$2)))*H318*AB318)</f>
        <v>815.58333333333326</v>
      </c>
      <c r="Z318" s="14">
        <v>5</v>
      </c>
      <c r="AA318" s="14">
        <v>1</v>
      </c>
      <c r="AB318" s="13">
        <f>IF(AA318=1,I318-([1]Parametros!$B$7+[1]Parametros!$B$9+[1]Parametros!$B$12/2),I318-(ROUNDUP(Z318/2,0)*([1]Parametros!$B$7+[1]Parametros!$B$9+[1]Parametros!$B$12/2)+ROUNDDOWN(Z318/2,0)*([1]Parametros!$B$7+[1]Parametros!$B$9+[1]Parametros!$B$12/2+[1]Parametros!$B$12+[1]Parametros!$B$10))/Z318)</f>
        <v>489.35</v>
      </c>
      <c r="AC318" s="13">
        <f>Z318*[1]Parametros!$B$8</f>
        <v>995</v>
      </c>
      <c r="AD318" s="13">
        <f>[1]Parametros!$B$5*AC318*[1]Parametros!$B$3*(AB318-(AC318*[1]Parametros!$B$3/(0.85*[1]Parametros!$B$2*H318))/2)/1000000</f>
        <v>177.44537938235294</v>
      </c>
      <c r="AE318" s="13" t="str">
        <f t="shared" si="53"/>
        <v>CUMPLE</v>
      </c>
      <c r="AF318" s="13">
        <f>V318*1.25*[1]Parametros!$B$3*(U318-(V318*1.25*[1]Parametros!$B$3/(0.85*[1]Parametros!$B$2*H318))/2)/1000000</f>
        <v>244.15884319852941</v>
      </c>
      <c r="AG318" s="13">
        <f>AC318*1.25*[1]Parametros!$B$3*(AB318-(AC318*1.25*[1]Parametros!$B$3/(0.85*[1]Parametros!$B$2*H318))/2)/1000000</f>
        <v>244.15884319852941</v>
      </c>
      <c r="AH318" s="13">
        <f t="shared" si="54"/>
        <v>208.35884894031142</v>
      </c>
      <c r="AI318" s="13">
        <f t="shared" si="55"/>
        <v>208.35884894031142</v>
      </c>
      <c r="AJ318" s="13">
        <f>0.17*SQRT([1]Parametros!$B$2)*H318*MIN(U318,AB318)/1000</f>
        <v>220.09872869180776</v>
      </c>
      <c r="AK318" s="13">
        <f>MAX(AI318/[1]Parametros!$B$6-AJ318,0)</f>
        <v>57.713069895274145</v>
      </c>
      <c r="AL318" s="13">
        <f>0.66*SQRT([1]Parametros!$B$2)*H318*MIN(U318,AB318)/1000</f>
        <v>854.500946685842</v>
      </c>
      <c r="AM318" s="13" t="str">
        <f t="shared" si="56"/>
        <v>CUMPLE</v>
      </c>
      <c r="AN318" s="13" t="s">
        <v>64</v>
      </c>
      <c r="AO318" s="14">
        <v>2</v>
      </c>
      <c r="AP318" s="13">
        <f>ROUNDDOWN(MIN(IF(BC318+BD318=0,1000000000,AO318*BB318/(BC318+BD318)),MIN(U318,AB318)/4,8*[1]Parametros!$B$12,24*BA318,300,IF(AV318=0,1000000000,2*((H318-2*([1]Parametros!$B$7+[1]Parametros!$B$9/2))+(I318-2*([1]Parametros!$B$7+[1]Parametros!$B$9/2)))/8))/10,0)*10</f>
        <v>120</v>
      </c>
      <c r="AQ318" s="13">
        <f>ROUNDDOWN(MIN(IF(BC318+BD318=0,1000000000,AO318*BB318/(BC318+BD318)),IF(AK318&gt;0.33*SQRT([1]Parametros!$B$2)*H318*MIN(U318,AB318)/1000,MIN(U318,AB318)/4,MIN(U318,AB318)/2),600,IF(AV318=0,1000000000,2*((H318-2*([1]Parametros!$B$7+[1]Parametros!$B$9/2))+(I318-2*([1]Parametros!$B$7+[1]Parametros!$B$9/2)))/8))/10,0)*10</f>
        <v>240</v>
      </c>
      <c r="AR318" s="13">
        <f>[1]Parametros!$B$6*(AJ318+MAX(BE318-BD318,0)*[1]Parametros!$B$4*MIN(U318,AB318)/1000)</f>
        <v>347.47925901885583</v>
      </c>
      <c r="AS318" s="13" t="str">
        <f t="shared" si="57"/>
        <v>CUMPLE</v>
      </c>
      <c r="AT318" s="13">
        <f>[1]Parametros!$B$6*0.083*SQRT([1]Parametros!$B$2)*(H318*I318)^2/(2*(H318+I318))/1000000</f>
        <v>11.862178757598967</v>
      </c>
      <c r="AU318" s="13" t="str">
        <f t="shared" si="58"/>
        <v>DESPRECIABLE</v>
      </c>
      <c r="AV318" s="13">
        <f>IF(Q318&lt;=AT318,0,Q318*1000000/([1]Parametros!$B$6*2*0.85*(H318-2*([1]Parametros!$B$7+[1]Parametros!$B$9/2))*(I318-2*([1]Parametros!$B$7+[1]Parametros!$B$9/2))*[1]Parametros!$B$4))</f>
        <v>0</v>
      </c>
      <c r="AW318" s="13">
        <f>AV318*2*((H318-2*([1]Parametros!$B$7+[1]Parametros!$B$9/2))+(I318-2*([1]Parametros!$B$7+[1]Parametros!$B$9/2)))*[1]Parametros!$B$4/[1]Parametros!$B$3</f>
        <v>0</v>
      </c>
      <c r="AX318" s="14">
        <v>0</v>
      </c>
      <c r="AY318" s="13" t="str">
        <f t="shared" si="59"/>
        <v>DESPRECIABLE</v>
      </c>
      <c r="AZ318" s="13" t="str">
        <f t="shared" si="60"/>
        <v>CUMPLE</v>
      </c>
      <c r="BA318" s="14">
        <v>9.5</v>
      </c>
      <c r="BB318" s="14">
        <v>71</v>
      </c>
      <c r="BC318" s="13">
        <f>MAX(IF(AK318=0,0,AK318*1000/([1]Parametros!$B$4*MIN(U318,AB318))),MAX(0.062*SQRT([1]Parametros!$B$2)*H318/[1]Parametros!$B$4,0.35*H318/[1]Parametros!$B$4))</f>
        <v>0.41666666666666669</v>
      </c>
      <c r="BD318" s="13">
        <f t="shared" si="61"/>
        <v>0</v>
      </c>
      <c r="BE318" s="13">
        <f t="shared" si="62"/>
        <v>1.1833333333333333</v>
      </c>
      <c r="BF318" s="13">
        <f>SQRT((AI318*1000/(H318*MIN(U318,AB318)))^2+(Q318*1000000*2*((H318-2*([1]Parametros!$B$7+[1]Parametros!$B$9/2))+(I318-2*([1]Parametros!$B$7+[1]Parametros!$B$9/2)))/(1.7*((H318-2*([1]Parametros!$B$7+[1]Parametros!$B$9/2))*(I318-2*([1]Parametros!$B$7+[1]Parametros!$B$9/2)))^2))^2)</f>
        <v>0.90506373902178772</v>
      </c>
      <c r="BG318" s="13">
        <f>[1]Parametros!$B$6*(AJ318*1000/(H318*MIN(U318,AB318))+0.66*SQRT([1]Parametros!$B$2))</f>
        <v>3.2939603822754151</v>
      </c>
      <c r="BH318" s="13" t="str">
        <f t="shared" si="63"/>
        <v>CUMPLE</v>
      </c>
      <c r="BI318" s="13">
        <f>AX318*[1]Parametros!$B$8</f>
        <v>0</v>
      </c>
      <c r="BJ318" s="15" t="str">
        <f t="shared" si="64"/>
        <v>CUMPLE</v>
      </c>
    </row>
    <row r="319" spans="1:62" x14ac:dyDescent="0.3">
      <c r="A319" s="43" t="s">
        <v>74</v>
      </c>
      <c r="B319" s="44">
        <v>996</v>
      </c>
      <c r="C319" s="13">
        <v>1</v>
      </c>
      <c r="D319" s="13">
        <v>3.4</v>
      </c>
      <c r="E319" s="13">
        <v>3.4</v>
      </c>
      <c r="F319" s="13">
        <v>500</v>
      </c>
      <c r="G319" s="13">
        <v>550</v>
      </c>
      <c r="H319" s="13">
        <v>500</v>
      </c>
      <c r="I319" s="13">
        <v>550</v>
      </c>
      <c r="J319" s="14">
        <v>57.986600000000003</v>
      </c>
      <c r="K319" s="13">
        <v>996</v>
      </c>
      <c r="L319" s="14">
        <v>28.866900000000001</v>
      </c>
      <c r="M319" s="13">
        <v>996</v>
      </c>
      <c r="N319" s="14">
        <v>64.774000000000001</v>
      </c>
      <c r="O319" s="14">
        <v>125.40300000000001</v>
      </c>
      <c r="P319" s="13">
        <v>996</v>
      </c>
      <c r="Q319" s="14">
        <v>10.4872</v>
      </c>
      <c r="R319" s="13">
        <f>MAX(MAX(1.4/[1]Parametros!$B$3,0.25*SQRT([1]Parametros!$B$2)/[1]Parametros!$B$3)*H319*U319,(0.85*[1]Parametros!$B$2/[1]Parametros!$B$3)*(1-SQRT(1-2*(J319*1000000/([1]Parametros!$B$5*H319*U319^2))/(0.85*[1]Parametros!$B$2)))*H319*U319)</f>
        <v>815.58333333333326</v>
      </c>
      <c r="S319" s="14">
        <v>5</v>
      </c>
      <c r="T319" s="14">
        <v>1</v>
      </c>
      <c r="U319" s="13">
        <f>IF(T319=1,I319-([1]Parametros!$B$7+[1]Parametros!$B$9+[1]Parametros!$B$12/2),I319-(ROUNDUP(S319/2,0)*([1]Parametros!$B$7+[1]Parametros!$B$9+[1]Parametros!$B$12/2)+ROUNDDOWN(S319/2,0)*([1]Parametros!$B$7+[1]Parametros!$B$9+[1]Parametros!$B$12/2+[1]Parametros!$B$12+[1]Parametros!$B$10))/S319)</f>
        <v>489.35</v>
      </c>
      <c r="V319" s="13">
        <f>S319*[1]Parametros!$B$8</f>
        <v>995</v>
      </c>
      <c r="W319" s="13">
        <f>[1]Parametros!$B$5*V319*[1]Parametros!$B$3*(U319-(V319*[1]Parametros!$B$3/(0.85*[1]Parametros!$B$2*H319))/2)/1000000</f>
        <v>177.44537938235294</v>
      </c>
      <c r="X319" s="13" t="str">
        <f t="shared" si="52"/>
        <v>CUMPLE</v>
      </c>
      <c r="Y319" s="13">
        <f>MAX(MAX(1.4/[1]Parametros!$B$3,0.25*SQRT([1]Parametros!$B$2)/[1]Parametros!$B$3)*H319*AB319,(0.85*[1]Parametros!$B$2/[1]Parametros!$B$3)*(1-SQRT(1-2*(L319*1000000/([1]Parametros!$B$5*H319*AB319^2))/(0.85*[1]Parametros!$B$2)))*H319*AB319)</f>
        <v>815.58333333333326</v>
      </c>
      <c r="Z319" s="14">
        <v>5</v>
      </c>
      <c r="AA319" s="14">
        <v>1</v>
      </c>
      <c r="AB319" s="13">
        <f>IF(AA319=1,I319-([1]Parametros!$B$7+[1]Parametros!$B$9+[1]Parametros!$B$12/2),I319-(ROUNDUP(Z319/2,0)*([1]Parametros!$B$7+[1]Parametros!$B$9+[1]Parametros!$B$12/2)+ROUNDDOWN(Z319/2,0)*([1]Parametros!$B$7+[1]Parametros!$B$9+[1]Parametros!$B$12/2+[1]Parametros!$B$12+[1]Parametros!$B$10))/Z319)</f>
        <v>489.35</v>
      </c>
      <c r="AC319" s="13">
        <f>Z319*[1]Parametros!$B$8</f>
        <v>995</v>
      </c>
      <c r="AD319" s="13">
        <f>[1]Parametros!$B$5*AC319*[1]Parametros!$B$3*(AB319-(AC319*[1]Parametros!$B$3/(0.85*[1]Parametros!$B$2*H319))/2)/1000000</f>
        <v>177.44537938235294</v>
      </c>
      <c r="AE319" s="13" t="str">
        <f t="shared" si="53"/>
        <v>CUMPLE</v>
      </c>
      <c r="AF319" s="13">
        <f>V319*1.25*[1]Parametros!$B$3*(U319-(V319*1.25*[1]Parametros!$B$3/(0.85*[1]Parametros!$B$2*H319))/2)/1000000</f>
        <v>244.15884319852941</v>
      </c>
      <c r="AG319" s="13">
        <f>AC319*1.25*[1]Parametros!$B$3*(AB319-(AC319*1.25*[1]Parametros!$B$3/(0.85*[1]Parametros!$B$2*H319))/2)/1000000</f>
        <v>244.15884319852941</v>
      </c>
      <c r="AH319" s="13">
        <f t="shared" si="54"/>
        <v>208.39684894031143</v>
      </c>
      <c r="AI319" s="13">
        <f t="shared" si="55"/>
        <v>208.39684894031143</v>
      </c>
      <c r="AJ319" s="13">
        <f>0.17*SQRT([1]Parametros!$B$2)*H319*MIN(U319,AB319)/1000</f>
        <v>220.09872869180776</v>
      </c>
      <c r="AK319" s="13">
        <f>MAX(AI319/[1]Parametros!$B$6-AJ319,0)</f>
        <v>57.763736561940789</v>
      </c>
      <c r="AL319" s="13">
        <f>0.66*SQRT([1]Parametros!$B$2)*H319*MIN(U319,AB319)/1000</f>
        <v>854.500946685842</v>
      </c>
      <c r="AM319" s="13" t="str">
        <f t="shared" si="56"/>
        <v>CUMPLE</v>
      </c>
      <c r="AN319" s="13" t="s">
        <v>64</v>
      </c>
      <c r="AO319" s="14">
        <v>2</v>
      </c>
      <c r="AP319" s="13">
        <f>ROUNDDOWN(MIN(IF(BC319+BD319=0,1000000000,AO319*BB319/(BC319+BD319)),MIN(U319,AB319)/4,8*[1]Parametros!$B$12,24*BA319,300,IF(AV319=0,1000000000,2*((H319-2*([1]Parametros!$B$7+[1]Parametros!$B$9/2))+(I319-2*([1]Parametros!$B$7+[1]Parametros!$B$9/2)))/8))/10,0)*10</f>
        <v>120</v>
      </c>
      <c r="AQ319" s="13">
        <f>ROUNDDOWN(MIN(IF(BC319+BD319=0,1000000000,AO319*BB319/(BC319+BD319)),IF(AK319&gt;0.33*SQRT([1]Parametros!$B$2)*H319*MIN(U319,AB319)/1000,MIN(U319,AB319)/4,MIN(U319,AB319)/2),600,IF(AV319=0,1000000000,2*((H319-2*([1]Parametros!$B$7+[1]Parametros!$B$9/2))+(I319-2*([1]Parametros!$B$7+[1]Parametros!$B$9/2)))/8))/10,0)*10</f>
        <v>240</v>
      </c>
      <c r="AR319" s="13">
        <f>[1]Parametros!$B$6*(AJ319+MAX(BE319-BD319,0)*[1]Parametros!$B$4*MIN(U319,AB319)/1000)</f>
        <v>347.47925901885583</v>
      </c>
      <c r="AS319" s="13" t="str">
        <f t="shared" si="57"/>
        <v>CUMPLE</v>
      </c>
      <c r="AT319" s="13">
        <f>[1]Parametros!$B$6*0.083*SQRT([1]Parametros!$B$2)*(H319*I319)^2/(2*(H319+I319))/1000000</f>
        <v>11.862178757598967</v>
      </c>
      <c r="AU319" s="13" t="str">
        <f t="shared" si="58"/>
        <v>DESPRECIABLE</v>
      </c>
      <c r="AV319" s="13">
        <f>IF(Q319&lt;=AT319,0,Q319*1000000/([1]Parametros!$B$6*2*0.85*(H319-2*([1]Parametros!$B$7+[1]Parametros!$B$9/2))*(I319-2*([1]Parametros!$B$7+[1]Parametros!$B$9/2))*[1]Parametros!$B$4))</f>
        <v>0</v>
      </c>
      <c r="AW319" s="13">
        <f>AV319*2*((H319-2*([1]Parametros!$B$7+[1]Parametros!$B$9/2))+(I319-2*([1]Parametros!$B$7+[1]Parametros!$B$9/2)))*[1]Parametros!$B$4/[1]Parametros!$B$3</f>
        <v>0</v>
      </c>
      <c r="AX319" s="14">
        <v>0</v>
      </c>
      <c r="AY319" s="13" t="str">
        <f t="shared" si="59"/>
        <v>DESPRECIABLE</v>
      </c>
      <c r="AZ319" s="13" t="str">
        <f t="shared" si="60"/>
        <v>CUMPLE</v>
      </c>
      <c r="BA319" s="14">
        <v>9.5</v>
      </c>
      <c r="BB319" s="14">
        <v>71</v>
      </c>
      <c r="BC319" s="13">
        <f>MAX(IF(AK319=0,0,AK319*1000/([1]Parametros!$B$4*MIN(U319,AB319))),MAX(0.062*SQRT([1]Parametros!$B$2)*H319/[1]Parametros!$B$4,0.35*H319/[1]Parametros!$B$4))</f>
        <v>0.41666666666666669</v>
      </c>
      <c r="BD319" s="13">
        <f t="shared" si="61"/>
        <v>0</v>
      </c>
      <c r="BE319" s="13">
        <f t="shared" si="62"/>
        <v>1.1833333333333333</v>
      </c>
      <c r="BF319" s="13">
        <f>SQRT((AI319*1000/(H319*MIN(U319,AB319)))^2+(Q319*1000000*2*((H319-2*([1]Parametros!$B$7+[1]Parametros!$B$9/2))+(I319-2*([1]Parametros!$B$7+[1]Parametros!$B$9/2)))/(1.7*((H319-2*([1]Parametros!$B$7+[1]Parametros!$B$9/2))*(I319-2*([1]Parametros!$B$7+[1]Parametros!$B$9/2)))^2))^2)</f>
        <v>0.90553299649526364</v>
      </c>
      <c r="BG319" s="13">
        <f>[1]Parametros!$B$6*(AJ319*1000/(H319*MIN(U319,AB319))+0.66*SQRT([1]Parametros!$B$2))</f>
        <v>3.2939603822754151</v>
      </c>
      <c r="BH319" s="13" t="str">
        <f t="shared" si="63"/>
        <v>CUMPLE</v>
      </c>
      <c r="BI319" s="13">
        <f>AX319*[1]Parametros!$B$8</f>
        <v>0</v>
      </c>
      <c r="BJ319" s="15" t="str">
        <f t="shared" si="64"/>
        <v>CUMPLE</v>
      </c>
    </row>
    <row r="320" spans="1:62" x14ac:dyDescent="0.3">
      <c r="A320" s="43" t="s">
        <v>74</v>
      </c>
      <c r="B320" s="44">
        <v>997</v>
      </c>
      <c r="C320" s="13">
        <v>1</v>
      </c>
      <c r="D320" s="13">
        <v>1.9</v>
      </c>
      <c r="E320" s="13">
        <v>1.9</v>
      </c>
      <c r="F320" s="13">
        <v>500</v>
      </c>
      <c r="G320" s="13">
        <v>550</v>
      </c>
      <c r="H320" s="13">
        <v>500</v>
      </c>
      <c r="I320" s="13">
        <v>550</v>
      </c>
      <c r="J320" s="14">
        <v>48.043700000000001</v>
      </c>
      <c r="K320" s="13">
        <v>997</v>
      </c>
      <c r="L320" s="14">
        <v>17.5259</v>
      </c>
      <c r="M320" s="13">
        <v>997</v>
      </c>
      <c r="N320" s="14">
        <v>54.817</v>
      </c>
      <c r="O320" s="14">
        <v>121.139</v>
      </c>
      <c r="P320" s="13">
        <v>997</v>
      </c>
      <c r="Q320" s="14">
        <v>1.4555</v>
      </c>
      <c r="R320" s="13">
        <f>MAX(MAX(1.4/[1]Parametros!$B$3,0.25*SQRT([1]Parametros!$B$2)/[1]Parametros!$B$3)*H320*U320,(0.85*[1]Parametros!$B$2/[1]Parametros!$B$3)*(1-SQRT(1-2*(J320*1000000/([1]Parametros!$B$5*H320*U320^2))/(0.85*[1]Parametros!$B$2)))*H320*U320)</f>
        <v>815.58333333333326</v>
      </c>
      <c r="S320" s="14">
        <v>5</v>
      </c>
      <c r="T320" s="14">
        <v>1</v>
      </c>
      <c r="U320" s="13">
        <f>IF(T320=1,I320-([1]Parametros!$B$7+[1]Parametros!$B$9+[1]Parametros!$B$12/2),I320-(ROUNDUP(S320/2,0)*([1]Parametros!$B$7+[1]Parametros!$B$9+[1]Parametros!$B$12/2)+ROUNDDOWN(S320/2,0)*([1]Parametros!$B$7+[1]Parametros!$B$9+[1]Parametros!$B$12/2+[1]Parametros!$B$12+[1]Parametros!$B$10))/S320)</f>
        <v>489.35</v>
      </c>
      <c r="V320" s="13">
        <f>S320*[1]Parametros!$B$8</f>
        <v>995</v>
      </c>
      <c r="W320" s="13">
        <f>[1]Parametros!$B$5*V320*[1]Parametros!$B$3*(U320-(V320*[1]Parametros!$B$3/(0.85*[1]Parametros!$B$2*H320))/2)/1000000</f>
        <v>177.44537938235294</v>
      </c>
      <c r="X320" s="13" t="str">
        <f t="shared" si="52"/>
        <v>CUMPLE</v>
      </c>
      <c r="Y320" s="13">
        <f>MAX(MAX(1.4/[1]Parametros!$B$3,0.25*SQRT([1]Parametros!$B$2)/[1]Parametros!$B$3)*H320*AB320,(0.85*[1]Parametros!$B$2/[1]Parametros!$B$3)*(1-SQRT(1-2*(L320*1000000/([1]Parametros!$B$5*H320*AB320^2))/(0.85*[1]Parametros!$B$2)))*H320*AB320)</f>
        <v>815.58333333333326</v>
      </c>
      <c r="Z320" s="14">
        <v>5</v>
      </c>
      <c r="AA320" s="14">
        <v>1</v>
      </c>
      <c r="AB320" s="13">
        <f>IF(AA320=1,I320-([1]Parametros!$B$7+[1]Parametros!$B$9+[1]Parametros!$B$12/2),I320-(ROUNDUP(Z320/2,0)*([1]Parametros!$B$7+[1]Parametros!$B$9+[1]Parametros!$B$12/2)+ROUNDDOWN(Z320/2,0)*([1]Parametros!$B$7+[1]Parametros!$B$9+[1]Parametros!$B$12/2+[1]Parametros!$B$12+[1]Parametros!$B$10))/Z320)</f>
        <v>489.35</v>
      </c>
      <c r="AC320" s="13">
        <f>Z320*[1]Parametros!$B$8</f>
        <v>995</v>
      </c>
      <c r="AD320" s="13">
        <f>[1]Parametros!$B$5*AC320*[1]Parametros!$B$3*(AB320-(AC320*[1]Parametros!$B$3/(0.85*[1]Parametros!$B$2*H320))/2)/1000000</f>
        <v>177.44537938235294</v>
      </c>
      <c r="AE320" s="13" t="str">
        <f t="shared" si="53"/>
        <v>CUMPLE</v>
      </c>
      <c r="AF320" s="13">
        <f>V320*1.25*[1]Parametros!$B$3*(U320-(V320*1.25*[1]Parametros!$B$3/(0.85*[1]Parametros!$B$2*H320))/2)/1000000</f>
        <v>244.15884319852941</v>
      </c>
      <c r="AG320" s="13">
        <f>AC320*1.25*[1]Parametros!$B$3*(AB320-(AC320*1.25*[1]Parametros!$B$3/(0.85*[1]Parametros!$B$2*H320))/2)/1000000</f>
        <v>244.15884319852941</v>
      </c>
      <c r="AH320" s="13">
        <f t="shared" si="54"/>
        <v>311.82630863003095</v>
      </c>
      <c r="AI320" s="13">
        <f t="shared" si="55"/>
        <v>311.82630863003095</v>
      </c>
      <c r="AJ320" s="13">
        <f>0.17*SQRT([1]Parametros!$B$2)*H320*MIN(U320,AB320)/1000</f>
        <v>220.09872869180776</v>
      </c>
      <c r="AK320" s="13">
        <f>MAX(AI320/[1]Parametros!$B$6-AJ320,0)</f>
        <v>195.66968281490017</v>
      </c>
      <c r="AL320" s="13">
        <f>0.66*SQRT([1]Parametros!$B$2)*H320*MIN(U320,AB320)/1000</f>
        <v>854.500946685842</v>
      </c>
      <c r="AM320" s="13" t="str">
        <f t="shared" si="56"/>
        <v>CUMPLE</v>
      </c>
      <c r="AN320" s="13" t="s">
        <v>64</v>
      </c>
      <c r="AO320" s="14">
        <v>2</v>
      </c>
      <c r="AP320" s="13">
        <f>ROUNDDOWN(MIN(IF(BC320+BD320=0,1000000000,AO320*BB320/(BC320+BD320)),MIN(U320,AB320)/4,8*[1]Parametros!$B$12,24*BA320,300,IF(AV320=0,1000000000,2*((H320-2*([1]Parametros!$B$7+[1]Parametros!$B$9/2))+(I320-2*([1]Parametros!$B$7+[1]Parametros!$B$9/2)))/8))/10,0)*10</f>
        <v>120</v>
      </c>
      <c r="AQ320" s="13">
        <f>ROUNDDOWN(MIN(IF(BC320+BD320=0,1000000000,AO320*BB320/(BC320+BD320)),IF(AK320&gt;0.33*SQRT([1]Parametros!$B$2)*H320*MIN(U320,AB320)/1000,MIN(U320,AB320)/4,MIN(U320,AB320)/2),600,IF(AV320=0,1000000000,2*((H320-2*([1]Parametros!$B$7+[1]Parametros!$B$9/2))+(I320-2*([1]Parametros!$B$7+[1]Parametros!$B$9/2)))/8))/10,0)*10</f>
        <v>140</v>
      </c>
      <c r="AR320" s="13">
        <f>[1]Parametros!$B$6*(AJ320+MAX(BE320-BD320,0)*[1]Parametros!$B$4*MIN(U320,AB320)/1000)</f>
        <v>347.47925901885583</v>
      </c>
      <c r="AS320" s="13" t="str">
        <f t="shared" si="57"/>
        <v>CUMPLE</v>
      </c>
      <c r="AT320" s="13">
        <f>[1]Parametros!$B$6*0.083*SQRT([1]Parametros!$B$2)*(H320*I320)^2/(2*(H320+I320))/1000000</f>
        <v>11.862178757598967</v>
      </c>
      <c r="AU320" s="13" t="str">
        <f t="shared" si="58"/>
        <v>DESPRECIABLE</v>
      </c>
      <c r="AV320" s="13">
        <f>IF(Q320&lt;=AT320,0,Q320*1000000/([1]Parametros!$B$6*2*0.85*(H320-2*([1]Parametros!$B$7+[1]Parametros!$B$9/2))*(I320-2*([1]Parametros!$B$7+[1]Parametros!$B$9/2))*[1]Parametros!$B$4))</f>
        <v>0</v>
      </c>
      <c r="AW320" s="13">
        <f>AV320*2*((H320-2*([1]Parametros!$B$7+[1]Parametros!$B$9/2))+(I320-2*([1]Parametros!$B$7+[1]Parametros!$B$9/2)))*[1]Parametros!$B$4/[1]Parametros!$B$3</f>
        <v>0</v>
      </c>
      <c r="AX320" s="14">
        <v>0</v>
      </c>
      <c r="AY320" s="13" t="str">
        <f t="shared" si="59"/>
        <v>DESPRECIABLE</v>
      </c>
      <c r="AZ320" s="13" t="str">
        <f t="shared" si="60"/>
        <v>CUMPLE</v>
      </c>
      <c r="BA320" s="14">
        <v>9.5</v>
      </c>
      <c r="BB320" s="14">
        <v>71</v>
      </c>
      <c r="BC320" s="13">
        <f>MAX(IF(AK320=0,0,AK320*1000/([1]Parametros!$B$4*MIN(U320,AB320))),MAX(0.062*SQRT([1]Parametros!$B$2)*H320/[1]Parametros!$B$4,0.35*H320/[1]Parametros!$B$4))</f>
        <v>0.95203882124927708</v>
      </c>
      <c r="BD320" s="13">
        <f t="shared" si="61"/>
        <v>0</v>
      </c>
      <c r="BE320" s="13">
        <f t="shared" si="62"/>
        <v>1.1833333333333333</v>
      </c>
      <c r="BF320" s="13">
        <f>SQRT((AI320*1000/(H320*MIN(U320,AB320)))^2+(Q320*1000000*2*((H320-2*([1]Parametros!$B$7+[1]Parametros!$B$9/2))+(I320-2*([1]Parametros!$B$7+[1]Parametros!$B$9/2)))/(1.7*((H320-2*([1]Parametros!$B$7+[1]Parametros!$B$9/2))*(I320-2*([1]Parametros!$B$7+[1]Parametros!$B$9/2)))^2))^2)</f>
        <v>1.2751653402177261</v>
      </c>
      <c r="BG320" s="13">
        <f>[1]Parametros!$B$6*(AJ320*1000/(H320*MIN(U320,AB320))+0.66*SQRT([1]Parametros!$B$2))</f>
        <v>3.2939603822754151</v>
      </c>
      <c r="BH320" s="13" t="str">
        <f t="shared" si="63"/>
        <v>CUMPLE</v>
      </c>
      <c r="BI320" s="13">
        <f>AX320*[1]Parametros!$B$8</f>
        <v>0</v>
      </c>
      <c r="BJ320" s="15" t="str">
        <f t="shared" si="64"/>
        <v>CUMPLE</v>
      </c>
    </row>
    <row r="321" spans="1:62" x14ac:dyDescent="0.3">
      <c r="A321" s="43" t="s">
        <v>74</v>
      </c>
      <c r="B321" s="44">
        <v>998</v>
      </c>
      <c r="C321" s="13">
        <v>1</v>
      </c>
      <c r="D321" s="13">
        <v>2</v>
      </c>
      <c r="E321" s="13">
        <v>2</v>
      </c>
      <c r="F321" s="13">
        <v>500</v>
      </c>
      <c r="G321" s="13">
        <v>550</v>
      </c>
      <c r="H321" s="13">
        <v>500</v>
      </c>
      <c r="I321" s="13">
        <v>550</v>
      </c>
      <c r="J321" s="14">
        <v>43.985999999999997</v>
      </c>
      <c r="K321" s="13">
        <v>998</v>
      </c>
      <c r="L321" s="14">
        <v>11.921799999999999</v>
      </c>
      <c r="M321" s="13">
        <v>998</v>
      </c>
      <c r="N321" s="14">
        <v>50.741999999999997</v>
      </c>
      <c r="O321" s="14">
        <v>107.68</v>
      </c>
      <c r="P321" s="13">
        <v>998</v>
      </c>
      <c r="Q321" s="14">
        <v>1.2317</v>
      </c>
      <c r="R321" s="13">
        <f>MAX(MAX(1.4/[1]Parametros!$B$3,0.25*SQRT([1]Parametros!$B$2)/[1]Parametros!$B$3)*H321*U321,(0.85*[1]Parametros!$B$2/[1]Parametros!$B$3)*(1-SQRT(1-2*(J321*1000000/([1]Parametros!$B$5*H321*U321^2))/(0.85*[1]Parametros!$B$2)))*H321*U321)</f>
        <v>815.58333333333326</v>
      </c>
      <c r="S321" s="14">
        <v>5</v>
      </c>
      <c r="T321" s="14">
        <v>1</v>
      </c>
      <c r="U321" s="13">
        <f>IF(T321=1,I321-([1]Parametros!$B$7+[1]Parametros!$B$9+[1]Parametros!$B$12/2),I321-(ROUNDUP(S321/2,0)*([1]Parametros!$B$7+[1]Parametros!$B$9+[1]Parametros!$B$12/2)+ROUNDDOWN(S321/2,0)*([1]Parametros!$B$7+[1]Parametros!$B$9+[1]Parametros!$B$12/2+[1]Parametros!$B$12+[1]Parametros!$B$10))/S321)</f>
        <v>489.35</v>
      </c>
      <c r="V321" s="13">
        <f>S321*[1]Parametros!$B$8</f>
        <v>995</v>
      </c>
      <c r="W321" s="13">
        <f>[1]Parametros!$B$5*V321*[1]Parametros!$B$3*(U321-(V321*[1]Parametros!$B$3/(0.85*[1]Parametros!$B$2*H321))/2)/1000000</f>
        <v>177.44537938235294</v>
      </c>
      <c r="X321" s="13" t="str">
        <f t="shared" si="52"/>
        <v>CUMPLE</v>
      </c>
      <c r="Y321" s="13">
        <f>MAX(MAX(1.4/[1]Parametros!$B$3,0.25*SQRT([1]Parametros!$B$2)/[1]Parametros!$B$3)*H321*AB321,(0.85*[1]Parametros!$B$2/[1]Parametros!$B$3)*(1-SQRT(1-2*(L321*1000000/([1]Parametros!$B$5*H321*AB321^2))/(0.85*[1]Parametros!$B$2)))*H321*AB321)</f>
        <v>815.58333333333326</v>
      </c>
      <c r="Z321" s="14">
        <v>5</v>
      </c>
      <c r="AA321" s="14">
        <v>1</v>
      </c>
      <c r="AB321" s="13">
        <f>IF(AA321=1,I321-([1]Parametros!$B$7+[1]Parametros!$B$9+[1]Parametros!$B$12/2),I321-(ROUNDUP(Z321/2,0)*([1]Parametros!$B$7+[1]Parametros!$B$9+[1]Parametros!$B$12/2)+ROUNDDOWN(Z321/2,0)*([1]Parametros!$B$7+[1]Parametros!$B$9+[1]Parametros!$B$12/2+[1]Parametros!$B$12+[1]Parametros!$B$10))/Z321)</f>
        <v>489.35</v>
      </c>
      <c r="AC321" s="13">
        <f>Z321*[1]Parametros!$B$8</f>
        <v>995</v>
      </c>
      <c r="AD321" s="13">
        <f>[1]Parametros!$B$5*AC321*[1]Parametros!$B$3*(AB321-(AC321*[1]Parametros!$B$3/(0.85*[1]Parametros!$B$2*H321))/2)/1000000</f>
        <v>177.44537938235294</v>
      </c>
      <c r="AE321" s="13" t="str">
        <f t="shared" si="53"/>
        <v>CUMPLE</v>
      </c>
      <c r="AF321" s="13">
        <f>V321*1.25*[1]Parametros!$B$3*(U321-(V321*1.25*[1]Parametros!$B$3/(0.85*[1]Parametros!$B$2*H321))/2)/1000000</f>
        <v>244.15884319852941</v>
      </c>
      <c r="AG321" s="13">
        <f>AC321*1.25*[1]Parametros!$B$3*(AB321-(AC321*1.25*[1]Parametros!$B$3/(0.85*[1]Parametros!$B$2*H321))/2)/1000000</f>
        <v>244.15884319852941</v>
      </c>
      <c r="AH321" s="13">
        <f t="shared" si="54"/>
        <v>294.9008431985294</v>
      </c>
      <c r="AI321" s="13">
        <f t="shared" si="55"/>
        <v>294.9008431985294</v>
      </c>
      <c r="AJ321" s="13">
        <f>0.17*SQRT([1]Parametros!$B$2)*H321*MIN(U321,AB321)/1000</f>
        <v>220.09872869180776</v>
      </c>
      <c r="AK321" s="13">
        <f>MAX(AI321/[1]Parametros!$B$6-AJ321,0)</f>
        <v>173.1023955728981</v>
      </c>
      <c r="AL321" s="13">
        <f>0.66*SQRT([1]Parametros!$B$2)*H321*MIN(U321,AB321)/1000</f>
        <v>854.500946685842</v>
      </c>
      <c r="AM321" s="13" t="str">
        <f t="shared" si="56"/>
        <v>CUMPLE</v>
      </c>
      <c r="AN321" s="13" t="s">
        <v>64</v>
      </c>
      <c r="AO321" s="14">
        <v>2</v>
      </c>
      <c r="AP321" s="13">
        <f>ROUNDDOWN(MIN(IF(BC321+BD321=0,1000000000,AO321*BB321/(BC321+BD321)),MIN(U321,AB321)/4,8*[1]Parametros!$B$12,24*BA321,300,IF(AV321=0,1000000000,2*((H321-2*([1]Parametros!$B$7+[1]Parametros!$B$9/2))+(I321-2*([1]Parametros!$B$7+[1]Parametros!$B$9/2)))/8))/10,0)*10</f>
        <v>120</v>
      </c>
      <c r="AQ321" s="13">
        <f>ROUNDDOWN(MIN(IF(BC321+BD321=0,1000000000,AO321*BB321/(BC321+BD321)),IF(AK321&gt;0.33*SQRT([1]Parametros!$B$2)*H321*MIN(U321,AB321)/1000,MIN(U321,AB321)/4,MIN(U321,AB321)/2),600,IF(AV321=0,1000000000,2*((H321-2*([1]Parametros!$B$7+[1]Parametros!$B$9/2))+(I321-2*([1]Parametros!$B$7+[1]Parametros!$B$9/2)))/8))/10,0)*10</f>
        <v>160</v>
      </c>
      <c r="AR321" s="13">
        <f>[1]Parametros!$B$6*(AJ321+MAX(BE321-BD321,0)*[1]Parametros!$B$4*MIN(U321,AB321)/1000)</f>
        <v>347.47925901885583</v>
      </c>
      <c r="AS321" s="13" t="str">
        <f t="shared" si="57"/>
        <v>CUMPLE</v>
      </c>
      <c r="AT321" s="13">
        <f>[1]Parametros!$B$6*0.083*SQRT([1]Parametros!$B$2)*(H321*I321)^2/(2*(H321+I321))/1000000</f>
        <v>11.862178757598967</v>
      </c>
      <c r="AU321" s="13" t="str">
        <f t="shared" si="58"/>
        <v>DESPRECIABLE</v>
      </c>
      <c r="AV321" s="13">
        <f>IF(Q321&lt;=AT321,0,Q321*1000000/([1]Parametros!$B$6*2*0.85*(H321-2*([1]Parametros!$B$7+[1]Parametros!$B$9/2))*(I321-2*([1]Parametros!$B$7+[1]Parametros!$B$9/2))*[1]Parametros!$B$4))</f>
        <v>0</v>
      </c>
      <c r="AW321" s="13">
        <f>AV321*2*((H321-2*([1]Parametros!$B$7+[1]Parametros!$B$9/2))+(I321-2*([1]Parametros!$B$7+[1]Parametros!$B$9/2)))*[1]Parametros!$B$4/[1]Parametros!$B$3</f>
        <v>0</v>
      </c>
      <c r="AX321" s="14">
        <v>0</v>
      </c>
      <c r="AY321" s="13" t="str">
        <f t="shared" si="59"/>
        <v>DESPRECIABLE</v>
      </c>
      <c r="AZ321" s="13" t="str">
        <f t="shared" si="60"/>
        <v>CUMPLE</v>
      </c>
      <c r="BA321" s="14">
        <v>9.5</v>
      </c>
      <c r="BB321" s="14">
        <v>71</v>
      </c>
      <c r="BC321" s="13">
        <f>MAX(IF(AK321=0,0,AK321*1000/([1]Parametros!$B$4*MIN(U321,AB321))),MAX(0.062*SQRT([1]Parametros!$B$2)*H321/[1]Parametros!$B$4,0.35*H321/[1]Parametros!$B$4))</f>
        <v>0.84223676486738042</v>
      </c>
      <c r="BD321" s="13">
        <f t="shared" si="61"/>
        <v>0</v>
      </c>
      <c r="BE321" s="13">
        <f t="shared" si="62"/>
        <v>1.1833333333333333</v>
      </c>
      <c r="BF321" s="13">
        <f>SQRT((AI321*1000/(H321*MIN(U321,AB321)))^2+(Q321*1000000*2*((H321-2*([1]Parametros!$B$7+[1]Parametros!$B$9/2))+(I321-2*([1]Parametros!$B$7+[1]Parametros!$B$9/2)))/(1.7*((H321-2*([1]Parametros!$B$7+[1]Parametros!$B$9/2))*(I321-2*([1]Parametros!$B$7+[1]Parametros!$B$9/2)))^2))^2)</f>
        <v>1.2058166576609244</v>
      </c>
      <c r="BG321" s="13">
        <f>[1]Parametros!$B$6*(AJ321*1000/(H321*MIN(U321,AB321))+0.66*SQRT([1]Parametros!$B$2))</f>
        <v>3.2939603822754151</v>
      </c>
      <c r="BH321" s="13" t="str">
        <f t="shared" si="63"/>
        <v>CUMPLE</v>
      </c>
      <c r="BI321" s="13">
        <f>AX321*[1]Parametros!$B$8</f>
        <v>0</v>
      </c>
      <c r="BJ321" s="15" t="str">
        <f t="shared" si="64"/>
        <v>CUMPLE</v>
      </c>
    </row>
    <row r="322" spans="1:62" x14ac:dyDescent="0.3">
      <c r="A322" s="43" t="s">
        <v>74</v>
      </c>
      <c r="B322" s="44">
        <v>999</v>
      </c>
      <c r="C322" s="13">
        <v>1</v>
      </c>
      <c r="D322" s="13">
        <v>3.05</v>
      </c>
      <c r="E322" s="13">
        <v>3.05</v>
      </c>
      <c r="F322" s="13">
        <v>500</v>
      </c>
      <c r="G322" s="13">
        <v>550</v>
      </c>
      <c r="H322" s="13">
        <v>500</v>
      </c>
      <c r="I322" s="13">
        <v>550</v>
      </c>
      <c r="J322" s="14">
        <v>63.522100000000002</v>
      </c>
      <c r="K322" s="13">
        <v>999</v>
      </c>
      <c r="L322" s="14">
        <v>31.659099999999999</v>
      </c>
      <c r="M322" s="13">
        <v>999</v>
      </c>
      <c r="N322" s="14">
        <v>66.274000000000001</v>
      </c>
      <c r="O322" s="14">
        <v>154.626</v>
      </c>
      <c r="P322" s="13">
        <v>999</v>
      </c>
      <c r="Q322" s="14">
        <v>1.5079</v>
      </c>
      <c r="R322" s="13">
        <f>MAX(MAX(1.4/[1]Parametros!$B$3,0.25*SQRT([1]Parametros!$B$2)/[1]Parametros!$B$3)*H322*U322,(0.85*[1]Parametros!$B$2/[1]Parametros!$B$3)*(1-SQRT(1-2*(J322*1000000/([1]Parametros!$B$5*H322*U322^2))/(0.85*[1]Parametros!$B$2)))*H322*U322)</f>
        <v>815.58333333333326</v>
      </c>
      <c r="S322" s="14">
        <v>5</v>
      </c>
      <c r="T322" s="14">
        <v>1</v>
      </c>
      <c r="U322" s="13">
        <f>IF(T322=1,I322-([1]Parametros!$B$7+[1]Parametros!$B$9+[1]Parametros!$B$12/2),I322-(ROUNDUP(S322/2,0)*([1]Parametros!$B$7+[1]Parametros!$B$9+[1]Parametros!$B$12/2)+ROUNDDOWN(S322/2,0)*([1]Parametros!$B$7+[1]Parametros!$B$9+[1]Parametros!$B$12/2+[1]Parametros!$B$12+[1]Parametros!$B$10))/S322)</f>
        <v>489.35</v>
      </c>
      <c r="V322" s="13">
        <f>S322*[1]Parametros!$B$8</f>
        <v>995</v>
      </c>
      <c r="W322" s="13">
        <f>[1]Parametros!$B$5*V322*[1]Parametros!$B$3*(U322-(V322*[1]Parametros!$B$3/(0.85*[1]Parametros!$B$2*H322))/2)/1000000</f>
        <v>177.44537938235294</v>
      </c>
      <c r="X322" s="13" t="str">
        <f t="shared" si="52"/>
        <v>CUMPLE</v>
      </c>
      <c r="Y322" s="13">
        <f>MAX(MAX(1.4/[1]Parametros!$B$3,0.25*SQRT([1]Parametros!$B$2)/[1]Parametros!$B$3)*H322*AB322,(0.85*[1]Parametros!$B$2/[1]Parametros!$B$3)*(1-SQRT(1-2*(L322*1000000/([1]Parametros!$B$5*H322*AB322^2))/(0.85*[1]Parametros!$B$2)))*H322*AB322)</f>
        <v>815.58333333333326</v>
      </c>
      <c r="Z322" s="14">
        <v>5</v>
      </c>
      <c r="AA322" s="14">
        <v>1</v>
      </c>
      <c r="AB322" s="13">
        <f>IF(AA322=1,I322-([1]Parametros!$B$7+[1]Parametros!$B$9+[1]Parametros!$B$12/2),I322-(ROUNDUP(Z322/2,0)*([1]Parametros!$B$7+[1]Parametros!$B$9+[1]Parametros!$B$12/2)+ROUNDDOWN(Z322/2,0)*([1]Parametros!$B$7+[1]Parametros!$B$9+[1]Parametros!$B$12/2+[1]Parametros!$B$12+[1]Parametros!$B$10))/Z322)</f>
        <v>489.35</v>
      </c>
      <c r="AC322" s="13">
        <f>Z322*[1]Parametros!$B$8</f>
        <v>995</v>
      </c>
      <c r="AD322" s="13">
        <f>[1]Parametros!$B$5*AC322*[1]Parametros!$B$3*(AB322-(AC322*[1]Parametros!$B$3/(0.85*[1]Parametros!$B$2*H322))/2)/1000000</f>
        <v>177.44537938235294</v>
      </c>
      <c r="AE322" s="13" t="str">
        <f t="shared" si="53"/>
        <v>CUMPLE</v>
      </c>
      <c r="AF322" s="13">
        <f>V322*1.25*[1]Parametros!$B$3*(U322-(V322*1.25*[1]Parametros!$B$3/(0.85*[1]Parametros!$B$2*H322))/2)/1000000</f>
        <v>244.15884319852941</v>
      </c>
      <c r="AG322" s="13">
        <f>AC322*1.25*[1]Parametros!$B$3*(AB322-(AC322*1.25*[1]Parametros!$B$3/(0.85*[1]Parametros!$B$2*H322))/2)/1000000</f>
        <v>244.15884319852941</v>
      </c>
      <c r="AH322" s="13">
        <f t="shared" si="54"/>
        <v>226.37815947444554</v>
      </c>
      <c r="AI322" s="13">
        <f t="shared" si="55"/>
        <v>226.37815947444554</v>
      </c>
      <c r="AJ322" s="13">
        <f>0.17*SQRT([1]Parametros!$B$2)*H322*MIN(U322,AB322)/1000</f>
        <v>220.09872869180776</v>
      </c>
      <c r="AK322" s="13">
        <f>MAX(AI322/[1]Parametros!$B$6-AJ322,0)</f>
        <v>81.73881727411964</v>
      </c>
      <c r="AL322" s="13">
        <f>0.66*SQRT([1]Parametros!$B$2)*H322*MIN(U322,AB322)/1000</f>
        <v>854.500946685842</v>
      </c>
      <c r="AM322" s="13" t="str">
        <f t="shared" si="56"/>
        <v>CUMPLE</v>
      </c>
      <c r="AN322" s="13" t="s">
        <v>64</v>
      </c>
      <c r="AO322" s="14">
        <v>2</v>
      </c>
      <c r="AP322" s="13">
        <f>ROUNDDOWN(MIN(IF(BC322+BD322=0,1000000000,AO322*BB322/(BC322+BD322)),MIN(U322,AB322)/4,8*[1]Parametros!$B$12,24*BA322,300,IF(AV322=0,1000000000,2*((H322-2*([1]Parametros!$B$7+[1]Parametros!$B$9/2))+(I322-2*([1]Parametros!$B$7+[1]Parametros!$B$9/2)))/8))/10,0)*10</f>
        <v>120</v>
      </c>
      <c r="AQ322" s="13">
        <f>ROUNDDOWN(MIN(IF(BC322+BD322=0,1000000000,AO322*BB322/(BC322+BD322)),IF(AK322&gt;0.33*SQRT([1]Parametros!$B$2)*H322*MIN(U322,AB322)/1000,MIN(U322,AB322)/4,MIN(U322,AB322)/2),600,IF(AV322=0,1000000000,2*((H322-2*([1]Parametros!$B$7+[1]Parametros!$B$9/2))+(I322-2*([1]Parametros!$B$7+[1]Parametros!$B$9/2)))/8))/10,0)*10</f>
        <v>240</v>
      </c>
      <c r="AR322" s="13">
        <f>[1]Parametros!$B$6*(AJ322+MAX(BE322-BD322,0)*[1]Parametros!$B$4*MIN(U322,AB322)/1000)</f>
        <v>347.47925901885583</v>
      </c>
      <c r="AS322" s="13" t="str">
        <f t="shared" si="57"/>
        <v>CUMPLE</v>
      </c>
      <c r="AT322" s="13">
        <f>[1]Parametros!$B$6*0.083*SQRT([1]Parametros!$B$2)*(H322*I322)^2/(2*(H322+I322))/1000000</f>
        <v>11.862178757598967</v>
      </c>
      <c r="AU322" s="13" t="str">
        <f t="shared" si="58"/>
        <v>DESPRECIABLE</v>
      </c>
      <c r="AV322" s="13">
        <f>IF(Q322&lt;=AT322,0,Q322*1000000/([1]Parametros!$B$6*2*0.85*(H322-2*([1]Parametros!$B$7+[1]Parametros!$B$9/2))*(I322-2*([1]Parametros!$B$7+[1]Parametros!$B$9/2))*[1]Parametros!$B$4))</f>
        <v>0</v>
      </c>
      <c r="AW322" s="13">
        <f>AV322*2*((H322-2*([1]Parametros!$B$7+[1]Parametros!$B$9/2))+(I322-2*([1]Parametros!$B$7+[1]Parametros!$B$9/2)))*[1]Parametros!$B$4/[1]Parametros!$B$3</f>
        <v>0</v>
      </c>
      <c r="AX322" s="14">
        <v>0</v>
      </c>
      <c r="AY322" s="13" t="str">
        <f t="shared" si="59"/>
        <v>DESPRECIABLE</v>
      </c>
      <c r="AZ322" s="13" t="str">
        <f t="shared" si="60"/>
        <v>CUMPLE</v>
      </c>
      <c r="BA322" s="14">
        <v>9.5</v>
      </c>
      <c r="BB322" s="14">
        <v>71</v>
      </c>
      <c r="BC322" s="13">
        <f>MAX(IF(AK322=0,0,AK322*1000/([1]Parametros!$B$4*MIN(U322,AB322))),MAX(0.062*SQRT([1]Parametros!$B$2)*H322/[1]Parametros!$B$4,0.35*H322/[1]Parametros!$B$4))</f>
        <v>0.41666666666666669</v>
      </c>
      <c r="BD322" s="13">
        <f t="shared" si="61"/>
        <v>0</v>
      </c>
      <c r="BE322" s="13">
        <f t="shared" si="62"/>
        <v>1.1833333333333333</v>
      </c>
      <c r="BF322" s="13">
        <f>SQRT((AI322*1000/(H322*MIN(U322,AB322)))^2+(Q322*1000000*2*((H322-2*([1]Parametros!$B$7+[1]Parametros!$B$9/2))+(I322-2*([1]Parametros!$B$7+[1]Parametros!$B$9/2)))/(1.7*((H322-2*([1]Parametros!$B$7+[1]Parametros!$B$9/2))*(I322-2*([1]Parametros!$B$7+[1]Parametros!$B$9/2)))^2))^2)</f>
        <v>0.92627554946832824</v>
      </c>
      <c r="BG322" s="13">
        <f>[1]Parametros!$B$6*(AJ322*1000/(H322*MIN(U322,AB322))+0.66*SQRT([1]Parametros!$B$2))</f>
        <v>3.2939603822754151</v>
      </c>
      <c r="BH322" s="13" t="str">
        <f t="shared" si="63"/>
        <v>CUMPLE</v>
      </c>
      <c r="BI322" s="13">
        <f>AX322*[1]Parametros!$B$8</f>
        <v>0</v>
      </c>
      <c r="BJ322" s="15" t="str">
        <f t="shared" si="64"/>
        <v>CUMPLE</v>
      </c>
    </row>
    <row r="323" spans="1:62" x14ac:dyDescent="0.3">
      <c r="A323" s="43" t="s">
        <v>74</v>
      </c>
      <c r="B323" s="44">
        <v>1000</v>
      </c>
      <c r="C323" s="13">
        <v>1</v>
      </c>
      <c r="D323" s="13">
        <v>2</v>
      </c>
      <c r="E323" s="13">
        <v>2</v>
      </c>
      <c r="F323" s="13">
        <v>500</v>
      </c>
      <c r="G323" s="13">
        <v>550</v>
      </c>
      <c r="H323" s="13">
        <v>500</v>
      </c>
      <c r="I323" s="13">
        <v>550</v>
      </c>
      <c r="J323" s="14">
        <v>41.886000000000003</v>
      </c>
      <c r="K323" s="13">
        <v>1000</v>
      </c>
      <c r="L323" s="14">
        <v>16.313300000000002</v>
      </c>
      <c r="M323" s="13">
        <v>1000</v>
      </c>
      <c r="N323" s="14">
        <v>53.253</v>
      </c>
      <c r="O323" s="14">
        <v>68.320999999999998</v>
      </c>
      <c r="P323" s="13">
        <v>1000</v>
      </c>
      <c r="Q323" s="14">
        <v>3.0962000000000001</v>
      </c>
      <c r="R323" s="13">
        <f>MAX(MAX(1.4/[1]Parametros!$B$3,0.25*SQRT([1]Parametros!$B$2)/[1]Parametros!$B$3)*H323*U323,(0.85*[1]Parametros!$B$2/[1]Parametros!$B$3)*(1-SQRT(1-2*(J323*1000000/([1]Parametros!$B$5*H323*U323^2))/(0.85*[1]Parametros!$B$2)))*H323*U323)</f>
        <v>815.58333333333326</v>
      </c>
      <c r="S323" s="14">
        <v>5</v>
      </c>
      <c r="T323" s="14">
        <v>1</v>
      </c>
      <c r="U323" s="13">
        <f>IF(T323=1,I323-([1]Parametros!$B$7+[1]Parametros!$B$9+[1]Parametros!$B$12/2),I323-(ROUNDUP(S323/2,0)*([1]Parametros!$B$7+[1]Parametros!$B$9+[1]Parametros!$B$12/2)+ROUNDDOWN(S323/2,0)*([1]Parametros!$B$7+[1]Parametros!$B$9+[1]Parametros!$B$12/2+[1]Parametros!$B$12+[1]Parametros!$B$10))/S323)</f>
        <v>489.35</v>
      </c>
      <c r="V323" s="13">
        <f>S323*[1]Parametros!$B$8</f>
        <v>995</v>
      </c>
      <c r="W323" s="13">
        <f>[1]Parametros!$B$5*V323*[1]Parametros!$B$3*(U323-(V323*[1]Parametros!$B$3/(0.85*[1]Parametros!$B$2*H323))/2)/1000000</f>
        <v>177.44537938235294</v>
      </c>
      <c r="X323" s="13" t="str">
        <f t="shared" si="52"/>
        <v>CUMPLE</v>
      </c>
      <c r="Y323" s="13">
        <f>MAX(MAX(1.4/[1]Parametros!$B$3,0.25*SQRT([1]Parametros!$B$2)/[1]Parametros!$B$3)*H323*AB323,(0.85*[1]Parametros!$B$2/[1]Parametros!$B$3)*(1-SQRT(1-2*(L323*1000000/([1]Parametros!$B$5*H323*AB323^2))/(0.85*[1]Parametros!$B$2)))*H323*AB323)</f>
        <v>815.58333333333326</v>
      </c>
      <c r="Z323" s="14">
        <v>5</v>
      </c>
      <c r="AA323" s="14">
        <v>1</v>
      </c>
      <c r="AB323" s="13">
        <f>IF(AA323=1,I323-([1]Parametros!$B$7+[1]Parametros!$B$9+[1]Parametros!$B$12/2),I323-(ROUNDUP(Z323/2,0)*([1]Parametros!$B$7+[1]Parametros!$B$9+[1]Parametros!$B$12/2)+ROUNDDOWN(Z323/2,0)*([1]Parametros!$B$7+[1]Parametros!$B$9+[1]Parametros!$B$12/2+[1]Parametros!$B$12+[1]Parametros!$B$10))/Z323)</f>
        <v>489.35</v>
      </c>
      <c r="AC323" s="13">
        <f>Z323*[1]Parametros!$B$8</f>
        <v>995</v>
      </c>
      <c r="AD323" s="13">
        <f>[1]Parametros!$B$5*AC323*[1]Parametros!$B$3*(AB323-(AC323*[1]Parametros!$B$3/(0.85*[1]Parametros!$B$2*H323))/2)/1000000</f>
        <v>177.44537938235294</v>
      </c>
      <c r="AE323" s="13" t="str">
        <f t="shared" si="53"/>
        <v>CUMPLE</v>
      </c>
      <c r="AF323" s="13">
        <f>V323*1.25*[1]Parametros!$B$3*(U323-(V323*1.25*[1]Parametros!$B$3/(0.85*[1]Parametros!$B$2*H323))/2)/1000000</f>
        <v>244.15884319852941</v>
      </c>
      <c r="AG323" s="13">
        <f>AC323*1.25*[1]Parametros!$B$3*(AB323-(AC323*1.25*[1]Parametros!$B$3/(0.85*[1]Parametros!$B$2*H323))/2)/1000000</f>
        <v>244.15884319852941</v>
      </c>
      <c r="AH323" s="13">
        <f t="shared" si="54"/>
        <v>297.41184319852943</v>
      </c>
      <c r="AI323" s="13">
        <f t="shared" si="55"/>
        <v>297.41184319852943</v>
      </c>
      <c r="AJ323" s="13">
        <f>0.17*SQRT([1]Parametros!$B$2)*H323*MIN(U323,AB323)/1000</f>
        <v>220.09872869180776</v>
      </c>
      <c r="AK323" s="13">
        <f>MAX(AI323/[1]Parametros!$B$6-AJ323,0)</f>
        <v>176.45039557289812</v>
      </c>
      <c r="AL323" s="13">
        <f>0.66*SQRT([1]Parametros!$B$2)*H323*MIN(U323,AB323)/1000</f>
        <v>854.500946685842</v>
      </c>
      <c r="AM323" s="13" t="str">
        <f t="shared" si="56"/>
        <v>CUMPLE</v>
      </c>
      <c r="AN323" s="13" t="s">
        <v>64</v>
      </c>
      <c r="AO323" s="14">
        <v>2</v>
      </c>
      <c r="AP323" s="13">
        <f>ROUNDDOWN(MIN(IF(BC323+BD323=0,1000000000,AO323*BB323/(BC323+BD323)),MIN(U323,AB323)/4,8*[1]Parametros!$B$12,24*BA323,300,IF(AV323=0,1000000000,2*((H323-2*([1]Parametros!$B$7+[1]Parametros!$B$9/2))+(I323-2*([1]Parametros!$B$7+[1]Parametros!$B$9/2)))/8))/10,0)*10</f>
        <v>120</v>
      </c>
      <c r="AQ323" s="13">
        <f>ROUNDDOWN(MIN(IF(BC323+BD323=0,1000000000,AO323*BB323/(BC323+BD323)),IF(AK323&gt;0.33*SQRT([1]Parametros!$B$2)*H323*MIN(U323,AB323)/1000,MIN(U323,AB323)/4,MIN(U323,AB323)/2),600,IF(AV323=0,1000000000,2*((H323-2*([1]Parametros!$B$7+[1]Parametros!$B$9/2))+(I323-2*([1]Parametros!$B$7+[1]Parametros!$B$9/2)))/8))/10,0)*10</f>
        <v>160</v>
      </c>
      <c r="AR323" s="13">
        <f>[1]Parametros!$B$6*(AJ323+MAX(BE323-BD323,0)*[1]Parametros!$B$4*MIN(U323,AB323)/1000)</f>
        <v>347.47925901885583</v>
      </c>
      <c r="AS323" s="13" t="str">
        <f t="shared" si="57"/>
        <v>CUMPLE</v>
      </c>
      <c r="AT323" s="13">
        <f>[1]Parametros!$B$6*0.083*SQRT([1]Parametros!$B$2)*(H323*I323)^2/(2*(H323+I323))/1000000</f>
        <v>11.862178757598967</v>
      </c>
      <c r="AU323" s="13" t="str">
        <f t="shared" si="58"/>
        <v>DESPRECIABLE</v>
      </c>
      <c r="AV323" s="13">
        <f>IF(Q323&lt;=AT323,0,Q323*1000000/([1]Parametros!$B$6*2*0.85*(H323-2*([1]Parametros!$B$7+[1]Parametros!$B$9/2))*(I323-2*([1]Parametros!$B$7+[1]Parametros!$B$9/2))*[1]Parametros!$B$4))</f>
        <v>0</v>
      </c>
      <c r="AW323" s="13">
        <f>AV323*2*((H323-2*([1]Parametros!$B$7+[1]Parametros!$B$9/2))+(I323-2*([1]Parametros!$B$7+[1]Parametros!$B$9/2)))*[1]Parametros!$B$4/[1]Parametros!$B$3</f>
        <v>0</v>
      </c>
      <c r="AX323" s="14">
        <v>0</v>
      </c>
      <c r="AY323" s="13" t="str">
        <f t="shared" si="59"/>
        <v>DESPRECIABLE</v>
      </c>
      <c r="AZ323" s="13" t="str">
        <f t="shared" si="60"/>
        <v>CUMPLE</v>
      </c>
      <c r="BA323" s="14">
        <v>9.5</v>
      </c>
      <c r="BB323" s="14">
        <v>71</v>
      </c>
      <c r="BC323" s="13">
        <f>MAX(IF(AK323=0,0,AK323*1000/([1]Parametros!$B$4*MIN(U323,AB323))),MAX(0.062*SQRT([1]Parametros!$B$2)*H323/[1]Parametros!$B$4,0.35*H323/[1]Parametros!$B$4))</f>
        <v>0.85852659540059517</v>
      </c>
      <c r="BD323" s="13">
        <f t="shared" si="61"/>
        <v>0</v>
      </c>
      <c r="BE323" s="13">
        <f t="shared" si="62"/>
        <v>1.1833333333333333</v>
      </c>
      <c r="BF323" s="13">
        <f>SQRT((AI323*1000/(H323*MIN(U323,AB323)))^2+(Q323*1000000*2*((H323-2*([1]Parametros!$B$7+[1]Parametros!$B$9/2))+(I323-2*([1]Parametros!$B$7+[1]Parametros!$B$9/2)))/(1.7*((H323-2*([1]Parametros!$B$7+[1]Parametros!$B$9/2))*(I323-2*([1]Parametros!$B$7+[1]Parametros!$B$9/2)))^2))^2)</f>
        <v>1.2189235461738164</v>
      </c>
      <c r="BG323" s="13">
        <f>[1]Parametros!$B$6*(AJ323*1000/(H323*MIN(U323,AB323))+0.66*SQRT([1]Parametros!$B$2))</f>
        <v>3.2939603822754151</v>
      </c>
      <c r="BH323" s="13" t="str">
        <f t="shared" si="63"/>
        <v>CUMPLE</v>
      </c>
      <c r="BI323" s="13">
        <f>AX323*[1]Parametros!$B$8</f>
        <v>0</v>
      </c>
      <c r="BJ323" s="15" t="str">
        <f t="shared" si="64"/>
        <v>CUMPLE</v>
      </c>
    </row>
    <row r="324" spans="1:62" x14ac:dyDescent="0.3">
      <c r="A324" s="31" t="s">
        <v>75</v>
      </c>
      <c r="B324" s="32">
        <v>1</v>
      </c>
      <c r="C324" s="13">
        <v>1</v>
      </c>
      <c r="D324" s="13">
        <v>2</v>
      </c>
      <c r="E324" s="13">
        <v>2</v>
      </c>
      <c r="F324" s="13">
        <v>500</v>
      </c>
      <c r="G324" s="13">
        <v>550</v>
      </c>
      <c r="H324" s="13">
        <v>500</v>
      </c>
      <c r="I324" s="13">
        <v>550</v>
      </c>
      <c r="J324" s="14">
        <v>203.6755</v>
      </c>
      <c r="K324" s="13">
        <v>1</v>
      </c>
      <c r="L324" s="14">
        <v>164.92949999999999</v>
      </c>
      <c r="M324" s="13">
        <v>1</v>
      </c>
      <c r="N324" s="14">
        <v>181.08600000000001</v>
      </c>
      <c r="O324" s="14">
        <v>703.23199999999997</v>
      </c>
      <c r="P324" s="13">
        <v>1</v>
      </c>
      <c r="Q324" s="14">
        <v>4.4013</v>
      </c>
      <c r="R324" s="13">
        <f>MAX(MAX(1.4/[1]Parametros!$B$3,0.25*SQRT([1]Parametros!$B$2)/[1]Parametros!$B$3)*H324*U324,(0.85*[1]Parametros!$B$2/[1]Parametros!$B$3)*(1-SQRT(1-2*(J324*1000000/([1]Parametros!$B$5*H324*U324^2))/(0.85*[1]Parametros!$B$2)))*H324*U324)</f>
        <v>1148.6849144501218</v>
      </c>
      <c r="S324" s="14">
        <v>6</v>
      </c>
      <c r="T324" s="14">
        <v>1</v>
      </c>
      <c r="U324" s="13">
        <f>IF(T324=1,I324-([1]Parametros!$B$7+[1]Parametros!$B$9+[1]Parametros!$B$12/2),I324-(ROUNDUP(S324/2,0)*([1]Parametros!$B$7+[1]Parametros!$B$9+[1]Parametros!$B$12/2)+ROUNDDOWN(S324/2,0)*([1]Parametros!$B$7+[1]Parametros!$B$9+[1]Parametros!$B$12/2+[1]Parametros!$B$12+[1]Parametros!$B$10))/S324)</f>
        <v>489.35</v>
      </c>
      <c r="V324" s="13">
        <f>S324*[1]Parametros!$B$8</f>
        <v>1194</v>
      </c>
      <c r="W324" s="13">
        <f>[1]Parametros!$B$5*V324*[1]Parametros!$B$3*(U324-(V324*[1]Parametros!$B$3/(0.85*[1]Parametros!$B$2*H324))/2)/1000000</f>
        <v>211.34948347058827</v>
      </c>
      <c r="X324" s="13" t="str">
        <f t="shared" ref="X324:X387" si="65">IF(W324&gt;=J324,"CUMPLE","NO CUMPLE")</f>
        <v>CUMPLE</v>
      </c>
      <c r="Y324" s="13">
        <f>MAX(MAX(1.4/[1]Parametros!$B$3,0.25*SQRT([1]Parametros!$B$2)/[1]Parametros!$B$3)*H324*AB324,(0.85*[1]Parametros!$B$2/[1]Parametros!$B$3)*(1-SQRT(1-2*(L324*1000000/([1]Parametros!$B$5*H324*AB324^2))/(0.85*[1]Parametros!$B$2)))*H324*AB324)</f>
        <v>922.31131761772963</v>
      </c>
      <c r="Z324" s="14">
        <v>5</v>
      </c>
      <c r="AA324" s="14">
        <v>1</v>
      </c>
      <c r="AB324" s="13">
        <f>IF(AA324=1,I324-([1]Parametros!$B$7+[1]Parametros!$B$9+[1]Parametros!$B$12/2),I324-(ROUNDUP(Z324/2,0)*([1]Parametros!$B$7+[1]Parametros!$B$9+[1]Parametros!$B$12/2)+ROUNDDOWN(Z324/2,0)*([1]Parametros!$B$7+[1]Parametros!$B$9+[1]Parametros!$B$12/2+[1]Parametros!$B$12+[1]Parametros!$B$10))/Z324)</f>
        <v>489.35</v>
      </c>
      <c r="AC324" s="13">
        <f>Z324*[1]Parametros!$B$8</f>
        <v>995</v>
      </c>
      <c r="AD324" s="13">
        <f>[1]Parametros!$B$5*AC324*[1]Parametros!$B$3*(AB324-(AC324*[1]Parametros!$B$3/(0.85*[1]Parametros!$B$2*H324))/2)/1000000</f>
        <v>177.44537938235294</v>
      </c>
      <c r="AE324" s="13" t="str">
        <f t="shared" ref="AE324:AE387" si="66">IF(AD324&gt;=L324,"CUMPLE","NO CUMPLE")</f>
        <v>CUMPLE</v>
      </c>
      <c r="AF324" s="13">
        <f>V324*1.25*[1]Parametros!$B$3*(U324-(V324*1.25*[1]Parametros!$B$3/(0.85*[1]Parametros!$B$2*H324))/2)/1000000</f>
        <v>290.23892470588237</v>
      </c>
      <c r="AG324" s="13">
        <f>AC324*1.25*[1]Parametros!$B$3*(AB324-(AC324*1.25*[1]Parametros!$B$3/(0.85*[1]Parametros!$B$2*H324))/2)/1000000</f>
        <v>244.15884319852941</v>
      </c>
      <c r="AH324" s="13">
        <f t="shared" ref="AH324:AH387" si="67">N324+(AF324+AG324)/D324</f>
        <v>448.28488395220592</v>
      </c>
      <c r="AI324" s="13">
        <f t="shared" ref="AI324:AI387" si="68">MAX(O324,AH324)</f>
        <v>703.23199999999997</v>
      </c>
      <c r="AJ324" s="13">
        <f>0.17*SQRT([1]Parametros!$B$2)*H324*MIN(U324,AB324)/1000</f>
        <v>220.09872869180776</v>
      </c>
      <c r="AK324" s="13">
        <f>MAX(AI324/[1]Parametros!$B$6-AJ324,0)</f>
        <v>717.54393797485886</v>
      </c>
      <c r="AL324" s="13">
        <f>0.66*SQRT([1]Parametros!$B$2)*H324*MIN(U324,AB324)/1000</f>
        <v>854.500946685842</v>
      </c>
      <c r="AM324" s="13" t="str">
        <f t="shared" ref="AM324:AM387" si="69">IF(AK324&lt;=AL324,"CUMPLE","NO CUMPLE")</f>
        <v>CUMPLE</v>
      </c>
      <c r="AN324" s="13" t="s">
        <v>64</v>
      </c>
      <c r="AO324" s="14">
        <v>4</v>
      </c>
      <c r="AP324" s="13">
        <f>ROUNDDOWN(MIN(IF(BC324+BD324=0,1000000000,AO324*BB324/(BC324+BD324)),MIN(U324,AB324)/4,8*[1]Parametros!$B$12,24*BA324,300,IF(AV324=0,1000000000,2*((H324-2*([1]Parametros!$B$7+[1]Parametros!$B$9/2))+(I324-2*([1]Parametros!$B$7+[1]Parametros!$B$9/2)))/8))/10,0)*10</f>
        <v>80</v>
      </c>
      <c r="AQ324" s="13">
        <f>ROUNDDOWN(MIN(IF(BC324+BD324=0,1000000000,AO324*BB324/(BC324+BD324)),IF(AK324&gt;0.33*SQRT([1]Parametros!$B$2)*H324*MIN(U324,AB324)/1000,MIN(U324,AB324)/4,MIN(U324,AB324)/2),600,IF(AV324=0,1000000000,2*((H324-2*([1]Parametros!$B$7+[1]Parametros!$B$9/2))+(I324-2*([1]Parametros!$B$7+[1]Parametros!$B$9/2)))/8))/10,0)*10</f>
        <v>80</v>
      </c>
      <c r="AR324" s="13">
        <f>[1]Parametros!$B$6*(AJ324+MAX(BE324-BD324,0)*[1]Parametros!$B$4*MIN(U324,AB324)/1000)</f>
        <v>712.28968401885584</v>
      </c>
      <c r="AS324" s="13" t="str">
        <f t="shared" ref="AS324:AS387" si="70">IF(AND(ISERROR(SEARCH("referencia",AN324)),AM324="CUMPLE",AR324&gt;=AI324),"CUMPLE","NO CUMPLE")</f>
        <v>CUMPLE</v>
      </c>
      <c r="AT324" s="13">
        <f>[1]Parametros!$B$6*0.083*SQRT([1]Parametros!$B$2)*(H324*I324)^2/(2*(H324+I324))/1000000</f>
        <v>11.862178757598967</v>
      </c>
      <c r="AU324" s="13" t="str">
        <f t="shared" ref="AU324:AU387" si="71">IF(Q324&lt;=AT324,"DESPRECIABLE","DISEÑAR")</f>
        <v>DESPRECIABLE</v>
      </c>
      <c r="AV324" s="13">
        <f>IF(Q324&lt;=AT324,0,Q324*1000000/([1]Parametros!$B$6*2*0.85*(H324-2*([1]Parametros!$B$7+[1]Parametros!$B$9/2))*(I324-2*([1]Parametros!$B$7+[1]Parametros!$B$9/2))*[1]Parametros!$B$4))</f>
        <v>0</v>
      </c>
      <c r="AW324" s="13">
        <f>AV324*2*((H324-2*([1]Parametros!$B$7+[1]Parametros!$B$9/2))+(I324-2*([1]Parametros!$B$7+[1]Parametros!$B$9/2)))*[1]Parametros!$B$4/[1]Parametros!$B$3</f>
        <v>0</v>
      </c>
      <c r="AX324" s="14">
        <v>0</v>
      </c>
      <c r="AY324" s="13" t="str">
        <f t="shared" ref="AY324:AY387" si="72">IF(AV324=0,"DESPRECIABLE",IF(AND(ISERROR(SEARCH("referencia",AN324)),BB324/AP324&gt;=AV324,BI324&gt;=AW324,BH324="CUMPLE"),"CUMPLE","NO CUMPLE"))</f>
        <v>DESPRECIABLE</v>
      </c>
      <c r="AZ324" s="13" t="str">
        <f t="shared" ref="AZ324:AZ387" si="73">IF(AND(X324="CUMPLE",AE324="CUMPLE",AS324="CUMPLE",OR(AY324="CUMPLE",AY324="DESPRECIABLE"),BH324="CUMPLE",BJ324="CUMPLE"),"CUMPLE","NO CUMPLE")</f>
        <v>CUMPLE</v>
      </c>
      <c r="BA324" s="14">
        <v>9.5</v>
      </c>
      <c r="BB324" s="14">
        <v>71</v>
      </c>
      <c r="BC324" s="13">
        <f>MAX(IF(AK324=0,0,AK324*1000/([1]Parametros!$B$4*MIN(U324,AB324))),MAX(0.062*SQRT([1]Parametros!$B$2)*H324/[1]Parametros!$B$4,0.35*H324/[1]Parametros!$B$4))</f>
        <v>3.4912392920388022</v>
      </c>
      <c r="BD324" s="13">
        <f t="shared" ref="BD324:BD387" si="74">2*AV324</f>
        <v>0</v>
      </c>
      <c r="BE324" s="13">
        <f t="shared" ref="BE324:BE387" si="75">AO324*BB324/AP324</f>
        <v>3.55</v>
      </c>
      <c r="BF324" s="13">
        <f>SQRT((AI324*1000/(H324*MIN(U324,AB324)))^2+(Q324*1000000*2*((H324-2*([1]Parametros!$B$7+[1]Parametros!$B$9/2))+(I324-2*([1]Parametros!$B$7+[1]Parametros!$B$9/2)))/(1.7*((H324-2*([1]Parametros!$B$7+[1]Parametros!$B$9/2))*(I324-2*([1]Parametros!$B$7+[1]Parametros!$B$9/2)))^2))^2)</f>
        <v>2.8770429103466371</v>
      </c>
      <c r="BG324" s="13">
        <f>[1]Parametros!$B$6*(AJ324*1000/(H324*MIN(U324,AB324))+0.66*SQRT([1]Parametros!$B$2))</f>
        <v>3.2939603822754151</v>
      </c>
      <c r="BH324" s="13" t="str">
        <f t="shared" ref="BH324:BH387" si="76">IF(BF324&lt;=BG324,"CUMPLE","NO CUMPLE")</f>
        <v>CUMPLE</v>
      </c>
      <c r="BI324" s="13">
        <f>AX324*[1]Parametros!$B$8</f>
        <v>0</v>
      </c>
      <c r="BJ324" s="15" t="str">
        <f t="shared" ref="BJ324:BJ387" si="77">IF(BI324&gt;=AW324,"CUMPLE","NO CUMPLE")</f>
        <v>CUMPLE</v>
      </c>
    </row>
    <row r="325" spans="1:62" x14ac:dyDescent="0.3">
      <c r="A325" s="31" t="s">
        <v>75</v>
      </c>
      <c r="B325" s="32">
        <v>2</v>
      </c>
      <c r="C325" s="13">
        <v>1</v>
      </c>
      <c r="D325" s="13">
        <v>3.05</v>
      </c>
      <c r="E325" s="13">
        <v>3.05</v>
      </c>
      <c r="F325" s="13">
        <v>500</v>
      </c>
      <c r="G325" s="13">
        <v>550</v>
      </c>
      <c r="H325" s="13">
        <v>500</v>
      </c>
      <c r="I325" s="13">
        <v>550</v>
      </c>
      <c r="J325" s="14">
        <v>177.81720000000001</v>
      </c>
      <c r="K325" s="13">
        <v>2</v>
      </c>
      <c r="L325" s="14">
        <v>119.1067</v>
      </c>
      <c r="M325" s="13">
        <v>2</v>
      </c>
      <c r="N325" s="14">
        <v>142.30500000000001</v>
      </c>
      <c r="O325" s="14">
        <v>447.74900000000002</v>
      </c>
      <c r="P325" s="13">
        <v>2</v>
      </c>
      <c r="Q325" s="14">
        <v>6.4504999999999999</v>
      </c>
      <c r="R325" s="13">
        <f>MAX(MAX(1.4/[1]Parametros!$B$3,0.25*SQRT([1]Parametros!$B$2)/[1]Parametros!$B$3)*H325*U325,(0.85*[1]Parametros!$B$2/[1]Parametros!$B$3)*(1-SQRT(1-2*(J325*1000000/([1]Parametros!$B$5*H325*U325^2))/(0.85*[1]Parametros!$B$2)))*H325*U325)</f>
        <v>997.16570922613789</v>
      </c>
      <c r="S325" s="14">
        <v>6</v>
      </c>
      <c r="T325" s="14">
        <v>1</v>
      </c>
      <c r="U325" s="13">
        <f>IF(T325=1,I325-([1]Parametros!$B$7+[1]Parametros!$B$9+[1]Parametros!$B$12/2),I325-(ROUNDUP(S325/2,0)*([1]Parametros!$B$7+[1]Parametros!$B$9+[1]Parametros!$B$12/2)+ROUNDDOWN(S325/2,0)*([1]Parametros!$B$7+[1]Parametros!$B$9+[1]Parametros!$B$12/2+[1]Parametros!$B$12+[1]Parametros!$B$10))/S325)</f>
        <v>489.35</v>
      </c>
      <c r="V325" s="13">
        <f>S325*[1]Parametros!$B$8</f>
        <v>1194</v>
      </c>
      <c r="W325" s="13">
        <f>[1]Parametros!$B$5*V325*[1]Parametros!$B$3*(U325-(V325*[1]Parametros!$B$3/(0.85*[1]Parametros!$B$2*H325))/2)/1000000</f>
        <v>211.34948347058827</v>
      </c>
      <c r="X325" s="13" t="str">
        <f t="shared" si="65"/>
        <v>CUMPLE</v>
      </c>
      <c r="Y325" s="13">
        <f>MAX(MAX(1.4/[1]Parametros!$B$3,0.25*SQRT([1]Parametros!$B$2)/[1]Parametros!$B$3)*H325*AB325,(0.85*[1]Parametros!$B$2/[1]Parametros!$B$3)*(1-SQRT(1-2*(L325*1000000/([1]Parametros!$B$5*H325*AB325^2))/(0.85*[1]Parametros!$B$2)))*H325*AB325)</f>
        <v>815.58333333333326</v>
      </c>
      <c r="Z325" s="14">
        <v>5</v>
      </c>
      <c r="AA325" s="14">
        <v>1</v>
      </c>
      <c r="AB325" s="13">
        <f>IF(AA325=1,I325-([1]Parametros!$B$7+[1]Parametros!$B$9+[1]Parametros!$B$12/2),I325-(ROUNDUP(Z325/2,0)*([1]Parametros!$B$7+[1]Parametros!$B$9+[1]Parametros!$B$12/2)+ROUNDDOWN(Z325/2,0)*([1]Parametros!$B$7+[1]Parametros!$B$9+[1]Parametros!$B$12/2+[1]Parametros!$B$12+[1]Parametros!$B$10))/Z325)</f>
        <v>489.35</v>
      </c>
      <c r="AC325" s="13">
        <f>Z325*[1]Parametros!$B$8</f>
        <v>995</v>
      </c>
      <c r="AD325" s="13">
        <f>[1]Parametros!$B$5*AC325*[1]Parametros!$B$3*(AB325-(AC325*[1]Parametros!$B$3/(0.85*[1]Parametros!$B$2*H325))/2)/1000000</f>
        <v>177.44537938235294</v>
      </c>
      <c r="AE325" s="13" t="str">
        <f t="shared" si="66"/>
        <v>CUMPLE</v>
      </c>
      <c r="AF325" s="13">
        <f>V325*1.25*[1]Parametros!$B$3*(U325-(V325*1.25*[1]Parametros!$B$3/(0.85*[1]Parametros!$B$2*H325))/2)/1000000</f>
        <v>290.23892470588237</v>
      </c>
      <c r="AG325" s="13">
        <f>AC325*1.25*[1]Parametros!$B$3*(AB325-(AC325*1.25*[1]Parametros!$B$3/(0.85*[1]Parametros!$B$2*H325))/2)/1000000</f>
        <v>244.15884319852941</v>
      </c>
      <c r="AH325" s="13">
        <f t="shared" si="67"/>
        <v>317.5173829194793</v>
      </c>
      <c r="AI325" s="13">
        <f t="shared" si="68"/>
        <v>447.74900000000002</v>
      </c>
      <c r="AJ325" s="13">
        <f>0.17*SQRT([1]Parametros!$B$2)*H325*MIN(U325,AB325)/1000</f>
        <v>220.09872869180776</v>
      </c>
      <c r="AK325" s="13">
        <f>MAX(AI325/[1]Parametros!$B$6-AJ325,0)</f>
        <v>376.89993797485897</v>
      </c>
      <c r="AL325" s="13">
        <f>0.66*SQRT([1]Parametros!$B$2)*H325*MIN(U325,AB325)/1000</f>
        <v>854.500946685842</v>
      </c>
      <c r="AM325" s="13" t="str">
        <f t="shared" si="69"/>
        <v>CUMPLE</v>
      </c>
      <c r="AN325" s="13" t="s">
        <v>68</v>
      </c>
      <c r="AO325" s="14">
        <v>2</v>
      </c>
      <c r="AP325" s="13">
        <f>ROUNDDOWN(MIN(IF(BC325+BD325=0,1000000000,AO325*BB325/(BC325+BD325)),MIN(U325,AB325)/4,8*[1]Parametros!$B$12,24*BA325,300,IF(AV325=0,1000000000,2*((H325-2*([1]Parametros!$B$7+[1]Parametros!$B$9/2))+(I325-2*([1]Parametros!$B$7+[1]Parametros!$B$9/2)))/8))/10,0)*10</f>
        <v>120</v>
      </c>
      <c r="AQ325" s="13">
        <f>ROUNDDOWN(MIN(IF(BC325+BD325=0,1000000000,AO325*BB325/(BC325+BD325)),IF(AK325&gt;0.33*SQRT([1]Parametros!$B$2)*H325*MIN(U325,AB325)/1000,MIN(U325,AB325)/4,MIN(U325,AB325)/2),600,IF(AV325=0,1000000000,2*((H325-2*([1]Parametros!$B$7+[1]Parametros!$B$9/2))+(I325-2*([1]Parametros!$B$7+[1]Parametros!$B$9/2)))/8))/10,0)*10</f>
        <v>140</v>
      </c>
      <c r="AR325" s="13">
        <f>[1]Parametros!$B$6*(AJ325+MAX(BE325-BD325,0)*[1]Parametros!$B$4*MIN(U325,AB325)/1000)</f>
        <v>496.48633401885581</v>
      </c>
      <c r="AS325" s="13" t="str">
        <f t="shared" si="70"/>
        <v>CUMPLE</v>
      </c>
      <c r="AT325" s="13">
        <f>[1]Parametros!$B$6*0.083*SQRT([1]Parametros!$B$2)*(H325*I325)^2/(2*(H325+I325))/1000000</f>
        <v>11.862178757598967</v>
      </c>
      <c r="AU325" s="13" t="str">
        <f t="shared" si="71"/>
        <v>DESPRECIABLE</v>
      </c>
      <c r="AV325" s="13">
        <f>IF(Q325&lt;=AT325,0,Q325*1000000/([1]Parametros!$B$6*2*0.85*(H325-2*([1]Parametros!$B$7+[1]Parametros!$B$9/2))*(I325-2*([1]Parametros!$B$7+[1]Parametros!$B$9/2))*[1]Parametros!$B$4))</f>
        <v>0</v>
      </c>
      <c r="AW325" s="13">
        <f>AV325*2*((H325-2*([1]Parametros!$B$7+[1]Parametros!$B$9/2))+(I325-2*([1]Parametros!$B$7+[1]Parametros!$B$9/2)))*[1]Parametros!$B$4/[1]Parametros!$B$3</f>
        <v>0</v>
      </c>
      <c r="AX325" s="14">
        <v>0</v>
      </c>
      <c r="AY325" s="13" t="str">
        <f t="shared" si="72"/>
        <v>DESPRECIABLE</v>
      </c>
      <c r="AZ325" s="13" t="str">
        <f t="shared" si="73"/>
        <v>CUMPLE</v>
      </c>
      <c r="BA325" s="14">
        <v>12.7</v>
      </c>
      <c r="BB325" s="14">
        <v>129</v>
      </c>
      <c r="BC325" s="13">
        <f>MAX(IF(AK325=0,0,AK325*1000/([1]Parametros!$B$4*MIN(U325,AB325))),MAX(0.062*SQRT([1]Parametros!$B$2)*H325/[1]Parametros!$B$4,0.35*H325/[1]Parametros!$B$4))</f>
        <v>1.8338220183959235</v>
      </c>
      <c r="BD325" s="13">
        <f t="shared" si="74"/>
        <v>0</v>
      </c>
      <c r="BE325" s="13">
        <f t="shared" si="75"/>
        <v>2.15</v>
      </c>
      <c r="BF325" s="13">
        <f>SQRT((AI325*1000/(H325*MIN(U325,AB325)))^2+(Q325*1000000*2*((H325-2*([1]Parametros!$B$7+[1]Parametros!$B$9/2))+(I325-2*([1]Parametros!$B$7+[1]Parametros!$B$9/2)))/(1.7*((H325-2*([1]Parametros!$B$7+[1]Parametros!$B$9/2))*(I325-2*([1]Parametros!$B$7+[1]Parametros!$B$9/2)))^2))^2)</f>
        <v>1.8397218113751388</v>
      </c>
      <c r="BG325" s="13">
        <f>[1]Parametros!$B$6*(AJ325*1000/(H325*MIN(U325,AB325))+0.66*SQRT([1]Parametros!$B$2))</f>
        <v>3.2939603822754151</v>
      </c>
      <c r="BH325" s="13" t="str">
        <f t="shared" si="76"/>
        <v>CUMPLE</v>
      </c>
      <c r="BI325" s="13">
        <f>AX325*[1]Parametros!$B$8</f>
        <v>0</v>
      </c>
      <c r="BJ325" s="15" t="str">
        <f t="shared" si="77"/>
        <v>CUMPLE</v>
      </c>
    </row>
    <row r="326" spans="1:62" x14ac:dyDescent="0.3">
      <c r="A326" s="31" t="s">
        <v>75</v>
      </c>
      <c r="B326" s="32">
        <v>3</v>
      </c>
      <c r="C326" s="13">
        <v>1</v>
      </c>
      <c r="D326" s="13">
        <v>2</v>
      </c>
      <c r="E326" s="13">
        <v>2</v>
      </c>
      <c r="F326" s="13">
        <v>500</v>
      </c>
      <c r="G326" s="13">
        <v>550</v>
      </c>
      <c r="H326" s="13">
        <v>500</v>
      </c>
      <c r="I326" s="13">
        <v>550</v>
      </c>
      <c r="J326" s="14">
        <v>175.8295</v>
      </c>
      <c r="K326" s="13">
        <v>3</v>
      </c>
      <c r="L326" s="14">
        <v>143.34049999999999</v>
      </c>
      <c r="M326" s="13">
        <v>3</v>
      </c>
      <c r="N326" s="14">
        <v>164.79400000000001</v>
      </c>
      <c r="O326" s="14">
        <v>634.62699999999995</v>
      </c>
      <c r="P326" s="13">
        <v>3</v>
      </c>
      <c r="Q326" s="14">
        <v>10.936500000000001</v>
      </c>
      <c r="R326" s="13">
        <f>MAX(MAX(1.4/[1]Parametros!$B$3,0.25*SQRT([1]Parametros!$B$2)/[1]Parametros!$B$3)*H326*U326,(0.85*[1]Parametros!$B$2/[1]Parametros!$B$3)*(1-SQRT(1-2*(J326*1000000/([1]Parametros!$B$5*H326*U326^2))/(0.85*[1]Parametros!$B$2)))*H326*U326)</f>
        <v>985.59236682373137</v>
      </c>
      <c r="S326" s="14">
        <v>5</v>
      </c>
      <c r="T326" s="14">
        <v>1</v>
      </c>
      <c r="U326" s="13">
        <f>IF(T326=1,I326-([1]Parametros!$B$7+[1]Parametros!$B$9+[1]Parametros!$B$12/2),I326-(ROUNDUP(S326/2,0)*([1]Parametros!$B$7+[1]Parametros!$B$9+[1]Parametros!$B$12/2)+ROUNDDOWN(S326/2,0)*([1]Parametros!$B$7+[1]Parametros!$B$9+[1]Parametros!$B$12/2+[1]Parametros!$B$12+[1]Parametros!$B$10))/S326)</f>
        <v>489.35</v>
      </c>
      <c r="V326" s="13">
        <f>S326*[1]Parametros!$B$8</f>
        <v>995</v>
      </c>
      <c r="W326" s="13">
        <f>[1]Parametros!$B$5*V326*[1]Parametros!$B$3*(U326-(V326*[1]Parametros!$B$3/(0.85*[1]Parametros!$B$2*H326))/2)/1000000</f>
        <v>177.44537938235294</v>
      </c>
      <c r="X326" s="13" t="str">
        <f t="shared" si="65"/>
        <v>CUMPLE</v>
      </c>
      <c r="Y326" s="13">
        <f>MAX(MAX(1.4/[1]Parametros!$B$3,0.25*SQRT([1]Parametros!$B$2)/[1]Parametros!$B$3)*H326*AB326,(0.85*[1]Parametros!$B$2/[1]Parametros!$B$3)*(1-SQRT(1-2*(L326*1000000/([1]Parametros!$B$5*H326*AB326^2))/(0.85*[1]Parametros!$B$2)))*H326*AB326)</f>
        <v>815.58333333333326</v>
      </c>
      <c r="Z326" s="14">
        <v>5</v>
      </c>
      <c r="AA326" s="14">
        <v>1</v>
      </c>
      <c r="AB326" s="13">
        <f>IF(AA326=1,I326-([1]Parametros!$B$7+[1]Parametros!$B$9+[1]Parametros!$B$12/2),I326-(ROUNDUP(Z326/2,0)*([1]Parametros!$B$7+[1]Parametros!$B$9+[1]Parametros!$B$12/2)+ROUNDDOWN(Z326/2,0)*([1]Parametros!$B$7+[1]Parametros!$B$9+[1]Parametros!$B$12/2+[1]Parametros!$B$12+[1]Parametros!$B$10))/Z326)</f>
        <v>489.35</v>
      </c>
      <c r="AC326" s="13">
        <f>Z326*[1]Parametros!$B$8</f>
        <v>995</v>
      </c>
      <c r="AD326" s="13">
        <f>[1]Parametros!$B$5*AC326*[1]Parametros!$B$3*(AB326-(AC326*[1]Parametros!$B$3/(0.85*[1]Parametros!$B$2*H326))/2)/1000000</f>
        <v>177.44537938235294</v>
      </c>
      <c r="AE326" s="13" t="str">
        <f t="shared" si="66"/>
        <v>CUMPLE</v>
      </c>
      <c r="AF326" s="13">
        <f>V326*1.25*[1]Parametros!$B$3*(U326-(V326*1.25*[1]Parametros!$B$3/(0.85*[1]Parametros!$B$2*H326))/2)/1000000</f>
        <v>244.15884319852941</v>
      </c>
      <c r="AG326" s="13">
        <f>AC326*1.25*[1]Parametros!$B$3*(AB326-(AC326*1.25*[1]Parametros!$B$3/(0.85*[1]Parametros!$B$2*H326))/2)/1000000</f>
        <v>244.15884319852941</v>
      </c>
      <c r="AH326" s="13">
        <f t="shared" si="67"/>
        <v>408.95284319852942</v>
      </c>
      <c r="AI326" s="13">
        <f t="shared" si="68"/>
        <v>634.62699999999995</v>
      </c>
      <c r="AJ326" s="13">
        <f>0.17*SQRT([1]Parametros!$B$2)*H326*MIN(U326,AB326)/1000</f>
        <v>220.09872869180776</v>
      </c>
      <c r="AK326" s="13">
        <f>MAX(AI326/[1]Parametros!$B$6-AJ326,0)</f>
        <v>626.07060464152551</v>
      </c>
      <c r="AL326" s="13">
        <f>0.66*SQRT([1]Parametros!$B$2)*H326*MIN(U326,AB326)/1000</f>
        <v>854.500946685842</v>
      </c>
      <c r="AM326" s="13" t="str">
        <f t="shared" si="69"/>
        <v>CUMPLE</v>
      </c>
      <c r="AN326" s="13" t="s">
        <v>68</v>
      </c>
      <c r="AO326" s="14">
        <v>2</v>
      </c>
      <c r="AP326" s="13">
        <f>ROUNDDOWN(MIN(IF(BC326+BD326=0,1000000000,AO326*BB326/(BC326+BD326)),MIN(U326,AB326)/4,8*[1]Parametros!$B$12,24*BA326,300,IF(AV326=0,1000000000,2*((H326-2*([1]Parametros!$B$7+[1]Parametros!$B$9/2))+(I326-2*([1]Parametros!$B$7+[1]Parametros!$B$9/2)))/8))/10,0)*10</f>
        <v>80</v>
      </c>
      <c r="AQ326" s="13">
        <f>ROUNDDOWN(MIN(IF(BC326+BD326=0,1000000000,AO326*BB326/(BC326+BD326)),IF(AK326&gt;0.33*SQRT([1]Parametros!$B$2)*H326*MIN(U326,AB326)/1000,MIN(U326,AB326)/4,MIN(U326,AB326)/2),600,IF(AV326=0,1000000000,2*((H326-2*([1]Parametros!$B$7+[1]Parametros!$B$9/2))+(I326-2*([1]Parametros!$B$7+[1]Parametros!$B$9/2)))/8))/10,0)*10</f>
        <v>80</v>
      </c>
      <c r="AR326" s="13">
        <f>[1]Parametros!$B$6*(AJ326+MAX(BE326-BD326,0)*[1]Parametros!$B$4*MIN(U326,AB326)/1000)</f>
        <v>662.19247776885595</v>
      </c>
      <c r="AS326" s="13" t="str">
        <f t="shared" si="70"/>
        <v>CUMPLE</v>
      </c>
      <c r="AT326" s="13">
        <f>[1]Parametros!$B$6*0.083*SQRT([1]Parametros!$B$2)*(H326*I326)^2/(2*(H326+I326))/1000000</f>
        <v>11.862178757598967</v>
      </c>
      <c r="AU326" s="13" t="str">
        <f t="shared" si="71"/>
        <v>DESPRECIABLE</v>
      </c>
      <c r="AV326" s="13">
        <f>IF(Q326&lt;=AT326,0,Q326*1000000/([1]Parametros!$B$6*2*0.85*(H326-2*([1]Parametros!$B$7+[1]Parametros!$B$9/2))*(I326-2*([1]Parametros!$B$7+[1]Parametros!$B$9/2))*[1]Parametros!$B$4))</f>
        <v>0</v>
      </c>
      <c r="AW326" s="13">
        <f>AV326*2*((H326-2*([1]Parametros!$B$7+[1]Parametros!$B$9/2))+(I326-2*([1]Parametros!$B$7+[1]Parametros!$B$9/2)))*[1]Parametros!$B$4/[1]Parametros!$B$3</f>
        <v>0</v>
      </c>
      <c r="AX326" s="14">
        <v>0</v>
      </c>
      <c r="AY326" s="13" t="str">
        <f t="shared" si="72"/>
        <v>DESPRECIABLE</v>
      </c>
      <c r="AZ326" s="13" t="str">
        <f t="shared" si="73"/>
        <v>CUMPLE</v>
      </c>
      <c r="BA326" s="14">
        <v>12.7</v>
      </c>
      <c r="BB326" s="14">
        <v>129</v>
      </c>
      <c r="BC326" s="13">
        <f>MAX(IF(AK326=0,0,AK326*1000/([1]Parametros!$B$4*MIN(U326,AB326))),MAX(0.062*SQRT([1]Parametros!$B$2)*H326/[1]Parametros!$B$4,0.35*H326/[1]Parametros!$B$4))</f>
        <v>3.0461720583744496</v>
      </c>
      <c r="BD326" s="13">
        <f t="shared" si="74"/>
        <v>0</v>
      </c>
      <c r="BE326" s="13">
        <f t="shared" si="75"/>
        <v>3.2250000000000001</v>
      </c>
      <c r="BF326" s="13">
        <f>SQRT((AI326*1000/(H326*MIN(U326,AB326)))^2+(Q326*1000000*2*((H326-2*([1]Parametros!$B$7+[1]Parametros!$B$9/2))+(I326-2*([1]Parametros!$B$7+[1]Parametros!$B$9/2)))/(1.7*((H326-2*([1]Parametros!$B$7+[1]Parametros!$B$9/2))*(I326-2*([1]Parametros!$B$7+[1]Parametros!$B$9/2)))^2))^2)</f>
        <v>2.6135009276989667</v>
      </c>
      <c r="BG326" s="13">
        <f>[1]Parametros!$B$6*(AJ326*1000/(H326*MIN(U326,AB326))+0.66*SQRT([1]Parametros!$B$2))</f>
        <v>3.2939603822754151</v>
      </c>
      <c r="BH326" s="13" t="str">
        <f t="shared" si="76"/>
        <v>CUMPLE</v>
      </c>
      <c r="BI326" s="13">
        <f>AX326*[1]Parametros!$B$8</f>
        <v>0</v>
      </c>
      <c r="BJ326" s="15" t="str">
        <f t="shared" si="77"/>
        <v>CUMPLE</v>
      </c>
    </row>
    <row r="327" spans="1:62" x14ac:dyDescent="0.3">
      <c r="A327" s="31" t="s">
        <v>75</v>
      </c>
      <c r="B327" s="32">
        <v>4</v>
      </c>
      <c r="C327" s="13">
        <v>1</v>
      </c>
      <c r="D327" s="13">
        <v>1.9</v>
      </c>
      <c r="E327" s="13">
        <v>1.9</v>
      </c>
      <c r="F327" s="13">
        <v>500</v>
      </c>
      <c r="G327" s="13">
        <v>550</v>
      </c>
      <c r="H327" s="13">
        <v>500</v>
      </c>
      <c r="I327" s="13">
        <v>550</v>
      </c>
      <c r="J327" s="14">
        <v>186.63579999999999</v>
      </c>
      <c r="K327" s="13">
        <v>4</v>
      </c>
      <c r="L327" s="14">
        <v>158.86709999999999</v>
      </c>
      <c r="M327" s="13">
        <v>4</v>
      </c>
      <c r="N327" s="14">
        <v>178.29400000000001</v>
      </c>
      <c r="O327" s="14">
        <v>702.26300000000003</v>
      </c>
      <c r="P327" s="13">
        <v>4</v>
      </c>
      <c r="Q327" s="14">
        <v>6.5964</v>
      </c>
      <c r="R327" s="13">
        <f>MAX(MAX(1.4/[1]Parametros!$B$3,0.25*SQRT([1]Parametros!$B$2)/[1]Parametros!$B$3)*H327*U327,(0.85*[1]Parametros!$B$2/[1]Parametros!$B$3)*(1-SQRT(1-2*(J327*1000000/([1]Parametros!$B$5*H327*U327^2))/(0.85*[1]Parametros!$B$2)))*H327*U327)</f>
        <v>1048.6378636352422</v>
      </c>
      <c r="S327" s="14">
        <v>6</v>
      </c>
      <c r="T327" s="14">
        <v>1</v>
      </c>
      <c r="U327" s="13">
        <f>IF(T327=1,I327-([1]Parametros!$B$7+[1]Parametros!$B$9+[1]Parametros!$B$12/2),I327-(ROUNDUP(S327/2,0)*([1]Parametros!$B$7+[1]Parametros!$B$9+[1]Parametros!$B$12/2)+ROUNDDOWN(S327/2,0)*([1]Parametros!$B$7+[1]Parametros!$B$9+[1]Parametros!$B$12/2+[1]Parametros!$B$12+[1]Parametros!$B$10))/S327)</f>
        <v>489.35</v>
      </c>
      <c r="V327" s="13">
        <f>S327*[1]Parametros!$B$8</f>
        <v>1194</v>
      </c>
      <c r="W327" s="13">
        <f>[1]Parametros!$B$5*V327*[1]Parametros!$B$3*(U327-(V327*[1]Parametros!$B$3/(0.85*[1]Parametros!$B$2*H327))/2)/1000000</f>
        <v>211.34948347058827</v>
      </c>
      <c r="X327" s="13" t="str">
        <f t="shared" si="65"/>
        <v>CUMPLE</v>
      </c>
      <c r="Y327" s="13">
        <f>MAX(MAX(1.4/[1]Parametros!$B$3,0.25*SQRT([1]Parametros!$B$2)/[1]Parametros!$B$3)*H327*AB327,(0.85*[1]Parametros!$B$2/[1]Parametros!$B$3)*(1-SQRT(1-2*(L327*1000000/([1]Parametros!$B$5*H327*AB327^2))/(0.85*[1]Parametros!$B$2)))*H327*AB327)</f>
        <v>887.24897874771796</v>
      </c>
      <c r="Z327" s="14">
        <v>5</v>
      </c>
      <c r="AA327" s="14">
        <v>1</v>
      </c>
      <c r="AB327" s="13">
        <f>IF(AA327=1,I327-([1]Parametros!$B$7+[1]Parametros!$B$9+[1]Parametros!$B$12/2),I327-(ROUNDUP(Z327/2,0)*([1]Parametros!$B$7+[1]Parametros!$B$9+[1]Parametros!$B$12/2)+ROUNDDOWN(Z327/2,0)*([1]Parametros!$B$7+[1]Parametros!$B$9+[1]Parametros!$B$12/2+[1]Parametros!$B$12+[1]Parametros!$B$10))/Z327)</f>
        <v>489.35</v>
      </c>
      <c r="AC327" s="13">
        <f>Z327*[1]Parametros!$B$8</f>
        <v>995</v>
      </c>
      <c r="AD327" s="13">
        <f>[1]Parametros!$B$5*AC327*[1]Parametros!$B$3*(AB327-(AC327*[1]Parametros!$B$3/(0.85*[1]Parametros!$B$2*H327))/2)/1000000</f>
        <v>177.44537938235294</v>
      </c>
      <c r="AE327" s="13" t="str">
        <f t="shared" si="66"/>
        <v>CUMPLE</v>
      </c>
      <c r="AF327" s="13">
        <f>V327*1.25*[1]Parametros!$B$3*(U327-(V327*1.25*[1]Parametros!$B$3/(0.85*[1]Parametros!$B$2*H327))/2)/1000000</f>
        <v>290.23892470588237</v>
      </c>
      <c r="AG327" s="13">
        <f>AC327*1.25*[1]Parametros!$B$3*(AB327-(AC327*1.25*[1]Parametros!$B$3/(0.85*[1]Parametros!$B$2*H327))/2)/1000000</f>
        <v>244.15884319852941</v>
      </c>
      <c r="AH327" s="13">
        <f t="shared" si="67"/>
        <v>459.55598310758523</v>
      </c>
      <c r="AI327" s="13">
        <f t="shared" si="68"/>
        <v>702.26300000000003</v>
      </c>
      <c r="AJ327" s="13">
        <f>0.17*SQRT([1]Parametros!$B$2)*H327*MIN(U327,AB327)/1000</f>
        <v>220.09872869180776</v>
      </c>
      <c r="AK327" s="13">
        <f>MAX(AI327/[1]Parametros!$B$6-AJ327,0)</f>
        <v>716.25193797485895</v>
      </c>
      <c r="AL327" s="13">
        <f>0.66*SQRT([1]Parametros!$B$2)*H327*MIN(U327,AB327)/1000</f>
        <v>854.500946685842</v>
      </c>
      <c r="AM327" s="13" t="str">
        <f t="shared" si="69"/>
        <v>CUMPLE</v>
      </c>
      <c r="AN327" s="13" t="s">
        <v>64</v>
      </c>
      <c r="AO327" s="14">
        <v>4</v>
      </c>
      <c r="AP327" s="13">
        <f>ROUNDDOWN(MIN(IF(BC327+BD327=0,1000000000,AO327*BB327/(BC327+BD327)),MIN(U327,AB327)/4,8*[1]Parametros!$B$12,24*BA327,300,IF(AV327=0,1000000000,2*((H327-2*([1]Parametros!$B$7+[1]Parametros!$B$9/2))+(I327-2*([1]Parametros!$B$7+[1]Parametros!$B$9/2)))/8))/10,0)*10</f>
        <v>80</v>
      </c>
      <c r="AQ327" s="13">
        <f>ROUNDDOWN(MIN(IF(BC327+BD327=0,1000000000,AO327*BB327/(BC327+BD327)),IF(AK327&gt;0.33*SQRT([1]Parametros!$B$2)*H327*MIN(U327,AB327)/1000,MIN(U327,AB327)/4,MIN(U327,AB327)/2),600,IF(AV327=0,1000000000,2*((H327-2*([1]Parametros!$B$7+[1]Parametros!$B$9/2))+(I327-2*([1]Parametros!$B$7+[1]Parametros!$B$9/2)))/8))/10,0)*10</f>
        <v>80</v>
      </c>
      <c r="AR327" s="13">
        <f>[1]Parametros!$B$6*(AJ327+MAX(BE327-BD327,0)*[1]Parametros!$B$4*MIN(U327,AB327)/1000)</f>
        <v>712.28968401885584</v>
      </c>
      <c r="AS327" s="13" t="str">
        <f t="shared" si="70"/>
        <v>CUMPLE</v>
      </c>
      <c r="AT327" s="13">
        <f>[1]Parametros!$B$6*0.083*SQRT([1]Parametros!$B$2)*(H327*I327)^2/(2*(H327+I327))/1000000</f>
        <v>11.862178757598967</v>
      </c>
      <c r="AU327" s="13" t="str">
        <f t="shared" si="71"/>
        <v>DESPRECIABLE</v>
      </c>
      <c r="AV327" s="13">
        <f>IF(Q327&lt;=AT327,0,Q327*1000000/([1]Parametros!$B$6*2*0.85*(H327-2*([1]Parametros!$B$7+[1]Parametros!$B$9/2))*(I327-2*([1]Parametros!$B$7+[1]Parametros!$B$9/2))*[1]Parametros!$B$4))</f>
        <v>0</v>
      </c>
      <c r="AW327" s="13">
        <f>AV327*2*((H327-2*([1]Parametros!$B$7+[1]Parametros!$B$9/2))+(I327-2*([1]Parametros!$B$7+[1]Parametros!$B$9/2)))*[1]Parametros!$B$4/[1]Parametros!$B$3</f>
        <v>0</v>
      </c>
      <c r="AX327" s="14">
        <v>0</v>
      </c>
      <c r="AY327" s="13" t="str">
        <f t="shared" si="72"/>
        <v>DESPRECIABLE</v>
      </c>
      <c r="AZ327" s="13" t="str">
        <f t="shared" si="73"/>
        <v>CUMPLE</v>
      </c>
      <c r="BA327" s="14">
        <v>9.5</v>
      </c>
      <c r="BB327" s="14">
        <v>71</v>
      </c>
      <c r="BC327" s="13">
        <f>MAX(IF(AK327=0,0,AK327*1000/([1]Parametros!$B$4*MIN(U327,AB327))),MAX(0.062*SQRT([1]Parametros!$B$2)*H327/[1]Parametros!$B$4,0.35*H327/[1]Parametros!$B$4))</f>
        <v>3.4849530133503572</v>
      </c>
      <c r="BD327" s="13">
        <f t="shared" si="74"/>
        <v>0</v>
      </c>
      <c r="BE327" s="13">
        <f t="shared" si="75"/>
        <v>3.55</v>
      </c>
      <c r="BF327" s="13">
        <f>SQRT((AI327*1000/(H327*MIN(U327,AB327)))^2+(Q327*1000000*2*((H327-2*([1]Parametros!$B$7+[1]Parametros!$B$9/2))+(I327-2*([1]Parametros!$B$7+[1]Parametros!$B$9/2)))/(1.7*((H327-2*([1]Parametros!$B$7+[1]Parametros!$B$9/2))*(I327-2*([1]Parametros!$B$7+[1]Parametros!$B$9/2)))^2))^2)</f>
        <v>2.8766959454063672</v>
      </c>
      <c r="BG327" s="13">
        <f>[1]Parametros!$B$6*(AJ327*1000/(H327*MIN(U327,AB327))+0.66*SQRT([1]Parametros!$B$2))</f>
        <v>3.2939603822754151</v>
      </c>
      <c r="BH327" s="13" t="str">
        <f t="shared" si="76"/>
        <v>CUMPLE</v>
      </c>
      <c r="BI327" s="13">
        <f>AX327*[1]Parametros!$B$8</f>
        <v>0</v>
      </c>
      <c r="BJ327" s="15" t="str">
        <f t="shared" si="77"/>
        <v>CUMPLE</v>
      </c>
    </row>
    <row r="328" spans="1:62" x14ac:dyDescent="0.3">
      <c r="A328" s="31" t="s">
        <v>75</v>
      </c>
      <c r="B328" s="32">
        <v>5</v>
      </c>
      <c r="C328" s="13">
        <v>1</v>
      </c>
      <c r="D328" s="13">
        <v>3.4</v>
      </c>
      <c r="E328" s="13">
        <v>3.4</v>
      </c>
      <c r="F328" s="13">
        <v>500</v>
      </c>
      <c r="G328" s="13">
        <v>550</v>
      </c>
      <c r="H328" s="13">
        <v>500</v>
      </c>
      <c r="I328" s="13">
        <v>550</v>
      </c>
      <c r="J328" s="14">
        <v>191.2234</v>
      </c>
      <c r="K328" s="13">
        <v>5</v>
      </c>
      <c r="L328" s="14">
        <v>108.4164</v>
      </c>
      <c r="M328" s="13">
        <v>5</v>
      </c>
      <c r="N328" s="14">
        <v>142.77600000000001</v>
      </c>
      <c r="O328" s="14">
        <v>396.846</v>
      </c>
      <c r="P328" s="13">
        <v>5</v>
      </c>
      <c r="Q328" s="14">
        <v>15.072100000000001</v>
      </c>
      <c r="R328" s="13">
        <f>MAX(MAX(1.4/[1]Parametros!$B$3,0.25*SQRT([1]Parametros!$B$2)/[1]Parametros!$B$3)*H328*U328,(0.85*[1]Parametros!$B$2/[1]Parametros!$B$3)*(1-SQRT(1-2*(J328*1000000/([1]Parametros!$B$5*H328*U328^2))/(0.85*[1]Parametros!$B$2)))*H328*U328)</f>
        <v>1075.496550519993</v>
      </c>
      <c r="S328" s="14">
        <v>6</v>
      </c>
      <c r="T328" s="14">
        <v>1</v>
      </c>
      <c r="U328" s="13">
        <f>IF(T328=1,I328-([1]Parametros!$B$7+[1]Parametros!$B$9+[1]Parametros!$B$12/2),I328-(ROUNDUP(S328/2,0)*([1]Parametros!$B$7+[1]Parametros!$B$9+[1]Parametros!$B$12/2)+ROUNDDOWN(S328/2,0)*([1]Parametros!$B$7+[1]Parametros!$B$9+[1]Parametros!$B$12/2+[1]Parametros!$B$12+[1]Parametros!$B$10))/S328)</f>
        <v>489.35</v>
      </c>
      <c r="V328" s="13">
        <f>S328*[1]Parametros!$B$8</f>
        <v>1194</v>
      </c>
      <c r="W328" s="13">
        <f>[1]Parametros!$B$5*V328*[1]Parametros!$B$3*(U328-(V328*[1]Parametros!$B$3/(0.85*[1]Parametros!$B$2*H328))/2)/1000000</f>
        <v>211.34948347058827</v>
      </c>
      <c r="X328" s="13" t="str">
        <f t="shared" si="65"/>
        <v>CUMPLE</v>
      </c>
      <c r="Y328" s="13">
        <f>MAX(MAX(1.4/[1]Parametros!$B$3,0.25*SQRT([1]Parametros!$B$2)/[1]Parametros!$B$3)*H328*AB328,(0.85*[1]Parametros!$B$2/[1]Parametros!$B$3)*(1-SQRT(1-2*(L328*1000000/([1]Parametros!$B$5*H328*AB328^2))/(0.85*[1]Parametros!$B$2)))*H328*AB328)</f>
        <v>815.58333333333326</v>
      </c>
      <c r="Z328" s="14">
        <v>5</v>
      </c>
      <c r="AA328" s="14">
        <v>1</v>
      </c>
      <c r="AB328" s="13">
        <f>IF(AA328=1,I328-([1]Parametros!$B$7+[1]Parametros!$B$9+[1]Parametros!$B$12/2),I328-(ROUNDUP(Z328/2,0)*([1]Parametros!$B$7+[1]Parametros!$B$9+[1]Parametros!$B$12/2)+ROUNDDOWN(Z328/2,0)*([1]Parametros!$B$7+[1]Parametros!$B$9+[1]Parametros!$B$12/2+[1]Parametros!$B$12+[1]Parametros!$B$10))/Z328)</f>
        <v>489.35</v>
      </c>
      <c r="AC328" s="13">
        <f>Z328*[1]Parametros!$B$8</f>
        <v>995</v>
      </c>
      <c r="AD328" s="13">
        <f>[1]Parametros!$B$5*AC328*[1]Parametros!$B$3*(AB328-(AC328*[1]Parametros!$B$3/(0.85*[1]Parametros!$B$2*H328))/2)/1000000</f>
        <v>177.44537938235294</v>
      </c>
      <c r="AE328" s="13" t="str">
        <f t="shared" si="66"/>
        <v>CUMPLE</v>
      </c>
      <c r="AF328" s="13">
        <f>V328*1.25*[1]Parametros!$B$3*(U328-(V328*1.25*[1]Parametros!$B$3/(0.85*[1]Parametros!$B$2*H328))/2)/1000000</f>
        <v>290.23892470588237</v>
      </c>
      <c r="AG328" s="13">
        <f>AC328*1.25*[1]Parametros!$B$3*(AB328-(AC328*1.25*[1]Parametros!$B$3/(0.85*[1]Parametros!$B$2*H328))/2)/1000000</f>
        <v>244.15884319852941</v>
      </c>
      <c r="AH328" s="13">
        <f t="shared" si="67"/>
        <v>299.95181408953289</v>
      </c>
      <c r="AI328" s="13">
        <f t="shared" si="68"/>
        <v>396.846</v>
      </c>
      <c r="AJ328" s="13">
        <f>0.17*SQRT([1]Parametros!$B$2)*H328*MIN(U328,AB328)/1000</f>
        <v>220.09872869180776</v>
      </c>
      <c r="AK328" s="13">
        <f>MAX(AI328/[1]Parametros!$B$6-AJ328,0)</f>
        <v>309.02927130819228</v>
      </c>
      <c r="AL328" s="13">
        <f>0.66*SQRT([1]Parametros!$B$2)*H328*MIN(U328,AB328)/1000</f>
        <v>854.500946685842</v>
      </c>
      <c r="AM328" s="13" t="str">
        <f t="shared" si="69"/>
        <v>CUMPLE</v>
      </c>
      <c r="AN328" s="13" t="s">
        <v>68</v>
      </c>
      <c r="AO328" s="14">
        <v>2</v>
      </c>
      <c r="AP328" s="13">
        <f>ROUNDDOWN(MIN(IF(BC328+BD328=0,1000000000,AO328*BB328/(BC328+BD328)),MIN(U328,AB328)/4,8*[1]Parametros!$B$12,24*BA328,300,IF(AV328=0,1000000000,2*((H328-2*([1]Parametros!$B$7+[1]Parametros!$B$9/2))+(I328-2*([1]Parametros!$B$7+[1]Parametros!$B$9/2)))/8))/10,0)*10</f>
        <v>120</v>
      </c>
      <c r="AQ328" s="13">
        <f>ROUNDDOWN(MIN(IF(BC328+BD328=0,1000000000,AO328*BB328/(BC328+BD328)),IF(AK328&gt;0.33*SQRT([1]Parametros!$B$2)*H328*MIN(U328,AB328)/1000,MIN(U328,AB328)/4,MIN(U328,AB328)/2),600,IF(AV328=0,1000000000,2*((H328-2*([1]Parametros!$B$7+[1]Parametros!$B$9/2))+(I328-2*([1]Parametros!$B$7+[1]Parametros!$B$9/2)))/8))/10,0)*10</f>
        <v>140</v>
      </c>
      <c r="AR328" s="13">
        <f>[1]Parametros!$B$6*(AJ328+MAX(BE328-BD328,0)*[1]Parametros!$B$4*MIN(U328,AB328)/1000)</f>
        <v>449.89996930235509</v>
      </c>
      <c r="AS328" s="13" t="str">
        <f t="shared" si="70"/>
        <v>CUMPLE</v>
      </c>
      <c r="AT328" s="13">
        <f>[1]Parametros!$B$6*0.083*SQRT([1]Parametros!$B$2)*(H328*I328)^2/(2*(H328+I328))/1000000</f>
        <v>11.862178757598967</v>
      </c>
      <c r="AU328" s="13" t="str">
        <f t="shared" si="71"/>
        <v>DISEÑAR</v>
      </c>
      <c r="AV328" s="13">
        <f>IF(Q328&lt;=AT328,0,Q328*1000000/([1]Parametros!$B$6*2*0.85*(H328-2*([1]Parametros!$B$7+[1]Parametros!$B$9/2))*(I328-2*([1]Parametros!$B$7+[1]Parametros!$B$9/2))*[1]Parametros!$B$4))</f>
        <v>0.15111190489652049</v>
      </c>
      <c r="AW328" s="13">
        <f>AV328*2*((H328-2*([1]Parametros!$B$7+[1]Parametros!$B$9/2))+(I328-2*([1]Parametros!$B$7+[1]Parametros!$B$9/2)))*[1]Parametros!$B$4/[1]Parametros!$B$3</f>
        <v>261.30270594706326</v>
      </c>
      <c r="AX328" s="14">
        <v>8</v>
      </c>
      <c r="AY328" s="13" t="str">
        <f t="shared" si="72"/>
        <v>CUMPLE</v>
      </c>
      <c r="AZ328" s="13" t="str">
        <f t="shared" si="73"/>
        <v>CUMPLE</v>
      </c>
      <c r="BA328" s="14">
        <v>12.7</v>
      </c>
      <c r="BB328" s="14">
        <v>129</v>
      </c>
      <c r="BC328" s="13">
        <f>MAX(IF(AK328=0,0,AK328*1000/([1]Parametros!$B$4*MIN(U328,AB328))),MAX(0.062*SQRT([1]Parametros!$B$2)*H328/[1]Parametros!$B$4,0.35*H328/[1]Parametros!$B$4))</f>
        <v>1.5035945219274951</v>
      </c>
      <c r="BD328" s="13">
        <f t="shared" si="74"/>
        <v>0.30222380979304098</v>
      </c>
      <c r="BE328" s="13">
        <f t="shared" si="75"/>
        <v>2.15</v>
      </c>
      <c r="BF328" s="13">
        <f>SQRT((AI328*1000/(H328*MIN(U328,AB328)))^2+(Q328*1000000*2*((H328-2*([1]Parametros!$B$7+[1]Parametros!$B$9/2))+(I328-2*([1]Parametros!$B$7+[1]Parametros!$B$9/2)))/(1.7*((H328-2*([1]Parametros!$B$7+[1]Parametros!$B$9/2))*(I328-2*([1]Parametros!$B$7+[1]Parametros!$B$9/2)))^2))^2)</f>
        <v>1.6810560857586017</v>
      </c>
      <c r="BG328" s="13">
        <f>[1]Parametros!$B$6*(AJ328*1000/(H328*MIN(U328,AB328))+0.66*SQRT([1]Parametros!$B$2))</f>
        <v>3.2939603822754151</v>
      </c>
      <c r="BH328" s="13" t="str">
        <f t="shared" si="76"/>
        <v>CUMPLE</v>
      </c>
      <c r="BI328" s="13">
        <f>AX328*[1]Parametros!$B$8</f>
        <v>1592</v>
      </c>
      <c r="BJ328" s="15" t="str">
        <f t="shared" si="77"/>
        <v>CUMPLE</v>
      </c>
    </row>
    <row r="329" spans="1:62" x14ac:dyDescent="0.3">
      <c r="A329" s="31" t="s">
        <v>75</v>
      </c>
      <c r="B329" s="32">
        <v>6</v>
      </c>
      <c r="C329" s="13">
        <v>1</v>
      </c>
      <c r="D329" s="13">
        <v>3.4</v>
      </c>
      <c r="E329" s="13">
        <v>3.4</v>
      </c>
      <c r="F329" s="13">
        <v>500</v>
      </c>
      <c r="G329" s="13">
        <v>550</v>
      </c>
      <c r="H329" s="13">
        <v>500</v>
      </c>
      <c r="I329" s="13">
        <v>550</v>
      </c>
      <c r="J329" s="14">
        <v>191.2439</v>
      </c>
      <c r="K329" s="13">
        <v>6</v>
      </c>
      <c r="L329" s="14">
        <v>108.44540000000001</v>
      </c>
      <c r="M329" s="13">
        <v>6</v>
      </c>
      <c r="N329" s="14">
        <v>142.79</v>
      </c>
      <c r="O329" s="14">
        <v>396.88200000000001</v>
      </c>
      <c r="P329" s="13">
        <v>6</v>
      </c>
      <c r="Q329" s="14">
        <v>15.119300000000001</v>
      </c>
      <c r="R329" s="13">
        <f>MAX(MAX(1.4/[1]Parametros!$B$3,0.25*SQRT([1]Parametros!$B$2)/[1]Parametros!$B$3)*H329*U329,(0.85*[1]Parametros!$B$2/[1]Parametros!$B$3)*(1-SQRT(1-2*(J329*1000000/([1]Parametros!$B$5*H329*U329^2))/(0.85*[1]Parametros!$B$2)))*H329*U329)</f>
        <v>1075.6166969631911</v>
      </c>
      <c r="S329" s="14">
        <v>6</v>
      </c>
      <c r="T329" s="14">
        <v>1</v>
      </c>
      <c r="U329" s="13">
        <f>IF(T329=1,I329-([1]Parametros!$B$7+[1]Parametros!$B$9+[1]Parametros!$B$12/2),I329-(ROUNDUP(S329/2,0)*([1]Parametros!$B$7+[1]Parametros!$B$9+[1]Parametros!$B$12/2)+ROUNDDOWN(S329/2,0)*([1]Parametros!$B$7+[1]Parametros!$B$9+[1]Parametros!$B$12/2+[1]Parametros!$B$12+[1]Parametros!$B$10))/S329)</f>
        <v>489.35</v>
      </c>
      <c r="V329" s="13">
        <f>S329*[1]Parametros!$B$8</f>
        <v>1194</v>
      </c>
      <c r="W329" s="13">
        <f>[1]Parametros!$B$5*V329*[1]Parametros!$B$3*(U329-(V329*[1]Parametros!$B$3/(0.85*[1]Parametros!$B$2*H329))/2)/1000000</f>
        <v>211.34948347058827</v>
      </c>
      <c r="X329" s="13" t="str">
        <f t="shared" si="65"/>
        <v>CUMPLE</v>
      </c>
      <c r="Y329" s="13">
        <f>MAX(MAX(1.4/[1]Parametros!$B$3,0.25*SQRT([1]Parametros!$B$2)/[1]Parametros!$B$3)*H329*AB329,(0.85*[1]Parametros!$B$2/[1]Parametros!$B$3)*(1-SQRT(1-2*(L329*1000000/([1]Parametros!$B$5*H329*AB329^2))/(0.85*[1]Parametros!$B$2)))*H329*AB329)</f>
        <v>815.58333333333326</v>
      </c>
      <c r="Z329" s="14">
        <v>5</v>
      </c>
      <c r="AA329" s="14">
        <v>1</v>
      </c>
      <c r="AB329" s="13">
        <f>IF(AA329=1,I329-([1]Parametros!$B$7+[1]Parametros!$B$9+[1]Parametros!$B$12/2),I329-(ROUNDUP(Z329/2,0)*([1]Parametros!$B$7+[1]Parametros!$B$9+[1]Parametros!$B$12/2)+ROUNDDOWN(Z329/2,0)*([1]Parametros!$B$7+[1]Parametros!$B$9+[1]Parametros!$B$12/2+[1]Parametros!$B$12+[1]Parametros!$B$10))/Z329)</f>
        <v>489.35</v>
      </c>
      <c r="AC329" s="13">
        <f>Z329*[1]Parametros!$B$8</f>
        <v>995</v>
      </c>
      <c r="AD329" s="13">
        <f>[1]Parametros!$B$5*AC329*[1]Parametros!$B$3*(AB329-(AC329*[1]Parametros!$B$3/(0.85*[1]Parametros!$B$2*H329))/2)/1000000</f>
        <v>177.44537938235294</v>
      </c>
      <c r="AE329" s="13" t="str">
        <f t="shared" si="66"/>
        <v>CUMPLE</v>
      </c>
      <c r="AF329" s="13">
        <f>V329*1.25*[1]Parametros!$B$3*(U329-(V329*1.25*[1]Parametros!$B$3/(0.85*[1]Parametros!$B$2*H329))/2)/1000000</f>
        <v>290.23892470588237</v>
      </c>
      <c r="AG329" s="13">
        <f>AC329*1.25*[1]Parametros!$B$3*(AB329-(AC329*1.25*[1]Parametros!$B$3/(0.85*[1]Parametros!$B$2*H329))/2)/1000000</f>
        <v>244.15884319852941</v>
      </c>
      <c r="AH329" s="13">
        <f t="shared" si="67"/>
        <v>299.96581408953284</v>
      </c>
      <c r="AI329" s="13">
        <f t="shared" si="68"/>
        <v>396.88200000000001</v>
      </c>
      <c r="AJ329" s="13">
        <f>0.17*SQRT([1]Parametros!$B$2)*H329*MIN(U329,AB329)/1000</f>
        <v>220.09872869180776</v>
      </c>
      <c r="AK329" s="13">
        <f>MAX(AI329/[1]Parametros!$B$6-AJ329,0)</f>
        <v>309.07727130819228</v>
      </c>
      <c r="AL329" s="13">
        <f>0.66*SQRT([1]Parametros!$B$2)*H329*MIN(U329,AB329)/1000</f>
        <v>854.500946685842</v>
      </c>
      <c r="AM329" s="13" t="str">
        <f t="shared" si="69"/>
        <v>CUMPLE</v>
      </c>
      <c r="AN329" s="13" t="s">
        <v>68</v>
      </c>
      <c r="AO329" s="14">
        <v>2</v>
      </c>
      <c r="AP329" s="13">
        <f>ROUNDDOWN(MIN(IF(BC329+BD329=0,1000000000,AO329*BB329/(BC329+BD329)),MIN(U329,AB329)/4,8*[1]Parametros!$B$12,24*BA329,300,IF(AV329=0,1000000000,2*((H329-2*([1]Parametros!$B$7+[1]Parametros!$B$9/2))+(I329-2*([1]Parametros!$B$7+[1]Parametros!$B$9/2)))/8))/10,0)*10</f>
        <v>120</v>
      </c>
      <c r="AQ329" s="13">
        <f>ROUNDDOWN(MIN(IF(BC329+BD329=0,1000000000,AO329*BB329/(BC329+BD329)),IF(AK329&gt;0.33*SQRT([1]Parametros!$B$2)*H329*MIN(U329,AB329)/1000,MIN(U329,AB329)/4,MIN(U329,AB329)/2),600,IF(AV329=0,1000000000,2*((H329-2*([1]Parametros!$B$7+[1]Parametros!$B$9/2))+(I329-2*([1]Parametros!$B$7+[1]Parametros!$B$9/2)))/8))/10,0)*10</f>
        <v>140</v>
      </c>
      <c r="AR329" s="13">
        <f>[1]Parametros!$B$6*(AJ329+MAX(BE329-BD329,0)*[1]Parametros!$B$4*MIN(U329,AB329)/1000)</f>
        <v>449.75407878845067</v>
      </c>
      <c r="AS329" s="13" t="str">
        <f t="shared" si="70"/>
        <v>CUMPLE</v>
      </c>
      <c r="AT329" s="13">
        <f>[1]Parametros!$B$6*0.083*SQRT([1]Parametros!$B$2)*(H329*I329)^2/(2*(H329+I329))/1000000</f>
        <v>11.862178757598967</v>
      </c>
      <c r="AU329" s="13" t="str">
        <f t="shared" si="71"/>
        <v>DISEÑAR</v>
      </c>
      <c r="AV329" s="13">
        <f>IF(Q329&lt;=AT329,0,Q329*1000000/([1]Parametros!$B$6*2*0.85*(H329-2*([1]Parametros!$B$7+[1]Parametros!$B$9/2))*(I329-2*([1]Parametros!$B$7+[1]Parametros!$B$9/2))*[1]Parametros!$B$4))</f>
        <v>0.15158512905978347</v>
      </c>
      <c r="AW329" s="13">
        <f>AV329*2*((H329-2*([1]Parametros!$B$7+[1]Parametros!$B$9/2))+(I329-2*([1]Parametros!$B$7+[1]Parametros!$B$9/2)))*[1]Parametros!$B$4/[1]Parametros!$B$3</f>
        <v>262.12100517017757</v>
      </c>
      <c r="AX329" s="14">
        <v>8</v>
      </c>
      <c r="AY329" s="13" t="str">
        <f t="shared" si="72"/>
        <v>CUMPLE</v>
      </c>
      <c r="AZ329" s="13" t="str">
        <f t="shared" si="73"/>
        <v>CUMPLE</v>
      </c>
      <c r="BA329" s="14">
        <v>12.7</v>
      </c>
      <c r="BB329" s="14">
        <v>129</v>
      </c>
      <c r="BC329" s="13">
        <f>MAX(IF(AK329=0,0,AK329*1000/([1]Parametros!$B$4*MIN(U329,AB329))),MAX(0.062*SQRT([1]Parametros!$B$2)*H329/[1]Parametros!$B$4,0.35*H329/[1]Parametros!$B$4))</f>
        <v>1.5038280678849605</v>
      </c>
      <c r="BD329" s="13">
        <f t="shared" si="74"/>
        <v>0.30317025811956694</v>
      </c>
      <c r="BE329" s="13">
        <f t="shared" si="75"/>
        <v>2.15</v>
      </c>
      <c r="BF329" s="13">
        <f>SQRT((AI329*1000/(H329*MIN(U329,AB329)))^2+(Q329*1000000*2*((H329-2*([1]Parametros!$B$7+[1]Parametros!$B$9/2))+(I329-2*([1]Parametros!$B$7+[1]Parametros!$B$9/2)))/(1.7*((H329-2*([1]Parametros!$B$7+[1]Parametros!$B$9/2))*(I329-2*([1]Parametros!$B$7+[1]Parametros!$B$9/2)))^2))^2)</f>
        <v>1.6815623455316422</v>
      </c>
      <c r="BG329" s="13">
        <f>[1]Parametros!$B$6*(AJ329*1000/(H329*MIN(U329,AB329))+0.66*SQRT([1]Parametros!$B$2))</f>
        <v>3.2939603822754151</v>
      </c>
      <c r="BH329" s="13" t="str">
        <f t="shared" si="76"/>
        <v>CUMPLE</v>
      </c>
      <c r="BI329" s="13">
        <f>AX329*[1]Parametros!$B$8</f>
        <v>1592</v>
      </c>
      <c r="BJ329" s="15" t="str">
        <f t="shared" si="77"/>
        <v>CUMPLE</v>
      </c>
    </row>
    <row r="330" spans="1:62" x14ac:dyDescent="0.3">
      <c r="A330" s="31" t="s">
        <v>75</v>
      </c>
      <c r="B330" s="32">
        <v>7</v>
      </c>
      <c r="C330" s="13">
        <v>1</v>
      </c>
      <c r="D330" s="13">
        <v>1.9</v>
      </c>
      <c r="E330" s="13">
        <v>1.9</v>
      </c>
      <c r="F330" s="13">
        <v>500</v>
      </c>
      <c r="G330" s="13">
        <v>550</v>
      </c>
      <c r="H330" s="13">
        <v>500</v>
      </c>
      <c r="I330" s="13">
        <v>550</v>
      </c>
      <c r="J330" s="14">
        <v>186.57230000000001</v>
      </c>
      <c r="K330" s="13">
        <v>7</v>
      </c>
      <c r="L330" s="14">
        <v>158.91120000000001</v>
      </c>
      <c r="M330" s="13">
        <v>7</v>
      </c>
      <c r="N330" s="14">
        <v>178.346</v>
      </c>
      <c r="O330" s="14">
        <v>702.33100000000002</v>
      </c>
      <c r="P330" s="13">
        <v>7</v>
      </c>
      <c r="Q330" s="14">
        <v>6.6044999999999998</v>
      </c>
      <c r="R330" s="13">
        <f>MAX(MAX(1.4/[1]Parametros!$B$3,0.25*SQRT([1]Parametros!$B$2)/[1]Parametros!$B$3)*H330*U330,(0.85*[1]Parametros!$B$2/[1]Parametros!$B$3)*(1-SQRT(1-2*(J330*1000000/([1]Parametros!$B$5*H330*U330^2))/(0.85*[1]Parametros!$B$2)))*H330*U330)</f>
        <v>1048.266489752835</v>
      </c>
      <c r="S330" s="14">
        <v>6</v>
      </c>
      <c r="T330" s="14">
        <v>1</v>
      </c>
      <c r="U330" s="13">
        <f>IF(T330=1,I330-([1]Parametros!$B$7+[1]Parametros!$B$9+[1]Parametros!$B$12/2),I330-(ROUNDUP(S330/2,0)*([1]Parametros!$B$7+[1]Parametros!$B$9+[1]Parametros!$B$12/2)+ROUNDDOWN(S330/2,0)*([1]Parametros!$B$7+[1]Parametros!$B$9+[1]Parametros!$B$12/2+[1]Parametros!$B$12+[1]Parametros!$B$10))/S330)</f>
        <v>489.35</v>
      </c>
      <c r="V330" s="13">
        <f>S330*[1]Parametros!$B$8</f>
        <v>1194</v>
      </c>
      <c r="W330" s="13">
        <f>[1]Parametros!$B$5*V330*[1]Parametros!$B$3*(U330-(V330*[1]Parametros!$B$3/(0.85*[1]Parametros!$B$2*H330))/2)/1000000</f>
        <v>211.34948347058827</v>
      </c>
      <c r="X330" s="13" t="str">
        <f t="shared" si="65"/>
        <v>CUMPLE</v>
      </c>
      <c r="Y330" s="13">
        <f>MAX(MAX(1.4/[1]Parametros!$B$3,0.25*SQRT([1]Parametros!$B$2)/[1]Parametros!$B$3)*H330*AB330,(0.85*[1]Parametros!$B$2/[1]Parametros!$B$3)*(1-SQRT(1-2*(L330*1000000/([1]Parametros!$B$5*H330*AB330^2))/(0.85*[1]Parametros!$B$2)))*H330*AB330)</f>
        <v>887.50369231216973</v>
      </c>
      <c r="Z330" s="14">
        <v>5</v>
      </c>
      <c r="AA330" s="14">
        <v>1</v>
      </c>
      <c r="AB330" s="13">
        <f>IF(AA330=1,I330-([1]Parametros!$B$7+[1]Parametros!$B$9+[1]Parametros!$B$12/2),I330-(ROUNDUP(Z330/2,0)*([1]Parametros!$B$7+[1]Parametros!$B$9+[1]Parametros!$B$12/2)+ROUNDDOWN(Z330/2,0)*([1]Parametros!$B$7+[1]Parametros!$B$9+[1]Parametros!$B$12/2+[1]Parametros!$B$12+[1]Parametros!$B$10))/Z330)</f>
        <v>489.35</v>
      </c>
      <c r="AC330" s="13">
        <f>Z330*[1]Parametros!$B$8</f>
        <v>995</v>
      </c>
      <c r="AD330" s="13">
        <f>[1]Parametros!$B$5*AC330*[1]Parametros!$B$3*(AB330-(AC330*[1]Parametros!$B$3/(0.85*[1]Parametros!$B$2*H330))/2)/1000000</f>
        <v>177.44537938235294</v>
      </c>
      <c r="AE330" s="13" t="str">
        <f t="shared" si="66"/>
        <v>CUMPLE</v>
      </c>
      <c r="AF330" s="13">
        <f>V330*1.25*[1]Parametros!$B$3*(U330-(V330*1.25*[1]Parametros!$B$3/(0.85*[1]Parametros!$B$2*H330))/2)/1000000</f>
        <v>290.23892470588237</v>
      </c>
      <c r="AG330" s="13">
        <f>AC330*1.25*[1]Parametros!$B$3*(AB330-(AC330*1.25*[1]Parametros!$B$3/(0.85*[1]Parametros!$B$2*H330))/2)/1000000</f>
        <v>244.15884319852941</v>
      </c>
      <c r="AH330" s="13">
        <f t="shared" si="67"/>
        <v>459.6079831075852</v>
      </c>
      <c r="AI330" s="13">
        <f t="shared" si="68"/>
        <v>702.33100000000002</v>
      </c>
      <c r="AJ330" s="13">
        <f>0.17*SQRT([1]Parametros!$B$2)*H330*MIN(U330,AB330)/1000</f>
        <v>220.09872869180776</v>
      </c>
      <c r="AK330" s="13">
        <f>MAX(AI330/[1]Parametros!$B$6-AJ330,0)</f>
        <v>716.34260464152555</v>
      </c>
      <c r="AL330" s="13">
        <f>0.66*SQRT([1]Parametros!$B$2)*H330*MIN(U330,AB330)/1000</f>
        <v>854.500946685842</v>
      </c>
      <c r="AM330" s="13" t="str">
        <f t="shared" si="69"/>
        <v>CUMPLE</v>
      </c>
      <c r="AN330" s="13" t="s">
        <v>64</v>
      </c>
      <c r="AO330" s="14">
        <v>4</v>
      </c>
      <c r="AP330" s="13">
        <f>ROUNDDOWN(MIN(IF(BC330+BD330=0,1000000000,AO330*BB330/(BC330+BD330)),MIN(U330,AB330)/4,8*[1]Parametros!$B$12,24*BA330,300,IF(AV330=0,1000000000,2*((H330-2*([1]Parametros!$B$7+[1]Parametros!$B$9/2))+(I330-2*([1]Parametros!$B$7+[1]Parametros!$B$9/2)))/8))/10,0)*10</f>
        <v>80</v>
      </c>
      <c r="AQ330" s="13">
        <f>ROUNDDOWN(MIN(IF(BC330+BD330=0,1000000000,AO330*BB330/(BC330+BD330)),IF(AK330&gt;0.33*SQRT([1]Parametros!$B$2)*H330*MIN(U330,AB330)/1000,MIN(U330,AB330)/4,MIN(U330,AB330)/2),600,IF(AV330=0,1000000000,2*((H330-2*([1]Parametros!$B$7+[1]Parametros!$B$9/2))+(I330-2*([1]Parametros!$B$7+[1]Parametros!$B$9/2)))/8))/10,0)*10</f>
        <v>80</v>
      </c>
      <c r="AR330" s="13">
        <f>[1]Parametros!$B$6*(AJ330+MAX(BE330-BD330,0)*[1]Parametros!$B$4*MIN(U330,AB330)/1000)</f>
        <v>712.28968401885584</v>
      </c>
      <c r="AS330" s="13" t="str">
        <f t="shared" si="70"/>
        <v>CUMPLE</v>
      </c>
      <c r="AT330" s="13">
        <f>[1]Parametros!$B$6*0.083*SQRT([1]Parametros!$B$2)*(H330*I330)^2/(2*(H330+I330))/1000000</f>
        <v>11.862178757598967</v>
      </c>
      <c r="AU330" s="13" t="str">
        <f t="shared" si="71"/>
        <v>DESPRECIABLE</v>
      </c>
      <c r="AV330" s="13">
        <f>IF(Q330&lt;=AT330,0,Q330*1000000/([1]Parametros!$B$6*2*0.85*(H330-2*([1]Parametros!$B$7+[1]Parametros!$B$9/2))*(I330-2*([1]Parametros!$B$7+[1]Parametros!$B$9/2))*[1]Parametros!$B$4))</f>
        <v>0</v>
      </c>
      <c r="AW330" s="13">
        <f>AV330*2*((H330-2*([1]Parametros!$B$7+[1]Parametros!$B$9/2))+(I330-2*([1]Parametros!$B$7+[1]Parametros!$B$9/2)))*[1]Parametros!$B$4/[1]Parametros!$B$3</f>
        <v>0</v>
      </c>
      <c r="AX330" s="14">
        <v>0</v>
      </c>
      <c r="AY330" s="13" t="str">
        <f t="shared" si="72"/>
        <v>DESPRECIABLE</v>
      </c>
      <c r="AZ330" s="13" t="str">
        <f t="shared" si="73"/>
        <v>CUMPLE</v>
      </c>
      <c r="BA330" s="14">
        <v>9.5</v>
      </c>
      <c r="BB330" s="14">
        <v>71</v>
      </c>
      <c r="BC330" s="13">
        <f>MAX(IF(AK330=0,0,AK330*1000/([1]Parametros!$B$4*MIN(U330,AB330))),MAX(0.062*SQRT([1]Parametros!$B$2)*H330/[1]Parametros!$B$4,0.35*H330/[1]Parametros!$B$4))</f>
        <v>3.4853941557144585</v>
      </c>
      <c r="BD330" s="13">
        <f t="shared" si="74"/>
        <v>0</v>
      </c>
      <c r="BE330" s="13">
        <f t="shared" si="75"/>
        <v>3.55</v>
      </c>
      <c r="BF330" s="13">
        <f>SQRT((AI330*1000/(H330*MIN(U330,AB330)))^2+(Q330*1000000*2*((H330-2*([1]Parametros!$B$7+[1]Parametros!$B$9/2))+(I330-2*([1]Parametros!$B$7+[1]Parametros!$B$9/2)))/(1.7*((H330-2*([1]Parametros!$B$7+[1]Parametros!$B$9/2))*(I330-2*([1]Parametros!$B$7+[1]Parametros!$B$9/2)))^2))^2)</f>
        <v>2.8769892117193674</v>
      </c>
      <c r="BG330" s="13">
        <f>[1]Parametros!$B$6*(AJ330*1000/(H330*MIN(U330,AB330))+0.66*SQRT([1]Parametros!$B$2))</f>
        <v>3.2939603822754151</v>
      </c>
      <c r="BH330" s="13" t="str">
        <f t="shared" si="76"/>
        <v>CUMPLE</v>
      </c>
      <c r="BI330" s="13">
        <f>AX330*[1]Parametros!$B$8</f>
        <v>0</v>
      </c>
      <c r="BJ330" s="15" t="str">
        <f t="shared" si="77"/>
        <v>CUMPLE</v>
      </c>
    </row>
    <row r="331" spans="1:62" x14ac:dyDescent="0.3">
      <c r="A331" s="31" t="s">
        <v>75</v>
      </c>
      <c r="B331" s="32">
        <v>8</v>
      </c>
      <c r="C331" s="13">
        <v>1</v>
      </c>
      <c r="D331" s="13">
        <v>2</v>
      </c>
      <c r="E331" s="13">
        <v>2</v>
      </c>
      <c r="F331" s="13">
        <v>500</v>
      </c>
      <c r="G331" s="13">
        <v>550</v>
      </c>
      <c r="H331" s="13">
        <v>500</v>
      </c>
      <c r="I331" s="13">
        <v>550</v>
      </c>
      <c r="J331" s="14">
        <v>175.88380000000001</v>
      </c>
      <c r="K331" s="13">
        <v>8</v>
      </c>
      <c r="L331" s="14">
        <v>143.30770000000001</v>
      </c>
      <c r="M331" s="13">
        <v>8</v>
      </c>
      <c r="N331" s="14">
        <v>164.75200000000001</v>
      </c>
      <c r="O331" s="14">
        <v>634.58199999999999</v>
      </c>
      <c r="P331" s="13">
        <v>8</v>
      </c>
      <c r="Q331" s="14">
        <v>10.936400000000001</v>
      </c>
      <c r="R331" s="13">
        <f>MAX(MAX(1.4/[1]Parametros!$B$3,0.25*SQRT([1]Parametros!$B$2)/[1]Parametros!$B$3)*H331*U331,(0.85*[1]Parametros!$B$2/[1]Parametros!$B$3)*(1-SQRT(1-2*(J331*1000000/([1]Parametros!$B$5*H331*U331^2))/(0.85*[1]Parametros!$B$2)))*H331*U331)</f>
        <v>985.9083892842624</v>
      </c>
      <c r="S331" s="14">
        <v>5</v>
      </c>
      <c r="T331" s="14">
        <v>1</v>
      </c>
      <c r="U331" s="13">
        <f>IF(T331=1,I331-([1]Parametros!$B$7+[1]Parametros!$B$9+[1]Parametros!$B$12/2),I331-(ROUNDUP(S331/2,0)*([1]Parametros!$B$7+[1]Parametros!$B$9+[1]Parametros!$B$12/2)+ROUNDDOWN(S331/2,0)*([1]Parametros!$B$7+[1]Parametros!$B$9+[1]Parametros!$B$12/2+[1]Parametros!$B$12+[1]Parametros!$B$10))/S331)</f>
        <v>489.35</v>
      </c>
      <c r="V331" s="13">
        <f>S331*[1]Parametros!$B$8</f>
        <v>995</v>
      </c>
      <c r="W331" s="13">
        <f>[1]Parametros!$B$5*V331*[1]Parametros!$B$3*(U331-(V331*[1]Parametros!$B$3/(0.85*[1]Parametros!$B$2*H331))/2)/1000000</f>
        <v>177.44537938235294</v>
      </c>
      <c r="X331" s="13" t="str">
        <f t="shared" si="65"/>
        <v>CUMPLE</v>
      </c>
      <c r="Y331" s="13">
        <f>MAX(MAX(1.4/[1]Parametros!$B$3,0.25*SQRT([1]Parametros!$B$2)/[1]Parametros!$B$3)*H331*AB331,(0.85*[1]Parametros!$B$2/[1]Parametros!$B$3)*(1-SQRT(1-2*(L331*1000000/([1]Parametros!$B$5*H331*AB331^2))/(0.85*[1]Parametros!$B$2)))*H331*AB331)</f>
        <v>815.58333333333326</v>
      </c>
      <c r="Z331" s="14">
        <v>5</v>
      </c>
      <c r="AA331" s="14">
        <v>1</v>
      </c>
      <c r="AB331" s="13">
        <f>IF(AA331=1,I331-([1]Parametros!$B$7+[1]Parametros!$B$9+[1]Parametros!$B$12/2),I331-(ROUNDUP(Z331/2,0)*([1]Parametros!$B$7+[1]Parametros!$B$9+[1]Parametros!$B$12/2)+ROUNDDOWN(Z331/2,0)*([1]Parametros!$B$7+[1]Parametros!$B$9+[1]Parametros!$B$12/2+[1]Parametros!$B$12+[1]Parametros!$B$10))/Z331)</f>
        <v>489.35</v>
      </c>
      <c r="AC331" s="13">
        <f>Z331*[1]Parametros!$B$8</f>
        <v>995</v>
      </c>
      <c r="AD331" s="13">
        <f>[1]Parametros!$B$5*AC331*[1]Parametros!$B$3*(AB331-(AC331*[1]Parametros!$B$3/(0.85*[1]Parametros!$B$2*H331))/2)/1000000</f>
        <v>177.44537938235294</v>
      </c>
      <c r="AE331" s="13" t="str">
        <f t="shared" si="66"/>
        <v>CUMPLE</v>
      </c>
      <c r="AF331" s="13">
        <f>V331*1.25*[1]Parametros!$B$3*(U331-(V331*1.25*[1]Parametros!$B$3/(0.85*[1]Parametros!$B$2*H331))/2)/1000000</f>
        <v>244.15884319852941</v>
      </c>
      <c r="AG331" s="13">
        <f>AC331*1.25*[1]Parametros!$B$3*(AB331-(AC331*1.25*[1]Parametros!$B$3/(0.85*[1]Parametros!$B$2*H331))/2)/1000000</f>
        <v>244.15884319852941</v>
      </c>
      <c r="AH331" s="13">
        <f t="shared" si="67"/>
        <v>408.91084319852939</v>
      </c>
      <c r="AI331" s="13">
        <f t="shared" si="68"/>
        <v>634.58199999999999</v>
      </c>
      <c r="AJ331" s="13">
        <f>0.17*SQRT([1]Parametros!$B$2)*H331*MIN(U331,AB331)/1000</f>
        <v>220.09872869180776</v>
      </c>
      <c r="AK331" s="13">
        <f>MAX(AI331/[1]Parametros!$B$6-AJ331,0)</f>
        <v>626.01060464152556</v>
      </c>
      <c r="AL331" s="13">
        <f>0.66*SQRT([1]Parametros!$B$2)*H331*MIN(U331,AB331)/1000</f>
        <v>854.500946685842</v>
      </c>
      <c r="AM331" s="13" t="str">
        <f t="shared" si="69"/>
        <v>CUMPLE</v>
      </c>
      <c r="AN331" s="13" t="s">
        <v>68</v>
      </c>
      <c r="AO331" s="14">
        <v>2</v>
      </c>
      <c r="AP331" s="13">
        <f>ROUNDDOWN(MIN(IF(BC331+BD331=0,1000000000,AO331*BB331/(BC331+BD331)),MIN(U331,AB331)/4,8*[1]Parametros!$B$12,24*BA331,300,IF(AV331=0,1000000000,2*((H331-2*([1]Parametros!$B$7+[1]Parametros!$B$9/2))+(I331-2*([1]Parametros!$B$7+[1]Parametros!$B$9/2)))/8))/10,0)*10</f>
        <v>80</v>
      </c>
      <c r="AQ331" s="13">
        <f>ROUNDDOWN(MIN(IF(BC331+BD331=0,1000000000,AO331*BB331/(BC331+BD331)),IF(AK331&gt;0.33*SQRT([1]Parametros!$B$2)*H331*MIN(U331,AB331)/1000,MIN(U331,AB331)/4,MIN(U331,AB331)/2),600,IF(AV331=0,1000000000,2*((H331-2*([1]Parametros!$B$7+[1]Parametros!$B$9/2))+(I331-2*([1]Parametros!$B$7+[1]Parametros!$B$9/2)))/8))/10,0)*10</f>
        <v>80</v>
      </c>
      <c r="AR331" s="13">
        <f>[1]Parametros!$B$6*(AJ331+MAX(BE331-BD331,0)*[1]Parametros!$B$4*MIN(U331,AB331)/1000)</f>
        <v>662.19247776885595</v>
      </c>
      <c r="AS331" s="13" t="str">
        <f t="shared" si="70"/>
        <v>CUMPLE</v>
      </c>
      <c r="AT331" s="13">
        <f>[1]Parametros!$B$6*0.083*SQRT([1]Parametros!$B$2)*(H331*I331)^2/(2*(H331+I331))/1000000</f>
        <v>11.862178757598967</v>
      </c>
      <c r="AU331" s="13" t="str">
        <f t="shared" si="71"/>
        <v>DESPRECIABLE</v>
      </c>
      <c r="AV331" s="13">
        <f>IF(Q331&lt;=AT331,0,Q331*1000000/([1]Parametros!$B$6*2*0.85*(H331-2*([1]Parametros!$B$7+[1]Parametros!$B$9/2))*(I331-2*([1]Parametros!$B$7+[1]Parametros!$B$9/2))*[1]Parametros!$B$4))</f>
        <v>0</v>
      </c>
      <c r="AW331" s="13">
        <f>AV331*2*((H331-2*([1]Parametros!$B$7+[1]Parametros!$B$9/2))+(I331-2*([1]Parametros!$B$7+[1]Parametros!$B$9/2)))*[1]Parametros!$B$4/[1]Parametros!$B$3</f>
        <v>0</v>
      </c>
      <c r="AX331" s="14">
        <v>0</v>
      </c>
      <c r="AY331" s="13" t="str">
        <f t="shared" si="72"/>
        <v>DESPRECIABLE</v>
      </c>
      <c r="AZ331" s="13" t="str">
        <f t="shared" si="73"/>
        <v>CUMPLE</v>
      </c>
      <c r="BA331" s="14">
        <v>12.7</v>
      </c>
      <c r="BB331" s="14">
        <v>129</v>
      </c>
      <c r="BC331" s="13">
        <f>MAX(IF(AK331=0,0,AK331*1000/([1]Parametros!$B$4*MIN(U331,AB331))),MAX(0.062*SQRT([1]Parametros!$B$2)*H331/[1]Parametros!$B$4,0.35*H331/[1]Parametros!$B$4))</f>
        <v>3.045880125927618</v>
      </c>
      <c r="BD331" s="13">
        <f t="shared" si="74"/>
        <v>0</v>
      </c>
      <c r="BE331" s="13">
        <f t="shared" si="75"/>
        <v>3.2250000000000001</v>
      </c>
      <c r="BF331" s="13">
        <f>SQRT((AI331*1000/(H331*MIN(U331,AB331)))^2+(Q331*1000000*2*((H331-2*([1]Parametros!$B$7+[1]Parametros!$B$9/2))+(I331-2*([1]Parametros!$B$7+[1]Parametros!$B$9/2)))/(1.7*((H331-2*([1]Parametros!$B$7+[1]Parametros!$B$9/2))*(I331-2*([1]Parametros!$B$7+[1]Parametros!$B$9/2)))^2))^2)</f>
        <v>2.6133180401566749</v>
      </c>
      <c r="BG331" s="13">
        <f>[1]Parametros!$B$6*(AJ331*1000/(H331*MIN(U331,AB331))+0.66*SQRT([1]Parametros!$B$2))</f>
        <v>3.2939603822754151</v>
      </c>
      <c r="BH331" s="13" t="str">
        <f t="shared" si="76"/>
        <v>CUMPLE</v>
      </c>
      <c r="BI331" s="13">
        <f>AX331*[1]Parametros!$B$8</f>
        <v>0</v>
      </c>
      <c r="BJ331" s="15" t="str">
        <f t="shared" si="77"/>
        <v>CUMPLE</v>
      </c>
    </row>
    <row r="332" spans="1:62" x14ac:dyDescent="0.3">
      <c r="A332" s="31" t="s">
        <v>75</v>
      </c>
      <c r="B332" s="32">
        <v>9</v>
      </c>
      <c r="C332" s="13">
        <v>1</v>
      </c>
      <c r="D332" s="13">
        <v>3.05</v>
      </c>
      <c r="E332" s="13">
        <v>3.05</v>
      </c>
      <c r="F332" s="13">
        <v>500</v>
      </c>
      <c r="G332" s="13">
        <v>550</v>
      </c>
      <c r="H332" s="13">
        <v>500</v>
      </c>
      <c r="I332" s="13">
        <v>550</v>
      </c>
      <c r="J332" s="14">
        <v>177.8775</v>
      </c>
      <c r="K332" s="13">
        <v>9</v>
      </c>
      <c r="L332" s="14">
        <v>119.07089999999999</v>
      </c>
      <c r="M332" s="13">
        <v>9</v>
      </c>
      <c r="N332" s="14">
        <v>142.33699999999999</v>
      </c>
      <c r="O332" s="14">
        <v>447.78199999999998</v>
      </c>
      <c r="P332" s="13">
        <v>9</v>
      </c>
      <c r="Q332" s="14">
        <v>6.4508999999999999</v>
      </c>
      <c r="R332" s="13">
        <f>MAX(MAX(1.4/[1]Parametros!$B$3,0.25*SQRT([1]Parametros!$B$2)/[1]Parametros!$B$3)*H332*U332,(0.85*[1]Parametros!$B$2/[1]Parametros!$B$3)*(1-SQRT(1-2*(J332*1000000/([1]Parametros!$B$5*H332*U332^2))/(0.85*[1]Parametros!$B$2)))*H332*U332)</f>
        <v>997.51696742004879</v>
      </c>
      <c r="S332" s="14">
        <v>6</v>
      </c>
      <c r="T332" s="14">
        <v>1</v>
      </c>
      <c r="U332" s="13">
        <f>IF(T332=1,I332-([1]Parametros!$B$7+[1]Parametros!$B$9+[1]Parametros!$B$12/2),I332-(ROUNDUP(S332/2,0)*([1]Parametros!$B$7+[1]Parametros!$B$9+[1]Parametros!$B$12/2)+ROUNDDOWN(S332/2,0)*([1]Parametros!$B$7+[1]Parametros!$B$9+[1]Parametros!$B$12/2+[1]Parametros!$B$12+[1]Parametros!$B$10))/S332)</f>
        <v>489.35</v>
      </c>
      <c r="V332" s="13">
        <f>S332*[1]Parametros!$B$8</f>
        <v>1194</v>
      </c>
      <c r="W332" s="13">
        <f>[1]Parametros!$B$5*V332*[1]Parametros!$B$3*(U332-(V332*[1]Parametros!$B$3/(0.85*[1]Parametros!$B$2*H332))/2)/1000000</f>
        <v>211.34948347058827</v>
      </c>
      <c r="X332" s="13" t="str">
        <f t="shared" si="65"/>
        <v>CUMPLE</v>
      </c>
      <c r="Y332" s="13">
        <f>MAX(MAX(1.4/[1]Parametros!$B$3,0.25*SQRT([1]Parametros!$B$2)/[1]Parametros!$B$3)*H332*AB332,(0.85*[1]Parametros!$B$2/[1]Parametros!$B$3)*(1-SQRT(1-2*(L332*1000000/([1]Parametros!$B$5*H332*AB332^2))/(0.85*[1]Parametros!$B$2)))*H332*AB332)</f>
        <v>815.58333333333326</v>
      </c>
      <c r="Z332" s="14">
        <v>5</v>
      </c>
      <c r="AA332" s="14">
        <v>1</v>
      </c>
      <c r="AB332" s="13">
        <f>IF(AA332=1,I332-([1]Parametros!$B$7+[1]Parametros!$B$9+[1]Parametros!$B$12/2),I332-(ROUNDUP(Z332/2,0)*([1]Parametros!$B$7+[1]Parametros!$B$9+[1]Parametros!$B$12/2)+ROUNDDOWN(Z332/2,0)*([1]Parametros!$B$7+[1]Parametros!$B$9+[1]Parametros!$B$12/2+[1]Parametros!$B$12+[1]Parametros!$B$10))/Z332)</f>
        <v>489.35</v>
      </c>
      <c r="AC332" s="13">
        <f>Z332*[1]Parametros!$B$8</f>
        <v>995</v>
      </c>
      <c r="AD332" s="13">
        <f>[1]Parametros!$B$5*AC332*[1]Parametros!$B$3*(AB332-(AC332*[1]Parametros!$B$3/(0.85*[1]Parametros!$B$2*H332))/2)/1000000</f>
        <v>177.44537938235294</v>
      </c>
      <c r="AE332" s="13" t="str">
        <f t="shared" si="66"/>
        <v>CUMPLE</v>
      </c>
      <c r="AF332" s="13">
        <f>V332*1.25*[1]Parametros!$B$3*(U332-(V332*1.25*[1]Parametros!$B$3/(0.85*[1]Parametros!$B$2*H332))/2)/1000000</f>
        <v>290.23892470588237</v>
      </c>
      <c r="AG332" s="13">
        <f>AC332*1.25*[1]Parametros!$B$3*(AB332-(AC332*1.25*[1]Parametros!$B$3/(0.85*[1]Parametros!$B$2*H332))/2)/1000000</f>
        <v>244.15884319852941</v>
      </c>
      <c r="AH332" s="13">
        <f t="shared" si="67"/>
        <v>317.54938291947929</v>
      </c>
      <c r="AI332" s="13">
        <f t="shared" si="68"/>
        <v>447.78199999999998</v>
      </c>
      <c r="AJ332" s="13">
        <f>0.17*SQRT([1]Parametros!$B$2)*H332*MIN(U332,AB332)/1000</f>
        <v>220.09872869180776</v>
      </c>
      <c r="AK332" s="13">
        <f>MAX(AI332/[1]Parametros!$B$6-AJ332,0)</f>
        <v>376.94393797485884</v>
      </c>
      <c r="AL332" s="13">
        <f>0.66*SQRT([1]Parametros!$B$2)*H332*MIN(U332,AB332)/1000</f>
        <v>854.500946685842</v>
      </c>
      <c r="AM332" s="13" t="str">
        <f t="shared" si="69"/>
        <v>CUMPLE</v>
      </c>
      <c r="AN332" s="13" t="s">
        <v>68</v>
      </c>
      <c r="AO332" s="14">
        <v>2</v>
      </c>
      <c r="AP332" s="13">
        <f>ROUNDDOWN(MIN(IF(BC332+BD332=0,1000000000,AO332*BB332/(BC332+BD332)),MIN(U332,AB332)/4,8*[1]Parametros!$B$12,24*BA332,300,IF(AV332=0,1000000000,2*((H332-2*([1]Parametros!$B$7+[1]Parametros!$B$9/2))+(I332-2*([1]Parametros!$B$7+[1]Parametros!$B$9/2)))/8))/10,0)*10</f>
        <v>120</v>
      </c>
      <c r="AQ332" s="13">
        <f>ROUNDDOWN(MIN(IF(BC332+BD332=0,1000000000,AO332*BB332/(BC332+BD332)),IF(AK332&gt;0.33*SQRT([1]Parametros!$B$2)*H332*MIN(U332,AB332)/1000,MIN(U332,AB332)/4,MIN(U332,AB332)/2),600,IF(AV332=0,1000000000,2*((H332-2*([1]Parametros!$B$7+[1]Parametros!$B$9/2))+(I332-2*([1]Parametros!$B$7+[1]Parametros!$B$9/2)))/8))/10,0)*10</f>
        <v>140</v>
      </c>
      <c r="AR332" s="13">
        <f>[1]Parametros!$B$6*(AJ332+MAX(BE332-BD332,0)*[1]Parametros!$B$4*MIN(U332,AB332)/1000)</f>
        <v>496.48633401885581</v>
      </c>
      <c r="AS332" s="13" t="str">
        <f t="shared" si="70"/>
        <v>CUMPLE</v>
      </c>
      <c r="AT332" s="13">
        <f>[1]Parametros!$B$6*0.083*SQRT([1]Parametros!$B$2)*(H332*I332)^2/(2*(H332+I332))/1000000</f>
        <v>11.862178757598967</v>
      </c>
      <c r="AU332" s="13" t="str">
        <f t="shared" si="71"/>
        <v>DESPRECIABLE</v>
      </c>
      <c r="AV332" s="13">
        <f>IF(Q332&lt;=AT332,0,Q332*1000000/([1]Parametros!$B$6*2*0.85*(H332-2*([1]Parametros!$B$7+[1]Parametros!$B$9/2))*(I332-2*([1]Parametros!$B$7+[1]Parametros!$B$9/2))*[1]Parametros!$B$4))</f>
        <v>0</v>
      </c>
      <c r="AW332" s="13">
        <f>AV332*2*((H332-2*([1]Parametros!$B$7+[1]Parametros!$B$9/2))+(I332-2*([1]Parametros!$B$7+[1]Parametros!$B$9/2)))*[1]Parametros!$B$4/[1]Parametros!$B$3</f>
        <v>0</v>
      </c>
      <c r="AX332" s="14">
        <v>0</v>
      </c>
      <c r="AY332" s="13" t="str">
        <f t="shared" si="72"/>
        <v>DESPRECIABLE</v>
      </c>
      <c r="AZ332" s="13" t="str">
        <f t="shared" si="73"/>
        <v>CUMPLE</v>
      </c>
      <c r="BA332" s="14">
        <v>12.7</v>
      </c>
      <c r="BB332" s="14">
        <v>129</v>
      </c>
      <c r="BC332" s="13">
        <f>MAX(IF(AK332=0,0,AK332*1000/([1]Parametros!$B$4*MIN(U332,AB332))),MAX(0.062*SQRT([1]Parametros!$B$2)*H332/[1]Parametros!$B$4,0.35*H332/[1]Parametros!$B$4))</f>
        <v>1.8340361021902662</v>
      </c>
      <c r="BD332" s="13">
        <f t="shared" si="74"/>
        <v>0</v>
      </c>
      <c r="BE332" s="13">
        <f t="shared" si="75"/>
        <v>2.15</v>
      </c>
      <c r="BF332" s="13">
        <f>SQRT((AI332*1000/(H332*MIN(U332,AB332)))^2+(Q332*1000000*2*((H332-2*([1]Parametros!$B$7+[1]Parametros!$B$9/2))+(I332-2*([1]Parametros!$B$7+[1]Parametros!$B$9/2)))/(1.7*((H332-2*([1]Parametros!$B$7+[1]Parametros!$B$9/2))*(I332-2*([1]Parametros!$B$7+[1]Parametros!$B$9/2)))^2))^2)</f>
        <v>1.8398571752516255</v>
      </c>
      <c r="BG332" s="13">
        <f>[1]Parametros!$B$6*(AJ332*1000/(H332*MIN(U332,AB332))+0.66*SQRT([1]Parametros!$B$2))</f>
        <v>3.2939603822754151</v>
      </c>
      <c r="BH332" s="13" t="str">
        <f t="shared" si="76"/>
        <v>CUMPLE</v>
      </c>
      <c r="BI332" s="13">
        <f>AX332*[1]Parametros!$B$8</f>
        <v>0</v>
      </c>
      <c r="BJ332" s="15" t="str">
        <f t="shared" si="77"/>
        <v>CUMPLE</v>
      </c>
    </row>
    <row r="333" spans="1:62" x14ac:dyDescent="0.3">
      <c r="A333" s="31" t="s">
        <v>75</v>
      </c>
      <c r="B333" s="32">
        <v>10</v>
      </c>
      <c r="C333" s="13">
        <v>1</v>
      </c>
      <c r="D333" s="13">
        <v>2</v>
      </c>
      <c r="E333" s="13">
        <v>2</v>
      </c>
      <c r="F333" s="13">
        <v>500</v>
      </c>
      <c r="G333" s="13">
        <v>550</v>
      </c>
      <c r="H333" s="13">
        <v>500</v>
      </c>
      <c r="I333" s="13">
        <v>550</v>
      </c>
      <c r="J333" s="14">
        <v>203.7311</v>
      </c>
      <c r="K333" s="13">
        <v>10</v>
      </c>
      <c r="L333" s="14">
        <v>164.89449999999999</v>
      </c>
      <c r="M333" s="13">
        <v>10</v>
      </c>
      <c r="N333" s="14">
        <v>181.125</v>
      </c>
      <c r="O333" s="14">
        <v>703.26900000000001</v>
      </c>
      <c r="P333" s="13">
        <v>10</v>
      </c>
      <c r="Q333" s="14">
        <v>4.4015000000000004</v>
      </c>
      <c r="R333" s="13">
        <f>MAX(MAX(1.4/[1]Parametros!$B$3,0.25*SQRT([1]Parametros!$B$2)/[1]Parametros!$B$3)*H333*U333,(0.85*[1]Parametros!$B$2/[1]Parametros!$B$3)*(1-SQRT(1-2*(J333*1000000/([1]Parametros!$B$5*H333*U333^2))/(0.85*[1]Parametros!$B$2)))*H333*U333)</f>
        <v>1149.0126532243487</v>
      </c>
      <c r="S333" s="14">
        <v>6</v>
      </c>
      <c r="T333" s="14">
        <v>1</v>
      </c>
      <c r="U333" s="13">
        <f>IF(T333=1,I333-([1]Parametros!$B$7+[1]Parametros!$B$9+[1]Parametros!$B$12/2),I333-(ROUNDUP(S333/2,0)*([1]Parametros!$B$7+[1]Parametros!$B$9+[1]Parametros!$B$12/2)+ROUNDDOWN(S333/2,0)*([1]Parametros!$B$7+[1]Parametros!$B$9+[1]Parametros!$B$12/2+[1]Parametros!$B$12+[1]Parametros!$B$10))/S333)</f>
        <v>489.35</v>
      </c>
      <c r="V333" s="13">
        <f>S333*[1]Parametros!$B$8</f>
        <v>1194</v>
      </c>
      <c r="W333" s="13">
        <f>[1]Parametros!$B$5*V333*[1]Parametros!$B$3*(U333-(V333*[1]Parametros!$B$3/(0.85*[1]Parametros!$B$2*H333))/2)/1000000</f>
        <v>211.34948347058827</v>
      </c>
      <c r="X333" s="13" t="str">
        <f t="shared" si="65"/>
        <v>CUMPLE</v>
      </c>
      <c r="Y333" s="13">
        <f>MAX(MAX(1.4/[1]Parametros!$B$3,0.25*SQRT([1]Parametros!$B$2)/[1]Parametros!$B$3)*H333*AB333,(0.85*[1]Parametros!$B$2/[1]Parametros!$B$3)*(1-SQRT(1-2*(L333*1000000/([1]Parametros!$B$5*H333*AB333^2))/(0.85*[1]Parametros!$B$2)))*H333*AB333)</f>
        <v>922.1086199246306</v>
      </c>
      <c r="Z333" s="14">
        <v>5</v>
      </c>
      <c r="AA333" s="14">
        <v>1</v>
      </c>
      <c r="AB333" s="13">
        <f>IF(AA333=1,I333-([1]Parametros!$B$7+[1]Parametros!$B$9+[1]Parametros!$B$12/2),I333-(ROUNDUP(Z333/2,0)*([1]Parametros!$B$7+[1]Parametros!$B$9+[1]Parametros!$B$12/2)+ROUNDDOWN(Z333/2,0)*([1]Parametros!$B$7+[1]Parametros!$B$9+[1]Parametros!$B$12/2+[1]Parametros!$B$12+[1]Parametros!$B$10))/Z333)</f>
        <v>489.35</v>
      </c>
      <c r="AC333" s="13">
        <f>Z333*[1]Parametros!$B$8</f>
        <v>995</v>
      </c>
      <c r="AD333" s="13">
        <f>[1]Parametros!$B$5*AC333*[1]Parametros!$B$3*(AB333-(AC333*[1]Parametros!$B$3/(0.85*[1]Parametros!$B$2*H333))/2)/1000000</f>
        <v>177.44537938235294</v>
      </c>
      <c r="AE333" s="13" t="str">
        <f t="shared" si="66"/>
        <v>CUMPLE</v>
      </c>
      <c r="AF333" s="13">
        <f>V333*1.25*[1]Parametros!$B$3*(U333-(V333*1.25*[1]Parametros!$B$3/(0.85*[1]Parametros!$B$2*H333))/2)/1000000</f>
        <v>290.23892470588237</v>
      </c>
      <c r="AG333" s="13">
        <f>AC333*1.25*[1]Parametros!$B$3*(AB333-(AC333*1.25*[1]Parametros!$B$3/(0.85*[1]Parametros!$B$2*H333))/2)/1000000</f>
        <v>244.15884319852941</v>
      </c>
      <c r="AH333" s="13">
        <f t="shared" si="67"/>
        <v>448.3238839522059</v>
      </c>
      <c r="AI333" s="13">
        <f t="shared" si="68"/>
        <v>703.26900000000001</v>
      </c>
      <c r="AJ333" s="13">
        <f>0.17*SQRT([1]Parametros!$B$2)*H333*MIN(U333,AB333)/1000</f>
        <v>220.09872869180776</v>
      </c>
      <c r="AK333" s="13">
        <f>MAX(AI333/[1]Parametros!$B$6-AJ333,0)</f>
        <v>717.59327130819224</v>
      </c>
      <c r="AL333" s="13">
        <f>0.66*SQRT([1]Parametros!$B$2)*H333*MIN(U333,AB333)/1000</f>
        <v>854.500946685842</v>
      </c>
      <c r="AM333" s="13" t="str">
        <f t="shared" si="69"/>
        <v>CUMPLE</v>
      </c>
      <c r="AN333" s="13" t="s">
        <v>64</v>
      </c>
      <c r="AO333" s="14">
        <v>4</v>
      </c>
      <c r="AP333" s="13">
        <f>ROUNDDOWN(MIN(IF(BC333+BD333=0,1000000000,AO333*BB333/(BC333+BD333)),MIN(U333,AB333)/4,8*[1]Parametros!$B$12,24*BA333,300,IF(AV333=0,1000000000,2*((H333-2*([1]Parametros!$B$7+[1]Parametros!$B$9/2))+(I333-2*([1]Parametros!$B$7+[1]Parametros!$B$9/2)))/8))/10,0)*10</f>
        <v>80</v>
      </c>
      <c r="AQ333" s="13">
        <f>ROUNDDOWN(MIN(IF(BC333+BD333=0,1000000000,AO333*BB333/(BC333+BD333)),IF(AK333&gt;0.33*SQRT([1]Parametros!$B$2)*H333*MIN(U333,AB333)/1000,MIN(U333,AB333)/4,MIN(U333,AB333)/2),600,IF(AV333=0,1000000000,2*((H333-2*([1]Parametros!$B$7+[1]Parametros!$B$9/2))+(I333-2*([1]Parametros!$B$7+[1]Parametros!$B$9/2)))/8))/10,0)*10</f>
        <v>80</v>
      </c>
      <c r="AR333" s="13">
        <f>[1]Parametros!$B$6*(AJ333+MAX(BE333-BD333,0)*[1]Parametros!$B$4*MIN(U333,AB333)/1000)</f>
        <v>712.28968401885584</v>
      </c>
      <c r="AS333" s="13" t="str">
        <f t="shared" si="70"/>
        <v>CUMPLE</v>
      </c>
      <c r="AT333" s="13">
        <f>[1]Parametros!$B$6*0.083*SQRT([1]Parametros!$B$2)*(H333*I333)^2/(2*(H333+I333))/1000000</f>
        <v>11.862178757598967</v>
      </c>
      <c r="AU333" s="13" t="str">
        <f t="shared" si="71"/>
        <v>DESPRECIABLE</v>
      </c>
      <c r="AV333" s="13">
        <f>IF(Q333&lt;=AT333,0,Q333*1000000/([1]Parametros!$B$6*2*0.85*(H333-2*([1]Parametros!$B$7+[1]Parametros!$B$9/2))*(I333-2*([1]Parametros!$B$7+[1]Parametros!$B$9/2))*[1]Parametros!$B$4))</f>
        <v>0</v>
      </c>
      <c r="AW333" s="13">
        <f>AV333*2*((H333-2*([1]Parametros!$B$7+[1]Parametros!$B$9/2))+(I333-2*([1]Parametros!$B$7+[1]Parametros!$B$9/2)))*[1]Parametros!$B$4/[1]Parametros!$B$3</f>
        <v>0</v>
      </c>
      <c r="AX333" s="14">
        <v>0</v>
      </c>
      <c r="AY333" s="13" t="str">
        <f t="shared" si="72"/>
        <v>DESPRECIABLE</v>
      </c>
      <c r="AZ333" s="13" t="str">
        <f t="shared" si="73"/>
        <v>CUMPLE</v>
      </c>
      <c r="BA333" s="14">
        <v>9.5</v>
      </c>
      <c r="BB333" s="14">
        <v>71</v>
      </c>
      <c r="BC333" s="13">
        <f>MAX(IF(AK333=0,0,AK333*1000/([1]Parametros!$B$4*MIN(U333,AB333))),MAX(0.062*SQRT([1]Parametros!$B$2)*H333/[1]Parametros!$B$4,0.35*H333/[1]Parametros!$B$4))</f>
        <v>3.4914793253839753</v>
      </c>
      <c r="BD333" s="13">
        <f t="shared" si="74"/>
        <v>0</v>
      </c>
      <c r="BE333" s="13">
        <f t="shared" si="75"/>
        <v>3.55</v>
      </c>
      <c r="BF333" s="13">
        <f>SQRT((AI333*1000/(H333*MIN(U333,AB333)))^2+(Q333*1000000*2*((H333-2*([1]Parametros!$B$7+[1]Parametros!$B$9/2))+(I333-2*([1]Parametros!$B$7+[1]Parametros!$B$9/2)))/(1.7*((H333-2*([1]Parametros!$B$7+[1]Parametros!$B$9/2))*(I333-2*([1]Parametros!$B$7+[1]Parametros!$B$9/2)))^2))^2)</f>
        <v>2.8771942421829686</v>
      </c>
      <c r="BG333" s="13">
        <f>[1]Parametros!$B$6*(AJ333*1000/(H333*MIN(U333,AB333))+0.66*SQRT([1]Parametros!$B$2))</f>
        <v>3.2939603822754151</v>
      </c>
      <c r="BH333" s="13" t="str">
        <f t="shared" si="76"/>
        <v>CUMPLE</v>
      </c>
      <c r="BI333" s="13">
        <f>AX333*[1]Parametros!$B$8</f>
        <v>0</v>
      </c>
      <c r="BJ333" s="15" t="str">
        <f t="shared" si="77"/>
        <v>CUMPLE</v>
      </c>
    </row>
    <row r="334" spans="1:62" x14ac:dyDescent="0.3">
      <c r="A334" s="31" t="s">
        <v>75</v>
      </c>
      <c r="B334" s="32">
        <v>45</v>
      </c>
      <c r="C334" s="13">
        <v>1</v>
      </c>
      <c r="D334" s="13">
        <v>2</v>
      </c>
      <c r="E334" s="13">
        <v>2</v>
      </c>
      <c r="F334" s="13">
        <v>500</v>
      </c>
      <c r="G334" s="13">
        <v>550</v>
      </c>
      <c r="H334" s="13">
        <v>500</v>
      </c>
      <c r="I334" s="13">
        <v>550</v>
      </c>
      <c r="J334" s="14">
        <v>203.66499999999999</v>
      </c>
      <c r="K334" s="13">
        <v>45</v>
      </c>
      <c r="L334" s="14">
        <v>164.93610000000001</v>
      </c>
      <c r="M334" s="13">
        <v>45</v>
      </c>
      <c r="N334" s="14">
        <v>181.078</v>
      </c>
      <c r="O334" s="14">
        <v>703.22400000000005</v>
      </c>
      <c r="P334" s="13">
        <v>45</v>
      </c>
      <c r="Q334" s="14">
        <v>4.4005000000000001</v>
      </c>
      <c r="R334" s="13">
        <f>MAX(MAX(1.4/[1]Parametros!$B$3,0.25*SQRT([1]Parametros!$B$2)/[1]Parametros!$B$3)*H334*U334,(0.85*[1]Parametros!$B$2/[1]Parametros!$B$3)*(1-SQRT(1-2*(J334*1000000/([1]Parametros!$B$5*H334*U334^2))/(0.85*[1]Parametros!$B$2)))*H334*U334)</f>
        <v>1148.6230222844995</v>
      </c>
      <c r="S334" s="14">
        <v>6</v>
      </c>
      <c r="T334" s="14">
        <v>1</v>
      </c>
      <c r="U334" s="13">
        <f>IF(T334=1,I334-([1]Parametros!$B$7+[1]Parametros!$B$9+[1]Parametros!$B$12/2),I334-(ROUNDUP(S334/2,0)*([1]Parametros!$B$7+[1]Parametros!$B$9+[1]Parametros!$B$12/2)+ROUNDDOWN(S334/2,0)*([1]Parametros!$B$7+[1]Parametros!$B$9+[1]Parametros!$B$12/2+[1]Parametros!$B$12+[1]Parametros!$B$10))/S334)</f>
        <v>489.35</v>
      </c>
      <c r="V334" s="13">
        <f>S334*[1]Parametros!$B$8</f>
        <v>1194</v>
      </c>
      <c r="W334" s="13">
        <f>[1]Parametros!$B$5*V334*[1]Parametros!$B$3*(U334-(V334*[1]Parametros!$B$3/(0.85*[1]Parametros!$B$2*H334))/2)/1000000</f>
        <v>211.34948347058827</v>
      </c>
      <c r="X334" s="13" t="str">
        <f t="shared" si="65"/>
        <v>CUMPLE</v>
      </c>
      <c r="Y334" s="13">
        <f>MAX(MAX(1.4/[1]Parametros!$B$3,0.25*SQRT([1]Parametros!$B$2)/[1]Parametros!$B$3)*H334*AB334,(0.85*[1]Parametros!$B$2/[1]Parametros!$B$3)*(1-SQRT(1-2*(L334*1000000/([1]Parametros!$B$5*H334*AB334^2))/(0.85*[1]Parametros!$B$2)))*H334*AB334)</f>
        <v>922.34954096703882</v>
      </c>
      <c r="Z334" s="14">
        <v>5</v>
      </c>
      <c r="AA334" s="14">
        <v>1</v>
      </c>
      <c r="AB334" s="13">
        <f>IF(AA334=1,I334-([1]Parametros!$B$7+[1]Parametros!$B$9+[1]Parametros!$B$12/2),I334-(ROUNDUP(Z334/2,0)*([1]Parametros!$B$7+[1]Parametros!$B$9+[1]Parametros!$B$12/2)+ROUNDDOWN(Z334/2,0)*([1]Parametros!$B$7+[1]Parametros!$B$9+[1]Parametros!$B$12/2+[1]Parametros!$B$12+[1]Parametros!$B$10))/Z334)</f>
        <v>489.35</v>
      </c>
      <c r="AC334" s="13">
        <f>Z334*[1]Parametros!$B$8</f>
        <v>995</v>
      </c>
      <c r="AD334" s="13">
        <f>[1]Parametros!$B$5*AC334*[1]Parametros!$B$3*(AB334-(AC334*[1]Parametros!$B$3/(0.85*[1]Parametros!$B$2*H334))/2)/1000000</f>
        <v>177.44537938235294</v>
      </c>
      <c r="AE334" s="13" t="str">
        <f t="shared" si="66"/>
        <v>CUMPLE</v>
      </c>
      <c r="AF334" s="13">
        <f>V334*1.25*[1]Parametros!$B$3*(U334-(V334*1.25*[1]Parametros!$B$3/(0.85*[1]Parametros!$B$2*H334))/2)/1000000</f>
        <v>290.23892470588237</v>
      </c>
      <c r="AG334" s="13">
        <f>AC334*1.25*[1]Parametros!$B$3*(AB334-(AC334*1.25*[1]Parametros!$B$3/(0.85*[1]Parametros!$B$2*H334))/2)/1000000</f>
        <v>244.15884319852941</v>
      </c>
      <c r="AH334" s="13">
        <f t="shared" si="67"/>
        <v>448.27688395220594</v>
      </c>
      <c r="AI334" s="13">
        <f t="shared" si="68"/>
        <v>703.22400000000005</v>
      </c>
      <c r="AJ334" s="13">
        <f>0.17*SQRT([1]Parametros!$B$2)*H334*MIN(U334,AB334)/1000</f>
        <v>220.09872869180776</v>
      </c>
      <c r="AK334" s="13">
        <f>MAX(AI334/[1]Parametros!$B$6-AJ334,0)</f>
        <v>717.5332713081923</v>
      </c>
      <c r="AL334" s="13">
        <f>0.66*SQRT([1]Parametros!$B$2)*H334*MIN(U334,AB334)/1000</f>
        <v>854.500946685842</v>
      </c>
      <c r="AM334" s="13" t="str">
        <f t="shared" si="69"/>
        <v>CUMPLE</v>
      </c>
      <c r="AN334" s="13" t="s">
        <v>64</v>
      </c>
      <c r="AO334" s="14">
        <v>4</v>
      </c>
      <c r="AP334" s="13">
        <f>ROUNDDOWN(MIN(IF(BC334+BD334=0,1000000000,AO334*BB334/(BC334+BD334)),MIN(U334,AB334)/4,8*[1]Parametros!$B$12,24*BA334,300,IF(AV334=0,1000000000,2*((H334-2*([1]Parametros!$B$7+[1]Parametros!$B$9/2))+(I334-2*([1]Parametros!$B$7+[1]Parametros!$B$9/2)))/8))/10,0)*10</f>
        <v>80</v>
      </c>
      <c r="AQ334" s="13">
        <f>ROUNDDOWN(MIN(IF(BC334+BD334=0,1000000000,AO334*BB334/(BC334+BD334)),IF(AK334&gt;0.33*SQRT([1]Parametros!$B$2)*H334*MIN(U334,AB334)/1000,MIN(U334,AB334)/4,MIN(U334,AB334)/2),600,IF(AV334=0,1000000000,2*((H334-2*([1]Parametros!$B$7+[1]Parametros!$B$9/2))+(I334-2*([1]Parametros!$B$7+[1]Parametros!$B$9/2)))/8))/10,0)*10</f>
        <v>80</v>
      </c>
      <c r="AR334" s="13">
        <f>[1]Parametros!$B$6*(AJ334+MAX(BE334-BD334,0)*[1]Parametros!$B$4*MIN(U334,AB334)/1000)</f>
        <v>712.28968401885584</v>
      </c>
      <c r="AS334" s="13" t="str">
        <f t="shared" si="70"/>
        <v>CUMPLE</v>
      </c>
      <c r="AT334" s="13">
        <f>[1]Parametros!$B$6*0.083*SQRT([1]Parametros!$B$2)*(H334*I334)^2/(2*(H334+I334))/1000000</f>
        <v>11.862178757598967</v>
      </c>
      <c r="AU334" s="13" t="str">
        <f t="shared" si="71"/>
        <v>DESPRECIABLE</v>
      </c>
      <c r="AV334" s="13">
        <f>IF(Q334&lt;=AT334,0,Q334*1000000/([1]Parametros!$B$6*2*0.85*(H334-2*([1]Parametros!$B$7+[1]Parametros!$B$9/2))*(I334-2*([1]Parametros!$B$7+[1]Parametros!$B$9/2))*[1]Parametros!$B$4))</f>
        <v>0</v>
      </c>
      <c r="AW334" s="13">
        <f>AV334*2*((H334-2*([1]Parametros!$B$7+[1]Parametros!$B$9/2))+(I334-2*([1]Parametros!$B$7+[1]Parametros!$B$9/2)))*[1]Parametros!$B$4/[1]Parametros!$B$3</f>
        <v>0</v>
      </c>
      <c r="AX334" s="14">
        <v>0</v>
      </c>
      <c r="AY334" s="13" t="str">
        <f t="shared" si="72"/>
        <v>DESPRECIABLE</v>
      </c>
      <c r="AZ334" s="13" t="str">
        <f t="shared" si="73"/>
        <v>CUMPLE</v>
      </c>
      <c r="BA334" s="14">
        <v>9.5</v>
      </c>
      <c r="BB334" s="14">
        <v>71</v>
      </c>
      <c r="BC334" s="13">
        <f>MAX(IF(AK334=0,0,AK334*1000/([1]Parametros!$B$4*MIN(U334,AB334))),MAX(0.062*SQRT([1]Parametros!$B$2)*H334/[1]Parametros!$B$4,0.35*H334/[1]Parametros!$B$4))</f>
        <v>3.4911873929371433</v>
      </c>
      <c r="BD334" s="13">
        <f t="shared" si="74"/>
        <v>0</v>
      </c>
      <c r="BE334" s="13">
        <f t="shared" si="75"/>
        <v>3.55</v>
      </c>
      <c r="BF334" s="13">
        <f>SQRT((AI334*1000/(H334*MIN(U334,AB334)))^2+(Q334*1000000*2*((H334-2*([1]Parametros!$B$7+[1]Parametros!$B$9/2))+(I334-2*([1]Parametros!$B$7+[1]Parametros!$B$9/2)))/(1.7*((H334-2*([1]Parametros!$B$7+[1]Parametros!$B$9/2))*(I334-2*([1]Parametros!$B$7+[1]Parametros!$B$9/2)))^2))^2)</f>
        <v>2.8770091948088736</v>
      </c>
      <c r="BG334" s="13">
        <f>[1]Parametros!$B$6*(AJ334*1000/(H334*MIN(U334,AB334))+0.66*SQRT([1]Parametros!$B$2))</f>
        <v>3.2939603822754151</v>
      </c>
      <c r="BH334" s="13" t="str">
        <f t="shared" si="76"/>
        <v>CUMPLE</v>
      </c>
      <c r="BI334" s="13">
        <f>AX334*[1]Parametros!$B$8</f>
        <v>0</v>
      </c>
      <c r="BJ334" s="15" t="str">
        <f t="shared" si="77"/>
        <v>CUMPLE</v>
      </c>
    </row>
    <row r="335" spans="1:62" x14ac:dyDescent="0.3">
      <c r="A335" s="31" t="s">
        <v>75</v>
      </c>
      <c r="B335" s="32">
        <v>46</v>
      </c>
      <c r="C335" s="13">
        <v>1</v>
      </c>
      <c r="D335" s="13">
        <v>3.05</v>
      </c>
      <c r="E335" s="13">
        <v>3.05</v>
      </c>
      <c r="F335" s="13">
        <v>500</v>
      </c>
      <c r="G335" s="13">
        <v>550</v>
      </c>
      <c r="H335" s="13">
        <v>500</v>
      </c>
      <c r="I335" s="13">
        <v>550</v>
      </c>
      <c r="J335" s="14">
        <v>177.80799999999999</v>
      </c>
      <c r="K335" s="13">
        <v>46</v>
      </c>
      <c r="L335" s="14">
        <v>119.1122</v>
      </c>
      <c r="M335" s="13">
        <v>46</v>
      </c>
      <c r="N335" s="14">
        <v>142.30000000000001</v>
      </c>
      <c r="O335" s="14">
        <v>447.74400000000003</v>
      </c>
      <c r="P335" s="13">
        <v>46</v>
      </c>
      <c r="Q335" s="14">
        <v>6.4524999999999997</v>
      </c>
      <c r="R335" s="13">
        <f>MAX(MAX(1.4/[1]Parametros!$B$3,0.25*SQRT([1]Parametros!$B$2)/[1]Parametros!$B$3)*H335*U335,(0.85*[1]Parametros!$B$2/[1]Parametros!$B$3)*(1-SQRT(1-2*(J335*1000000/([1]Parametros!$B$5*H335*U335^2))/(0.85*[1]Parametros!$B$2)))*H335*U335)</f>
        <v>997.11211843761942</v>
      </c>
      <c r="S335" s="14">
        <v>6</v>
      </c>
      <c r="T335" s="14">
        <v>1</v>
      </c>
      <c r="U335" s="13">
        <f>IF(T335=1,I335-([1]Parametros!$B$7+[1]Parametros!$B$9+[1]Parametros!$B$12/2),I335-(ROUNDUP(S335/2,0)*([1]Parametros!$B$7+[1]Parametros!$B$9+[1]Parametros!$B$12/2)+ROUNDDOWN(S335/2,0)*([1]Parametros!$B$7+[1]Parametros!$B$9+[1]Parametros!$B$12/2+[1]Parametros!$B$12+[1]Parametros!$B$10))/S335)</f>
        <v>489.35</v>
      </c>
      <c r="V335" s="13">
        <f>S335*[1]Parametros!$B$8</f>
        <v>1194</v>
      </c>
      <c r="W335" s="13">
        <f>[1]Parametros!$B$5*V335*[1]Parametros!$B$3*(U335-(V335*[1]Parametros!$B$3/(0.85*[1]Parametros!$B$2*H335))/2)/1000000</f>
        <v>211.34948347058827</v>
      </c>
      <c r="X335" s="13" t="str">
        <f t="shared" si="65"/>
        <v>CUMPLE</v>
      </c>
      <c r="Y335" s="13">
        <f>MAX(MAX(1.4/[1]Parametros!$B$3,0.25*SQRT([1]Parametros!$B$2)/[1]Parametros!$B$3)*H335*AB335,(0.85*[1]Parametros!$B$2/[1]Parametros!$B$3)*(1-SQRT(1-2*(L335*1000000/([1]Parametros!$B$5*H335*AB335^2))/(0.85*[1]Parametros!$B$2)))*H335*AB335)</f>
        <v>815.58333333333326</v>
      </c>
      <c r="Z335" s="14">
        <v>5</v>
      </c>
      <c r="AA335" s="14">
        <v>1</v>
      </c>
      <c r="AB335" s="13">
        <f>IF(AA335=1,I335-([1]Parametros!$B$7+[1]Parametros!$B$9+[1]Parametros!$B$12/2),I335-(ROUNDUP(Z335/2,0)*([1]Parametros!$B$7+[1]Parametros!$B$9+[1]Parametros!$B$12/2)+ROUNDDOWN(Z335/2,0)*([1]Parametros!$B$7+[1]Parametros!$B$9+[1]Parametros!$B$12/2+[1]Parametros!$B$12+[1]Parametros!$B$10))/Z335)</f>
        <v>489.35</v>
      </c>
      <c r="AC335" s="13">
        <f>Z335*[1]Parametros!$B$8</f>
        <v>995</v>
      </c>
      <c r="AD335" s="13">
        <f>[1]Parametros!$B$5*AC335*[1]Parametros!$B$3*(AB335-(AC335*[1]Parametros!$B$3/(0.85*[1]Parametros!$B$2*H335))/2)/1000000</f>
        <v>177.44537938235294</v>
      </c>
      <c r="AE335" s="13" t="str">
        <f t="shared" si="66"/>
        <v>CUMPLE</v>
      </c>
      <c r="AF335" s="13">
        <f>V335*1.25*[1]Parametros!$B$3*(U335-(V335*1.25*[1]Parametros!$B$3/(0.85*[1]Parametros!$B$2*H335))/2)/1000000</f>
        <v>290.23892470588237</v>
      </c>
      <c r="AG335" s="13">
        <f>AC335*1.25*[1]Parametros!$B$3*(AB335-(AC335*1.25*[1]Parametros!$B$3/(0.85*[1]Parametros!$B$2*H335))/2)/1000000</f>
        <v>244.15884319852941</v>
      </c>
      <c r="AH335" s="13">
        <f t="shared" si="67"/>
        <v>317.51238291947931</v>
      </c>
      <c r="AI335" s="13">
        <f t="shared" si="68"/>
        <v>447.74400000000003</v>
      </c>
      <c r="AJ335" s="13">
        <f>0.17*SQRT([1]Parametros!$B$2)*H335*MIN(U335,AB335)/1000</f>
        <v>220.09872869180776</v>
      </c>
      <c r="AK335" s="13">
        <f>MAX(AI335/[1]Parametros!$B$6-AJ335,0)</f>
        <v>376.89327130819231</v>
      </c>
      <c r="AL335" s="13">
        <f>0.66*SQRT([1]Parametros!$B$2)*H335*MIN(U335,AB335)/1000</f>
        <v>854.500946685842</v>
      </c>
      <c r="AM335" s="13" t="str">
        <f t="shared" si="69"/>
        <v>CUMPLE</v>
      </c>
      <c r="AN335" s="13" t="s">
        <v>68</v>
      </c>
      <c r="AO335" s="14">
        <v>2</v>
      </c>
      <c r="AP335" s="13">
        <f>ROUNDDOWN(MIN(IF(BC335+BD335=0,1000000000,AO335*BB335/(BC335+BD335)),MIN(U335,AB335)/4,8*[1]Parametros!$B$12,24*BA335,300,IF(AV335=0,1000000000,2*((H335-2*([1]Parametros!$B$7+[1]Parametros!$B$9/2))+(I335-2*([1]Parametros!$B$7+[1]Parametros!$B$9/2)))/8))/10,0)*10</f>
        <v>120</v>
      </c>
      <c r="AQ335" s="13">
        <f>ROUNDDOWN(MIN(IF(BC335+BD335=0,1000000000,AO335*BB335/(BC335+BD335)),IF(AK335&gt;0.33*SQRT([1]Parametros!$B$2)*H335*MIN(U335,AB335)/1000,MIN(U335,AB335)/4,MIN(U335,AB335)/2),600,IF(AV335=0,1000000000,2*((H335-2*([1]Parametros!$B$7+[1]Parametros!$B$9/2))+(I335-2*([1]Parametros!$B$7+[1]Parametros!$B$9/2)))/8))/10,0)*10</f>
        <v>140</v>
      </c>
      <c r="AR335" s="13">
        <f>[1]Parametros!$B$6*(AJ335+MAX(BE335-BD335,0)*[1]Parametros!$B$4*MIN(U335,AB335)/1000)</f>
        <v>496.48633401885581</v>
      </c>
      <c r="AS335" s="13" t="str">
        <f t="shared" si="70"/>
        <v>CUMPLE</v>
      </c>
      <c r="AT335" s="13">
        <f>[1]Parametros!$B$6*0.083*SQRT([1]Parametros!$B$2)*(H335*I335)^2/(2*(H335+I335))/1000000</f>
        <v>11.862178757598967</v>
      </c>
      <c r="AU335" s="13" t="str">
        <f t="shared" si="71"/>
        <v>DESPRECIABLE</v>
      </c>
      <c r="AV335" s="13">
        <f>IF(Q335&lt;=AT335,0,Q335*1000000/([1]Parametros!$B$6*2*0.85*(H335-2*([1]Parametros!$B$7+[1]Parametros!$B$9/2))*(I335-2*([1]Parametros!$B$7+[1]Parametros!$B$9/2))*[1]Parametros!$B$4))</f>
        <v>0</v>
      </c>
      <c r="AW335" s="13">
        <f>AV335*2*((H335-2*([1]Parametros!$B$7+[1]Parametros!$B$9/2))+(I335-2*([1]Parametros!$B$7+[1]Parametros!$B$9/2)))*[1]Parametros!$B$4/[1]Parametros!$B$3</f>
        <v>0</v>
      </c>
      <c r="AX335" s="14">
        <v>0</v>
      </c>
      <c r="AY335" s="13" t="str">
        <f t="shared" si="72"/>
        <v>DESPRECIABLE</v>
      </c>
      <c r="AZ335" s="13" t="str">
        <f t="shared" si="73"/>
        <v>CUMPLE</v>
      </c>
      <c r="BA335" s="14">
        <v>12.7</v>
      </c>
      <c r="BB335" s="14">
        <v>129</v>
      </c>
      <c r="BC335" s="13">
        <f>MAX(IF(AK335=0,0,AK335*1000/([1]Parametros!$B$4*MIN(U335,AB335))),MAX(0.062*SQRT([1]Parametros!$B$2)*H335/[1]Parametros!$B$4,0.35*H335/[1]Parametros!$B$4))</f>
        <v>1.8337895814573866</v>
      </c>
      <c r="BD335" s="13">
        <f t="shared" si="74"/>
        <v>0</v>
      </c>
      <c r="BE335" s="13">
        <f t="shared" si="75"/>
        <v>2.15</v>
      </c>
      <c r="BF335" s="13">
        <f>SQRT((AI335*1000/(H335*MIN(U335,AB335)))^2+(Q335*1000000*2*((H335-2*([1]Parametros!$B$7+[1]Parametros!$B$9/2))+(I335-2*([1]Parametros!$B$7+[1]Parametros!$B$9/2)))/(1.7*((H335-2*([1]Parametros!$B$7+[1]Parametros!$B$9/2))*(I335-2*([1]Parametros!$B$7+[1]Parametros!$B$9/2)))^2))^2)</f>
        <v>1.8397075137586718</v>
      </c>
      <c r="BG335" s="13">
        <f>[1]Parametros!$B$6*(AJ335*1000/(H335*MIN(U335,AB335))+0.66*SQRT([1]Parametros!$B$2))</f>
        <v>3.2939603822754151</v>
      </c>
      <c r="BH335" s="13" t="str">
        <f t="shared" si="76"/>
        <v>CUMPLE</v>
      </c>
      <c r="BI335" s="13">
        <f>AX335*[1]Parametros!$B$8</f>
        <v>0</v>
      </c>
      <c r="BJ335" s="15" t="str">
        <f t="shared" si="77"/>
        <v>CUMPLE</v>
      </c>
    </row>
    <row r="336" spans="1:62" x14ac:dyDescent="0.3">
      <c r="A336" s="31" t="s">
        <v>75</v>
      </c>
      <c r="B336" s="32">
        <v>47</v>
      </c>
      <c r="C336" s="13">
        <v>1</v>
      </c>
      <c r="D336" s="13">
        <v>2</v>
      </c>
      <c r="E336" s="13">
        <v>2</v>
      </c>
      <c r="F336" s="13">
        <v>500</v>
      </c>
      <c r="G336" s="13">
        <v>550</v>
      </c>
      <c r="H336" s="13">
        <v>500</v>
      </c>
      <c r="I336" s="13">
        <v>550</v>
      </c>
      <c r="J336" s="14">
        <v>175.82050000000001</v>
      </c>
      <c r="K336" s="13">
        <v>47</v>
      </c>
      <c r="L336" s="14">
        <v>143.346</v>
      </c>
      <c r="M336" s="13">
        <v>47</v>
      </c>
      <c r="N336" s="14">
        <v>164.80099999999999</v>
      </c>
      <c r="O336" s="14">
        <v>634.63300000000004</v>
      </c>
      <c r="P336" s="13">
        <v>47</v>
      </c>
      <c r="Q336" s="14">
        <v>10.9375</v>
      </c>
      <c r="R336" s="13">
        <f>MAX(MAX(1.4/[1]Parametros!$B$3,0.25*SQRT([1]Parametros!$B$2)/[1]Parametros!$B$3)*H336*U336,(0.85*[1]Parametros!$B$2/[1]Parametros!$B$3)*(1-SQRT(1-2*(J336*1000000/([1]Parametros!$B$5*H336*U336^2))/(0.85*[1]Parametros!$B$2)))*H336*U336)</f>
        <v>985.53998815951445</v>
      </c>
      <c r="S336" s="14">
        <v>5</v>
      </c>
      <c r="T336" s="14">
        <v>1</v>
      </c>
      <c r="U336" s="13">
        <f>IF(T336=1,I336-([1]Parametros!$B$7+[1]Parametros!$B$9+[1]Parametros!$B$12/2),I336-(ROUNDUP(S336/2,0)*([1]Parametros!$B$7+[1]Parametros!$B$9+[1]Parametros!$B$12/2)+ROUNDDOWN(S336/2,0)*([1]Parametros!$B$7+[1]Parametros!$B$9+[1]Parametros!$B$12/2+[1]Parametros!$B$12+[1]Parametros!$B$10))/S336)</f>
        <v>489.35</v>
      </c>
      <c r="V336" s="13">
        <f>S336*[1]Parametros!$B$8</f>
        <v>995</v>
      </c>
      <c r="W336" s="13">
        <f>[1]Parametros!$B$5*V336*[1]Parametros!$B$3*(U336-(V336*[1]Parametros!$B$3/(0.85*[1]Parametros!$B$2*H336))/2)/1000000</f>
        <v>177.44537938235294</v>
      </c>
      <c r="X336" s="13" t="str">
        <f t="shared" si="65"/>
        <v>CUMPLE</v>
      </c>
      <c r="Y336" s="13">
        <f>MAX(MAX(1.4/[1]Parametros!$B$3,0.25*SQRT([1]Parametros!$B$2)/[1]Parametros!$B$3)*H336*AB336,(0.85*[1]Parametros!$B$2/[1]Parametros!$B$3)*(1-SQRT(1-2*(L336*1000000/([1]Parametros!$B$5*H336*AB336^2))/(0.85*[1]Parametros!$B$2)))*H336*AB336)</f>
        <v>815.58333333333326</v>
      </c>
      <c r="Z336" s="14">
        <v>5</v>
      </c>
      <c r="AA336" s="14">
        <v>1</v>
      </c>
      <c r="AB336" s="13">
        <f>IF(AA336=1,I336-([1]Parametros!$B$7+[1]Parametros!$B$9+[1]Parametros!$B$12/2),I336-(ROUNDUP(Z336/2,0)*([1]Parametros!$B$7+[1]Parametros!$B$9+[1]Parametros!$B$12/2)+ROUNDDOWN(Z336/2,0)*([1]Parametros!$B$7+[1]Parametros!$B$9+[1]Parametros!$B$12/2+[1]Parametros!$B$12+[1]Parametros!$B$10))/Z336)</f>
        <v>489.35</v>
      </c>
      <c r="AC336" s="13">
        <f>Z336*[1]Parametros!$B$8</f>
        <v>995</v>
      </c>
      <c r="AD336" s="13">
        <f>[1]Parametros!$B$5*AC336*[1]Parametros!$B$3*(AB336-(AC336*[1]Parametros!$B$3/(0.85*[1]Parametros!$B$2*H336))/2)/1000000</f>
        <v>177.44537938235294</v>
      </c>
      <c r="AE336" s="13" t="str">
        <f t="shared" si="66"/>
        <v>CUMPLE</v>
      </c>
      <c r="AF336" s="13">
        <f>V336*1.25*[1]Parametros!$B$3*(U336-(V336*1.25*[1]Parametros!$B$3/(0.85*[1]Parametros!$B$2*H336))/2)/1000000</f>
        <v>244.15884319852941</v>
      </c>
      <c r="AG336" s="13">
        <f>AC336*1.25*[1]Parametros!$B$3*(AB336-(AC336*1.25*[1]Parametros!$B$3/(0.85*[1]Parametros!$B$2*H336))/2)/1000000</f>
        <v>244.15884319852941</v>
      </c>
      <c r="AH336" s="13">
        <f t="shared" si="67"/>
        <v>408.95984319852937</v>
      </c>
      <c r="AI336" s="13">
        <f t="shared" si="68"/>
        <v>634.63300000000004</v>
      </c>
      <c r="AJ336" s="13">
        <f>0.17*SQRT([1]Parametros!$B$2)*H336*MIN(U336,AB336)/1000</f>
        <v>220.09872869180776</v>
      </c>
      <c r="AK336" s="13">
        <f>MAX(AI336/[1]Parametros!$B$6-AJ336,0)</f>
        <v>626.07860464152566</v>
      </c>
      <c r="AL336" s="13">
        <f>0.66*SQRT([1]Parametros!$B$2)*H336*MIN(U336,AB336)/1000</f>
        <v>854.500946685842</v>
      </c>
      <c r="AM336" s="13" t="str">
        <f t="shared" si="69"/>
        <v>CUMPLE</v>
      </c>
      <c r="AN336" s="13" t="s">
        <v>68</v>
      </c>
      <c r="AO336" s="14">
        <v>2</v>
      </c>
      <c r="AP336" s="13">
        <f>ROUNDDOWN(MIN(IF(BC336+BD336=0,1000000000,AO336*BB336/(BC336+BD336)),MIN(U336,AB336)/4,8*[1]Parametros!$B$12,24*BA336,300,IF(AV336=0,1000000000,2*((H336-2*([1]Parametros!$B$7+[1]Parametros!$B$9/2))+(I336-2*([1]Parametros!$B$7+[1]Parametros!$B$9/2)))/8))/10,0)*10</f>
        <v>80</v>
      </c>
      <c r="AQ336" s="13">
        <f>ROUNDDOWN(MIN(IF(BC336+BD336=0,1000000000,AO336*BB336/(BC336+BD336)),IF(AK336&gt;0.33*SQRT([1]Parametros!$B$2)*H336*MIN(U336,AB336)/1000,MIN(U336,AB336)/4,MIN(U336,AB336)/2),600,IF(AV336=0,1000000000,2*((H336-2*([1]Parametros!$B$7+[1]Parametros!$B$9/2))+(I336-2*([1]Parametros!$B$7+[1]Parametros!$B$9/2)))/8))/10,0)*10</f>
        <v>80</v>
      </c>
      <c r="AR336" s="13">
        <f>[1]Parametros!$B$6*(AJ336+MAX(BE336-BD336,0)*[1]Parametros!$B$4*MIN(U336,AB336)/1000)</f>
        <v>662.19247776885595</v>
      </c>
      <c r="AS336" s="13" t="str">
        <f t="shared" si="70"/>
        <v>CUMPLE</v>
      </c>
      <c r="AT336" s="13">
        <f>[1]Parametros!$B$6*0.083*SQRT([1]Parametros!$B$2)*(H336*I336)^2/(2*(H336+I336))/1000000</f>
        <v>11.862178757598967</v>
      </c>
      <c r="AU336" s="13" t="str">
        <f t="shared" si="71"/>
        <v>DESPRECIABLE</v>
      </c>
      <c r="AV336" s="13">
        <f>IF(Q336&lt;=AT336,0,Q336*1000000/([1]Parametros!$B$6*2*0.85*(H336-2*([1]Parametros!$B$7+[1]Parametros!$B$9/2))*(I336-2*([1]Parametros!$B$7+[1]Parametros!$B$9/2))*[1]Parametros!$B$4))</f>
        <v>0</v>
      </c>
      <c r="AW336" s="13">
        <f>AV336*2*((H336-2*([1]Parametros!$B$7+[1]Parametros!$B$9/2))+(I336-2*([1]Parametros!$B$7+[1]Parametros!$B$9/2)))*[1]Parametros!$B$4/[1]Parametros!$B$3</f>
        <v>0</v>
      </c>
      <c r="AX336" s="14">
        <v>0</v>
      </c>
      <c r="AY336" s="13" t="str">
        <f t="shared" si="72"/>
        <v>DESPRECIABLE</v>
      </c>
      <c r="AZ336" s="13" t="str">
        <f t="shared" si="73"/>
        <v>CUMPLE</v>
      </c>
      <c r="BA336" s="14">
        <v>12.7</v>
      </c>
      <c r="BB336" s="14">
        <v>129</v>
      </c>
      <c r="BC336" s="13">
        <f>MAX(IF(AK336=0,0,AK336*1000/([1]Parametros!$B$4*MIN(U336,AB336))),MAX(0.062*SQRT([1]Parametros!$B$2)*H336/[1]Parametros!$B$4,0.35*H336/[1]Parametros!$B$4))</f>
        <v>3.0462109827006945</v>
      </c>
      <c r="BD336" s="13">
        <f t="shared" si="74"/>
        <v>0</v>
      </c>
      <c r="BE336" s="13">
        <f t="shared" si="75"/>
        <v>3.2250000000000001</v>
      </c>
      <c r="BF336" s="13">
        <f>SQRT((AI336*1000/(H336*MIN(U336,AB336)))^2+(Q336*1000000*2*((H336-2*([1]Parametros!$B$7+[1]Parametros!$B$9/2))+(I336-2*([1]Parametros!$B$7+[1]Parametros!$B$9/2)))/(1.7*((H336-2*([1]Parametros!$B$7+[1]Parametros!$B$9/2))*(I336-2*([1]Parametros!$B$7+[1]Parametros!$B$9/2)))^2))^2)</f>
        <v>2.6135288622559227</v>
      </c>
      <c r="BG336" s="13">
        <f>[1]Parametros!$B$6*(AJ336*1000/(H336*MIN(U336,AB336))+0.66*SQRT([1]Parametros!$B$2))</f>
        <v>3.2939603822754151</v>
      </c>
      <c r="BH336" s="13" t="str">
        <f t="shared" si="76"/>
        <v>CUMPLE</v>
      </c>
      <c r="BI336" s="13">
        <f>AX336*[1]Parametros!$B$8</f>
        <v>0</v>
      </c>
      <c r="BJ336" s="15" t="str">
        <f t="shared" si="77"/>
        <v>CUMPLE</v>
      </c>
    </row>
    <row r="337" spans="1:62" x14ac:dyDescent="0.3">
      <c r="A337" s="31" t="s">
        <v>75</v>
      </c>
      <c r="B337" s="32">
        <v>48</v>
      </c>
      <c r="C337" s="13">
        <v>1</v>
      </c>
      <c r="D337" s="13">
        <v>1.9</v>
      </c>
      <c r="E337" s="13">
        <v>1.9</v>
      </c>
      <c r="F337" s="13">
        <v>500</v>
      </c>
      <c r="G337" s="13">
        <v>550</v>
      </c>
      <c r="H337" s="13">
        <v>500</v>
      </c>
      <c r="I337" s="13">
        <v>550</v>
      </c>
      <c r="J337" s="14">
        <v>186.6463</v>
      </c>
      <c r="K337" s="13">
        <v>48</v>
      </c>
      <c r="L337" s="14">
        <v>158.86060000000001</v>
      </c>
      <c r="M337" s="13">
        <v>48</v>
      </c>
      <c r="N337" s="14">
        <v>178.286</v>
      </c>
      <c r="O337" s="14">
        <v>702.255</v>
      </c>
      <c r="P337" s="13">
        <v>48</v>
      </c>
      <c r="Q337" s="14">
        <v>6.5960999999999999</v>
      </c>
      <c r="R337" s="13">
        <f>MAX(MAX(1.4/[1]Parametros!$B$3,0.25*SQRT([1]Parametros!$B$2)/[1]Parametros!$B$3)*H337*U337,(0.85*[1]Parametros!$B$2/[1]Parametros!$B$3)*(1-SQRT(1-2*(J337*1000000/([1]Parametros!$B$5*H337*U337^2))/(0.85*[1]Parametros!$B$2)))*H337*U337)</f>
        <v>1048.6992729518367</v>
      </c>
      <c r="S337" s="14">
        <v>6</v>
      </c>
      <c r="T337" s="14">
        <v>1</v>
      </c>
      <c r="U337" s="13">
        <f>IF(T337=1,I337-([1]Parametros!$B$7+[1]Parametros!$B$9+[1]Parametros!$B$12/2),I337-(ROUNDUP(S337/2,0)*([1]Parametros!$B$7+[1]Parametros!$B$9+[1]Parametros!$B$12/2)+ROUNDDOWN(S337/2,0)*([1]Parametros!$B$7+[1]Parametros!$B$9+[1]Parametros!$B$12/2+[1]Parametros!$B$12+[1]Parametros!$B$10))/S337)</f>
        <v>489.35</v>
      </c>
      <c r="V337" s="13">
        <f>S337*[1]Parametros!$B$8</f>
        <v>1194</v>
      </c>
      <c r="W337" s="13">
        <f>[1]Parametros!$B$5*V337*[1]Parametros!$B$3*(U337-(V337*[1]Parametros!$B$3/(0.85*[1]Parametros!$B$2*H337))/2)/1000000</f>
        <v>211.34948347058827</v>
      </c>
      <c r="X337" s="13" t="str">
        <f t="shared" si="65"/>
        <v>CUMPLE</v>
      </c>
      <c r="Y337" s="13">
        <f>MAX(MAX(1.4/[1]Parametros!$B$3,0.25*SQRT([1]Parametros!$B$2)/[1]Parametros!$B$3)*H337*AB337,(0.85*[1]Parametros!$B$2/[1]Parametros!$B$3)*(1-SQRT(1-2*(L337*1000000/([1]Parametros!$B$5*H337*AB337^2))/(0.85*[1]Parametros!$B$2)))*H337*AB337)</f>
        <v>887.21143635482565</v>
      </c>
      <c r="Z337" s="14">
        <v>5</v>
      </c>
      <c r="AA337" s="14">
        <v>1</v>
      </c>
      <c r="AB337" s="13">
        <f>IF(AA337=1,I337-([1]Parametros!$B$7+[1]Parametros!$B$9+[1]Parametros!$B$12/2),I337-(ROUNDUP(Z337/2,0)*([1]Parametros!$B$7+[1]Parametros!$B$9+[1]Parametros!$B$12/2)+ROUNDDOWN(Z337/2,0)*([1]Parametros!$B$7+[1]Parametros!$B$9+[1]Parametros!$B$12/2+[1]Parametros!$B$12+[1]Parametros!$B$10))/Z337)</f>
        <v>489.35</v>
      </c>
      <c r="AC337" s="13">
        <f>Z337*[1]Parametros!$B$8</f>
        <v>995</v>
      </c>
      <c r="AD337" s="13">
        <f>[1]Parametros!$B$5*AC337*[1]Parametros!$B$3*(AB337-(AC337*[1]Parametros!$B$3/(0.85*[1]Parametros!$B$2*H337))/2)/1000000</f>
        <v>177.44537938235294</v>
      </c>
      <c r="AE337" s="13" t="str">
        <f t="shared" si="66"/>
        <v>CUMPLE</v>
      </c>
      <c r="AF337" s="13">
        <f>V337*1.25*[1]Parametros!$B$3*(U337-(V337*1.25*[1]Parametros!$B$3/(0.85*[1]Parametros!$B$2*H337))/2)/1000000</f>
        <v>290.23892470588237</v>
      </c>
      <c r="AG337" s="13">
        <f>AC337*1.25*[1]Parametros!$B$3*(AB337-(AC337*1.25*[1]Parametros!$B$3/(0.85*[1]Parametros!$B$2*H337))/2)/1000000</f>
        <v>244.15884319852941</v>
      </c>
      <c r="AH337" s="13">
        <f t="shared" si="67"/>
        <v>459.5479831075852</v>
      </c>
      <c r="AI337" s="13">
        <f t="shared" si="68"/>
        <v>702.255</v>
      </c>
      <c r="AJ337" s="13">
        <f>0.17*SQRT([1]Parametros!$B$2)*H337*MIN(U337,AB337)/1000</f>
        <v>220.09872869180776</v>
      </c>
      <c r="AK337" s="13">
        <f>MAX(AI337/[1]Parametros!$B$6-AJ337,0)</f>
        <v>716.24127130819227</v>
      </c>
      <c r="AL337" s="13">
        <f>0.66*SQRT([1]Parametros!$B$2)*H337*MIN(U337,AB337)/1000</f>
        <v>854.500946685842</v>
      </c>
      <c r="AM337" s="13" t="str">
        <f t="shared" si="69"/>
        <v>CUMPLE</v>
      </c>
      <c r="AN337" s="13" t="s">
        <v>64</v>
      </c>
      <c r="AO337" s="14">
        <v>4</v>
      </c>
      <c r="AP337" s="13">
        <f>ROUNDDOWN(MIN(IF(BC337+BD337=0,1000000000,AO337*BB337/(BC337+BD337)),MIN(U337,AB337)/4,8*[1]Parametros!$B$12,24*BA337,300,IF(AV337=0,1000000000,2*((H337-2*([1]Parametros!$B$7+[1]Parametros!$B$9/2))+(I337-2*([1]Parametros!$B$7+[1]Parametros!$B$9/2)))/8))/10,0)*10</f>
        <v>80</v>
      </c>
      <c r="AQ337" s="13">
        <f>ROUNDDOWN(MIN(IF(BC337+BD337=0,1000000000,AO337*BB337/(BC337+BD337)),IF(AK337&gt;0.33*SQRT([1]Parametros!$B$2)*H337*MIN(U337,AB337)/1000,MIN(U337,AB337)/4,MIN(U337,AB337)/2),600,IF(AV337=0,1000000000,2*((H337-2*([1]Parametros!$B$7+[1]Parametros!$B$9/2))+(I337-2*([1]Parametros!$B$7+[1]Parametros!$B$9/2)))/8))/10,0)*10</f>
        <v>80</v>
      </c>
      <c r="AR337" s="13">
        <f>[1]Parametros!$B$6*(AJ337+MAX(BE337-BD337,0)*[1]Parametros!$B$4*MIN(U337,AB337)/1000)</f>
        <v>712.28968401885584</v>
      </c>
      <c r="AS337" s="13" t="str">
        <f t="shared" si="70"/>
        <v>CUMPLE</v>
      </c>
      <c r="AT337" s="13">
        <f>[1]Parametros!$B$6*0.083*SQRT([1]Parametros!$B$2)*(H337*I337)^2/(2*(H337+I337))/1000000</f>
        <v>11.862178757598967</v>
      </c>
      <c r="AU337" s="13" t="str">
        <f t="shared" si="71"/>
        <v>DESPRECIABLE</v>
      </c>
      <c r="AV337" s="13">
        <f>IF(Q337&lt;=AT337,0,Q337*1000000/([1]Parametros!$B$6*2*0.85*(H337-2*([1]Parametros!$B$7+[1]Parametros!$B$9/2))*(I337-2*([1]Parametros!$B$7+[1]Parametros!$B$9/2))*[1]Parametros!$B$4))</f>
        <v>0</v>
      </c>
      <c r="AW337" s="13">
        <f>AV337*2*((H337-2*([1]Parametros!$B$7+[1]Parametros!$B$9/2))+(I337-2*([1]Parametros!$B$7+[1]Parametros!$B$9/2)))*[1]Parametros!$B$4/[1]Parametros!$B$3</f>
        <v>0</v>
      </c>
      <c r="AX337" s="14">
        <v>0</v>
      </c>
      <c r="AY337" s="13" t="str">
        <f t="shared" si="72"/>
        <v>DESPRECIABLE</v>
      </c>
      <c r="AZ337" s="13" t="str">
        <f t="shared" si="73"/>
        <v>CUMPLE</v>
      </c>
      <c r="BA337" s="14">
        <v>9.5</v>
      </c>
      <c r="BB337" s="14">
        <v>71</v>
      </c>
      <c r="BC337" s="13">
        <f>MAX(IF(AK337=0,0,AK337*1000/([1]Parametros!$B$4*MIN(U337,AB337))),MAX(0.062*SQRT([1]Parametros!$B$2)*H337/[1]Parametros!$B$4,0.35*H337/[1]Parametros!$B$4))</f>
        <v>3.4849011142486988</v>
      </c>
      <c r="BD337" s="13">
        <f t="shared" si="74"/>
        <v>0</v>
      </c>
      <c r="BE337" s="13">
        <f t="shared" si="75"/>
        <v>3.55</v>
      </c>
      <c r="BF337" s="13">
        <f>SQRT((AI337*1000/(H337*MIN(U337,AB337)))^2+(Q337*1000000*2*((H337-2*([1]Parametros!$B$7+[1]Parametros!$B$9/2))+(I337-2*([1]Parametros!$B$7+[1]Parametros!$B$9/2)))/(1.7*((H337-2*([1]Parametros!$B$7+[1]Parametros!$B$9/2))*(I337-2*([1]Parametros!$B$7+[1]Parametros!$B$9/2)))^2))^2)</f>
        <v>2.8766627315834876</v>
      </c>
      <c r="BG337" s="13">
        <f>[1]Parametros!$B$6*(AJ337*1000/(H337*MIN(U337,AB337))+0.66*SQRT([1]Parametros!$B$2))</f>
        <v>3.2939603822754151</v>
      </c>
      <c r="BH337" s="13" t="str">
        <f t="shared" si="76"/>
        <v>CUMPLE</v>
      </c>
      <c r="BI337" s="13">
        <f>AX337*[1]Parametros!$B$8</f>
        <v>0</v>
      </c>
      <c r="BJ337" s="15" t="str">
        <f t="shared" si="77"/>
        <v>CUMPLE</v>
      </c>
    </row>
    <row r="338" spans="1:62" x14ac:dyDescent="0.3">
      <c r="A338" s="31" t="s">
        <v>75</v>
      </c>
      <c r="B338" s="32">
        <v>49</v>
      </c>
      <c r="C338" s="13">
        <v>1</v>
      </c>
      <c r="D338" s="13">
        <v>3.4</v>
      </c>
      <c r="E338" s="13">
        <v>3.4</v>
      </c>
      <c r="F338" s="13">
        <v>500</v>
      </c>
      <c r="G338" s="13">
        <v>550</v>
      </c>
      <c r="H338" s="13">
        <v>500</v>
      </c>
      <c r="I338" s="13">
        <v>550</v>
      </c>
      <c r="J338" s="14">
        <v>191.2313</v>
      </c>
      <c r="K338" s="13">
        <v>49</v>
      </c>
      <c r="L338" s="14">
        <v>108.42149999999999</v>
      </c>
      <c r="M338" s="13">
        <v>49</v>
      </c>
      <c r="N338" s="14">
        <v>142.78</v>
      </c>
      <c r="O338" s="14">
        <v>396.85</v>
      </c>
      <c r="P338" s="13">
        <v>49</v>
      </c>
      <c r="Q338" s="14">
        <v>15.072699999999999</v>
      </c>
      <c r="R338" s="13">
        <f>MAX(MAX(1.4/[1]Parametros!$B$3,0.25*SQRT([1]Parametros!$B$2)/[1]Parametros!$B$3)*H338*U338,(0.85*[1]Parametros!$B$2/[1]Parametros!$B$3)*(1-SQRT(1-2*(J338*1000000/([1]Parametros!$B$5*H338*U338^2))/(0.85*[1]Parametros!$B$2)))*H338*U338)</f>
        <v>1075.542850722971</v>
      </c>
      <c r="S338" s="14">
        <v>6</v>
      </c>
      <c r="T338" s="14">
        <v>1</v>
      </c>
      <c r="U338" s="13">
        <f>IF(T338=1,I338-([1]Parametros!$B$7+[1]Parametros!$B$9+[1]Parametros!$B$12/2),I338-(ROUNDUP(S338/2,0)*([1]Parametros!$B$7+[1]Parametros!$B$9+[1]Parametros!$B$12/2)+ROUNDDOWN(S338/2,0)*([1]Parametros!$B$7+[1]Parametros!$B$9+[1]Parametros!$B$12/2+[1]Parametros!$B$12+[1]Parametros!$B$10))/S338)</f>
        <v>489.35</v>
      </c>
      <c r="V338" s="13">
        <f>S338*[1]Parametros!$B$8</f>
        <v>1194</v>
      </c>
      <c r="W338" s="13">
        <f>[1]Parametros!$B$5*V338*[1]Parametros!$B$3*(U338-(V338*[1]Parametros!$B$3/(0.85*[1]Parametros!$B$2*H338))/2)/1000000</f>
        <v>211.34948347058827</v>
      </c>
      <c r="X338" s="13" t="str">
        <f t="shared" si="65"/>
        <v>CUMPLE</v>
      </c>
      <c r="Y338" s="13">
        <f>MAX(MAX(1.4/[1]Parametros!$B$3,0.25*SQRT([1]Parametros!$B$2)/[1]Parametros!$B$3)*H338*AB338,(0.85*[1]Parametros!$B$2/[1]Parametros!$B$3)*(1-SQRT(1-2*(L338*1000000/([1]Parametros!$B$5*H338*AB338^2))/(0.85*[1]Parametros!$B$2)))*H338*AB338)</f>
        <v>815.58333333333326</v>
      </c>
      <c r="Z338" s="14">
        <v>5</v>
      </c>
      <c r="AA338" s="14">
        <v>1</v>
      </c>
      <c r="AB338" s="13">
        <f>IF(AA338=1,I338-([1]Parametros!$B$7+[1]Parametros!$B$9+[1]Parametros!$B$12/2),I338-(ROUNDUP(Z338/2,0)*([1]Parametros!$B$7+[1]Parametros!$B$9+[1]Parametros!$B$12/2)+ROUNDDOWN(Z338/2,0)*([1]Parametros!$B$7+[1]Parametros!$B$9+[1]Parametros!$B$12/2+[1]Parametros!$B$12+[1]Parametros!$B$10))/Z338)</f>
        <v>489.35</v>
      </c>
      <c r="AC338" s="13">
        <f>Z338*[1]Parametros!$B$8</f>
        <v>995</v>
      </c>
      <c r="AD338" s="13">
        <f>[1]Parametros!$B$5*AC338*[1]Parametros!$B$3*(AB338-(AC338*[1]Parametros!$B$3/(0.85*[1]Parametros!$B$2*H338))/2)/1000000</f>
        <v>177.44537938235294</v>
      </c>
      <c r="AE338" s="13" t="str">
        <f t="shared" si="66"/>
        <v>CUMPLE</v>
      </c>
      <c r="AF338" s="13">
        <f>V338*1.25*[1]Parametros!$B$3*(U338-(V338*1.25*[1]Parametros!$B$3/(0.85*[1]Parametros!$B$2*H338))/2)/1000000</f>
        <v>290.23892470588237</v>
      </c>
      <c r="AG338" s="13">
        <f>AC338*1.25*[1]Parametros!$B$3*(AB338-(AC338*1.25*[1]Parametros!$B$3/(0.85*[1]Parametros!$B$2*H338))/2)/1000000</f>
        <v>244.15884319852941</v>
      </c>
      <c r="AH338" s="13">
        <f t="shared" si="67"/>
        <v>299.95581408953285</v>
      </c>
      <c r="AI338" s="13">
        <f t="shared" si="68"/>
        <v>396.85</v>
      </c>
      <c r="AJ338" s="13">
        <f>0.17*SQRT([1]Parametros!$B$2)*H338*MIN(U338,AB338)/1000</f>
        <v>220.09872869180776</v>
      </c>
      <c r="AK338" s="13">
        <f>MAX(AI338/[1]Parametros!$B$6-AJ338,0)</f>
        <v>309.03460464152556</v>
      </c>
      <c r="AL338" s="13">
        <f>0.66*SQRT([1]Parametros!$B$2)*H338*MIN(U338,AB338)/1000</f>
        <v>854.500946685842</v>
      </c>
      <c r="AM338" s="13" t="str">
        <f t="shared" si="69"/>
        <v>CUMPLE</v>
      </c>
      <c r="AN338" s="13" t="s">
        <v>68</v>
      </c>
      <c r="AO338" s="14">
        <v>2</v>
      </c>
      <c r="AP338" s="13">
        <f>ROUNDDOWN(MIN(IF(BC338+BD338=0,1000000000,AO338*BB338/(BC338+BD338)),MIN(U338,AB338)/4,8*[1]Parametros!$B$12,24*BA338,300,IF(AV338=0,1000000000,2*((H338-2*([1]Parametros!$B$7+[1]Parametros!$B$9/2))+(I338-2*([1]Parametros!$B$7+[1]Parametros!$B$9/2)))/8))/10,0)*10</f>
        <v>120</v>
      </c>
      <c r="AQ338" s="13">
        <f>ROUNDDOWN(MIN(IF(BC338+BD338=0,1000000000,AO338*BB338/(BC338+BD338)),IF(AK338&gt;0.33*SQRT([1]Parametros!$B$2)*H338*MIN(U338,AB338)/1000,MIN(U338,AB338)/4,MIN(U338,AB338)/2),600,IF(AV338=0,1000000000,2*((H338-2*([1]Parametros!$B$7+[1]Parametros!$B$9/2))+(I338-2*([1]Parametros!$B$7+[1]Parametros!$B$9/2)))/8))/10,0)*10</f>
        <v>140</v>
      </c>
      <c r="AR338" s="13">
        <f>[1]Parametros!$B$6*(AJ338+MAX(BE338-BD338,0)*[1]Parametros!$B$4*MIN(U338,AB338)/1000)</f>
        <v>449.89811476192403</v>
      </c>
      <c r="AS338" s="13" t="str">
        <f t="shared" si="70"/>
        <v>CUMPLE</v>
      </c>
      <c r="AT338" s="13">
        <f>[1]Parametros!$B$6*0.083*SQRT([1]Parametros!$B$2)*(H338*I338)^2/(2*(H338+I338))/1000000</f>
        <v>11.862178757598967</v>
      </c>
      <c r="AU338" s="13" t="str">
        <f t="shared" si="71"/>
        <v>DISEÑAR</v>
      </c>
      <c r="AV338" s="13">
        <f>IF(Q338&lt;=AT338,0,Q338*1000000/([1]Parametros!$B$6*2*0.85*(H338-2*([1]Parametros!$B$7+[1]Parametros!$B$9/2))*(I338-2*([1]Parametros!$B$7+[1]Parametros!$B$9/2))*[1]Parametros!$B$4))</f>
        <v>0.15111792045791791</v>
      </c>
      <c r="AW338" s="13">
        <f>AV338*2*((H338-2*([1]Parametros!$B$7+[1]Parametros!$B$9/2))+(I338-2*([1]Parametros!$B$7+[1]Parametros!$B$9/2)))*[1]Parametros!$B$4/[1]Parametros!$B$3</f>
        <v>261.31310805583166</v>
      </c>
      <c r="AX338" s="14">
        <v>8</v>
      </c>
      <c r="AY338" s="13" t="str">
        <f t="shared" si="72"/>
        <v>CUMPLE</v>
      </c>
      <c r="AZ338" s="13" t="str">
        <f t="shared" si="73"/>
        <v>CUMPLE</v>
      </c>
      <c r="BA338" s="14">
        <v>12.7</v>
      </c>
      <c r="BB338" s="14">
        <v>129</v>
      </c>
      <c r="BC338" s="13">
        <f>MAX(IF(AK338=0,0,AK338*1000/([1]Parametros!$B$4*MIN(U338,AB338))),MAX(0.062*SQRT([1]Parametros!$B$2)*H338/[1]Parametros!$B$4,0.35*H338/[1]Parametros!$B$4))</f>
        <v>1.5036204714783241</v>
      </c>
      <c r="BD338" s="13">
        <f t="shared" si="74"/>
        <v>0.30223584091583583</v>
      </c>
      <c r="BE338" s="13">
        <f t="shared" si="75"/>
        <v>2.15</v>
      </c>
      <c r="BF338" s="13">
        <f>SQRT((AI338*1000/(H338*MIN(U338,AB338)))^2+(Q338*1000000*2*((H338-2*([1]Parametros!$B$7+[1]Parametros!$B$9/2))+(I338-2*([1]Parametros!$B$7+[1]Parametros!$B$9/2)))/(1.7*((H338-2*([1]Parametros!$B$7+[1]Parametros!$B$9/2))*(I338-2*([1]Parametros!$B$7+[1]Parametros!$B$9/2)))^2))^2)</f>
        <v>1.681076483622395</v>
      </c>
      <c r="BG338" s="13">
        <f>[1]Parametros!$B$6*(AJ338*1000/(H338*MIN(U338,AB338))+0.66*SQRT([1]Parametros!$B$2))</f>
        <v>3.2939603822754151</v>
      </c>
      <c r="BH338" s="13" t="str">
        <f t="shared" si="76"/>
        <v>CUMPLE</v>
      </c>
      <c r="BI338" s="13">
        <f>AX338*[1]Parametros!$B$8</f>
        <v>1592</v>
      </c>
      <c r="BJ338" s="15" t="str">
        <f t="shared" si="77"/>
        <v>CUMPLE</v>
      </c>
    </row>
    <row r="339" spans="1:62" x14ac:dyDescent="0.3">
      <c r="A339" s="31" t="s">
        <v>75</v>
      </c>
      <c r="B339" s="32">
        <v>50</v>
      </c>
      <c r="C339" s="13">
        <v>1</v>
      </c>
      <c r="D339" s="13">
        <v>3.4</v>
      </c>
      <c r="E339" s="13">
        <v>3.4</v>
      </c>
      <c r="F339" s="13">
        <v>500</v>
      </c>
      <c r="G339" s="13">
        <v>550</v>
      </c>
      <c r="H339" s="13">
        <v>500</v>
      </c>
      <c r="I339" s="13">
        <v>550</v>
      </c>
      <c r="J339" s="14">
        <v>191.23599999999999</v>
      </c>
      <c r="K339" s="13">
        <v>50</v>
      </c>
      <c r="L339" s="14">
        <v>108.44029999999999</v>
      </c>
      <c r="M339" s="13">
        <v>50</v>
      </c>
      <c r="N339" s="14">
        <v>142.786</v>
      </c>
      <c r="O339" s="14">
        <v>396.87799999999999</v>
      </c>
      <c r="P339" s="13">
        <v>50</v>
      </c>
      <c r="Q339" s="14">
        <v>15.1187</v>
      </c>
      <c r="R339" s="13">
        <f>MAX(MAX(1.4/[1]Parametros!$B$3,0.25*SQRT([1]Parametros!$B$2)/[1]Parametros!$B$3)*H339*U339,(0.85*[1]Parametros!$B$2/[1]Parametros!$B$3)*(1-SQRT(1-2*(J339*1000000/([1]Parametros!$B$5*H339*U339^2))/(0.85*[1]Parametros!$B$2)))*H339*U339)</f>
        <v>1075.5703964928746</v>
      </c>
      <c r="S339" s="14">
        <v>6</v>
      </c>
      <c r="T339" s="14">
        <v>1</v>
      </c>
      <c r="U339" s="13">
        <f>IF(T339=1,I339-([1]Parametros!$B$7+[1]Parametros!$B$9+[1]Parametros!$B$12/2),I339-(ROUNDUP(S339/2,0)*([1]Parametros!$B$7+[1]Parametros!$B$9+[1]Parametros!$B$12/2)+ROUNDDOWN(S339/2,0)*([1]Parametros!$B$7+[1]Parametros!$B$9+[1]Parametros!$B$12/2+[1]Parametros!$B$12+[1]Parametros!$B$10))/S339)</f>
        <v>489.35</v>
      </c>
      <c r="V339" s="13">
        <f>S339*[1]Parametros!$B$8</f>
        <v>1194</v>
      </c>
      <c r="W339" s="13">
        <f>[1]Parametros!$B$5*V339*[1]Parametros!$B$3*(U339-(V339*[1]Parametros!$B$3/(0.85*[1]Parametros!$B$2*H339))/2)/1000000</f>
        <v>211.34948347058827</v>
      </c>
      <c r="X339" s="13" t="str">
        <f t="shared" si="65"/>
        <v>CUMPLE</v>
      </c>
      <c r="Y339" s="13">
        <f>MAX(MAX(1.4/[1]Parametros!$B$3,0.25*SQRT([1]Parametros!$B$2)/[1]Parametros!$B$3)*H339*AB339,(0.85*[1]Parametros!$B$2/[1]Parametros!$B$3)*(1-SQRT(1-2*(L339*1000000/([1]Parametros!$B$5*H339*AB339^2))/(0.85*[1]Parametros!$B$2)))*H339*AB339)</f>
        <v>815.58333333333326</v>
      </c>
      <c r="Z339" s="14">
        <v>5</v>
      </c>
      <c r="AA339" s="14">
        <v>1</v>
      </c>
      <c r="AB339" s="13">
        <f>IF(AA339=1,I339-([1]Parametros!$B$7+[1]Parametros!$B$9+[1]Parametros!$B$12/2),I339-(ROUNDUP(Z339/2,0)*([1]Parametros!$B$7+[1]Parametros!$B$9+[1]Parametros!$B$12/2)+ROUNDDOWN(Z339/2,0)*([1]Parametros!$B$7+[1]Parametros!$B$9+[1]Parametros!$B$12/2+[1]Parametros!$B$12+[1]Parametros!$B$10))/Z339)</f>
        <v>489.35</v>
      </c>
      <c r="AC339" s="13">
        <f>Z339*[1]Parametros!$B$8</f>
        <v>995</v>
      </c>
      <c r="AD339" s="13">
        <f>[1]Parametros!$B$5*AC339*[1]Parametros!$B$3*(AB339-(AC339*[1]Parametros!$B$3/(0.85*[1]Parametros!$B$2*H339))/2)/1000000</f>
        <v>177.44537938235294</v>
      </c>
      <c r="AE339" s="13" t="str">
        <f t="shared" si="66"/>
        <v>CUMPLE</v>
      </c>
      <c r="AF339" s="13">
        <f>V339*1.25*[1]Parametros!$B$3*(U339-(V339*1.25*[1]Parametros!$B$3/(0.85*[1]Parametros!$B$2*H339))/2)/1000000</f>
        <v>290.23892470588237</v>
      </c>
      <c r="AG339" s="13">
        <f>AC339*1.25*[1]Parametros!$B$3*(AB339-(AC339*1.25*[1]Parametros!$B$3/(0.85*[1]Parametros!$B$2*H339))/2)/1000000</f>
        <v>244.15884319852941</v>
      </c>
      <c r="AH339" s="13">
        <f t="shared" si="67"/>
        <v>299.96181408953288</v>
      </c>
      <c r="AI339" s="13">
        <f t="shared" si="68"/>
        <v>396.87799999999999</v>
      </c>
      <c r="AJ339" s="13">
        <f>0.17*SQRT([1]Parametros!$B$2)*H339*MIN(U339,AB339)/1000</f>
        <v>220.09872869180776</v>
      </c>
      <c r="AK339" s="13">
        <f>MAX(AI339/[1]Parametros!$B$6-AJ339,0)</f>
        <v>309.07193797485888</v>
      </c>
      <c r="AL339" s="13">
        <f>0.66*SQRT([1]Parametros!$B$2)*H339*MIN(U339,AB339)/1000</f>
        <v>854.500946685842</v>
      </c>
      <c r="AM339" s="13" t="str">
        <f t="shared" si="69"/>
        <v>CUMPLE</v>
      </c>
      <c r="AN339" s="13" t="s">
        <v>68</v>
      </c>
      <c r="AO339" s="14">
        <v>2</v>
      </c>
      <c r="AP339" s="13">
        <f>ROUNDDOWN(MIN(IF(BC339+BD339=0,1000000000,AO339*BB339/(BC339+BD339)),MIN(U339,AB339)/4,8*[1]Parametros!$B$12,24*BA339,300,IF(AV339=0,1000000000,2*((H339-2*([1]Parametros!$B$7+[1]Parametros!$B$9/2))+(I339-2*([1]Parametros!$B$7+[1]Parametros!$B$9/2)))/8))/10,0)*10</f>
        <v>120</v>
      </c>
      <c r="AQ339" s="13">
        <f>ROUNDDOWN(MIN(IF(BC339+BD339=0,1000000000,AO339*BB339/(BC339+BD339)),IF(AK339&gt;0.33*SQRT([1]Parametros!$B$2)*H339*MIN(U339,AB339)/1000,MIN(U339,AB339)/4,MIN(U339,AB339)/2),600,IF(AV339=0,1000000000,2*((H339-2*([1]Parametros!$B$7+[1]Parametros!$B$9/2))+(I339-2*([1]Parametros!$B$7+[1]Parametros!$B$9/2)))/8))/10,0)*10</f>
        <v>140</v>
      </c>
      <c r="AR339" s="13">
        <f>[1]Parametros!$B$6*(AJ339+MAX(BE339-BD339,0)*[1]Parametros!$B$4*MIN(U339,AB339)/1000)</f>
        <v>449.75593332888167</v>
      </c>
      <c r="AS339" s="13" t="str">
        <f t="shared" si="70"/>
        <v>CUMPLE</v>
      </c>
      <c r="AT339" s="13">
        <f>[1]Parametros!$B$6*0.083*SQRT([1]Parametros!$B$2)*(H339*I339)^2/(2*(H339+I339))/1000000</f>
        <v>11.862178757598967</v>
      </c>
      <c r="AU339" s="13" t="str">
        <f t="shared" si="71"/>
        <v>DISEÑAR</v>
      </c>
      <c r="AV339" s="13">
        <f>IF(Q339&lt;=AT339,0,Q339*1000000/([1]Parametros!$B$6*2*0.85*(H339-2*([1]Parametros!$B$7+[1]Parametros!$B$9/2))*(I339-2*([1]Parametros!$B$7+[1]Parametros!$B$9/2))*[1]Parametros!$B$4))</f>
        <v>0.15157911349838604</v>
      </c>
      <c r="AW339" s="13">
        <f>AV339*2*((H339-2*([1]Parametros!$B$7+[1]Parametros!$B$9/2))+(I339-2*([1]Parametros!$B$7+[1]Parametros!$B$9/2)))*[1]Parametros!$B$4/[1]Parametros!$B$3</f>
        <v>262.11060306140917</v>
      </c>
      <c r="AX339" s="14">
        <v>8</v>
      </c>
      <c r="AY339" s="13" t="str">
        <f t="shared" si="72"/>
        <v>CUMPLE</v>
      </c>
      <c r="AZ339" s="13" t="str">
        <f t="shared" si="73"/>
        <v>CUMPLE</v>
      </c>
      <c r="BA339" s="14">
        <v>12.7</v>
      </c>
      <c r="BB339" s="14">
        <v>129</v>
      </c>
      <c r="BC339" s="13">
        <f>MAX(IF(AK339=0,0,AK339*1000/([1]Parametros!$B$4*MIN(U339,AB339))),MAX(0.062*SQRT([1]Parametros!$B$2)*H339/[1]Parametros!$B$4,0.35*H339/[1]Parametros!$B$4))</f>
        <v>1.5038021183341308</v>
      </c>
      <c r="BD339" s="13">
        <f t="shared" si="74"/>
        <v>0.30315822699677208</v>
      </c>
      <c r="BE339" s="13">
        <f t="shared" si="75"/>
        <v>2.15</v>
      </c>
      <c r="BF339" s="13">
        <f>SQRT((AI339*1000/(H339*MIN(U339,AB339)))^2+(Q339*1000000*2*((H339-2*([1]Parametros!$B$7+[1]Parametros!$B$9/2))+(I339-2*([1]Parametros!$B$7+[1]Parametros!$B$9/2)))/(1.7*((H339-2*([1]Parametros!$B$7+[1]Parametros!$B$9/2))*(I339-2*([1]Parametros!$B$7+[1]Parametros!$B$9/2)))^2))^2)</f>
        <v>1.6815419379958609</v>
      </c>
      <c r="BG339" s="13">
        <f>[1]Parametros!$B$6*(AJ339*1000/(H339*MIN(U339,AB339))+0.66*SQRT([1]Parametros!$B$2))</f>
        <v>3.2939603822754151</v>
      </c>
      <c r="BH339" s="13" t="str">
        <f t="shared" si="76"/>
        <v>CUMPLE</v>
      </c>
      <c r="BI339" s="13">
        <f>AX339*[1]Parametros!$B$8</f>
        <v>1592</v>
      </c>
      <c r="BJ339" s="15" t="str">
        <f t="shared" si="77"/>
        <v>CUMPLE</v>
      </c>
    </row>
    <row r="340" spans="1:62" x14ac:dyDescent="0.3">
      <c r="A340" s="31" t="s">
        <v>75</v>
      </c>
      <c r="B340" s="32">
        <v>51</v>
      </c>
      <c r="C340" s="13">
        <v>1</v>
      </c>
      <c r="D340" s="13">
        <v>1.9</v>
      </c>
      <c r="E340" s="13">
        <v>1.9</v>
      </c>
      <c r="F340" s="13">
        <v>500</v>
      </c>
      <c r="G340" s="13">
        <v>550</v>
      </c>
      <c r="H340" s="13">
        <v>500</v>
      </c>
      <c r="I340" s="13">
        <v>550</v>
      </c>
      <c r="J340" s="14">
        <v>186.5617</v>
      </c>
      <c r="K340" s="13">
        <v>51</v>
      </c>
      <c r="L340" s="14">
        <v>158.9178</v>
      </c>
      <c r="M340" s="13">
        <v>51</v>
      </c>
      <c r="N340" s="14">
        <v>178.35400000000001</v>
      </c>
      <c r="O340" s="14">
        <v>702.33900000000006</v>
      </c>
      <c r="P340" s="13">
        <v>51</v>
      </c>
      <c r="Q340" s="14">
        <v>6.6051000000000002</v>
      </c>
      <c r="R340" s="13">
        <f>MAX(MAX(1.4/[1]Parametros!$B$3,0.25*SQRT([1]Parametros!$B$2)/[1]Parametros!$B$3)*H340*U340,(0.85*[1]Parametros!$B$2/[1]Parametros!$B$3)*(1-SQRT(1-2*(J340*1000000/([1]Parametros!$B$5*H340*U340^2))/(0.85*[1]Parametros!$B$2)))*H340*U340)</f>
        <v>1048.204497680382</v>
      </c>
      <c r="S340" s="14">
        <v>6</v>
      </c>
      <c r="T340" s="14">
        <v>1</v>
      </c>
      <c r="U340" s="13">
        <f>IF(T340=1,I340-([1]Parametros!$B$7+[1]Parametros!$B$9+[1]Parametros!$B$12/2),I340-(ROUNDUP(S340/2,0)*([1]Parametros!$B$7+[1]Parametros!$B$9+[1]Parametros!$B$12/2)+ROUNDDOWN(S340/2,0)*([1]Parametros!$B$7+[1]Parametros!$B$9+[1]Parametros!$B$12/2+[1]Parametros!$B$12+[1]Parametros!$B$10))/S340)</f>
        <v>489.35</v>
      </c>
      <c r="V340" s="13">
        <f>S340*[1]Parametros!$B$8</f>
        <v>1194</v>
      </c>
      <c r="W340" s="13">
        <f>[1]Parametros!$B$5*V340*[1]Parametros!$B$3*(U340-(V340*[1]Parametros!$B$3/(0.85*[1]Parametros!$B$2*H340))/2)/1000000</f>
        <v>211.34948347058827</v>
      </c>
      <c r="X340" s="13" t="str">
        <f t="shared" si="65"/>
        <v>CUMPLE</v>
      </c>
      <c r="Y340" s="13">
        <f>MAX(MAX(1.4/[1]Parametros!$B$3,0.25*SQRT([1]Parametros!$B$2)/[1]Parametros!$B$3)*H340*AB340,(0.85*[1]Parametros!$B$2/[1]Parametros!$B$3)*(1-SQRT(1-2*(L340*1000000/([1]Parametros!$B$5*H340*AB340^2))/(0.85*[1]Parametros!$B$2)))*H340*AB340)</f>
        <v>887.54181313966308</v>
      </c>
      <c r="Z340" s="14">
        <v>5</v>
      </c>
      <c r="AA340" s="14">
        <v>1</v>
      </c>
      <c r="AB340" s="13">
        <f>IF(AA340=1,I340-([1]Parametros!$B$7+[1]Parametros!$B$9+[1]Parametros!$B$12/2),I340-(ROUNDUP(Z340/2,0)*([1]Parametros!$B$7+[1]Parametros!$B$9+[1]Parametros!$B$12/2)+ROUNDDOWN(Z340/2,0)*([1]Parametros!$B$7+[1]Parametros!$B$9+[1]Parametros!$B$12/2+[1]Parametros!$B$12+[1]Parametros!$B$10))/Z340)</f>
        <v>489.35</v>
      </c>
      <c r="AC340" s="13">
        <f>Z340*[1]Parametros!$B$8</f>
        <v>995</v>
      </c>
      <c r="AD340" s="13">
        <f>[1]Parametros!$B$5*AC340*[1]Parametros!$B$3*(AB340-(AC340*[1]Parametros!$B$3/(0.85*[1]Parametros!$B$2*H340))/2)/1000000</f>
        <v>177.44537938235294</v>
      </c>
      <c r="AE340" s="13" t="str">
        <f t="shared" si="66"/>
        <v>CUMPLE</v>
      </c>
      <c r="AF340" s="13">
        <f>V340*1.25*[1]Parametros!$B$3*(U340-(V340*1.25*[1]Parametros!$B$3/(0.85*[1]Parametros!$B$2*H340))/2)/1000000</f>
        <v>290.23892470588237</v>
      </c>
      <c r="AG340" s="13">
        <f>AC340*1.25*[1]Parametros!$B$3*(AB340-(AC340*1.25*[1]Parametros!$B$3/(0.85*[1]Parametros!$B$2*H340))/2)/1000000</f>
        <v>244.15884319852941</v>
      </c>
      <c r="AH340" s="13">
        <f t="shared" si="67"/>
        <v>459.61598310758518</v>
      </c>
      <c r="AI340" s="13">
        <f t="shared" si="68"/>
        <v>702.33900000000006</v>
      </c>
      <c r="AJ340" s="13">
        <f>0.17*SQRT([1]Parametros!$B$2)*H340*MIN(U340,AB340)/1000</f>
        <v>220.09872869180776</v>
      </c>
      <c r="AK340" s="13">
        <f>MAX(AI340/[1]Parametros!$B$6-AJ340,0)</f>
        <v>716.35327130819235</v>
      </c>
      <c r="AL340" s="13">
        <f>0.66*SQRT([1]Parametros!$B$2)*H340*MIN(U340,AB340)/1000</f>
        <v>854.500946685842</v>
      </c>
      <c r="AM340" s="13" t="str">
        <f t="shared" si="69"/>
        <v>CUMPLE</v>
      </c>
      <c r="AN340" s="13" t="s">
        <v>64</v>
      </c>
      <c r="AO340" s="14">
        <v>4</v>
      </c>
      <c r="AP340" s="13">
        <f>ROUNDDOWN(MIN(IF(BC340+BD340=0,1000000000,AO340*BB340/(BC340+BD340)),MIN(U340,AB340)/4,8*[1]Parametros!$B$12,24*BA340,300,IF(AV340=0,1000000000,2*((H340-2*([1]Parametros!$B$7+[1]Parametros!$B$9/2))+(I340-2*([1]Parametros!$B$7+[1]Parametros!$B$9/2)))/8))/10,0)*10</f>
        <v>80</v>
      </c>
      <c r="AQ340" s="13">
        <f>ROUNDDOWN(MIN(IF(BC340+BD340=0,1000000000,AO340*BB340/(BC340+BD340)),IF(AK340&gt;0.33*SQRT([1]Parametros!$B$2)*H340*MIN(U340,AB340)/1000,MIN(U340,AB340)/4,MIN(U340,AB340)/2),600,IF(AV340=0,1000000000,2*((H340-2*([1]Parametros!$B$7+[1]Parametros!$B$9/2))+(I340-2*([1]Parametros!$B$7+[1]Parametros!$B$9/2)))/8))/10,0)*10</f>
        <v>80</v>
      </c>
      <c r="AR340" s="13">
        <f>[1]Parametros!$B$6*(AJ340+MAX(BE340-BD340,0)*[1]Parametros!$B$4*MIN(U340,AB340)/1000)</f>
        <v>712.28968401885584</v>
      </c>
      <c r="AS340" s="13" t="str">
        <f t="shared" si="70"/>
        <v>CUMPLE</v>
      </c>
      <c r="AT340" s="13">
        <f>[1]Parametros!$B$6*0.083*SQRT([1]Parametros!$B$2)*(H340*I340)^2/(2*(H340+I340))/1000000</f>
        <v>11.862178757598967</v>
      </c>
      <c r="AU340" s="13" t="str">
        <f t="shared" si="71"/>
        <v>DESPRECIABLE</v>
      </c>
      <c r="AV340" s="13">
        <f>IF(Q340&lt;=AT340,0,Q340*1000000/([1]Parametros!$B$6*2*0.85*(H340-2*([1]Parametros!$B$7+[1]Parametros!$B$9/2))*(I340-2*([1]Parametros!$B$7+[1]Parametros!$B$9/2))*[1]Parametros!$B$4))</f>
        <v>0</v>
      </c>
      <c r="AW340" s="13">
        <f>AV340*2*((H340-2*([1]Parametros!$B$7+[1]Parametros!$B$9/2))+(I340-2*([1]Parametros!$B$7+[1]Parametros!$B$9/2)))*[1]Parametros!$B$4/[1]Parametros!$B$3</f>
        <v>0</v>
      </c>
      <c r="AX340" s="14">
        <v>0</v>
      </c>
      <c r="AY340" s="13" t="str">
        <f t="shared" si="72"/>
        <v>DESPRECIABLE</v>
      </c>
      <c r="AZ340" s="13" t="str">
        <f t="shared" si="73"/>
        <v>CUMPLE</v>
      </c>
      <c r="BA340" s="14">
        <v>9.5</v>
      </c>
      <c r="BB340" s="14">
        <v>71</v>
      </c>
      <c r="BC340" s="13">
        <f>MAX(IF(AK340=0,0,AK340*1000/([1]Parametros!$B$4*MIN(U340,AB340))),MAX(0.062*SQRT([1]Parametros!$B$2)*H340/[1]Parametros!$B$4,0.35*H340/[1]Parametros!$B$4))</f>
        <v>3.4854460548161184</v>
      </c>
      <c r="BD340" s="13">
        <f t="shared" si="74"/>
        <v>0</v>
      </c>
      <c r="BE340" s="13">
        <f t="shared" si="75"/>
        <v>3.55</v>
      </c>
      <c r="BF340" s="13">
        <f>SQRT((AI340*1000/(H340*MIN(U340,AB340)))^2+(Q340*1000000*2*((H340-2*([1]Parametros!$B$7+[1]Parametros!$B$9/2))+(I340-2*([1]Parametros!$B$7+[1]Parametros!$B$9/2)))/(1.7*((H340-2*([1]Parametros!$B$7+[1]Parametros!$B$9/2))*(I340-2*([1]Parametros!$B$7+[1]Parametros!$B$9/2)))^2))^2)</f>
        <v>2.8770230181325114</v>
      </c>
      <c r="BG340" s="13">
        <f>[1]Parametros!$B$6*(AJ340*1000/(H340*MIN(U340,AB340))+0.66*SQRT([1]Parametros!$B$2))</f>
        <v>3.2939603822754151</v>
      </c>
      <c r="BH340" s="13" t="str">
        <f t="shared" si="76"/>
        <v>CUMPLE</v>
      </c>
      <c r="BI340" s="13">
        <f>AX340*[1]Parametros!$B$8</f>
        <v>0</v>
      </c>
      <c r="BJ340" s="15" t="str">
        <f t="shared" si="77"/>
        <v>CUMPLE</v>
      </c>
    </row>
    <row r="341" spans="1:62" x14ac:dyDescent="0.3">
      <c r="A341" s="31" t="s">
        <v>75</v>
      </c>
      <c r="B341" s="32">
        <v>52</v>
      </c>
      <c r="C341" s="13">
        <v>1</v>
      </c>
      <c r="D341" s="13">
        <v>2</v>
      </c>
      <c r="E341" s="13">
        <v>2</v>
      </c>
      <c r="F341" s="13">
        <v>500</v>
      </c>
      <c r="G341" s="13">
        <v>550</v>
      </c>
      <c r="H341" s="13">
        <v>500</v>
      </c>
      <c r="I341" s="13">
        <v>550</v>
      </c>
      <c r="J341" s="14">
        <v>175.8938</v>
      </c>
      <c r="K341" s="13">
        <v>52</v>
      </c>
      <c r="L341" s="14">
        <v>143.3015</v>
      </c>
      <c r="M341" s="13">
        <v>52</v>
      </c>
      <c r="N341" s="14">
        <v>164.744</v>
      </c>
      <c r="O341" s="14">
        <v>634.57399999999996</v>
      </c>
      <c r="P341" s="13">
        <v>52</v>
      </c>
      <c r="Q341" s="14">
        <v>10.9368</v>
      </c>
      <c r="R341" s="13">
        <f>MAX(MAX(1.4/[1]Parametros!$B$3,0.25*SQRT([1]Parametros!$B$2)/[1]Parametros!$B$3)*H341*U341,(0.85*[1]Parametros!$B$2/[1]Parametros!$B$3)*(1-SQRT(1-2*(J341*1000000/([1]Parametros!$B$5*H341*U341^2))/(0.85*[1]Parametros!$B$2)))*H341*U341)</f>
        <v>985.96658947797243</v>
      </c>
      <c r="S341" s="14">
        <v>5</v>
      </c>
      <c r="T341" s="14">
        <v>1</v>
      </c>
      <c r="U341" s="13">
        <f>IF(T341=1,I341-([1]Parametros!$B$7+[1]Parametros!$B$9+[1]Parametros!$B$12/2),I341-(ROUNDUP(S341/2,0)*([1]Parametros!$B$7+[1]Parametros!$B$9+[1]Parametros!$B$12/2)+ROUNDDOWN(S341/2,0)*([1]Parametros!$B$7+[1]Parametros!$B$9+[1]Parametros!$B$12/2+[1]Parametros!$B$12+[1]Parametros!$B$10))/S341)</f>
        <v>489.35</v>
      </c>
      <c r="V341" s="13">
        <f>S341*[1]Parametros!$B$8</f>
        <v>995</v>
      </c>
      <c r="W341" s="13">
        <f>[1]Parametros!$B$5*V341*[1]Parametros!$B$3*(U341-(V341*[1]Parametros!$B$3/(0.85*[1]Parametros!$B$2*H341))/2)/1000000</f>
        <v>177.44537938235294</v>
      </c>
      <c r="X341" s="13" t="str">
        <f t="shared" si="65"/>
        <v>CUMPLE</v>
      </c>
      <c r="Y341" s="13">
        <f>MAX(MAX(1.4/[1]Parametros!$B$3,0.25*SQRT([1]Parametros!$B$2)/[1]Parametros!$B$3)*H341*AB341,(0.85*[1]Parametros!$B$2/[1]Parametros!$B$3)*(1-SQRT(1-2*(L341*1000000/([1]Parametros!$B$5*H341*AB341^2))/(0.85*[1]Parametros!$B$2)))*H341*AB341)</f>
        <v>815.58333333333326</v>
      </c>
      <c r="Z341" s="14">
        <v>5</v>
      </c>
      <c r="AA341" s="14">
        <v>1</v>
      </c>
      <c r="AB341" s="13">
        <f>IF(AA341=1,I341-([1]Parametros!$B$7+[1]Parametros!$B$9+[1]Parametros!$B$12/2),I341-(ROUNDUP(Z341/2,0)*([1]Parametros!$B$7+[1]Parametros!$B$9+[1]Parametros!$B$12/2)+ROUNDDOWN(Z341/2,0)*([1]Parametros!$B$7+[1]Parametros!$B$9+[1]Parametros!$B$12/2+[1]Parametros!$B$12+[1]Parametros!$B$10))/Z341)</f>
        <v>489.35</v>
      </c>
      <c r="AC341" s="13">
        <f>Z341*[1]Parametros!$B$8</f>
        <v>995</v>
      </c>
      <c r="AD341" s="13">
        <f>[1]Parametros!$B$5*AC341*[1]Parametros!$B$3*(AB341-(AC341*[1]Parametros!$B$3/(0.85*[1]Parametros!$B$2*H341))/2)/1000000</f>
        <v>177.44537938235294</v>
      </c>
      <c r="AE341" s="13" t="str">
        <f t="shared" si="66"/>
        <v>CUMPLE</v>
      </c>
      <c r="AF341" s="13">
        <f>V341*1.25*[1]Parametros!$B$3*(U341-(V341*1.25*[1]Parametros!$B$3/(0.85*[1]Parametros!$B$2*H341))/2)/1000000</f>
        <v>244.15884319852941</v>
      </c>
      <c r="AG341" s="13">
        <f>AC341*1.25*[1]Parametros!$B$3*(AB341-(AC341*1.25*[1]Parametros!$B$3/(0.85*[1]Parametros!$B$2*H341))/2)/1000000</f>
        <v>244.15884319852941</v>
      </c>
      <c r="AH341" s="13">
        <f t="shared" si="67"/>
        <v>408.90284319852941</v>
      </c>
      <c r="AI341" s="13">
        <f t="shared" si="68"/>
        <v>634.57399999999996</v>
      </c>
      <c r="AJ341" s="13">
        <f>0.17*SQRT([1]Parametros!$B$2)*H341*MIN(U341,AB341)/1000</f>
        <v>220.09872869180776</v>
      </c>
      <c r="AK341" s="13">
        <f>MAX(AI341/[1]Parametros!$B$6-AJ341,0)</f>
        <v>625.99993797485888</v>
      </c>
      <c r="AL341" s="13">
        <f>0.66*SQRT([1]Parametros!$B$2)*H341*MIN(U341,AB341)/1000</f>
        <v>854.500946685842</v>
      </c>
      <c r="AM341" s="13" t="str">
        <f t="shared" si="69"/>
        <v>CUMPLE</v>
      </c>
      <c r="AN341" s="13" t="s">
        <v>68</v>
      </c>
      <c r="AO341" s="14">
        <v>2</v>
      </c>
      <c r="AP341" s="13">
        <f>ROUNDDOWN(MIN(IF(BC341+BD341=0,1000000000,AO341*BB341/(BC341+BD341)),MIN(U341,AB341)/4,8*[1]Parametros!$B$12,24*BA341,300,IF(AV341=0,1000000000,2*((H341-2*([1]Parametros!$B$7+[1]Parametros!$B$9/2))+(I341-2*([1]Parametros!$B$7+[1]Parametros!$B$9/2)))/8))/10,0)*10</f>
        <v>80</v>
      </c>
      <c r="AQ341" s="13">
        <f>ROUNDDOWN(MIN(IF(BC341+BD341=0,1000000000,AO341*BB341/(BC341+BD341)),IF(AK341&gt;0.33*SQRT([1]Parametros!$B$2)*H341*MIN(U341,AB341)/1000,MIN(U341,AB341)/4,MIN(U341,AB341)/2),600,IF(AV341=0,1000000000,2*((H341-2*([1]Parametros!$B$7+[1]Parametros!$B$9/2))+(I341-2*([1]Parametros!$B$7+[1]Parametros!$B$9/2)))/8))/10,0)*10</f>
        <v>80</v>
      </c>
      <c r="AR341" s="13">
        <f>[1]Parametros!$B$6*(AJ341+MAX(BE341-BD341,0)*[1]Parametros!$B$4*MIN(U341,AB341)/1000)</f>
        <v>662.19247776885595</v>
      </c>
      <c r="AS341" s="13" t="str">
        <f t="shared" si="70"/>
        <v>CUMPLE</v>
      </c>
      <c r="AT341" s="13">
        <f>[1]Parametros!$B$6*0.083*SQRT([1]Parametros!$B$2)*(H341*I341)^2/(2*(H341+I341))/1000000</f>
        <v>11.862178757598967</v>
      </c>
      <c r="AU341" s="13" t="str">
        <f t="shared" si="71"/>
        <v>DESPRECIABLE</v>
      </c>
      <c r="AV341" s="13">
        <f>IF(Q341&lt;=AT341,0,Q341*1000000/([1]Parametros!$B$6*2*0.85*(H341-2*([1]Parametros!$B$7+[1]Parametros!$B$9/2))*(I341-2*([1]Parametros!$B$7+[1]Parametros!$B$9/2))*[1]Parametros!$B$4))</f>
        <v>0</v>
      </c>
      <c r="AW341" s="13">
        <f>AV341*2*((H341-2*([1]Parametros!$B$7+[1]Parametros!$B$9/2))+(I341-2*([1]Parametros!$B$7+[1]Parametros!$B$9/2)))*[1]Parametros!$B$4/[1]Parametros!$B$3</f>
        <v>0</v>
      </c>
      <c r="AX341" s="14">
        <v>0</v>
      </c>
      <c r="AY341" s="13" t="str">
        <f t="shared" si="72"/>
        <v>DESPRECIABLE</v>
      </c>
      <c r="AZ341" s="13" t="str">
        <f t="shared" si="73"/>
        <v>CUMPLE</v>
      </c>
      <c r="BA341" s="14">
        <v>12.7</v>
      </c>
      <c r="BB341" s="14">
        <v>129</v>
      </c>
      <c r="BC341" s="13">
        <f>MAX(IF(AK341=0,0,AK341*1000/([1]Parametros!$B$4*MIN(U341,AB341))),MAX(0.062*SQRT([1]Parametros!$B$2)*H341/[1]Parametros!$B$4,0.35*H341/[1]Parametros!$B$4))</f>
        <v>3.0458282268259591</v>
      </c>
      <c r="BD341" s="13">
        <f t="shared" si="74"/>
        <v>0</v>
      </c>
      <c r="BE341" s="13">
        <f t="shared" si="75"/>
        <v>3.2250000000000001</v>
      </c>
      <c r="BF341" s="13">
        <f>SQRT((AI341*1000/(H341*MIN(U341,AB341)))^2+(Q341*1000000*2*((H341-2*([1]Parametros!$B$7+[1]Parametros!$B$9/2))+(I341-2*([1]Parametros!$B$7+[1]Parametros!$B$9/2)))/(1.7*((H341-2*([1]Parametros!$B$7+[1]Parametros!$B$9/2))*(I341-2*([1]Parametros!$B$7+[1]Parametros!$B$9/2)))^2))^2)</f>
        <v>2.6132870298711257</v>
      </c>
      <c r="BG341" s="13">
        <f>[1]Parametros!$B$6*(AJ341*1000/(H341*MIN(U341,AB341))+0.66*SQRT([1]Parametros!$B$2))</f>
        <v>3.2939603822754151</v>
      </c>
      <c r="BH341" s="13" t="str">
        <f t="shared" si="76"/>
        <v>CUMPLE</v>
      </c>
      <c r="BI341" s="13">
        <f>AX341*[1]Parametros!$B$8</f>
        <v>0</v>
      </c>
      <c r="BJ341" s="15" t="str">
        <f t="shared" si="77"/>
        <v>CUMPLE</v>
      </c>
    </row>
    <row r="342" spans="1:62" x14ac:dyDescent="0.3">
      <c r="A342" s="31" t="s">
        <v>75</v>
      </c>
      <c r="B342" s="32">
        <v>53</v>
      </c>
      <c r="C342" s="13">
        <v>1</v>
      </c>
      <c r="D342" s="13">
        <v>3.05</v>
      </c>
      <c r="E342" s="13">
        <v>3.05</v>
      </c>
      <c r="F342" s="13">
        <v>500</v>
      </c>
      <c r="G342" s="13">
        <v>550</v>
      </c>
      <c r="H342" s="13">
        <v>500</v>
      </c>
      <c r="I342" s="13">
        <v>550</v>
      </c>
      <c r="J342" s="14">
        <v>177.88679999999999</v>
      </c>
      <c r="K342" s="13">
        <v>53</v>
      </c>
      <c r="L342" s="14">
        <v>119.0652</v>
      </c>
      <c r="M342" s="13">
        <v>53</v>
      </c>
      <c r="N342" s="14">
        <v>142.34200000000001</v>
      </c>
      <c r="O342" s="14">
        <v>447.78699999999998</v>
      </c>
      <c r="P342" s="13">
        <v>53</v>
      </c>
      <c r="Q342" s="14">
        <v>6.45</v>
      </c>
      <c r="R342" s="13">
        <f>MAX(MAX(1.4/[1]Parametros!$B$3,0.25*SQRT([1]Parametros!$B$2)/[1]Parametros!$B$3)*H342*U342,(0.85*[1]Parametros!$B$2/[1]Parametros!$B$3)*(1-SQRT(1-2*(J342*1000000/([1]Parametros!$B$5*H342*U342^2))/(0.85*[1]Parametros!$B$2)))*H342*U342)</f>
        <v>997.57114242283444</v>
      </c>
      <c r="S342" s="14">
        <v>6</v>
      </c>
      <c r="T342" s="14">
        <v>1</v>
      </c>
      <c r="U342" s="13">
        <f>IF(T342=1,I342-([1]Parametros!$B$7+[1]Parametros!$B$9+[1]Parametros!$B$12/2),I342-(ROUNDUP(S342/2,0)*([1]Parametros!$B$7+[1]Parametros!$B$9+[1]Parametros!$B$12/2)+ROUNDDOWN(S342/2,0)*([1]Parametros!$B$7+[1]Parametros!$B$9+[1]Parametros!$B$12/2+[1]Parametros!$B$12+[1]Parametros!$B$10))/S342)</f>
        <v>489.35</v>
      </c>
      <c r="V342" s="13">
        <f>S342*[1]Parametros!$B$8</f>
        <v>1194</v>
      </c>
      <c r="W342" s="13">
        <f>[1]Parametros!$B$5*V342*[1]Parametros!$B$3*(U342-(V342*[1]Parametros!$B$3/(0.85*[1]Parametros!$B$2*H342))/2)/1000000</f>
        <v>211.34948347058827</v>
      </c>
      <c r="X342" s="13" t="str">
        <f t="shared" si="65"/>
        <v>CUMPLE</v>
      </c>
      <c r="Y342" s="13">
        <f>MAX(MAX(1.4/[1]Parametros!$B$3,0.25*SQRT([1]Parametros!$B$2)/[1]Parametros!$B$3)*H342*AB342,(0.85*[1]Parametros!$B$2/[1]Parametros!$B$3)*(1-SQRT(1-2*(L342*1000000/([1]Parametros!$B$5*H342*AB342^2))/(0.85*[1]Parametros!$B$2)))*H342*AB342)</f>
        <v>815.58333333333326</v>
      </c>
      <c r="Z342" s="14">
        <v>5</v>
      </c>
      <c r="AA342" s="14">
        <v>1</v>
      </c>
      <c r="AB342" s="13">
        <f>IF(AA342=1,I342-([1]Parametros!$B$7+[1]Parametros!$B$9+[1]Parametros!$B$12/2),I342-(ROUNDUP(Z342/2,0)*([1]Parametros!$B$7+[1]Parametros!$B$9+[1]Parametros!$B$12/2)+ROUNDDOWN(Z342/2,0)*([1]Parametros!$B$7+[1]Parametros!$B$9+[1]Parametros!$B$12/2+[1]Parametros!$B$12+[1]Parametros!$B$10))/Z342)</f>
        <v>489.35</v>
      </c>
      <c r="AC342" s="13">
        <f>Z342*[1]Parametros!$B$8</f>
        <v>995</v>
      </c>
      <c r="AD342" s="13">
        <f>[1]Parametros!$B$5*AC342*[1]Parametros!$B$3*(AB342-(AC342*[1]Parametros!$B$3/(0.85*[1]Parametros!$B$2*H342))/2)/1000000</f>
        <v>177.44537938235294</v>
      </c>
      <c r="AE342" s="13" t="str">
        <f t="shared" si="66"/>
        <v>CUMPLE</v>
      </c>
      <c r="AF342" s="13">
        <f>V342*1.25*[1]Parametros!$B$3*(U342-(V342*1.25*[1]Parametros!$B$3/(0.85*[1]Parametros!$B$2*H342))/2)/1000000</f>
        <v>290.23892470588237</v>
      </c>
      <c r="AG342" s="13">
        <f>AC342*1.25*[1]Parametros!$B$3*(AB342-(AC342*1.25*[1]Parametros!$B$3/(0.85*[1]Parametros!$B$2*H342))/2)/1000000</f>
        <v>244.15884319852941</v>
      </c>
      <c r="AH342" s="13">
        <f t="shared" si="67"/>
        <v>317.55438291947928</v>
      </c>
      <c r="AI342" s="13">
        <f t="shared" si="68"/>
        <v>447.78699999999998</v>
      </c>
      <c r="AJ342" s="13">
        <f>0.17*SQRT([1]Parametros!$B$2)*H342*MIN(U342,AB342)/1000</f>
        <v>220.09872869180776</v>
      </c>
      <c r="AK342" s="13">
        <f>MAX(AI342/[1]Parametros!$B$6-AJ342,0)</f>
        <v>376.9506046415255</v>
      </c>
      <c r="AL342" s="13">
        <f>0.66*SQRT([1]Parametros!$B$2)*H342*MIN(U342,AB342)/1000</f>
        <v>854.500946685842</v>
      </c>
      <c r="AM342" s="13" t="str">
        <f t="shared" si="69"/>
        <v>CUMPLE</v>
      </c>
      <c r="AN342" s="13" t="s">
        <v>68</v>
      </c>
      <c r="AO342" s="14">
        <v>2</v>
      </c>
      <c r="AP342" s="13">
        <f>ROUNDDOWN(MIN(IF(BC342+BD342=0,1000000000,AO342*BB342/(BC342+BD342)),MIN(U342,AB342)/4,8*[1]Parametros!$B$12,24*BA342,300,IF(AV342=0,1000000000,2*((H342-2*([1]Parametros!$B$7+[1]Parametros!$B$9/2))+(I342-2*([1]Parametros!$B$7+[1]Parametros!$B$9/2)))/8))/10,0)*10</f>
        <v>120</v>
      </c>
      <c r="AQ342" s="13">
        <f>ROUNDDOWN(MIN(IF(BC342+BD342=0,1000000000,AO342*BB342/(BC342+BD342)),IF(AK342&gt;0.33*SQRT([1]Parametros!$B$2)*H342*MIN(U342,AB342)/1000,MIN(U342,AB342)/4,MIN(U342,AB342)/2),600,IF(AV342=0,1000000000,2*((H342-2*([1]Parametros!$B$7+[1]Parametros!$B$9/2))+(I342-2*([1]Parametros!$B$7+[1]Parametros!$B$9/2)))/8))/10,0)*10</f>
        <v>140</v>
      </c>
      <c r="AR342" s="13">
        <f>[1]Parametros!$B$6*(AJ342+MAX(BE342-BD342,0)*[1]Parametros!$B$4*MIN(U342,AB342)/1000)</f>
        <v>496.48633401885581</v>
      </c>
      <c r="AS342" s="13" t="str">
        <f t="shared" si="70"/>
        <v>CUMPLE</v>
      </c>
      <c r="AT342" s="13">
        <f>[1]Parametros!$B$6*0.083*SQRT([1]Parametros!$B$2)*(H342*I342)^2/(2*(H342+I342))/1000000</f>
        <v>11.862178757598967</v>
      </c>
      <c r="AU342" s="13" t="str">
        <f t="shared" si="71"/>
        <v>DESPRECIABLE</v>
      </c>
      <c r="AV342" s="13">
        <f>IF(Q342&lt;=AT342,0,Q342*1000000/([1]Parametros!$B$6*2*0.85*(H342-2*([1]Parametros!$B$7+[1]Parametros!$B$9/2))*(I342-2*([1]Parametros!$B$7+[1]Parametros!$B$9/2))*[1]Parametros!$B$4))</f>
        <v>0</v>
      </c>
      <c r="AW342" s="13">
        <f>AV342*2*((H342-2*([1]Parametros!$B$7+[1]Parametros!$B$9/2))+(I342-2*([1]Parametros!$B$7+[1]Parametros!$B$9/2)))*[1]Parametros!$B$4/[1]Parametros!$B$3</f>
        <v>0</v>
      </c>
      <c r="AX342" s="14">
        <v>0</v>
      </c>
      <c r="AY342" s="13" t="str">
        <f t="shared" si="72"/>
        <v>DESPRECIABLE</v>
      </c>
      <c r="AZ342" s="13" t="str">
        <f t="shared" si="73"/>
        <v>CUMPLE</v>
      </c>
      <c r="BA342" s="14">
        <v>12.7</v>
      </c>
      <c r="BB342" s="14">
        <v>129</v>
      </c>
      <c r="BC342" s="13">
        <f>MAX(IF(AK342=0,0,AK342*1000/([1]Parametros!$B$4*MIN(U342,AB342))),MAX(0.062*SQRT([1]Parametros!$B$2)*H342/[1]Parametros!$B$4,0.35*H342/[1]Parametros!$B$4))</f>
        <v>1.834068539128803</v>
      </c>
      <c r="BD342" s="13">
        <f t="shared" si="74"/>
        <v>0</v>
      </c>
      <c r="BE342" s="13">
        <f t="shared" si="75"/>
        <v>2.15</v>
      </c>
      <c r="BF342" s="13">
        <f>SQRT((AI342*1000/(H342*MIN(U342,AB342)))^2+(Q342*1000000*2*((H342-2*([1]Parametros!$B$7+[1]Parametros!$B$9/2))+(I342-2*([1]Parametros!$B$7+[1]Parametros!$B$9/2)))/(1.7*((H342-2*([1]Parametros!$B$7+[1]Parametros!$B$9/2))*(I342-2*([1]Parametros!$B$7+[1]Parametros!$B$9/2)))^2))^2)</f>
        <v>1.8398747897277079</v>
      </c>
      <c r="BG342" s="13">
        <f>[1]Parametros!$B$6*(AJ342*1000/(H342*MIN(U342,AB342))+0.66*SQRT([1]Parametros!$B$2))</f>
        <v>3.2939603822754151</v>
      </c>
      <c r="BH342" s="13" t="str">
        <f t="shared" si="76"/>
        <v>CUMPLE</v>
      </c>
      <c r="BI342" s="13">
        <f>AX342*[1]Parametros!$B$8</f>
        <v>0</v>
      </c>
      <c r="BJ342" s="15" t="str">
        <f t="shared" si="77"/>
        <v>CUMPLE</v>
      </c>
    </row>
    <row r="343" spans="1:62" x14ac:dyDescent="0.3">
      <c r="A343" s="31" t="s">
        <v>75</v>
      </c>
      <c r="B343" s="32">
        <v>54</v>
      </c>
      <c r="C343" s="13">
        <v>1</v>
      </c>
      <c r="D343" s="13">
        <v>2</v>
      </c>
      <c r="E343" s="13">
        <v>2</v>
      </c>
      <c r="F343" s="13">
        <v>500</v>
      </c>
      <c r="G343" s="13">
        <v>550</v>
      </c>
      <c r="H343" s="13">
        <v>500</v>
      </c>
      <c r="I343" s="13">
        <v>550</v>
      </c>
      <c r="J343" s="14">
        <v>203.74160000000001</v>
      </c>
      <c r="K343" s="13">
        <v>54</v>
      </c>
      <c r="L343" s="14">
        <v>164.8879</v>
      </c>
      <c r="M343" s="13">
        <v>54</v>
      </c>
      <c r="N343" s="14">
        <v>181.13300000000001</v>
      </c>
      <c r="O343" s="14">
        <v>703.27599999999995</v>
      </c>
      <c r="P343" s="13">
        <v>54</v>
      </c>
      <c r="Q343" s="14">
        <v>4.4020000000000001</v>
      </c>
      <c r="R343" s="13">
        <f>MAX(MAX(1.4/[1]Parametros!$B$3,0.25*SQRT([1]Parametros!$B$2)/[1]Parametros!$B$3)*H343*U343,(0.85*[1]Parametros!$B$2/[1]Parametros!$B$3)*(1-SQRT(1-2*(J343*1000000/([1]Parametros!$B$5*H343*U343^2))/(0.85*[1]Parametros!$B$2)))*H343*U343)</f>
        <v>1149.074547286433</v>
      </c>
      <c r="S343" s="14">
        <v>6</v>
      </c>
      <c r="T343" s="14">
        <v>1</v>
      </c>
      <c r="U343" s="13">
        <f>IF(T343=1,I343-([1]Parametros!$B$7+[1]Parametros!$B$9+[1]Parametros!$B$12/2),I343-(ROUNDUP(S343/2,0)*([1]Parametros!$B$7+[1]Parametros!$B$9+[1]Parametros!$B$12/2)+ROUNDDOWN(S343/2,0)*([1]Parametros!$B$7+[1]Parametros!$B$9+[1]Parametros!$B$12/2+[1]Parametros!$B$12+[1]Parametros!$B$10))/S343)</f>
        <v>489.35</v>
      </c>
      <c r="V343" s="13">
        <f>S343*[1]Parametros!$B$8</f>
        <v>1194</v>
      </c>
      <c r="W343" s="13">
        <f>[1]Parametros!$B$5*V343*[1]Parametros!$B$3*(U343-(V343*[1]Parametros!$B$3/(0.85*[1]Parametros!$B$2*H343))/2)/1000000</f>
        <v>211.34948347058827</v>
      </c>
      <c r="X343" s="13" t="str">
        <f t="shared" si="65"/>
        <v>CUMPLE</v>
      </c>
      <c r="Y343" s="13">
        <f>MAX(MAX(1.4/[1]Parametros!$B$3,0.25*SQRT([1]Parametros!$B$2)/[1]Parametros!$B$3)*H343*AB343,(0.85*[1]Parametros!$B$2/[1]Parametros!$B$3)*(1-SQRT(1-2*(L343*1000000/([1]Parametros!$B$5*H343*AB343^2))/(0.85*[1]Parametros!$B$2)))*H343*AB343)</f>
        <v>922.07039728681889</v>
      </c>
      <c r="Z343" s="14">
        <v>5</v>
      </c>
      <c r="AA343" s="14">
        <v>1</v>
      </c>
      <c r="AB343" s="13">
        <f>IF(AA343=1,I343-([1]Parametros!$B$7+[1]Parametros!$B$9+[1]Parametros!$B$12/2),I343-(ROUNDUP(Z343/2,0)*([1]Parametros!$B$7+[1]Parametros!$B$9+[1]Parametros!$B$12/2)+ROUNDDOWN(Z343/2,0)*([1]Parametros!$B$7+[1]Parametros!$B$9+[1]Parametros!$B$12/2+[1]Parametros!$B$12+[1]Parametros!$B$10))/Z343)</f>
        <v>489.35</v>
      </c>
      <c r="AC343" s="13">
        <f>Z343*[1]Parametros!$B$8</f>
        <v>995</v>
      </c>
      <c r="AD343" s="13">
        <f>[1]Parametros!$B$5*AC343*[1]Parametros!$B$3*(AB343-(AC343*[1]Parametros!$B$3/(0.85*[1]Parametros!$B$2*H343))/2)/1000000</f>
        <v>177.44537938235294</v>
      </c>
      <c r="AE343" s="13" t="str">
        <f t="shared" si="66"/>
        <v>CUMPLE</v>
      </c>
      <c r="AF343" s="13">
        <f>V343*1.25*[1]Parametros!$B$3*(U343-(V343*1.25*[1]Parametros!$B$3/(0.85*[1]Parametros!$B$2*H343))/2)/1000000</f>
        <v>290.23892470588237</v>
      </c>
      <c r="AG343" s="13">
        <f>AC343*1.25*[1]Parametros!$B$3*(AB343-(AC343*1.25*[1]Parametros!$B$3/(0.85*[1]Parametros!$B$2*H343))/2)/1000000</f>
        <v>244.15884319852941</v>
      </c>
      <c r="AH343" s="13">
        <f t="shared" si="67"/>
        <v>448.33188395220589</v>
      </c>
      <c r="AI343" s="13">
        <f t="shared" si="68"/>
        <v>703.27599999999995</v>
      </c>
      <c r="AJ343" s="13">
        <f>0.17*SQRT([1]Parametros!$B$2)*H343*MIN(U343,AB343)/1000</f>
        <v>220.09872869180776</v>
      </c>
      <c r="AK343" s="13">
        <f>MAX(AI343/[1]Parametros!$B$6-AJ343,0)</f>
        <v>717.60260464152555</v>
      </c>
      <c r="AL343" s="13">
        <f>0.66*SQRT([1]Parametros!$B$2)*H343*MIN(U343,AB343)/1000</f>
        <v>854.500946685842</v>
      </c>
      <c r="AM343" s="13" t="str">
        <f t="shared" si="69"/>
        <v>CUMPLE</v>
      </c>
      <c r="AN343" s="13" t="s">
        <v>64</v>
      </c>
      <c r="AO343" s="14">
        <v>4</v>
      </c>
      <c r="AP343" s="13">
        <f>ROUNDDOWN(MIN(IF(BC343+BD343=0,1000000000,AO343*BB343/(BC343+BD343)),MIN(U343,AB343)/4,8*[1]Parametros!$B$12,24*BA343,300,IF(AV343=0,1000000000,2*((H343-2*([1]Parametros!$B$7+[1]Parametros!$B$9/2))+(I343-2*([1]Parametros!$B$7+[1]Parametros!$B$9/2)))/8))/10,0)*10</f>
        <v>80</v>
      </c>
      <c r="AQ343" s="13">
        <f>ROUNDDOWN(MIN(IF(BC343+BD343=0,1000000000,AO343*BB343/(BC343+BD343)),IF(AK343&gt;0.33*SQRT([1]Parametros!$B$2)*H343*MIN(U343,AB343)/1000,MIN(U343,AB343)/4,MIN(U343,AB343)/2),600,IF(AV343=0,1000000000,2*((H343-2*([1]Parametros!$B$7+[1]Parametros!$B$9/2))+(I343-2*([1]Parametros!$B$7+[1]Parametros!$B$9/2)))/8))/10,0)*10</f>
        <v>80</v>
      </c>
      <c r="AR343" s="13">
        <f>[1]Parametros!$B$6*(AJ343+MAX(BE343-BD343,0)*[1]Parametros!$B$4*MIN(U343,AB343)/1000)</f>
        <v>712.28968401885584</v>
      </c>
      <c r="AS343" s="13" t="str">
        <f t="shared" si="70"/>
        <v>CUMPLE</v>
      </c>
      <c r="AT343" s="13">
        <f>[1]Parametros!$B$6*0.083*SQRT([1]Parametros!$B$2)*(H343*I343)^2/(2*(H343+I343))/1000000</f>
        <v>11.862178757598967</v>
      </c>
      <c r="AU343" s="13" t="str">
        <f t="shared" si="71"/>
        <v>DESPRECIABLE</v>
      </c>
      <c r="AV343" s="13">
        <f>IF(Q343&lt;=AT343,0,Q343*1000000/([1]Parametros!$B$6*2*0.85*(H343-2*([1]Parametros!$B$7+[1]Parametros!$B$9/2))*(I343-2*([1]Parametros!$B$7+[1]Parametros!$B$9/2))*[1]Parametros!$B$4))</f>
        <v>0</v>
      </c>
      <c r="AW343" s="13">
        <f>AV343*2*((H343-2*([1]Parametros!$B$7+[1]Parametros!$B$9/2))+(I343-2*([1]Parametros!$B$7+[1]Parametros!$B$9/2)))*[1]Parametros!$B$4/[1]Parametros!$B$3</f>
        <v>0</v>
      </c>
      <c r="AX343" s="14">
        <v>0</v>
      </c>
      <c r="AY343" s="13" t="str">
        <f t="shared" si="72"/>
        <v>DESPRECIABLE</v>
      </c>
      <c r="AZ343" s="13" t="str">
        <f t="shared" si="73"/>
        <v>CUMPLE</v>
      </c>
      <c r="BA343" s="14">
        <v>9.5</v>
      </c>
      <c r="BB343" s="14">
        <v>71</v>
      </c>
      <c r="BC343" s="13">
        <f>MAX(IF(AK343=0,0,AK343*1000/([1]Parametros!$B$4*MIN(U343,AB343))),MAX(0.062*SQRT([1]Parametros!$B$2)*H343/[1]Parametros!$B$4,0.35*H343/[1]Parametros!$B$4))</f>
        <v>3.4915247370979263</v>
      </c>
      <c r="BD343" s="13">
        <f t="shared" si="74"/>
        <v>0</v>
      </c>
      <c r="BE343" s="13">
        <f t="shared" si="75"/>
        <v>3.55</v>
      </c>
      <c r="BF343" s="13">
        <f>SQRT((AI343*1000/(H343*MIN(U343,AB343)))^2+(Q343*1000000*2*((H343-2*([1]Parametros!$B$7+[1]Parametros!$B$9/2))+(I343-2*([1]Parametros!$B$7+[1]Parametros!$B$9/2)))/(1.7*((H343-2*([1]Parametros!$B$7+[1]Parametros!$B$9/2))*(I343-2*([1]Parametros!$B$7+[1]Parametros!$B$9/2)))^2))^2)</f>
        <v>2.8772234803549712</v>
      </c>
      <c r="BG343" s="13">
        <f>[1]Parametros!$B$6*(AJ343*1000/(H343*MIN(U343,AB343))+0.66*SQRT([1]Parametros!$B$2))</f>
        <v>3.2939603822754151</v>
      </c>
      <c r="BH343" s="13" t="str">
        <f t="shared" si="76"/>
        <v>CUMPLE</v>
      </c>
      <c r="BI343" s="13">
        <f>AX343*[1]Parametros!$B$8</f>
        <v>0</v>
      </c>
      <c r="BJ343" s="15" t="str">
        <f t="shared" si="77"/>
        <v>CUMPLE</v>
      </c>
    </row>
    <row r="344" spans="1:62" x14ac:dyDescent="0.3">
      <c r="A344" s="31" t="s">
        <v>75</v>
      </c>
      <c r="B344" s="32">
        <v>99</v>
      </c>
      <c r="C344" s="13">
        <v>1</v>
      </c>
      <c r="D344" s="13">
        <v>4.9000000000000004</v>
      </c>
      <c r="E344" s="13">
        <v>4.9000000000000004</v>
      </c>
      <c r="F344" s="13">
        <v>500</v>
      </c>
      <c r="G344" s="13">
        <v>550</v>
      </c>
      <c r="H344" s="13">
        <v>500</v>
      </c>
      <c r="I344" s="13">
        <v>550</v>
      </c>
      <c r="J344" s="14">
        <v>181.0712</v>
      </c>
      <c r="K344" s="13">
        <v>99</v>
      </c>
      <c r="L344" s="14">
        <v>66.190299999999993</v>
      </c>
      <c r="M344" s="13">
        <v>99</v>
      </c>
      <c r="N344" s="14">
        <v>133.24100000000001</v>
      </c>
      <c r="O344" s="14">
        <v>272.31799999999998</v>
      </c>
      <c r="P344" s="13">
        <v>99</v>
      </c>
      <c r="Q344" s="14">
        <v>5.1775000000000002</v>
      </c>
      <c r="R344" s="13">
        <f>MAX(MAX(1.4/[1]Parametros!$B$3,0.25*SQRT([1]Parametros!$B$2)/[1]Parametros!$B$3)*H344*U344,(0.85*[1]Parametros!$B$2/[1]Parametros!$B$3)*(1-SQRT(1-2*(J344*1000000/([1]Parametros!$B$5*H344*U344^2))/(0.85*[1]Parametros!$B$2)))*H344*U344)</f>
        <v>1016.1345589505714</v>
      </c>
      <c r="S344" s="14">
        <v>6</v>
      </c>
      <c r="T344" s="14">
        <v>1</v>
      </c>
      <c r="U344" s="13">
        <f>IF(T344=1,I344-([1]Parametros!$B$7+[1]Parametros!$B$9+[1]Parametros!$B$12/2),I344-(ROUNDUP(S344/2,0)*([1]Parametros!$B$7+[1]Parametros!$B$9+[1]Parametros!$B$12/2)+ROUNDDOWN(S344/2,0)*([1]Parametros!$B$7+[1]Parametros!$B$9+[1]Parametros!$B$12/2+[1]Parametros!$B$12+[1]Parametros!$B$10))/S344)</f>
        <v>489.35</v>
      </c>
      <c r="V344" s="13">
        <f>S344*[1]Parametros!$B$8</f>
        <v>1194</v>
      </c>
      <c r="W344" s="13">
        <f>[1]Parametros!$B$5*V344*[1]Parametros!$B$3*(U344-(V344*[1]Parametros!$B$3/(0.85*[1]Parametros!$B$2*H344))/2)/1000000</f>
        <v>211.34948347058827</v>
      </c>
      <c r="X344" s="13" t="str">
        <f t="shared" si="65"/>
        <v>CUMPLE</v>
      </c>
      <c r="Y344" s="13">
        <f>MAX(MAX(1.4/[1]Parametros!$B$3,0.25*SQRT([1]Parametros!$B$2)/[1]Parametros!$B$3)*H344*AB344,(0.85*[1]Parametros!$B$2/[1]Parametros!$B$3)*(1-SQRT(1-2*(L344*1000000/([1]Parametros!$B$5*H344*AB344^2))/(0.85*[1]Parametros!$B$2)))*H344*AB344)</f>
        <v>815.58333333333326</v>
      </c>
      <c r="Z344" s="14">
        <v>5</v>
      </c>
      <c r="AA344" s="14">
        <v>1</v>
      </c>
      <c r="AB344" s="13">
        <f>IF(AA344=1,I344-([1]Parametros!$B$7+[1]Parametros!$B$9+[1]Parametros!$B$12/2),I344-(ROUNDUP(Z344/2,0)*([1]Parametros!$B$7+[1]Parametros!$B$9+[1]Parametros!$B$12/2)+ROUNDDOWN(Z344/2,0)*([1]Parametros!$B$7+[1]Parametros!$B$9+[1]Parametros!$B$12/2+[1]Parametros!$B$12+[1]Parametros!$B$10))/Z344)</f>
        <v>489.35</v>
      </c>
      <c r="AC344" s="13">
        <f>Z344*[1]Parametros!$B$8</f>
        <v>995</v>
      </c>
      <c r="AD344" s="13">
        <f>[1]Parametros!$B$5*AC344*[1]Parametros!$B$3*(AB344-(AC344*[1]Parametros!$B$3/(0.85*[1]Parametros!$B$2*H344))/2)/1000000</f>
        <v>177.44537938235294</v>
      </c>
      <c r="AE344" s="13" t="str">
        <f t="shared" si="66"/>
        <v>CUMPLE</v>
      </c>
      <c r="AF344" s="13">
        <f>V344*1.25*[1]Parametros!$B$3*(U344-(V344*1.25*[1]Parametros!$B$3/(0.85*[1]Parametros!$B$2*H344))/2)/1000000</f>
        <v>290.23892470588237</v>
      </c>
      <c r="AG344" s="13">
        <f>AC344*1.25*[1]Parametros!$B$3*(AB344-(AC344*1.25*[1]Parametros!$B$3/(0.85*[1]Parametros!$B$2*H344))/2)/1000000</f>
        <v>244.15884319852941</v>
      </c>
      <c r="AH344" s="13">
        <f t="shared" si="67"/>
        <v>242.30176896008405</v>
      </c>
      <c r="AI344" s="13">
        <f t="shared" si="68"/>
        <v>272.31799999999998</v>
      </c>
      <c r="AJ344" s="13">
        <f>0.17*SQRT([1]Parametros!$B$2)*H344*MIN(U344,AB344)/1000</f>
        <v>220.09872869180776</v>
      </c>
      <c r="AK344" s="13">
        <f>MAX(AI344/[1]Parametros!$B$6-AJ344,0)</f>
        <v>142.9919379748589</v>
      </c>
      <c r="AL344" s="13">
        <f>0.66*SQRT([1]Parametros!$B$2)*H344*MIN(U344,AB344)/1000</f>
        <v>854.500946685842</v>
      </c>
      <c r="AM344" s="13" t="str">
        <f t="shared" si="69"/>
        <v>CUMPLE</v>
      </c>
      <c r="AN344" s="13" t="s">
        <v>64</v>
      </c>
      <c r="AO344" s="14">
        <v>2</v>
      </c>
      <c r="AP344" s="13">
        <f>ROUNDDOWN(MIN(IF(BC344+BD344=0,1000000000,AO344*BB344/(BC344+BD344)),MIN(U344,AB344)/4,8*[1]Parametros!$B$12,24*BA344,300,IF(AV344=0,1000000000,2*((H344-2*([1]Parametros!$B$7+[1]Parametros!$B$9/2))+(I344-2*([1]Parametros!$B$7+[1]Parametros!$B$9/2)))/8))/10,0)*10</f>
        <v>120</v>
      </c>
      <c r="AQ344" s="13">
        <f>ROUNDDOWN(MIN(IF(BC344+BD344=0,1000000000,AO344*BB344/(BC344+BD344)),IF(AK344&gt;0.33*SQRT([1]Parametros!$B$2)*H344*MIN(U344,AB344)/1000,MIN(U344,AB344)/4,MIN(U344,AB344)/2),600,IF(AV344=0,1000000000,2*((H344-2*([1]Parametros!$B$7+[1]Parametros!$B$9/2))+(I344-2*([1]Parametros!$B$7+[1]Parametros!$B$9/2)))/8))/10,0)*10</f>
        <v>200</v>
      </c>
      <c r="AR344" s="13">
        <f>[1]Parametros!$B$6*(AJ344+MAX(BE344-BD344,0)*[1]Parametros!$B$4*MIN(U344,AB344)/1000)</f>
        <v>347.47925901885583</v>
      </c>
      <c r="AS344" s="13" t="str">
        <f t="shared" si="70"/>
        <v>CUMPLE</v>
      </c>
      <c r="AT344" s="13">
        <f>[1]Parametros!$B$6*0.083*SQRT([1]Parametros!$B$2)*(H344*I344)^2/(2*(H344+I344))/1000000</f>
        <v>11.862178757598967</v>
      </c>
      <c r="AU344" s="13" t="str">
        <f t="shared" si="71"/>
        <v>DESPRECIABLE</v>
      </c>
      <c r="AV344" s="13">
        <f>IF(Q344&lt;=AT344,0,Q344*1000000/([1]Parametros!$B$6*2*0.85*(H344-2*([1]Parametros!$B$7+[1]Parametros!$B$9/2))*(I344-2*([1]Parametros!$B$7+[1]Parametros!$B$9/2))*[1]Parametros!$B$4))</f>
        <v>0</v>
      </c>
      <c r="AW344" s="13">
        <f>AV344*2*((H344-2*([1]Parametros!$B$7+[1]Parametros!$B$9/2))+(I344-2*([1]Parametros!$B$7+[1]Parametros!$B$9/2)))*[1]Parametros!$B$4/[1]Parametros!$B$3</f>
        <v>0</v>
      </c>
      <c r="AX344" s="14">
        <v>0</v>
      </c>
      <c r="AY344" s="13" t="str">
        <f t="shared" si="72"/>
        <v>DESPRECIABLE</v>
      </c>
      <c r="AZ344" s="13" t="str">
        <f t="shared" si="73"/>
        <v>CUMPLE</v>
      </c>
      <c r="BA344" s="14">
        <v>9.5</v>
      </c>
      <c r="BB344" s="14">
        <v>71</v>
      </c>
      <c r="BC344" s="13">
        <f>MAX(IF(AK344=0,0,AK344*1000/([1]Parametros!$B$4*MIN(U344,AB344))),MAX(0.062*SQRT([1]Parametros!$B$2)*H344/[1]Parametros!$B$4,0.35*H344/[1]Parametros!$B$4))</f>
        <v>0.69573310550369982</v>
      </c>
      <c r="BD344" s="13">
        <f t="shared" si="74"/>
        <v>0</v>
      </c>
      <c r="BE344" s="13">
        <f t="shared" si="75"/>
        <v>1.1833333333333333</v>
      </c>
      <c r="BF344" s="13">
        <f>SQRT((AI344*1000/(H344*MIN(U344,AB344)))^2+(Q344*1000000*2*((H344-2*([1]Parametros!$B$7+[1]Parametros!$B$9/2))+(I344-2*([1]Parametros!$B$7+[1]Parametros!$B$9/2)))/(1.7*((H344-2*([1]Parametros!$B$7+[1]Parametros!$B$9/2))*(I344-2*([1]Parametros!$B$7+[1]Parametros!$B$9/2)))^2))^2)</f>
        <v>1.1232834342478113</v>
      </c>
      <c r="BG344" s="13">
        <f>[1]Parametros!$B$6*(AJ344*1000/(H344*MIN(U344,AB344))+0.66*SQRT([1]Parametros!$B$2))</f>
        <v>3.2939603822754151</v>
      </c>
      <c r="BH344" s="13" t="str">
        <f t="shared" si="76"/>
        <v>CUMPLE</v>
      </c>
      <c r="BI344" s="13">
        <f>AX344*[1]Parametros!$B$8</f>
        <v>0</v>
      </c>
      <c r="BJ344" s="15" t="str">
        <f t="shared" si="77"/>
        <v>CUMPLE</v>
      </c>
    </row>
    <row r="345" spans="1:62" x14ac:dyDescent="0.3">
      <c r="A345" s="31" t="s">
        <v>75</v>
      </c>
      <c r="B345" s="32">
        <v>100</v>
      </c>
      <c r="C345" s="13">
        <v>1</v>
      </c>
      <c r="D345" s="13">
        <v>4.9000000000000004</v>
      </c>
      <c r="E345" s="13">
        <v>4.9000000000000004</v>
      </c>
      <c r="F345" s="13">
        <v>500</v>
      </c>
      <c r="G345" s="13">
        <v>550</v>
      </c>
      <c r="H345" s="13">
        <v>500</v>
      </c>
      <c r="I345" s="13">
        <v>550</v>
      </c>
      <c r="J345" s="14">
        <v>181.0779</v>
      </c>
      <c r="K345" s="13">
        <v>100</v>
      </c>
      <c r="L345" s="14">
        <v>66.1922</v>
      </c>
      <c r="M345" s="13">
        <v>100</v>
      </c>
      <c r="N345" s="14">
        <v>133.24299999999999</v>
      </c>
      <c r="O345" s="14">
        <v>272.32</v>
      </c>
      <c r="P345" s="13">
        <v>100</v>
      </c>
      <c r="Q345" s="14">
        <v>5.1768000000000001</v>
      </c>
      <c r="R345" s="13">
        <f>MAX(MAX(1.4/[1]Parametros!$B$3,0.25*SQRT([1]Parametros!$B$2)/[1]Parametros!$B$3)*H345*U345,(0.85*[1]Parametros!$B$2/[1]Parametros!$B$3)*(1-SQRT(1-2*(J345*1000000/([1]Parametros!$B$5*H345*U345^2))/(0.85*[1]Parametros!$B$2)))*H345*U345)</f>
        <v>1016.17364478339</v>
      </c>
      <c r="S345" s="14">
        <v>6</v>
      </c>
      <c r="T345" s="14">
        <v>1</v>
      </c>
      <c r="U345" s="13">
        <f>IF(T345=1,I345-([1]Parametros!$B$7+[1]Parametros!$B$9+[1]Parametros!$B$12/2),I345-(ROUNDUP(S345/2,0)*([1]Parametros!$B$7+[1]Parametros!$B$9+[1]Parametros!$B$12/2)+ROUNDDOWN(S345/2,0)*([1]Parametros!$B$7+[1]Parametros!$B$9+[1]Parametros!$B$12/2+[1]Parametros!$B$12+[1]Parametros!$B$10))/S345)</f>
        <v>489.35</v>
      </c>
      <c r="V345" s="13">
        <f>S345*[1]Parametros!$B$8</f>
        <v>1194</v>
      </c>
      <c r="W345" s="13">
        <f>[1]Parametros!$B$5*V345*[1]Parametros!$B$3*(U345-(V345*[1]Parametros!$B$3/(0.85*[1]Parametros!$B$2*H345))/2)/1000000</f>
        <v>211.34948347058827</v>
      </c>
      <c r="X345" s="13" t="str">
        <f t="shared" si="65"/>
        <v>CUMPLE</v>
      </c>
      <c r="Y345" s="13">
        <f>MAX(MAX(1.4/[1]Parametros!$B$3,0.25*SQRT([1]Parametros!$B$2)/[1]Parametros!$B$3)*H345*AB345,(0.85*[1]Parametros!$B$2/[1]Parametros!$B$3)*(1-SQRT(1-2*(L345*1000000/([1]Parametros!$B$5*H345*AB345^2))/(0.85*[1]Parametros!$B$2)))*H345*AB345)</f>
        <v>815.58333333333326</v>
      </c>
      <c r="Z345" s="14">
        <v>5</v>
      </c>
      <c r="AA345" s="14">
        <v>1</v>
      </c>
      <c r="AB345" s="13">
        <f>IF(AA345=1,I345-([1]Parametros!$B$7+[1]Parametros!$B$9+[1]Parametros!$B$12/2),I345-(ROUNDUP(Z345/2,0)*([1]Parametros!$B$7+[1]Parametros!$B$9+[1]Parametros!$B$12/2)+ROUNDDOWN(Z345/2,0)*([1]Parametros!$B$7+[1]Parametros!$B$9+[1]Parametros!$B$12/2+[1]Parametros!$B$12+[1]Parametros!$B$10))/Z345)</f>
        <v>489.35</v>
      </c>
      <c r="AC345" s="13">
        <f>Z345*[1]Parametros!$B$8</f>
        <v>995</v>
      </c>
      <c r="AD345" s="13">
        <f>[1]Parametros!$B$5*AC345*[1]Parametros!$B$3*(AB345-(AC345*[1]Parametros!$B$3/(0.85*[1]Parametros!$B$2*H345))/2)/1000000</f>
        <v>177.44537938235294</v>
      </c>
      <c r="AE345" s="13" t="str">
        <f t="shared" si="66"/>
        <v>CUMPLE</v>
      </c>
      <c r="AF345" s="13">
        <f>V345*1.25*[1]Parametros!$B$3*(U345-(V345*1.25*[1]Parametros!$B$3/(0.85*[1]Parametros!$B$2*H345))/2)/1000000</f>
        <v>290.23892470588237</v>
      </c>
      <c r="AG345" s="13">
        <f>AC345*1.25*[1]Parametros!$B$3*(AB345-(AC345*1.25*[1]Parametros!$B$3/(0.85*[1]Parametros!$B$2*H345))/2)/1000000</f>
        <v>244.15884319852941</v>
      </c>
      <c r="AH345" s="13">
        <f t="shared" si="67"/>
        <v>242.30376896008403</v>
      </c>
      <c r="AI345" s="13">
        <f t="shared" si="68"/>
        <v>272.32</v>
      </c>
      <c r="AJ345" s="13">
        <f>0.17*SQRT([1]Parametros!$B$2)*H345*MIN(U345,AB345)/1000</f>
        <v>220.09872869180776</v>
      </c>
      <c r="AK345" s="13">
        <f>MAX(AI345/[1]Parametros!$B$6-AJ345,0)</f>
        <v>142.99460464152554</v>
      </c>
      <c r="AL345" s="13">
        <f>0.66*SQRT([1]Parametros!$B$2)*H345*MIN(U345,AB345)/1000</f>
        <v>854.500946685842</v>
      </c>
      <c r="AM345" s="13" t="str">
        <f t="shared" si="69"/>
        <v>CUMPLE</v>
      </c>
      <c r="AN345" s="13" t="s">
        <v>64</v>
      </c>
      <c r="AO345" s="14">
        <v>2</v>
      </c>
      <c r="AP345" s="13">
        <f>ROUNDDOWN(MIN(IF(BC345+BD345=0,1000000000,AO345*BB345/(BC345+BD345)),MIN(U345,AB345)/4,8*[1]Parametros!$B$12,24*BA345,300,IF(AV345=0,1000000000,2*((H345-2*([1]Parametros!$B$7+[1]Parametros!$B$9/2))+(I345-2*([1]Parametros!$B$7+[1]Parametros!$B$9/2)))/8))/10,0)*10</f>
        <v>120</v>
      </c>
      <c r="AQ345" s="13">
        <f>ROUNDDOWN(MIN(IF(BC345+BD345=0,1000000000,AO345*BB345/(BC345+BD345)),IF(AK345&gt;0.33*SQRT([1]Parametros!$B$2)*H345*MIN(U345,AB345)/1000,MIN(U345,AB345)/4,MIN(U345,AB345)/2),600,IF(AV345=0,1000000000,2*((H345-2*([1]Parametros!$B$7+[1]Parametros!$B$9/2))+(I345-2*([1]Parametros!$B$7+[1]Parametros!$B$9/2)))/8))/10,0)*10</f>
        <v>200</v>
      </c>
      <c r="AR345" s="13">
        <f>[1]Parametros!$B$6*(AJ345+MAX(BE345-BD345,0)*[1]Parametros!$B$4*MIN(U345,AB345)/1000)</f>
        <v>347.47925901885583</v>
      </c>
      <c r="AS345" s="13" t="str">
        <f t="shared" si="70"/>
        <v>CUMPLE</v>
      </c>
      <c r="AT345" s="13">
        <f>[1]Parametros!$B$6*0.083*SQRT([1]Parametros!$B$2)*(H345*I345)^2/(2*(H345+I345))/1000000</f>
        <v>11.862178757598967</v>
      </c>
      <c r="AU345" s="13" t="str">
        <f t="shared" si="71"/>
        <v>DESPRECIABLE</v>
      </c>
      <c r="AV345" s="13">
        <f>IF(Q345&lt;=AT345,0,Q345*1000000/([1]Parametros!$B$6*2*0.85*(H345-2*([1]Parametros!$B$7+[1]Parametros!$B$9/2))*(I345-2*([1]Parametros!$B$7+[1]Parametros!$B$9/2))*[1]Parametros!$B$4))</f>
        <v>0</v>
      </c>
      <c r="AW345" s="13">
        <f>AV345*2*((H345-2*([1]Parametros!$B$7+[1]Parametros!$B$9/2))+(I345-2*([1]Parametros!$B$7+[1]Parametros!$B$9/2)))*[1]Parametros!$B$4/[1]Parametros!$B$3</f>
        <v>0</v>
      </c>
      <c r="AX345" s="14">
        <v>0</v>
      </c>
      <c r="AY345" s="13" t="str">
        <f t="shared" si="72"/>
        <v>DESPRECIABLE</v>
      </c>
      <c r="AZ345" s="13" t="str">
        <f t="shared" si="73"/>
        <v>CUMPLE</v>
      </c>
      <c r="BA345" s="14">
        <v>9.5</v>
      </c>
      <c r="BB345" s="14">
        <v>71</v>
      </c>
      <c r="BC345" s="13">
        <f>MAX(IF(AK345=0,0,AK345*1000/([1]Parametros!$B$4*MIN(U345,AB345))),MAX(0.062*SQRT([1]Parametros!$B$2)*H345/[1]Parametros!$B$4,0.35*H345/[1]Parametros!$B$4))</f>
        <v>0.69574608027911433</v>
      </c>
      <c r="BD345" s="13">
        <f t="shared" si="74"/>
        <v>0</v>
      </c>
      <c r="BE345" s="13">
        <f t="shared" si="75"/>
        <v>1.1833333333333333</v>
      </c>
      <c r="BF345" s="13">
        <f>SQRT((AI345*1000/(H345*MIN(U345,AB345)))^2+(Q345*1000000*2*((H345-2*([1]Parametros!$B$7+[1]Parametros!$B$9/2))+(I345-2*([1]Parametros!$B$7+[1]Parametros!$B$9/2)))/(1.7*((H345-2*([1]Parametros!$B$7+[1]Parametros!$B$9/2))*(I345-2*([1]Parametros!$B$7+[1]Parametros!$B$9/2)))^2))^2)</f>
        <v>1.1232887598751058</v>
      </c>
      <c r="BG345" s="13">
        <f>[1]Parametros!$B$6*(AJ345*1000/(H345*MIN(U345,AB345))+0.66*SQRT([1]Parametros!$B$2))</f>
        <v>3.2939603822754151</v>
      </c>
      <c r="BH345" s="13" t="str">
        <f t="shared" si="76"/>
        <v>CUMPLE</v>
      </c>
      <c r="BI345" s="13">
        <f>AX345*[1]Parametros!$B$8</f>
        <v>0</v>
      </c>
      <c r="BJ345" s="15" t="str">
        <f t="shared" si="77"/>
        <v>CUMPLE</v>
      </c>
    </row>
    <row r="346" spans="1:62" x14ac:dyDescent="0.3">
      <c r="A346" s="33" t="s">
        <v>76</v>
      </c>
      <c r="B346" s="34">
        <v>11</v>
      </c>
      <c r="C346" s="13">
        <v>1</v>
      </c>
      <c r="D346" s="13">
        <v>2</v>
      </c>
      <c r="E346" s="13">
        <v>2</v>
      </c>
      <c r="F346" s="13">
        <v>500</v>
      </c>
      <c r="G346" s="13">
        <v>550</v>
      </c>
      <c r="H346" s="13">
        <v>500</v>
      </c>
      <c r="I346" s="13">
        <v>550</v>
      </c>
      <c r="J346" s="14">
        <v>232.46850000000001</v>
      </c>
      <c r="K346" s="13">
        <v>11</v>
      </c>
      <c r="L346" s="14">
        <v>173.9418</v>
      </c>
      <c r="M346" s="13">
        <v>11</v>
      </c>
      <c r="N346" s="14">
        <v>186.61</v>
      </c>
      <c r="O346" s="14">
        <v>745.66300000000001</v>
      </c>
      <c r="P346" s="13">
        <v>11</v>
      </c>
      <c r="Q346" s="14">
        <v>9.2025000000000006</v>
      </c>
      <c r="R346" s="13">
        <f>MAX(MAX(1.4/[1]Parametros!$B$3,0.25*SQRT([1]Parametros!$B$2)/[1]Parametros!$B$3)*H346*U346,(0.85*[1]Parametros!$B$2/[1]Parametros!$B$3)*(1-SQRT(1-2*(J346*1000000/([1]Parametros!$B$5*H346*U346^2))/(0.85*[1]Parametros!$B$2)))*H346*U346)</f>
        <v>1319.5534179864599</v>
      </c>
      <c r="S346" s="14">
        <v>7</v>
      </c>
      <c r="T346" s="14">
        <v>1</v>
      </c>
      <c r="U346" s="13">
        <f>IF(T346=1,I346-([1]Parametros!$B$7+[1]Parametros!$B$9+[1]Parametros!$B$12/2),I346-(ROUNDUP(S346/2,0)*([1]Parametros!$B$7+[1]Parametros!$B$9+[1]Parametros!$B$12/2)+ROUNDDOWN(S346/2,0)*([1]Parametros!$B$7+[1]Parametros!$B$9+[1]Parametros!$B$12/2+[1]Parametros!$B$12+[1]Parametros!$B$10))/S346)</f>
        <v>489.35</v>
      </c>
      <c r="V346" s="13">
        <f>S346*[1]Parametros!$B$8</f>
        <v>1393</v>
      </c>
      <c r="W346" s="13">
        <f>[1]Parametros!$B$5*V346*[1]Parametros!$B$3*(U346-(V346*[1]Parametros!$B$3/(0.85*[1]Parametros!$B$2*H346))/2)/1000000</f>
        <v>244.72526362941178</v>
      </c>
      <c r="X346" s="13" t="str">
        <f t="shared" si="65"/>
        <v>CUMPLE</v>
      </c>
      <c r="Y346" s="13">
        <f>MAX(MAX(1.4/[1]Parametros!$B$3,0.25*SQRT([1]Parametros!$B$2)/[1]Parametros!$B$3)*H346*AB346,(0.85*[1]Parametros!$B$2/[1]Parametros!$B$3)*(1-SQRT(1-2*(L346*1000000/([1]Parametros!$B$5*H346*AB346^2))/(0.85*[1]Parametros!$B$2)))*H346*AB346)</f>
        <v>974.61089229964102</v>
      </c>
      <c r="Z346" s="14">
        <v>5</v>
      </c>
      <c r="AA346" s="14">
        <v>1</v>
      </c>
      <c r="AB346" s="13">
        <f>IF(AA346=1,I346-([1]Parametros!$B$7+[1]Parametros!$B$9+[1]Parametros!$B$12/2),I346-(ROUNDUP(Z346/2,0)*([1]Parametros!$B$7+[1]Parametros!$B$9+[1]Parametros!$B$12/2)+ROUNDDOWN(Z346/2,0)*([1]Parametros!$B$7+[1]Parametros!$B$9+[1]Parametros!$B$12/2+[1]Parametros!$B$12+[1]Parametros!$B$10))/Z346)</f>
        <v>489.35</v>
      </c>
      <c r="AC346" s="13">
        <f>Z346*[1]Parametros!$B$8</f>
        <v>995</v>
      </c>
      <c r="AD346" s="13">
        <f>[1]Parametros!$B$5*AC346*[1]Parametros!$B$3*(AB346-(AC346*[1]Parametros!$B$3/(0.85*[1]Parametros!$B$2*H346))/2)/1000000</f>
        <v>177.44537938235294</v>
      </c>
      <c r="AE346" s="13" t="str">
        <f t="shared" si="66"/>
        <v>CUMPLE</v>
      </c>
      <c r="AF346" s="13">
        <f>V346*1.25*[1]Parametros!$B$3*(U346-(V346*1.25*[1]Parametros!$B$3/(0.85*[1]Parametros!$B$2*H346))/2)/1000000</f>
        <v>335.40177716911762</v>
      </c>
      <c r="AG346" s="13">
        <f>AC346*1.25*[1]Parametros!$B$3*(AB346-(AC346*1.25*[1]Parametros!$B$3/(0.85*[1]Parametros!$B$2*H346))/2)/1000000</f>
        <v>244.15884319852941</v>
      </c>
      <c r="AH346" s="13">
        <f t="shared" si="67"/>
        <v>476.39031018382354</v>
      </c>
      <c r="AI346" s="13">
        <f t="shared" si="68"/>
        <v>745.66300000000001</v>
      </c>
      <c r="AJ346" s="13">
        <f>0.17*SQRT([1]Parametros!$B$2)*H346*MIN(U346,AB346)/1000</f>
        <v>220.09872869180776</v>
      </c>
      <c r="AK346" s="13">
        <f>MAX(AI346/[1]Parametros!$B$6-AJ346,0)</f>
        <v>774.11860464152562</v>
      </c>
      <c r="AL346" s="13">
        <f>0.66*SQRT([1]Parametros!$B$2)*H346*MIN(U346,AB346)/1000</f>
        <v>854.500946685842</v>
      </c>
      <c r="AM346" s="13" t="str">
        <f t="shared" si="69"/>
        <v>CUMPLE</v>
      </c>
      <c r="AN346" s="13" t="s">
        <v>68</v>
      </c>
      <c r="AO346" s="14">
        <v>4</v>
      </c>
      <c r="AP346" s="13">
        <f>ROUNDDOWN(MIN(IF(BC346+BD346=0,1000000000,AO346*BB346/(BC346+BD346)),MIN(U346,AB346)/4,8*[1]Parametros!$B$12,24*BA346,300,IF(AV346=0,1000000000,2*((H346-2*([1]Parametros!$B$7+[1]Parametros!$B$9/2))+(I346-2*([1]Parametros!$B$7+[1]Parametros!$B$9/2)))/8))/10,0)*10</f>
        <v>120</v>
      </c>
      <c r="AQ346" s="13">
        <f>ROUNDDOWN(MIN(IF(BC346+BD346=0,1000000000,AO346*BB346/(BC346+BD346)),IF(AK346&gt;0.33*SQRT([1]Parametros!$B$2)*H346*MIN(U346,AB346)/1000,MIN(U346,AB346)/4,MIN(U346,AB346)/2),600,IF(AV346=0,1000000000,2*((H346-2*([1]Parametros!$B$7+[1]Parametros!$B$9/2))+(I346-2*([1]Parametros!$B$7+[1]Parametros!$B$9/2)))/8))/10,0)*10</f>
        <v>120</v>
      </c>
      <c r="AR346" s="13">
        <f>[1]Parametros!$B$6*(AJ346+MAX(BE346-BD346,0)*[1]Parametros!$B$4*MIN(U346,AB346)/1000)</f>
        <v>827.89862151885586</v>
      </c>
      <c r="AS346" s="13" t="str">
        <f t="shared" si="70"/>
        <v>CUMPLE</v>
      </c>
      <c r="AT346" s="13">
        <f>[1]Parametros!$B$6*0.083*SQRT([1]Parametros!$B$2)*(H346*I346)^2/(2*(H346+I346))/1000000</f>
        <v>11.862178757598967</v>
      </c>
      <c r="AU346" s="13" t="str">
        <f t="shared" si="71"/>
        <v>DESPRECIABLE</v>
      </c>
      <c r="AV346" s="13">
        <f>IF(Q346&lt;=AT346,0,Q346*1000000/([1]Parametros!$B$6*2*0.85*(H346-2*([1]Parametros!$B$7+[1]Parametros!$B$9/2))*(I346-2*([1]Parametros!$B$7+[1]Parametros!$B$9/2))*[1]Parametros!$B$4))</f>
        <v>0</v>
      </c>
      <c r="AW346" s="13">
        <f>AV346*2*((H346-2*([1]Parametros!$B$7+[1]Parametros!$B$9/2))+(I346-2*([1]Parametros!$B$7+[1]Parametros!$B$9/2)))*[1]Parametros!$B$4/[1]Parametros!$B$3</f>
        <v>0</v>
      </c>
      <c r="AX346" s="14">
        <v>0</v>
      </c>
      <c r="AY346" s="13" t="str">
        <f t="shared" si="72"/>
        <v>DESPRECIABLE</v>
      </c>
      <c r="AZ346" s="13" t="str">
        <f t="shared" si="73"/>
        <v>CUMPLE</v>
      </c>
      <c r="BA346" s="14">
        <v>12.7</v>
      </c>
      <c r="BB346" s="14">
        <v>129</v>
      </c>
      <c r="BC346" s="13">
        <f>MAX(IF(AK346=0,0,AK346*1000/([1]Parametros!$B$4*MIN(U346,AB346))),MAX(0.062*SQRT([1]Parametros!$B$2)*H346/[1]Parametros!$B$4,0.35*H346/[1]Parametros!$B$4))</f>
        <v>3.7665056398503634</v>
      </c>
      <c r="BD346" s="13">
        <f t="shared" si="74"/>
        <v>0</v>
      </c>
      <c r="BE346" s="13">
        <f t="shared" si="75"/>
        <v>4.3</v>
      </c>
      <c r="BF346" s="13">
        <f>SQRT((AI346*1000/(H346*MIN(U346,AB346)))^2+(Q346*1000000*2*((H346-2*([1]Parametros!$B$7+[1]Parametros!$B$9/2))+(I346-2*([1]Parametros!$B$7+[1]Parametros!$B$9/2)))/(1.7*((H346-2*([1]Parametros!$B$7+[1]Parametros!$B$9/2))*(I346-2*([1]Parametros!$B$7+[1]Parametros!$B$9/2)))^2))^2)</f>
        <v>3.059486070664462</v>
      </c>
      <c r="BG346" s="13">
        <f>[1]Parametros!$B$6*(AJ346*1000/(H346*MIN(U346,AB346))+0.66*SQRT([1]Parametros!$B$2))</f>
        <v>3.2939603822754151</v>
      </c>
      <c r="BH346" s="13" t="str">
        <f t="shared" si="76"/>
        <v>CUMPLE</v>
      </c>
      <c r="BI346" s="13">
        <f>AX346*[1]Parametros!$B$8</f>
        <v>0</v>
      </c>
      <c r="BJ346" s="15" t="str">
        <f t="shared" si="77"/>
        <v>CUMPLE</v>
      </c>
    </row>
    <row r="347" spans="1:62" x14ac:dyDescent="0.3">
      <c r="A347" s="33" t="s">
        <v>76</v>
      </c>
      <c r="B347" s="34">
        <v>12</v>
      </c>
      <c r="C347" s="13">
        <v>1</v>
      </c>
      <c r="D347" s="13">
        <v>3.05308</v>
      </c>
      <c r="E347" s="13">
        <v>3.05308</v>
      </c>
      <c r="F347" s="13">
        <v>500</v>
      </c>
      <c r="G347" s="13">
        <v>550</v>
      </c>
      <c r="H347" s="13">
        <v>500</v>
      </c>
      <c r="I347" s="13">
        <v>550</v>
      </c>
      <c r="J347" s="14">
        <v>186.25569999999999</v>
      </c>
      <c r="K347" s="13">
        <v>12</v>
      </c>
      <c r="L347" s="14">
        <v>124.4323</v>
      </c>
      <c r="M347" s="13">
        <v>12</v>
      </c>
      <c r="N347" s="14">
        <v>137.77500000000001</v>
      </c>
      <c r="O347" s="14">
        <v>429.99400000000003</v>
      </c>
      <c r="P347" s="13">
        <v>12</v>
      </c>
      <c r="Q347" s="14">
        <v>59.216200000000001</v>
      </c>
      <c r="R347" s="13">
        <f>MAX(MAX(1.4/[1]Parametros!$B$3,0.25*SQRT([1]Parametros!$B$2)/[1]Parametros!$B$3)*H347*U347,(0.85*[1]Parametros!$B$2/[1]Parametros!$B$3)*(1-SQRT(1-2*(J347*1000000/([1]Parametros!$B$5*H347*U347^2))/(0.85*[1]Parametros!$B$2)))*H347*U347)</f>
        <v>1046.4150444600327</v>
      </c>
      <c r="S347" s="14">
        <v>6</v>
      </c>
      <c r="T347" s="14">
        <v>1</v>
      </c>
      <c r="U347" s="13">
        <f>IF(T347=1,I347-([1]Parametros!$B$7+[1]Parametros!$B$9+[1]Parametros!$B$12/2),I347-(ROUNDUP(S347/2,0)*([1]Parametros!$B$7+[1]Parametros!$B$9+[1]Parametros!$B$12/2)+ROUNDDOWN(S347/2,0)*([1]Parametros!$B$7+[1]Parametros!$B$9+[1]Parametros!$B$12/2+[1]Parametros!$B$12+[1]Parametros!$B$10))/S347)</f>
        <v>489.35</v>
      </c>
      <c r="V347" s="13">
        <f>S347*[1]Parametros!$B$8</f>
        <v>1194</v>
      </c>
      <c r="W347" s="13">
        <f>[1]Parametros!$B$5*V347*[1]Parametros!$B$3*(U347-(V347*[1]Parametros!$B$3/(0.85*[1]Parametros!$B$2*H347))/2)/1000000</f>
        <v>211.34948347058827</v>
      </c>
      <c r="X347" s="13" t="str">
        <f t="shared" si="65"/>
        <v>CUMPLE</v>
      </c>
      <c r="Y347" s="13">
        <f>MAX(MAX(1.4/[1]Parametros!$B$3,0.25*SQRT([1]Parametros!$B$2)/[1]Parametros!$B$3)*H347*AB347,(0.85*[1]Parametros!$B$2/[1]Parametros!$B$3)*(1-SQRT(1-2*(L347*1000000/([1]Parametros!$B$5*H347*AB347^2))/(0.85*[1]Parametros!$B$2)))*H347*AB347)</f>
        <v>815.58333333333326</v>
      </c>
      <c r="Z347" s="14">
        <v>5</v>
      </c>
      <c r="AA347" s="14">
        <v>1</v>
      </c>
      <c r="AB347" s="13">
        <f>IF(AA347=1,I347-([1]Parametros!$B$7+[1]Parametros!$B$9+[1]Parametros!$B$12/2),I347-(ROUNDUP(Z347/2,0)*([1]Parametros!$B$7+[1]Parametros!$B$9+[1]Parametros!$B$12/2)+ROUNDDOWN(Z347/2,0)*([1]Parametros!$B$7+[1]Parametros!$B$9+[1]Parametros!$B$12/2+[1]Parametros!$B$12+[1]Parametros!$B$10))/Z347)</f>
        <v>489.35</v>
      </c>
      <c r="AC347" s="13">
        <f>Z347*[1]Parametros!$B$8</f>
        <v>995</v>
      </c>
      <c r="AD347" s="13">
        <f>[1]Parametros!$B$5*AC347*[1]Parametros!$B$3*(AB347-(AC347*[1]Parametros!$B$3/(0.85*[1]Parametros!$B$2*H347))/2)/1000000</f>
        <v>177.44537938235294</v>
      </c>
      <c r="AE347" s="13" t="str">
        <f t="shared" si="66"/>
        <v>CUMPLE</v>
      </c>
      <c r="AF347" s="13">
        <f>V347*1.25*[1]Parametros!$B$3*(U347-(V347*1.25*[1]Parametros!$B$3/(0.85*[1]Parametros!$B$2*H347))/2)/1000000</f>
        <v>290.23892470588237</v>
      </c>
      <c r="AG347" s="13">
        <f>AC347*1.25*[1]Parametros!$B$3*(AB347-(AC347*1.25*[1]Parametros!$B$3/(0.85*[1]Parametros!$B$2*H347))/2)/1000000</f>
        <v>244.15884319852941</v>
      </c>
      <c r="AH347" s="13">
        <f t="shared" si="67"/>
        <v>312.81062563195587</v>
      </c>
      <c r="AI347" s="13">
        <f t="shared" si="68"/>
        <v>429.99400000000003</v>
      </c>
      <c r="AJ347" s="13">
        <f>0.17*SQRT([1]Parametros!$B$2)*H347*MIN(U347,AB347)/1000</f>
        <v>220.09872869180776</v>
      </c>
      <c r="AK347" s="13">
        <f>MAX(AI347/[1]Parametros!$B$6-AJ347,0)</f>
        <v>353.22660464152557</v>
      </c>
      <c r="AL347" s="13">
        <f>0.66*SQRT([1]Parametros!$B$2)*H347*MIN(U347,AB347)/1000</f>
        <v>854.500946685842</v>
      </c>
      <c r="AM347" s="13" t="str">
        <f t="shared" si="69"/>
        <v>CUMPLE</v>
      </c>
      <c r="AN347" s="13" t="s">
        <v>68</v>
      </c>
      <c r="AO347" s="14">
        <v>2</v>
      </c>
      <c r="AP347" s="13">
        <f>ROUNDDOWN(MIN(IF(BC347+BD347=0,1000000000,AO347*BB347/(BC347+BD347)),MIN(U347,AB347)/4,8*[1]Parametros!$B$12,24*BA347,300,IF(AV347=0,1000000000,2*((H347-2*([1]Parametros!$B$7+[1]Parametros!$B$9/2))+(I347-2*([1]Parametros!$B$7+[1]Parametros!$B$9/2)))/8))/10,0)*10</f>
        <v>80</v>
      </c>
      <c r="AQ347" s="13">
        <f>ROUNDDOWN(MIN(IF(BC347+BD347=0,1000000000,AO347*BB347/(BC347+BD347)),IF(AK347&gt;0.33*SQRT([1]Parametros!$B$2)*H347*MIN(U347,AB347)/1000,MIN(U347,AB347)/4,MIN(U347,AB347)/2),600,IF(AV347=0,1000000000,2*((H347-2*([1]Parametros!$B$7+[1]Parametros!$B$9/2))+(I347-2*([1]Parametros!$B$7+[1]Parametros!$B$9/2)))/8))/10,0)*10</f>
        <v>80</v>
      </c>
      <c r="AR347" s="13">
        <f>[1]Parametros!$B$6*(AJ347+MAX(BE347-BD347,0)*[1]Parametros!$B$4*MIN(U347,AB347)/1000)</f>
        <v>479.16108265302915</v>
      </c>
      <c r="AS347" s="13" t="str">
        <f t="shared" si="70"/>
        <v>CUMPLE</v>
      </c>
      <c r="AT347" s="13">
        <f>[1]Parametros!$B$6*0.083*SQRT([1]Parametros!$B$2)*(H347*I347)^2/(2*(H347+I347))/1000000</f>
        <v>11.862178757598967</v>
      </c>
      <c r="AU347" s="13" t="str">
        <f t="shared" si="71"/>
        <v>DISEÑAR</v>
      </c>
      <c r="AV347" s="13">
        <f>IF(Q347&lt;=AT347,0,Q347*1000000/([1]Parametros!$B$6*2*0.85*(H347-2*([1]Parametros!$B$7+[1]Parametros!$B$9/2))*(I347-2*([1]Parametros!$B$7+[1]Parametros!$B$9/2))*[1]Parametros!$B$4))</f>
        <v>0.5936978113689092</v>
      </c>
      <c r="AW347" s="13">
        <f>AV347*2*((H347-2*([1]Parametros!$B$7+[1]Parametros!$B$9/2))+(I347-2*([1]Parametros!$B$7+[1]Parametros!$B$9/2)))*[1]Parametros!$B$4/[1]Parametros!$B$3</f>
        <v>1026.6222554191179</v>
      </c>
      <c r="AX347" s="14">
        <v>8</v>
      </c>
      <c r="AY347" s="13" t="str">
        <f t="shared" si="72"/>
        <v>CUMPLE</v>
      </c>
      <c r="AZ347" s="13" t="str">
        <f t="shared" si="73"/>
        <v>CUMPLE</v>
      </c>
      <c r="BA347" s="14">
        <v>12.7</v>
      </c>
      <c r="BB347" s="14">
        <v>129</v>
      </c>
      <c r="BC347" s="13">
        <f>MAX(IF(AK347=0,0,AK347*1000/([1]Parametros!$B$4*MIN(U347,AB347))),MAX(0.062*SQRT([1]Parametros!$B$2)*H347/[1]Parametros!$B$4,0.35*H347/[1]Parametros!$B$4))</f>
        <v>1.7186384496515084</v>
      </c>
      <c r="BD347" s="13">
        <f t="shared" si="74"/>
        <v>1.1873956227378184</v>
      </c>
      <c r="BE347" s="13">
        <f t="shared" si="75"/>
        <v>3.2250000000000001</v>
      </c>
      <c r="BF347" s="13">
        <f>SQRT((AI347*1000/(H347*MIN(U347,AB347)))^2+(Q347*1000000*2*((H347-2*([1]Parametros!$B$7+[1]Parametros!$B$9/2))+(I347-2*([1]Parametros!$B$7+[1]Parametros!$B$9/2)))/(1.7*((H347-2*([1]Parametros!$B$7+[1]Parametros!$B$9/2))*(I347-2*([1]Parametros!$B$7+[1]Parametros!$B$9/2)))^2))^2)</f>
        <v>2.4704164786426173</v>
      </c>
      <c r="BG347" s="13">
        <f>[1]Parametros!$B$6*(AJ347*1000/(H347*MIN(U347,AB347))+0.66*SQRT([1]Parametros!$B$2))</f>
        <v>3.2939603822754151</v>
      </c>
      <c r="BH347" s="13" t="str">
        <f t="shared" si="76"/>
        <v>CUMPLE</v>
      </c>
      <c r="BI347" s="13">
        <f>AX347*[1]Parametros!$B$8</f>
        <v>1592</v>
      </c>
      <c r="BJ347" s="15" t="str">
        <f t="shared" si="77"/>
        <v>CUMPLE</v>
      </c>
    </row>
    <row r="348" spans="1:62" x14ac:dyDescent="0.3">
      <c r="A348" s="33" t="s">
        <v>76</v>
      </c>
      <c r="B348" s="34">
        <v>13</v>
      </c>
      <c r="C348" s="13">
        <v>1</v>
      </c>
      <c r="D348" s="13">
        <v>2</v>
      </c>
      <c r="E348" s="13">
        <v>2</v>
      </c>
      <c r="F348" s="13">
        <v>500</v>
      </c>
      <c r="G348" s="13">
        <v>550</v>
      </c>
      <c r="H348" s="13">
        <v>500</v>
      </c>
      <c r="I348" s="13">
        <v>550</v>
      </c>
      <c r="J348" s="14">
        <v>200.958</v>
      </c>
      <c r="K348" s="13">
        <v>13</v>
      </c>
      <c r="L348" s="14">
        <v>150.99680000000001</v>
      </c>
      <c r="M348" s="13">
        <v>13</v>
      </c>
      <c r="N348" s="14">
        <v>180.52099999999999</v>
      </c>
      <c r="O348" s="14">
        <v>695.16200000000003</v>
      </c>
      <c r="P348" s="13">
        <v>13</v>
      </c>
      <c r="Q348" s="14">
        <v>52.2913</v>
      </c>
      <c r="R348" s="13">
        <f>MAX(MAX(1.4/[1]Parametros!$B$3,0.25*SQRT([1]Parametros!$B$2)/[1]Parametros!$B$3)*H348*U348,(0.85*[1]Parametros!$B$2/[1]Parametros!$B$3)*(1-SQRT(1-2*(J348*1000000/([1]Parametros!$B$5*H348*U348^2))/(0.85*[1]Parametros!$B$2)))*H348*U348)</f>
        <v>1132.6766698070303</v>
      </c>
      <c r="S348" s="14">
        <v>6</v>
      </c>
      <c r="T348" s="14">
        <v>1</v>
      </c>
      <c r="U348" s="13">
        <f>IF(T348=1,I348-([1]Parametros!$B$7+[1]Parametros!$B$9+[1]Parametros!$B$12/2),I348-(ROUNDUP(S348/2,0)*([1]Parametros!$B$7+[1]Parametros!$B$9+[1]Parametros!$B$12/2)+ROUNDDOWN(S348/2,0)*([1]Parametros!$B$7+[1]Parametros!$B$9+[1]Parametros!$B$12/2+[1]Parametros!$B$12+[1]Parametros!$B$10))/S348)</f>
        <v>489.35</v>
      </c>
      <c r="V348" s="13">
        <f>S348*[1]Parametros!$B$8</f>
        <v>1194</v>
      </c>
      <c r="W348" s="13">
        <f>[1]Parametros!$B$5*V348*[1]Parametros!$B$3*(U348-(V348*[1]Parametros!$B$3/(0.85*[1]Parametros!$B$2*H348))/2)/1000000</f>
        <v>211.34948347058827</v>
      </c>
      <c r="X348" s="13" t="str">
        <f t="shared" si="65"/>
        <v>CUMPLE</v>
      </c>
      <c r="Y348" s="13">
        <f>MAX(MAX(1.4/[1]Parametros!$B$3,0.25*SQRT([1]Parametros!$B$2)/[1]Parametros!$B$3)*H348*AB348,(0.85*[1]Parametros!$B$2/[1]Parametros!$B$3)*(1-SQRT(1-2*(L348*1000000/([1]Parametros!$B$5*H348*AB348^2))/(0.85*[1]Parametros!$B$2)))*H348*AB348)</f>
        <v>841.87133970595653</v>
      </c>
      <c r="Z348" s="14">
        <v>5</v>
      </c>
      <c r="AA348" s="14">
        <v>1</v>
      </c>
      <c r="AB348" s="13">
        <f>IF(AA348=1,I348-([1]Parametros!$B$7+[1]Parametros!$B$9+[1]Parametros!$B$12/2),I348-(ROUNDUP(Z348/2,0)*([1]Parametros!$B$7+[1]Parametros!$B$9+[1]Parametros!$B$12/2)+ROUNDDOWN(Z348/2,0)*([1]Parametros!$B$7+[1]Parametros!$B$9+[1]Parametros!$B$12/2+[1]Parametros!$B$12+[1]Parametros!$B$10))/Z348)</f>
        <v>489.35</v>
      </c>
      <c r="AC348" s="13">
        <f>Z348*[1]Parametros!$B$8</f>
        <v>995</v>
      </c>
      <c r="AD348" s="13">
        <f>[1]Parametros!$B$5*AC348*[1]Parametros!$B$3*(AB348-(AC348*[1]Parametros!$B$3/(0.85*[1]Parametros!$B$2*H348))/2)/1000000</f>
        <v>177.44537938235294</v>
      </c>
      <c r="AE348" s="13" t="str">
        <f t="shared" si="66"/>
        <v>CUMPLE</v>
      </c>
      <c r="AF348" s="13">
        <f>V348*1.25*[1]Parametros!$B$3*(U348-(V348*1.25*[1]Parametros!$B$3/(0.85*[1]Parametros!$B$2*H348))/2)/1000000</f>
        <v>290.23892470588237</v>
      </c>
      <c r="AG348" s="13">
        <f>AC348*1.25*[1]Parametros!$B$3*(AB348-(AC348*1.25*[1]Parametros!$B$3/(0.85*[1]Parametros!$B$2*H348))/2)/1000000</f>
        <v>244.15884319852941</v>
      </c>
      <c r="AH348" s="13">
        <f t="shared" si="67"/>
        <v>447.71988395220592</v>
      </c>
      <c r="AI348" s="13">
        <f t="shared" si="68"/>
        <v>695.16200000000003</v>
      </c>
      <c r="AJ348" s="13">
        <f>0.17*SQRT([1]Parametros!$B$2)*H348*MIN(U348,AB348)/1000</f>
        <v>220.09872869180776</v>
      </c>
      <c r="AK348" s="13">
        <f>MAX(AI348/[1]Parametros!$B$6-AJ348,0)</f>
        <v>706.78393797485899</v>
      </c>
      <c r="AL348" s="13">
        <f>0.66*SQRT([1]Parametros!$B$2)*H348*MIN(U348,AB348)/1000</f>
        <v>854.500946685842</v>
      </c>
      <c r="AM348" s="13" t="str">
        <f t="shared" si="69"/>
        <v>CUMPLE</v>
      </c>
      <c r="AN348" s="13" t="s">
        <v>68</v>
      </c>
      <c r="AO348" s="14">
        <v>4</v>
      </c>
      <c r="AP348" s="13">
        <f>ROUNDDOWN(MIN(IF(BC348+BD348=0,1000000000,AO348*BB348/(BC348+BD348)),MIN(U348,AB348)/4,8*[1]Parametros!$B$12,24*BA348,300,IF(AV348=0,1000000000,2*((H348-2*([1]Parametros!$B$7+[1]Parametros!$B$9/2))+(I348-2*([1]Parametros!$B$7+[1]Parametros!$B$9/2)))/8))/10,0)*10</f>
        <v>110</v>
      </c>
      <c r="AQ348" s="13">
        <f>ROUNDDOWN(MIN(IF(BC348+BD348=0,1000000000,AO348*BB348/(BC348+BD348)),IF(AK348&gt;0.33*SQRT([1]Parametros!$B$2)*H348*MIN(U348,AB348)/1000,MIN(U348,AB348)/4,MIN(U348,AB348)/2),600,IF(AV348=0,1000000000,2*((H348-2*([1]Parametros!$B$7+[1]Parametros!$B$9/2))+(I348-2*([1]Parametros!$B$7+[1]Parametros!$B$9/2)))/8))/10,0)*10</f>
        <v>110</v>
      </c>
      <c r="AR348" s="13">
        <f>[1]Parametros!$B$6*(AJ348+MAX(BE348-BD348,0)*[1]Parametros!$B$4*MIN(U348,AB348)/1000)</f>
        <v>726.52818433273637</v>
      </c>
      <c r="AS348" s="13" t="str">
        <f t="shared" si="70"/>
        <v>CUMPLE</v>
      </c>
      <c r="AT348" s="13">
        <f>[1]Parametros!$B$6*0.083*SQRT([1]Parametros!$B$2)*(H348*I348)^2/(2*(H348+I348))/1000000</f>
        <v>11.862178757598967</v>
      </c>
      <c r="AU348" s="13" t="str">
        <f t="shared" si="71"/>
        <v>DISEÑAR</v>
      </c>
      <c r="AV348" s="13">
        <f>IF(Q348&lt;=AT348,0,Q348*1000000/([1]Parametros!$B$6*2*0.85*(H348-2*([1]Parametros!$B$7+[1]Parametros!$B$9/2))*(I348-2*([1]Parametros!$B$7+[1]Parametros!$B$9/2))*[1]Parametros!$B$4))</f>
        <v>0.52426920950069478</v>
      </c>
      <c r="AW348" s="13">
        <f>AV348*2*((H348-2*([1]Parametros!$B$7+[1]Parametros!$B$9/2))+(I348-2*([1]Parametros!$B$7+[1]Parametros!$B$9/2)))*[1]Parametros!$B$4/[1]Parametros!$B$3</f>
        <v>906.56631706860139</v>
      </c>
      <c r="AX348" s="14">
        <v>8</v>
      </c>
      <c r="AY348" s="13" t="str">
        <f t="shared" si="72"/>
        <v>CUMPLE</v>
      </c>
      <c r="AZ348" s="13" t="str">
        <f t="shared" si="73"/>
        <v>CUMPLE</v>
      </c>
      <c r="BA348" s="14">
        <v>12.7</v>
      </c>
      <c r="BB348" s="14">
        <v>129</v>
      </c>
      <c r="BC348" s="13">
        <f>MAX(IF(AK348=0,0,AK348*1000/([1]Parametros!$B$4*MIN(U348,AB348))),MAX(0.062*SQRT([1]Parametros!$B$2)*H348/[1]Parametros!$B$4,0.35*H348/[1]Parametros!$B$4))</f>
        <v>3.4388860732402993</v>
      </c>
      <c r="BD348" s="13">
        <f t="shared" si="74"/>
        <v>1.0485384190013896</v>
      </c>
      <c r="BE348" s="13">
        <f t="shared" si="75"/>
        <v>4.6909090909090905</v>
      </c>
      <c r="BF348" s="13">
        <f>SQRT((AI348*1000/(H348*MIN(U348,AB348)))^2+(Q348*1000000*2*((H348-2*([1]Parametros!$B$7+[1]Parametros!$B$9/2))+(I348-2*([1]Parametros!$B$7+[1]Parametros!$B$9/2)))/(1.7*((H348-2*([1]Parametros!$B$7+[1]Parametros!$B$9/2))*(I348-2*([1]Parametros!$B$7+[1]Parametros!$B$9/2)))^2))^2)</f>
        <v>3.2284475043813221</v>
      </c>
      <c r="BG348" s="13">
        <f>[1]Parametros!$B$6*(AJ348*1000/(H348*MIN(U348,AB348))+0.66*SQRT([1]Parametros!$B$2))</f>
        <v>3.2939603822754151</v>
      </c>
      <c r="BH348" s="13" t="str">
        <f t="shared" si="76"/>
        <v>CUMPLE</v>
      </c>
      <c r="BI348" s="13">
        <f>AX348*[1]Parametros!$B$8</f>
        <v>1592</v>
      </c>
      <c r="BJ348" s="15" t="str">
        <f t="shared" si="77"/>
        <v>CUMPLE</v>
      </c>
    </row>
    <row r="349" spans="1:62" x14ac:dyDescent="0.3">
      <c r="A349" s="33" t="s">
        <v>76</v>
      </c>
      <c r="B349" s="34">
        <v>14</v>
      </c>
      <c r="C349" s="13">
        <v>1</v>
      </c>
      <c r="D349" s="13">
        <v>1.9</v>
      </c>
      <c r="E349" s="13">
        <v>1.9</v>
      </c>
      <c r="F349" s="13">
        <v>500</v>
      </c>
      <c r="G349" s="13">
        <v>550</v>
      </c>
      <c r="H349" s="13">
        <v>500</v>
      </c>
      <c r="I349" s="13">
        <v>550</v>
      </c>
      <c r="J349" s="14">
        <v>180.964</v>
      </c>
      <c r="K349" s="13">
        <v>14</v>
      </c>
      <c r="L349" s="14">
        <v>158.12719999999999</v>
      </c>
      <c r="M349" s="13">
        <v>14</v>
      </c>
      <c r="N349" s="14">
        <v>171.46899999999999</v>
      </c>
      <c r="O349" s="14">
        <v>689.26499999999999</v>
      </c>
      <c r="P349" s="13">
        <v>14</v>
      </c>
      <c r="Q349" s="14">
        <v>23.4116</v>
      </c>
      <c r="R349" s="13">
        <f>MAX(MAX(1.4/[1]Parametros!$B$3,0.25*SQRT([1]Parametros!$B$2)/[1]Parametros!$B$3)*H349*U349,(0.85*[1]Parametros!$B$2/[1]Parametros!$B$3)*(1-SQRT(1-2*(J349*1000000/([1]Parametros!$B$5*H349*U349^2))/(0.85*[1]Parametros!$B$2)))*H349*U349)</f>
        <v>1015.5092017948926</v>
      </c>
      <c r="S349" s="14">
        <v>6</v>
      </c>
      <c r="T349" s="14">
        <v>1</v>
      </c>
      <c r="U349" s="13">
        <f>IF(T349=1,I349-([1]Parametros!$B$7+[1]Parametros!$B$9+[1]Parametros!$B$12/2),I349-(ROUNDUP(S349/2,0)*([1]Parametros!$B$7+[1]Parametros!$B$9+[1]Parametros!$B$12/2)+ROUNDDOWN(S349/2,0)*([1]Parametros!$B$7+[1]Parametros!$B$9+[1]Parametros!$B$12/2+[1]Parametros!$B$12+[1]Parametros!$B$10))/S349)</f>
        <v>489.35</v>
      </c>
      <c r="V349" s="13">
        <f>S349*[1]Parametros!$B$8</f>
        <v>1194</v>
      </c>
      <c r="W349" s="13">
        <f>[1]Parametros!$B$5*V349*[1]Parametros!$B$3*(U349-(V349*[1]Parametros!$B$3/(0.85*[1]Parametros!$B$2*H349))/2)/1000000</f>
        <v>211.34948347058827</v>
      </c>
      <c r="X349" s="13" t="str">
        <f t="shared" si="65"/>
        <v>CUMPLE</v>
      </c>
      <c r="Y349" s="13">
        <f>MAX(MAX(1.4/[1]Parametros!$B$3,0.25*SQRT([1]Parametros!$B$2)/[1]Parametros!$B$3)*H349*AB349,(0.85*[1]Parametros!$B$2/[1]Parametros!$B$3)*(1-SQRT(1-2*(L349*1000000/([1]Parametros!$B$5*H349*AB349^2))/(0.85*[1]Parametros!$B$2)))*H349*AB349)</f>
        <v>882.97619649264971</v>
      </c>
      <c r="Z349" s="14">
        <v>5</v>
      </c>
      <c r="AA349" s="14">
        <v>1</v>
      </c>
      <c r="AB349" s="13">
        <f>IF(AA349=1,I349-([1]Parametros!$B$7+[1]Parametros!$B$9+[1]Parametros!$B$12/2),I349-(ROUNDUP(Z349/2,0)*([1]Parametros!$B$7+[1]Parametros!$B$9+[1]Parametros!$B$12/2)+ROUNDDOWN(Z349/2,0)*([1]Parametros!$B$7+[1]Parametros!$B$9+[1]Parametros!$B$12/2+[1]Parametros!$B$12+[1]Parametros!$B$10))/Z349)</f>
        <v>489.35</v>
      </c>
      <c r="AC349" s="13">
        <f>Z349*[1]Parametros!$B$8</f>
        <v>995</v>
      </c>
      <c r="AD349" s="13">
        <f>[1]Parametros!$B$5*AC349*[1]Parametros!$B$3*(AB349-(AC349*[1]Parametros!$B$3/(0.85*[1]Parametros!$B$2*H349))/2)/1000000</f>
        <v>177.44537938235294</v>
      </c>
      <c r="AE349" s="13" t="str">
        <f t="shared" si="66"/>
        <v>CUMPLE</v>
      </c>
      <c r="AF349" s="13">
        <f>V349*1.25*[1]Parametros!$B$3*(U349-(V349*1.25*[1]Parametros!$B$3/(0.85*[1]Parametros!$B$2*H349))/2)/1000000</f>
        <v>290.23892470588237</v>
      </c>
      <c r="AG349" s="13">
        <f>AC349*1.25*[1]Parametros!$B$3*(AB349-(AC349*1.25*[1]Parametros!$B$3/(0.85*[1]Parametros!$B$2*H349))/2)/1000000</f>
        <v>244.15884319852941</v>
      </c>
      <c r="AH349" s="13">
        <f t="shared" si="67"/>
        <v>452.73098310758519</v>
      </c>
      <c r="AI349" s="13">
        <f t="shared" si="68"/>
        <v>689.26499999999999</v>
      </c>
      <c r="AJ349" s="13">
        <f>0.17*SQRT([1]Parametros!$B$2)*H349*MIN(U349,AB349)/1000</f>
        <v>220.09872869180776</v>
      </c>
      <c r="AK349" s="13">
        <f>MAX(AI349/[1]Parametros!$B$6-AJ349,0)</f>
        <v>698.92127130819222</v>
      </c>
      <c r="AL349" s="13">
        <f>0.66*SQRT([1]Parametros!$B$2)*H349*MIN(U349,AB349)/1000</f>
        <v>854.500946685842</v>
      </c>
      <c r="AM349" s="13" t="str">
        <f t="shared" si="69"/>
        <v>CUMPLE</v>
      </c>
      <c r="AN349" s="13" t="s">
        <v>68</v>
      </c>
      <c r="AO349" s="14">
        <v>4</v>
      </c>
      <c r="AP349" s="13">
        <f>ROUNDDOWN(MIN(IF(BC349+BD349=0,1000000000,AO349*BB349/(BC349+BD349)),MIN(U349,AB349)/4,8*[1]Parametros!$B$12,24*BA349,300,IF(AV349=0,1000000000,2*((H349-2*([1]Parametros!$B$7+[1]Parametros!$B$9/2))+(I349-2*([1]Parametros!$B$7+[1]Parametros!$B$9/2)))/8))/10,0)*10</f>
        <v>120</v>
      </c>
      <c r="AQ349" s="13">
        <f>ROUNDDOWN(MIN(IF(BC349+BD349=0,1000000000,AO349*BB349/(BC349+BD349)),IF(AK349&gt;0.33*SQRT([1]Parametros!$B$2)*H349*MIN(U349,AB349)/1000,MIN(U349,AB349)/4,MIN(U349,AB349)/2),600,IF(AV349=0,1000000000,2*((H349-2*([1]Parametros!$B$7+[1]Parametros!$B$9/2))+(I349-2*([1]Parametros!$B$7+[1]Parametros!$B$9/2)))/8))/10,0)*10</f>
        <v>120</v>
      </c>
      <c r="AR349" s="13">
        <f>[1]Parametros!$B$6*(AJ349+MAX(BE349-BD349,0)*[1]Parametros!$B$4*MIN(U349,AB349)/1000)</f>
        <v>755.53569026197533</v>
      </c>
      <c r="AS349" s="13" t="str">
        <f t="shared" si="70"/>
        <v>CUMPLE</v>
      </c>
      <c r="AT349" s="13">
        <f>[1]Parametros!$B$6*0.083*SQRT([1]Parametros!$B$2)*(H349*I349)^2/(2*(H349+I349))/1000000</f>
        <v>11.862178757598967</v>
      </c>
      <c r="AU349" s="13" t="str">
        <f t="shared" si="71"/>
        <v>DISEÑAR</v>
      </c>
      <c r="AV349" s="13">
        <f>IF(Q349&lt;=AT349,0,Q349*1000000/([1]Parametros!$B$6*2*0.85*(H349-2*([1]Parametros!$B$7+[1]Parametros!$B$9/2))*(I349-2*([1]Parametros!$B$7+[1]Parametros!$B$9/2))*[1]Parametros!$B$4))</f>
        <v>0.23472319535269665</v>
      </c>
      <c r="AW349" s="13">
        <f>AV349*2*((H349-2*([1]Parametros!$B$7+[1]Parametros!$B$9/2))+(I349-2*([1]Parametros!$B$7+[1]Parametros!$B$9/2)))*[1]Parametros!$B$4/[1]Parametros!$B$3</f>
        <v>405.88334940388302</v>
      </c>
      <c r="AX349" s="14">
        <v>8</v>
      </c>
      <c r="AY349" s="13" t="str">
        <f t="shared" si="72"/>
        <v>CUMPLE</v>
      </c>
      <c r="AZ349" s="13" t="str">
        <f t="shared" si="73"/>
        <v>CUMPLE</v>
      </c>
      <c r="BA349" s="14">
        <v>12.7</v>
      </c>
      <c r="BB349" s="14">
        <v>129</v>
      </c>
      <c r="BC349" s="13">
        <f>MAX(IF(AK349=0,0,AK349*1000/([1]Parametros!$B$4*MIN(U349,AB349))),MAX(0.062*SQRT([1]Parametros!$B$2)*H349/[1]Parametros!$B$4,0.35*H349/[1]Parametros!$B$4))</f>
        <v>3.4006299479299176</v>
      </c>
      <c r="BD349" s="13">
        <f t="shared" si="74"/>
        <v>0.46944639070539329</v>
      </c>
      <c r="BE349" s="13">
        <f t="shared" si="75"/>
        <v>4.3</v>
      </c>
      <c r="BF349" s="13">
        <f>SQRT((AI349*1000/(H349*MIN(U349,AB349)))^2+(Q349*1000000*2*((H349-2*([1]Parametros!$B$7+[1]Parametros!$B$9/2))+(I349-2*([1]Parametros!$B$7+[1]Parametros!$B$9/2)))/(1.7*((H349-2*([1]Parametros!$B$7+[1]Parametros!$B$9/2))*(I349-2*([1]Parametros!$B$7+[1]Parametros!$B$9/2)))^2))^2)</f>
        <v>2.8994883110079659</v>
      </c>
      <c r="BG349" s="13">
        <f>[1]Parametros!$B$6*(AJ349*1000/(H349*MIN(U349,AB349))+0.66*SQRT([1]Parametros!$B$2))</f>
        <v>3.2939603822754151</v>
      </c>
      <c r="BH349" s="13" t="str">
        <f t="shared" si="76"/>
        <v>CUMPLE</v>
      </c>
      <c r="BI349" s="13">
        <f>AX349*[1]Parametros!$B$8</f>
        <v>1592</v>
      </c>
      <c r="BJ349" s="15" t="str">
        <f t="shared" si="77"/>
        <v>CUMPLE</v>
      </c>
    </row>
    <row r="350" spans="1:62" x14ac:dyDescent="0.3">
      <c r="A350" s="33" t="s">
        <v>76</v>
      </c>
      <c r="B350" s="34">
        <v>15</v>
      </c>
      <c r="C350" s="13">
        <v>1</v>
      </c>
      <c r="D350" s="13">
        <v>3.57612</v>
      </c>
      <c r="E350" s="13">
        <v>3.57612</v>
      </c>
      <c r="F350" s="13">
        <v>500</v>
      </c>
      <c r="G350" s="13">
        <v>550</v>
      </c>
      <c r="H350" s="13">
        <v>500</v>
      </c>
      <c r="I350" s="13">
        <v>550</v>
      </c>
      <c r="J350" s="14">
        <v>181.34870000000001</v>
      </c>
      <c r="K350" s="13">
        <v>15</v>
      </c>
      <c r="L350" s="14">
        <v>116.63590000000001</v>
      </c>
      <c r="M350" s="13">
        <v>15</v>
      </c>
      <c r="N350" s="14">
        <v>131.321</v>
      </c>
      <c r="O350" s="14">
        <v>397.04399999999998</v>
      </c>
      <c r="P350" s="13">
        <v>15</v>
      </c>
      <c r="Q350" s="14">
        <v>5.4481999999999999</v>
      </c>
      <c r="R350" s="13">
        <f>MAX(MAX(1.4/[1]Parametros!$B$3,0.25*SQRT([1]Parametros!$B$2)/[1]Parametros!$B$3)*H350*U350,(0.85*[1]Parametros!$B$2/[1]Parametros!$B$3)*(1-SQRT(1-2*(J350*1000000/([1]Parametros!$B$5*H350*U350^2))/(0.85*[1]Parametros!$B$2)))*H350*U350)</f>
        <v>1017.7535120062303</v>
      </c>
      <c r="S350" s="14">
        <v>6</v>
      </c>
      <c r="T350" s="14">
        <v>1</v>
      </c>
      <c r="U350" s="13">
        <f>IF(T350=1,I350-([1]Parametros!$B$7+[1]Parametros!$B$9+[1]Parametros!$B$12/2),I350-(ROUNDUP(S350/2,0)*([1]Parametros!$B$7+[1]Parametros!$B$9+[1]Parametros!$B$12/2)+ROUNDDOWN(S350/2,0)*([1]Parametros!$B$7+[1]Parametros!$B$9+[1]Parametros!$B$12/2+[1]Parametros!$B$12+[1]Parametros!$B$10))/S350)</f>
        <v>489.35</v>
      </c>
      <c r="V350" s="13">
        <f>S350*[1]Parametros!$B$8</f>
        <v>1194</v>
      </c>
      <c r="W350" s="13">
        <f>[1]Parametros!$B$5*V350*[1]Parametros!$B$3*(U350-(V350*[1]Parametros!$B$3/(0.85*[1]Parametros!$B$2*H350))/2)/1000000</f>
        <v>211.34948347058827</v>
      </c>
      <c r="X350" s="13" t="str">
        <f t="shared" si="65"/>
        <v>CUMPLE</v>
      </c>
      <c r="Y350" s="13">
        <f>MAX(MAX(1.4/[1]Parametros!$B$3,0.25*SQRT([1]Parametros!$B$2)/[1]Parametros!$B$3)*H350*AB350,(0.85*[1]Parametros!$B$2/[1]Parametros!$B$3)*(1-SQRT(1-2*(L350*1000000/([1]Parametros!$B$5*H350*AB350^2))/(0.85*[1]Parametros!$B$2)))*H350*AB350)</f>
        <v>815.58333333333326</v>
      </c>
      <c r="Z350" s="14">
        <v>5</v>
      </c>
      <c r="AA350" s="14">
        <v>1</v>
      </c>
      <c r="AB350" s="13">
        <f>IF(AA350=1,I350-([1]Parametros!$B$7+[1]Parametros!$B$9+[1]Parametros!$B$12/2),I350-(ROUNDUP(Z350/2,0)*([1]Parametros!$B$7+[1]Parametros!$B$9+[1]Parametros!$B$12/2)+ROUNDDOWN(Z350/2,0)*([1]Parametros!$B$7+[1]Parametros!$B$9+[1]Parametros!$B$12/2+[1]Parametros!$B$12+[1]Parametros!$B$10))/Z350)</f>
        <v>489.35</v>
      </c>
      <c r="AC350" s="13">
        <f>Z350*[1]Parametros!$B$8</f>
        <v>995</v>
      </c>
      <c r="AD350" s="13">
        <f>[1]Parametros!$B$5*AC350*[1]Parametros!$B$3*(AB350-(AC350*[1]Parametros!$B$3/(0.85*[1]Parametros!$B$2*H350))/2)/1000000</f>
        <v>177.44537938235294</v>
      </c>
      <c r="AE350" s="13" t="str">
        <f t="shared" si="66"/>
        <v>CUMPLE</v>
      </c>
      <c r="AF350" s="13">
        <f>V350*1.25*[1]Parametros!$B$3*(U350-(V350*1.25*[1]Parametros!$B$3/(0.85*[1]Parametros!$B$2*H350))/2)/1000000</f>
        <v>290.23892470588237</v>
      </c>
      <c r="AG350" s="13">
        <f>AC350*1.25*[1]Parametros!$B$3*(AB350-(AC350*1.25*[1]Parametros!$B$3/(0.85*[1]Parametros!$B$2*H350))/2)/1000000</f>
        <v>244.15884319852941</v>
      </c>
      <c r="AH350" s="13">
        <f t="shared" si="67"/>
        <v>280.75607709596204</v>
      </c>
      <c r="AI350" s="13">
        <f t="shared" si="68"/>
        <v>397.04399999999998</v>
      </c>
      <c r="AJ350" s="13">
        <f>0.17*SQRT([1]Parametros!$B$2)*H350*MIN(U350,AB350)/1000</f>
        <v>220.09872869180776</v>
      </c>
      <c r="AK350" s="13">
        <f>MAX(AI350/[1]Parametros!$B$6-AJ350,0)</f>
        <v>309.29327130819217</v>
      </c>
      <c r="AL350" s="13">
        <f>0.66*SQRT([1]Parametros!$B$2)*H350*MIN(U350,AB350)/1000</f>
        <v>854.500946685842</v>
      </c>
      <c r="AM350" s="13" t="str">
        <f t="shared" si="69"/>
        <v>CUMPLE</v>
      </c>
      <c r="AN350" s="13" t="s">
        <v>64</v>
      </c>
      <c r="AO350" s="14">
        <v>2</v>
      </c>
      <c r="AP350" s="13">
        <f>ROUNDDOWN(MIN(IF(BC350+BD350=0,1000000000,AO350*BB350/(BC350+BD350)),MIN(U350,AB350)/4,8*[1]Parametros!$B$12,24*BA350,300,IF(AV350=0,1000000000,2*((H350-2*([1]Parametros!$B$7+[1]Parametros!$B$9/2))+(I350-2*([1]Parametros!$B$7+[1]Parametros!$B$9/2)))/8))/10,0)*10</f>
        <v>90</v>
      </c>
      <c r="AQ350" s="13">
        <f>ROUNDDOWN(MIN(IF(BC350+BD350=0,1000000000,AO350*BB350/(BC350+BD350)),IF(AK350&gt;0.33*SQRT([1]Parametros!$B$2)*H350*MIN(U350,AB350)/1000,MIN(U350,AB350)/4,MIN(U350,AB350)/2),600,IF(AV350=0,1000000000,2*((H350-2*([1]Parametros!$B$7+[1]Parametros!$B$9/2))+(I350-2*([1]Parametros!$B$7+[1]Parametros!$B$9/2)))/8))/10,0)*10</f>
        <v>90</v>
      </c>
      <c r="AR350" s="13">
        <f>[1]Parametros!$B$6*(AJ350+MAX(BE350-BD350,0)*[1]Parametros!$B$4*MIN(U350,AB350)/1000)</f>
        <v>408.28099651885583</v>
      </c>
      <c r="AS350" s="13" t="str">
        <f t="shared" si="70"/>
        <v>CUMPLE</v>
      </c>
      <c r="AT350" s="13">
        <f>[1]Parametros!$B$6*0.083*SQRT([1]Parametros!$B$2)*(H350*I350)^2/(2*(H350+I350))/1000000</f>
        <v>11.862178757598967</v>
      </c>
      <c r="AU350" s="13" t="str">
        <f t="shared" si="71"/>
        <v>DESPRECIABLE</v>
      </c>
      <c r="AV350" s="13">
        <f>IF(Q350&lt;=AT350,0,Q350*1000000/([1]Parametros!$B$6*2*0.85*(H350-2*([1]Parametros!$B$7+[1]Parametros!$B$9/2))*(I350-2*([1]Parametros!$B$7+[1]Parametros!$B$9/2))*[1]Parametros!$B$4))</f>
        <v>0</v>
      </c>
      <c r="AW350" s="13">
        <f>AV350*2*((H350-2*([1]Parametros!$B$7+[1]Parametros!$B$9/2))+(I350-2*([1]Parametros!$B$7+[1]Parametros!$B$9/2)))*[1]Parametros!$B$4/[1]Parametros!$B$3</f>
        <v>0</v>
      </c>
      <c r="AX350" s="14">
        <v>0</v>
      </c>
      <c r="AY350" s="13" t="str">
        <f t="shared" si="72"/>
        <v>DESPRECIABLE</v>
      </c>
      <c r="AZ350" s="13" t="str">
        <f t="shared" si="73"/>
        <v>CUMPLE</v>
      </c>
      <c r="BA350" s="14">
        <v>9.5</v>
      </c>
      <c r="BB350" s="14">
        <v>71</v>
      </c>
      <c r="BC350" s="13">
        <f>MAX(IF(AK350=0,0,AK350*1000/([1]Parametros!$B$4*MIN(U350,AB350))),MAX(0.062*SQRT([1]Parametros!$B$2)*H350/[1]Parametros!$B$4,0.35*H350/[1]Parametros!$B$4))</f>
        <v>1.5048790246935544</v>
      </c>
      <c r="BD350" s="13">
        <f t="shared" si="74"/>
        <v>0</v>
      </c>
      <c r="BE350" s="13">
        <f t="shared" si="75"/>
        <v>1.5777777777777777</v>
      </c>
      <c r="BF350" s="13">
        <f>SQRT((AI350*1000/(H350*MIN(U350,AB350)))^2+(Q350*1000000*2*((H350-2*([1]Parametros!$B$7+[1]Parametros!$B$9/2))+(I350-2*([1]Parametros!$B$7+[1]Parametros!$B$9/2)))/(1.7*((H350-2*([1]Parametros!$B$7+[1]Parametros!$B$9/2))*(I350-2*([1]Parametros!$B$7+[1]Parametros!$B$9/2)))^2))^2)</f>
        <v>1.630583851842452</v>
      </c>
      <c r="BG350" s="13">
        <f>[1]Parametros!$B$6*(AJ350*1000/(H350*MIN(U350,AB350))+0.66*SQRT([1]Parametros!$B$2))</f>
        <v>3.2939603822754151</v>
      </c>
      <c r="BH350" s="13" t="str">
        <f t="shared" si="76"/>
        <v>CUMPLE</v>
      </c>
      <c r="BI350" s="13">
        <f>AX350*[1]Parametros!$B$8</f>
        <v>0</v>
      </c>
      <c r="BJ350" s="15" t="str">
        <f t="shared" si="77"/>
        <v>CUMPLE</v>
      </c>
    </row>
    <row r="351" spans="1:62" x14ac:dyDescent="0.3">
      <c r="A351" s="33" t="s">
        <v>76</v>
      </c>
      <c r="B351" s="34">
        <v>16</v>
      </c>
      <c r="C351" s="13">
        <v>1</v>
      </c>
      <c r="D351" s="13">
        <v>2.1</v>
      </c>
      <c r="E351" s="13">
        <v>2.1</v>
      </c>
      <c r="F351" s="13">
        <v>500</v>
      </c>
      <c r="G351" s="13">
        <v>550</v>
      </c>
      <c r="H351" s="13">
        <v>500</v>
      </c>
      <c r="I351" s="13">
        <v>550</v>
      </c>
      <c r="J351" s="14">
        <v>192.64500000000001</v>
      </c>
      <c r="K351" s="13">
        <v>16</v>
      </c>
      <c r="L351" s="14">
        <v>168.11160000000001</v>
      </c>
      <c r="M351" s="13">
        <v>16</v>
      </c>
      <c r="N351" s="14">
        <v>173.94900000000001</v>
      </c>
      <c r="O351" s="14">
        <v>638.98299999999995</v>
      </c>
      <c r="P351" s="13">
        <v>16</v>
      </c>
      <c r="Q351" s="14">
        <v>93.716300000000004</v>
      </c>
      <c r="R351" s="13">
        <f>MAX(MAX(1.4/[1]Parametros!$B$3,0.25*SQRT([1]Parametros!$B$2)/[1]Parametros!$B$3)*H351*U351,(0.85*[1]Parametros!$B$2/[1]Parametros!$B$3)*(1-SQRT(1-2*(J351*1000000/([1]Parametros!$B$5*H351*U351^2))/(0.85*[1]Parametros!$B$2)))*H351*U351)</f>
        <v>1083.8309432686258</v>
      </c>
      <c r="S351" s="14">
        <v>6</v>
      </c>
      <c r="T351" s="14">
        <v>1</v>
      </c>
      <c r="U351" s="13">
        <f>IF(T351=1,I351-([1]Parametros!$B$7+[1]Parametros!$B$9+[1]Parametros!$B$12/2),I351-(ROUNDUP(S351/2,0)*([1]Parametros!$B$7+[1]Parametros!$B$9+[1]Parametros!$B$12/2)+ROUNDDOWN(S351/2,0)*([1]Parametros!$B$7+[1]Parametros!$B$9+[1]Parametros!$B$12/2+[1]Parametros!$B$12+[1]Parametros!$B$10))/S351)</f>
        <v>489.35</v>
      </c>
      <c r="V351" s="13">
        <f>S351*[1]Parametros!$B$8</f>
        <v>1194</v>
      </c>
      <c r="W351" s="13">
        <f>[1]Parametros!$B$5*V351*[1]Parametros!$B$3*(U351-(V351*[1]Parametros!$B$3/(0.85*[1]Parametros!$B$2*H351))/2)/1000000</f>
        <v>211.34948347058827</v>
      </c>
      <c r="X351" s="13" t="str">
        <f t="shared" si="65"/>
        <v>CUMPLE</v>
      </c>
      <c r="Y351" s="13">
        <f>MAX(MAX(1.4/[1]Parametros!$B$3,0.25*SQRT([1]Parametros!$B$2)/[1]Parametros!$B$3)*H351*AB351,(0.85*[1]Parametros!$B$2/[1]Parametros!$B$3)*(1-SQRT(1-2*(L351*1000000/([1]Parametros!$B$5*H351*AB351^2))/(0.85*[1]Parametros!$B$2)))*H351*AB351)</f>
        <v>940.75329607684023</v>
      </c>
      <c r="Z351" s="14">
        <v>5</v>
      </c>
      <c r="AA351" s="14">
        <v>1</v>
      </c>
      <c r="AB351" s="13">
        <f>IF(AA351=1,I351-([1]Parametros!$B$7+[1]Parametros!$B$9+[1]Parametros!$B$12/2),I351-(ROUNDUP(Z351/2,0)*([1]Parametros!$B$7+[1]Parametros!$B$9+[1]Parametros!$B$12/2)+ROUNDDOWN(Z351/2,0)*([1]Parametros!$B$7+[1]Parametros!$B$9+[1]Parametros!$B$12/2+[1]Parametros!$B$12+[1]Parametros!$B$10))/Z351)</f>
        <v>489.35</v>
      </c>
      <c r="AC351" s="13">
        <f>Z351*[1]Parametros!$B$8</f>
        <v>995</v>
      </c>
      <c r="AD351" s="13">
        <f>[1]Parametros!$B$5*AC351*[1]Parametros!$B$3*(AB351-(AC351*[1]Parametros!$B$3/(0.85*[1]Parametros!$B$2*H351))/2)/1000000</f>
        <v>177.44537938235294</v>
      </c>
      <c r="AE351" s="13" t="str">
        <f t="shared" si="66"/>
        <v>CUMPLE</v>
      </c>
      <c r="AF351" s="13">
        <f>V351*1.25*[1]Parametros!$B$3*(U351-(V351*1.25*[1]Parametros!$B$3/(0.85*[1]Parametros!$B$2*H351))/2)/1000000</f>
        <v>290.23892470588237</v>
      </c>
      <c r="AG351" s="13">
        <f>AC351*1.25*[1]Parametros!$B$3*(AB351-(AC351*1.25*[1]Parametros!$B$3/(0.85*[1]Parametros!$B$2*H351))/2)/1000000</f>
        <v>244.15884319852941</v>
      </c>
      <c r="AH351" s="13">
        <f t="shared" si="67"/>
        <v>428.4241275735294</v>
      </c>
      <c r="AI351" s="13">
        <f t="shared" si="68"/>
        <v>638.98299999999995</v>
      </c>
      <c r="AJ351" s="13">
        <f>0.17*SQRT([1]Parametros!$B$2)*H351*MIN(U351,AB351)/1000</f>
        <v>220.09872869180776</v>
      </c>
      <c r="AK351" s="13">
        <f>MAX(AI351/[1]Parametros!$B$6-AJ351,0)</f>
        <v>631.8786046415255</v>
      </c>
      <c r="AL351" s="13">
        <f>0.66*SQRT([1]Parametros!$B$2)*H351*MIN(U351,AB351)/1000</f>
        <v>854.500946685842</v>
      </c>
      <c r="AM351" s="13" t="str">
        <f t="shared" si="69"/>
        <v>CUMPLE</v>
      </c>
      <c r="AN351" s="13" t="s">
        <v>68</v>
      </c>
      <c r="AO351" s="14">
        <v>4</v>
      </c>
      <c r="AP351" s="13">
        <f>ROUNDDOWN(MIN(IF(BC351+BD351=0,1000000000,AO351*BB351/(BC351+BD351)),MIN(U351,AB351)/4,8*[1]Parametros!$B$12,24*BA351,300,IF(AV351=0,1000000000,2*((H351-2*([1]Parametros!$B$7+[1]Parametros!$B$9/2))+(I351-2*([1]Parametros!$B$7+[1]Parametros!$B$9/2)))/8))/10,0)*10</f>
        <v>100</v>
      </c>
      <c r="AQ351" s="13">
        <f>ROUNDDOWN(MIN(IF(BC351+BD351=0,1000000000,AO351*BB351/(BC351+BD351)),IF(AK351&gt;0.33*SQRT([1]Parametros!$B$2)*H351*MIN(U351,AB351)/1000,MIN(U351,AB351)/4,MIN(U351,AB351)/2),600,IF(AV351=0,1000000000,2*((H351-2*([1]Parametros!$B$7+[1]Parametros!$B$9/2))+(I351-2*([1]Parametros!$B$7+[1]Parametros!$B$9/2)))/8))/10,0)*10</f>
        <v>100</v>
      </c>
      <c r="AR351" s="13">
        <f>[1]Parametros!$B$6*(AJ351+MAX(BE351-BD351,0)*[1]Parametros!$B$4*MIN(U351,AB351)/1000)</f>
        <v>670.79575753112363</v>
      </c>
      <c r="AS351" s="13" t="str">
        <f t="shared" si="70"/>
        <v>CUMPLE</v>
      </c>
      <c r="AT351" s="13">
        <f>[1]Parametros!$B$6*0.083*SQRT([1]Parametros!$B$2)*(H351*I351)^2/(2*(H351+I351))/1000000</f>
        <v>11.862178757598967</v>
      </c>
      <c r="AU351" s="13" t="str">
        <f t="shared" si="71"/>
        <v>DISEÑAR</v>
      </c>
      <c r="AV351" s="13">
        <f>IF(Q351&lt;=AT351,0,Q351*1000000/([1]Parametros!$B$6*2*0.85*(H351-2*([1]Parametros!$B$7+[1]Parametros!$B$9/2))*(I351-2*([1]Parametros!$B$7+[1]Parametros!$B$9/2))*[1]Parametros!$B$4))</f>
        <v>0.93959359431358491</v>
      </c>
      <c r="AW351" s="13">
        <f>AV351*2*((H351-2*([1]Parametros!$B$7+[1]Parametros!$B$9/2))+(I351-2*([1]Parametros!$B$7+[1]Parametros!$B$9/2)))*[1]Parametros!$B$4/[1]Parametros!$B$3</f>
        <v>1624.7452432870514</v>
      </c>
      <c r="AX351" s="14">
        <v>12</v>
      </c>
      <c r="AY351" s="13" t="str">
        <f t="shared" si="72"/>
        <v>NO CUMPLE</v>
      </c>
      <c r="AZ351" s="13" t="str">
        <f t="shared" si="73"/>
        <v>NO CUMPLE</v>
      </c>
      <c r="BA351" s="14">
        <v>12.7</v>
      </c>
      <c r="BB351" s="14">
        <v>129</v>
      </c>
      <c r="BC351" s="13">
        <f>MAX(IF(AK351=0,0,AK351*1000/([1]Parametros!$B$4*MIN(U351,AB351))),MAX(0.062*SQRT([1]Parametros!$B$2)*H351/[1]Parametros!$B$4,0.35*H351/[1]Parametros!$B$4))</f>
        <v>3.0744311192277682</v>
      </c>
      <c r="BD351" s="13">
        <f t="shared" si="74"/>
        <v>1.8791871886271698</v>
      </c>
      <c r="BE351" s="13">
        <f t="shared" si="75"/>
        <v>5.16</v>
      </c>
      <c r="BF351" s="13">
        <f>SQRT((AI351*1000/(H351*MIN(U351,AB351)))^2+(Q351*1000000*2*((H351-2*([1]Parametros!$B$7+[1]Parametros!$B$9/2))+(I351-2*([1]Parametros!$B$7+[1]Parametros!$B$9/2)))/(1.7*((H351-2*([1]Parametros!$B$7+[1]Parametros!$B$9/2))*(I351-2*([1]Parametros!$B$7+[1]Parametros!$B$9/2)))^2))^2)</f>
        <v>3.790840348441241</v>
      </c>
      <c r="BG351" s="13">
        <f>[1]Parametros!$B$6*(AJ351*1000/(H351*MIN(U351,AB351))+0.66*SQRT([1]Parametros!$B$2))</f>
        <v>3.2939603822754151</v>
      </c>
      <c r="BH351" s="13" t="str">
        <f t="shared" si="76"/>
        <v>NO CUMPLE</v>
      </c>
      <c r="BI351" s="13">
        <f>AX351*[1]Parametros!$B$8</f>
        <v>2388</v>
      </c>
      <c r="BJ351" s="15" t="str">
        <f t="shared" si="77"/>
        <v>CUMPLE</v>
      </c>
    </row>
    <row r="352" spans="1:62" x14ac:dyDescent="0.3">
      <c r="A352" s="33" t="s">
        <v>76</v>
      </c>
      <c r="B352" s="34">
        <v>17</v>
      </c>
      <c r="C352" s="13">
        <v>1</v>
      </c>
      <c r="D352" s="13">
        <v>2.2000000000000002</v>
      </c>
      <c r="E352" s="13">
        <v>2.2000000000000002</v>
      </c>
      <c r="F352" s="13">
        <v>500</v>
      </c>
      <c r="G352" s="13">
        <v>550</v>
      </c>
      <c r="H352" s="13">
        <v>500</v>
      </c>
      <c r="I352" s="13">
        <v>550</v>
      </c>
      <c r="J352" s="14">
        <v>191.928</v>
      </c>
      <c r="K352" s="13">
        <v>17</v>
      </c>
      <c r="L352" s="14">
        <v>165.14519999999999</v>
      </c>
      <c r="M352" s="13">
        <v>17</v>
      </c>
      <c r="N352" s="14">
        <v>169.35499999999999</v>
      </c>
      <c r="O352" s="14">
        <v>614.04399999999998</v>
      </c>
      <c r="P352" s="13">
        <v>17</v>
      </c>
      <c r="Q352" s="14">
        <v>90.691800000000001</v>
      </c>
      <c r="R352" s="13">
        <f>MAX(MAX(1.4/[1]Parametros!$B$3,0.25*SQRT([1]Parametros!$B$2)/[1]Parametros!$B$3)*H352*U352,(0.85*[1]Parametros!$B$2/[1]Parametros!$B$3)*(1-SQRT(1-2*(J352*1000000/([1]Parametros!$B$5*H352*U352^2))/(0.85*[1]Parametros!$B$2)))*H352*U352)</f>
        <v>1079.626719178734</v>
      </c>
      <c r="S352" s="14">
        <v>6</v>
      </c>
      <c r="T352" s="14">
        <v>1</v>
      </c>
      <c r="U352" s="13">
        <f>IF(T352=1,I352-([1]Parametros!$B$7+[1]Parametros!$B$9+[1]Parametros!$B$12/2),I352-(ROUNDUP(S352/2,0)*([1]Parametros!$B$7+[1]Parametros!$B$9+[1]Parametros!$B$12/2)+ROUNDDOWN(S352/2,0)*([1]Parametros!$B$7+[1]Parametros!$B$9+[1]Parametros!$B$12/2+[1]Parametros!$B$12+[1]Parametros!$B$10))/S352)</f>
        <v>489.35</v>
      </c>
      <c r="V352" s="13">
        <f>S352*[1]Parametros!$B$8</f>
        <v>1194</v>
      </c>
      <c r="W352" s="13">
        <f>[1]Parametros!$B$5*V352*[1]Parametros!$B$3*(U352-(V352*[1]Parametros!$B$3/(0.85*[1]Parametros!$B$2*H352))/2)/1000000</f>
        <v>211.34948347058827</v>
      </c>
      <c r="X352" s="13" t="str">
        <f t="shared" si="65"/>
        <v>CUMPLE</v>
      </c>
      <c r="Y352" s="13">
        <f>MAX(MAX(1.4/[1]Parametros!$B$3,0.25*SQRT([1]Parametros!$B$2)/[1]Parametros!$B$3)*H352*AB352,(0.85*[1]Parametros!$B$2/[1]Parametros!$B$3)*(1-SQRT(1-2*(L352*1000000/([1]Parametros!$B$5*H352*AB352^2))/(0.85*[1]Parametros!$B$2)))*H352*AB352)</f>
        <v>923.56058461737473</v>
      </c>
      <c r="Z352" s="14">
        <v>5</v>
      </c>
      <c r="AA352" s="14">
        <v>1</v>
      </c>
      <c r="AB352" s="13">
        <f>IF(AA352=1,I352-([1]Parametros!$B$7+[1]Parametros!$B$9+[1]Parametros!$B$12/2),I352-(ROUNDUP(Z352/2,0)*([1]Parametros!$B$7+[1]Parametros!$B$9+[1]Parametros!$B$12/2)+ROUNDDOWN(Z352/2,0)*([1]Parametros!$B$7+[1]Parametros!$B$9+[1]Parametros!$B$12/2+[1]Parametros!$B$12+[1]Parametros!$B$10))/Z352)</f>
        <v>489.35</v>
      </c>
      <c r="AC352" s="13">
        <f>Z352*[1]Parametros!$B$8</f>
        <v>995</v>
      </c>
      <c r="AD352" s="13">
        <f>[1]Parametros!$B$5*AC352*[1]Parametros!$B$3*(AB352-(AC352*[1]Parametros!$B$3/(0.85*[1]Parametros!$B$2*H352))/2)/1000000</f>
        <v>177.44537938235294</v>
      </c>
      <c r="AE352" s="13" t="str">
        <f t="shared" si="66"/>
        <v>CUMPLE</v>
      </c>
      <c r="AF352" s="13">
        <f>V352*1.25*[1]Parametros!$B$3*(U352-(V352*1.25*[1]Parametros!$B$3/(0.85*[1]Parametros!$B$2*H352))/2)/1000000</f>
        <v>290.23892470588237</v>
      </c>
      <c r="AG352" s="13">
        <f>AC352*1.25*[1]Parametros!$B$3*(AB352-(AC352*1.25*[1]Parametros!$B$3/(0.85*[1]Parametros!$B$2*H352))/2)/1000000</f>
        <v>244.15884319852941</v>
      </c>
      <c r="AH352" s="13">
        <f t="shared" si="67"/>
        <v>412.26307632018717</v>
      </c>
      <c r="AI352" s="13">
        <f t="shared" si="68"/>
        <v>614.04399999999998</v>
      </c>
      <c r="AJ352" s="13">
        <f>0.17*SQRT([1]Parametros!$B$2)*H352*MIN(U352,AB352)/1000</f>
        <v>220.09872869180776</v>
      </c>
      <c r="AK352" s="13">
        <f>MAX(AI352/[1]Parametros!$B$6-AJ352,0)</f>
        <v>598.62660464152555</v>
      </c>
      <c r="AL352" s="13">
        <f>0.66*SQRT([1]Parametros!$B$2)*H352*MIN(U352,AB352)/1000</f>
        <v>854.500946685842</v>
      </c>
      <c r="AM352" s="13" t="str">
        <f t="shared" si="69"/>
        <v>CUMPLE</v>
      </c>
      <c r="AN352" s="13" t="s">
        <v>68</v>
      </c>
      <c r="AO352" s="14">
        <v>4</v>
      </c>
      <c r="AP352" s="13">
        <f>ROUNDDOWN(MIN(IF(BC352+BD352=0,1000000000,AO352*BB352/(BC352+BD352)),MIN(U352,AB352)/4,8*[1]Parametros!$B$12,24*BA352,300,IF(AV352=0,1000000000,2*((H352-2*([1]Parametros!$B$7+[1]Parametros!$B$9/2))+(I352-2*([1]Parametros!$B$7+[1]Parametros!$B$9/2)))/8))/10,0)*10</f>
        <v>100</v>
      </c>
      <c r="AQ352" s="13">
        <f>ROUNDDOWN(MIN(IF(BC352+BD352=0,1000000000,AO352*BB352/(BC352+BD352)),IF(AK352&gt;0.33*SQRT([1]Parametros!$B$2)*H352*MIN(U352,AB352)/1000,MIN(U352,AB352)/4,MIN(U352,AB352)/2),600,IF(AV352=0,1000000000,2*((H352-2*([1]Parametros!$B$7+[1]Parametros!$B$9/2))+(I352-2*([1]Parametros!$B$7+[1]Parametros!$B$9/2)))/8))/10,0)*10</f>
        <v>100</v>
      </c>
      <c r="AR352" s="13">
        <f>[1]Parametros!$B$6*(AJ352+MAX(BE352-BD352,0)*[1]Parametros!$B$4*MIN(U352,AB352)/1000)</f>
        <v>680.14418675366448</v>
      </c>
      <c r="AS352" s="13" t="str">
        <f t="shared" si="70"/>
        <v>CUMPLE</v>
      </c>
      <c r="AT352" s="13">
        <f>[1]Parametros!$B$6*0.083*SQRT([1]Parametros!$B$2)*(H352*I352)^2/(2*(H352+I352))/1000000</f>
        <v>11.862178757598967</v>
      </c>
      <c r="AU352" s="13" t="str">
        <f t="shared" si="71"/>
        <v>DISEÑAR</v>
      </c>
      <c r="AV352" s="13">
        <f>IF(Q352&lt;=AT352,0,Q352*1000000/([1]Parametros!$B$6*2*0.85*(H352-2*([1]Parametros!$B$7+[1]Parametros!$B$9/2))*(I352-2*([1]Parametros!$B$7+[1]Parametros!$B$9/2))*[1]Parametros!$B$4))</f>
        <v>0.90927015190280436</v>
      </c>
      <c r="AW352" s="13">
        <f>AV352*2*((H352-2*([1]Parametros!$B$7+[1]Parametros!$B$9/2))+(I352-2*([1]Parametros!$B$7+[1]Parametros!$B$9/2)))*[1]Parametros!$B$4/[1]Parametros!$B$3</f>
        <v>1572.3099466703291</v>
      </c>
      <c r="AX352" s="14">
        <v>8</v>
      </c>
      <c r="AY352" s="13" t="str">
        <f t="shared" si="72"/>
        <v>NO CUMPLE</v>
      </c>
      <c r="AZ352" s="13" t="str">
        <f t="shared" si="73"/>
        <v>NO CUMPLE</v>
      </c>
      <c r="BA352" s="14">
        <v>12.7</v>
      </c>
      <c r="BB352" s="14">
        <v>129</v>
      </c>
      <c r="BC352" s="13">
        <f>MAX(IF(AK352=0,0,AK352*1000/([1]Parametros!$B$4*MIN(U352,AB352))),MAX(0.062*SQRT([1]Parametros!$B$2)*H352/[1]Parametros!$B$4,0.35*H352/[1]Parametros!$B$4))</f>
        <v>2.912642157193583</v>
      </c>
      <c r="BD352" s="13">
        <f t="shared" si="74"/>
        <v>1.8185403038056087</v>
      </c>
      <c r="BE352" s="13">
        <f t="shared" si="75"/>
        <v>5.16</v>
      </c>
      <c r="BF352" s="13">
        <f>SQRT((AI352*1000/(H352*MIN(U352,AB352)))^2+(Q352*1000000*2*((H352-2*([1]Parametros!$B$7+[1]Parametros!$B$9/2))+(I352-2*([1]Parametros!$B$7+[1]Parametros!$B$9/2)))/(1.7*((H352-2*([1]Parametros!$B$7+[1]Parametros!$B$9/2))*(I352-2*([1]Parametros!$B$7+[1]Parametros!$B$9/2)))^2))^2)</f>
        <v>3.6563657226711572</v>
      </c>
      <c r="BG352" s="13">
        <f>[1]Parametros!$B$6*(AJ352*1000/(H352*MIN(U352,AB352))+0.66*SQRT([1]Parametros!$B$2))</f>
        <v>3.2939603822754151</v>
      </c>
      <c r="BH352" s="13" t="str">
        <f t="shared" si="76"/>
        <v>NO CUMPLE</v>
      </c>
      <c r="BI352" s="13">
        <f>AX352*[1]Parametros!$B$8</f>
        <v>1592</v>
      </c>
      <c r="BJ352" s="15" t="str">
        <f t="shared" si="77"/>
        <v>CUMPLE</v>
      </c>
    </row>
    <row r="353" spans="1:62" x14ac:dyDescent="0.3">
      <c r="A353" s="33" t="s">
        <v>76</v>
      </c>
      <c r="B353" s="34">
        <v>18</v>
      </c>
      <c r="C353" s="13">
        <v>1</v>
      </c>
      <c r="D353" s="13">
        <v>3.57612</v>
      </c>
      <c r="E353" s="13">
        <v>3.57612</v>
      </c>
      <c r="F353" s="13">
        <v>500</v>
      </c>
      <c r="G353" s="13">
        <v>550</v>
      </c>
      <c r="H353" s="13">
        <v>500</v>
      </c>
      <c r="I353" s="13">
        <v>550</v>
      </c>
      <c r="J353" s="14">
        <v>181.37729999999999</v>
      </c>
      <c r="K353" s="13">
        <v>18</v>
      </c>
      <c r="L353" s="14">
        <v>116.7466</v>
      </c>
      <c r="M353" s="13">
        <v>18</v>
      </c>
      <c r="N353" s="14">
        <v>131.34200000000001</v>
      </c>
      <c r="O353" s="14">
        <v>397.26100000000002</v>
      </c>
      <c r="P353" s="13">
        <v>18</v>
      </c>
      <c r="Q353" s="14">
        <v>5.2774999999999999</v>
      </c>
      <c r="R353" s="13">
        <f>MAX(MAX(1.4/[1]Parametros!$B$3,0.25*SQRT([1]Parametros!$B$2)/[1]Parametros!$B$3)*H353*U353,(0.85*[1]Parametros!$B$2/[1]Parametros!$B$3)*(1-SQRT(1-2*(J353*1000000/([1]Parametros!$B$5*H353*U353^2))/(0.85*[1]Parametros!$B$2)))*H353*U353)</f>
        <v>1017.9203778639578</v>
      </c>
      <c r="S353" s="14">
        <v>6</v>
      </c>
      <c r="T353" s="14">
        <v>1</v>
      </c>
      <c r="U353" s="13">
        <f>IF(T353=1,I353-([1]Parametros!$B$7+[1]Parametros!$B$9+[1]Parametros!$B$12/2),I353-(ROUNDUP(S353/2,0)*([1]Parametros!$B$7+[1]Parametros!$B$9+[1]Parametros!$B$12/2)+ROUNDDOWN(S353/2,0)*([1]Parametros!$B$7+[1]Parametros!$B$9+[1]Parametros!$B$12/2+[1]Parametros!$B$12+[1]Parametros!$B$10))/S353)</f>
        <v>489.35</v>
      </c>
      <c r="V353" s="13">
        <f>S353*[1]Parametros!$B$8</f>
        <v>1194</v>
      </c>
      <c r="W353" s="13">
        <f>[1]Parametros!$B$5*V353*[1]Parametros!$B$3*(U353-(V353*[1]Parametros!$B$3/(0.85*[1]Parametros!$B$2*H353))/2)/1000000</f>
        <v>211.34948347058827</v>
      </c>
      <c r="X353" s="13" t="str">
        <f t="shared" si="65"/>
        <v>CUMPLE</v>
      </c>
      <c r="Y353" s="13">
        <f>MAX(MAX(1.4/[1]Parametros!$B$3,0.25*SQRT([1]Parametros!$B$2)/[1]Parametros!$B$3)*H353*AB353,(0.85*[1]Parametros!$B$2/[1]Parametros!$B$3)*(1-SQRT(1-2*(L353*1000000/([1]Parametros!$B$5*H353*AB353^2))/(0.85*[1]Parametros!$B$2)))*H353*AB353)</f>
        <v>815.58333333333326</v>
      </c>
      <c r="Z353" s="14">
        <v>5</v>
      </c>
      <c r="AA353" s="14">
        <v>1</v>
      </c>
      <c r="AB353" s="13">
        <f>IF(AA353=1,I353-([1]Parametros!$B$7+[1]Parametros!$B$9+[1]Parametros!$B$12/2),I353-(ROUNDUP(Z353/2,0)*([1]Parametros!$B$7+[1]Parametros!$B$9+[1]Parametros!$B$12/2)+ROUNDDOWN(Z353/2,0)*([1]Parametros!$B$7+[1]Parametros!$B$9+[1]Parametros!$B$12/2+[1]Parametros!$B$12+[1]Parametros!$B$10))/Z353)</f>
        <v>489.35</v>
      </c>
      <c r="AC353" s="13">
        <f>Z353*[1]Parametros!$B$8</f>
        <v>995</v>
      </c>
      <c r="AD353" s="13">
        <f>[1]Parametros!$B$5*AC353*[1]Parametros!$B$3*(AB353-(AC353*[1]Parametros!$B$3/(0.85*[1]Parametros!$B$2*H353))/2)/1000000</f>
        <v>177.44537938235294</v>
      </c>
      <c r="AE353" s="13" t="str">
        <f t="shared" si="66"/>
        <v>CUMPLE</v>
      </c>
      <c r="AF353" s="13">
        <f>V353*1.25*[1]Parametros!$B$3*(U353-(V353*1.25*[1]Parametros!$B$3/(0.85*[1]Parametros!$B$2*H353))/2)/1000000</f>
        <v>290.23892470588237</v>
      </c>
      <c r="AG353" s="13">
        <f>AC353*1.25*[1]Parametros!$B$3*(AB353-(AC353*1.25*[1]Parametros!$B$3/(0.85*[1]Parametros!$B$2*H353))/2)/1000000</f>
        <v>244.15884319852941</v>
      </c>
      <c r="AH353" s="13">
        <f t="shared" si="67"/>
        <v>280.77707709596206</v>
      </c>
      <c r="AI353" s="13">
        <f t="shared" si="68"/>
        <v>397.26100000000002</v>
      </c>
      <c r="AJ353" s="13">
        <f>0.17*SQRT([1]Parametros!$B$2)*H353*MIN(U353,AB353)/1000</f>
        <v>220.09872869180776</v>
      </c>
      <c r="AK353" s="13">
        <f>MAX(AI353/[1]Parametros!$B$6-AJ353,0)</f>
        <v>309.58260464152556</v>
      </c>
      <c r="AL353" s="13">
        <f>0.66*SQRT([1]Parametros!$B$2)*H353*MIN(U353,AB353)/1000</f>
        <v>854.500946685842</v>
      </c>
      <c r="AM353" s="13" t="str">
        <f t="shared" si="69"/>
        <v>CUMPLE</v>
      </c>
      <c r="AN353" s="13" t="s">
        <v>64</v>
      </c>
      <c r="AO353" s="14">
        <v>2</v>
      </c>
      <c r="AP353" s="13">
        <f>ROUNDDOWN(MIN(IF(BC353+BD353=0,1000000000,AO353*BB353/(BC353+BD353)),MIN(U353,AB353)/4,8*[1]Parametros!$B$12,24*BA353,300,IF(AV353=0,1000000000,2*((H353-2*([1]Parametros!$B$7+[1]Parametros!$B$9/2))+(I353-2*([1]Parametros!$B$7+[1]Parametros!$B$9/2)))/8))/10,0)*10</f>
        <v>90</v>
      </c>
      <c r="AQ353" s="13">
        <f>ROUNDDOWN(MIN(IF(BC353+BD353=0,1000000000,AO353*BB353/(BC353+BD353)),IF(AK353&gt;0.33*SQRT([1]Parametros!$B$2)*H353*MIN(U353,AB353)/1000,MIN(U353,AB353)/4,MIN(U353,AB353)/2),600,IF(AV353=0,1000000000,2*((H353-2*([1]Parametros!$B$7+[1]Parametros!$B$9/2))+(I353-2*([1]Parametros!$B$7+[1]Parametros!$B$9/2)))/8))/10,0)*10</f>
        <v>90</v>
      </c>
      <c r="AR353" s="13">
        <f>[1]Parametros!$B$6*(AJ353+MAX(BE353-BD353,0)*[1]Parametros!$B$4*MIN(U353,AB353)/1000)</f>
        <v>408.28099651885583</v>
      </c>
      <c r="AS353" s="13" t="str">
        <f t="shared" si="70"/>
        <v>CUMPLE</v>
      </c>
      <c r="AT353" s="13">
        <f>[1]Parametros!$B$6*0.083*SQRT([1]Parametros!$B$2)*(H353*I353)^2/(2*(H353+I353))/1000000</f>
        <v>11.862178757598967</v>
      </c>
      <c r="AU353" s="13" t="str">
        <f t="shared" si="71"/>
        <v>DESPRECIABLE</v>
      </c>
      <c r="AV353" s="13">
        <f>IF(Q353&lt;=AT353,0,Q353*1000000/([1]Parametros!$B$6*2*0.85*(H353-2*([1]Parametros!$B$7+[1]Parametros!$B$9/2))*(I353-2*([1]Parametros!$B$7+[1]Parametros!$B$9/2))*[1]Parametros!$B$4))</f>
        <v>0</v>
      </c>
      <c r="AW353" s="13">
        <f>AV353*2*((H353-2*([1]Parametros!$B$7+[1]Parametros!$B$9/2))+(I353-2*([1]Parametros!$B$7+[1]Parametros!$B$9/2)))*[1]Parametros!$B$4/[1]Parametros!$B$3</f>
        <v>0</v>
      </c>
      <c r="AX353" s="14">
        <v>0</v>
      </c>
      <c r="AY353" s="13" t="str">
        <f t="shared" si="72"/>
        <v>DESPRECIABLE</v>
      </c>
      <c r="AZ353" s="13" t="str">
        <f t="shared" si="73"/>
        <v>CUMPLE</v>
      </c>
      <c r="BA353" s="14">
        <v>9.5</v>
      </c>
      <c r="BB353" s="14">
        <v>71</v>
      </c>
      <c r="BC353" s="13">
        <f>MAX(IF(AK353=0,0,AK353*1000/([1]Parametros!$B$4*MIN(U353,AB353))),MAX(0.062*SQRT([1]Parametros!$B$2)*H353/[1]Parametros!$B$4,0.35*H353/[1]Parametros!$B$4))</f>
        <v>1.5062867878260546</v>
      </c>
      <c r="BD353" s="13">
        <f t="shared" si="74"/>
        <v>0</v>
      </c>
      <c r="BE353" s="13">
        <f t="shared" si="75"/>
        <v>1.5777777777777777</v>
      </c>
      <c r="BF353" s="13">
        <f>SQRT((AI353*1000/(H353*MIN(U353,AB353)))^2+(Q353*1000000*2*((H353-2*([1]Parametros!$B$7+[1]Parametros!$B$9/2))+(I353-2*([1]Parametros!$B$7+[1]Parametros!$B$9/2)))/(1.7*((H353-2*([1]Parametros!$B$7+[1]Parametros!$B$9/2))*(I353-2*([1]Parametros!$B$7+[1]Parametros!$B$9/2)))^2))^2)</f>
        <v>1.6309840364600734</v>
      </c>
      <c r="BG353" s="13">
        <f>[1]Parametros!$B$6*(AJ353*1000/(H353*MIN(U353,AB353))+0.66*SQRT([1]Parametros!$B$2))</f>
        <v>3.2939603822754151</v>
      </c>
      <c r="BH353" s="13" t="str">
        <f t="shared" si="76"/>
        <v>CUMPLE</v>
      </c>
      <c r="BI353" s="13">
        <f>AX353*[1]Parametros!$B$8</f>
        <v>0</v>
      </c>
      <c r="BJ353" s="15" t="str">
        <f t="shared" si="77"/>
        <v>CUMPLE</v>
      </c>
    </row>
    <row r="354" spans="1:62" x14ac:dyDescent="0.3">
      <c r="A354" s="33" t="s">
        <v>76</v>
      </c>
      <c r="B354" s="34">
        <v>19</v>
      </c>
      <c r="C354" s="13">
        <v>1</v>
      </c>
      <c r="D354" s="13">
        <v>1.9</v>
      </c>
      <c r="E354" s="13">
        <v>1.9</v>
      </c>
      <c r="F354" s="13">
        <v>500</v>
      </c>
      <c r="G354" s="13">
        <v>550</v>
      </c>
      <c r="H354" s="13">
        <v>500</v>
      </c>
      <c r="I354" s="13">
        <v>550</v>
      </c>
      <c r="J354" s="14">
        <v>180.9906</v>
      </c>
      <c r="K354" s="13">
        <v>19</v>
      </c>
      <c r="L354" s="14">
        <v>158.07130000000001</v>
      </c>
      <c r="M354" s="13">
        <v>19</v>
      </c>
      <c r="N354" s="14">
        <v>171.41900000000001</v>
      </c>
      <c r="O354" s="14">
        <v>689.13599999999997</v>
      </c>
      <c r="P354" s="13">
        <v>19</v>
      </c>
      <c r="Q354" s="14">
        <v>23.416899999999998</v>
      </c>
      <c r="R354" s="13">
        <f>MAX(MAX(1.4/[1]Parametros!$B$3,0.25*SQRT([1]Parametros!$B$2)/[1]Parametros!$B$3)*H354*U354,(0.85*[1]Parametros!$B$2/[1]Parametros!$B$3)*(1-SQRT(1-2*(J354*1000000/([1]Parametros!$B$5*H354*U354^2))/(0.85*[1]Parametros!$B$2)))*H354*U354)</f>
        <v>1015.6643715336345</v>
      </c>
      <c r="S354" s="14">
        <v>6</v>
      </c>
      <c r="T354" s="14">
        <v>1</v>
      </c>
      <c r="U354" s="13">
        <f>IF(T354=1,I354-([1]Parametros!$B$7+[1]Parametros!$B$9+[1]Parametros!$B$12/2),I354-(ROUNDUP(S354/2,0)*([1]Parametros!$B$7+[1]Parametros!$B$9+[1]Parametros!$B$12/2)+ROUNDDOWN(S354/2,0)*([1]Parametros!$B$7+[1]Parametros!$B$9+[1]Parametros!$B$12/2+[1]Parametros!$B$12+[1]Parametros!$B$10))/S354)</f>
        <v>489.35</v>
      </c>
      <c r="V354" s="13">
        <f>S354*[1]Parametros!$B$8</f>
        <v>1194</v>
      </c>
      <c r="W354" s="13">
        <f>[1]Parametros!$B$5*V354*[1]Parametros!$B$3*(U354-(V354*[1]Parametros!$B$3/(0.85*[1]Parametros!$B$2*H354))/2)/1000000</f>
        <v>211.34948347058827</v>
      </c>
      <c r="X354" s="13" t="str">
        <f t="shared" si="65"/>
        <v>CUMPLE</v>
      </c>
      <c r="Y354" s="13">
        <f>MAX(MAX(1.4/[1]Parametros!$B$3,0.25*SQRT([1]Parametros!$B$2)/[1]Parametros!$B$3)*H354*AB354,(0.85*[1]Parametros!$B$2/[1]Parametros!$B$3)*(1-SQRT(1-2*(L354*1000000/([1]Parametros!$B$5*H354*AB354^2))/(0.85*[1]Parametros!$B$2)))*H354*AB354)</f>
        <v>882.65344172438677</v>
      </c>
      <c r="Z354" s="14">
        <v>5</v>
      </c>
      <c r="AA354" s="14">
        <v>1</v>
      </c>
      <c r="AB354" s="13">
        <f>IF(AA354=1,I354-([1]Parametros!$B$7+[1]Parametros!$B$9+[1]Parametros!$B$12/2),I354-(ROUNDUP(Z354/2,0)*([1]Parametros!$B$7+[1]Parametros!$B$9+[1]Parametros!$B$12/2)+ROUNDDOWN(Z354/2,0)*([1]Parametros!$B$7+[1]Parametros!$B$9+[1]Parametros!$B$12/2+[1]Parametros!$B$12+[1]Parametros!$B$10))/Z354)</f>
        <v>489.35</v>
      </c>
      <c r="AC354" s="13">
        <f>Z354*[1]Parametros!$B$8</f>
        <v>995</v>
      </c>
      <c r="AD354" s="13">
        <f>[1]Parametros!$B$5*AC354*[1]Parametros!$B$3*(AB354-(AC354*[1]Parametros!$B$3/(0.85*[1]Parametros!$B$2*H354))/2)/1000000</f>
        <v>177.44537938235294</v>
      </c>
      <c r="AE354" s="13" t="str">
        <f t="shared" si="66"/>
        <v>CUMPLE</v>
      </c>
      <c r="AF354" s="13">
        <f>V354*1.25*[1]Parametros!$B$3*(U354-(V354*1.25*[1]Parametros!$B$3/(0.85*[1]Parametros!$B$2*H354))/2)/1000000</f>
        <v>290.23892470588237</v>
      </c>
      <c r="AG354" s="13">
        <f>AC354*1.25*[1]Parametros!$B$3*(AB354-(AC354*1.25*[1]Parametros!$B$3/(0.85*[1]Parametros!$B$2*H354))/2)/1000000</f>
        <v>244.15884319852941</v>
      </c>
      <c r="AH354" s="13">
        <f t="shared" si="67"/>
        <v>452.68098310758523</v>
      </c>
      <c r="AI354" s="13">
        <f t="shared" si="68"/>
        <v>689.13599999999997</v>
      </c>
      <c r="AJ354" s="13">
        <f>0.17*SQRT([1]Parametros!$B$2)*H354*MIN(U354,AB354)/1000</f>
        <v>220.09872869180776</v>
      </c>
      <c r="AK354" s="13">
        <f>MAX(AI354/[1]Parametros!$B$6-AJ354,0)</f>
        <v>698.74927130819219</v>
      </c>
      <c r="AL354" s="13">
        <f>0.66*SQRT([1]Parametros!$B$2)*H354*MIN(U354,AB354)/1000</f>
        <v>854.500946685842</v>
      </c>
      <c r="AM354" s="13" t="str">
        <f t="shared" si="69"/>
        <v>CUMPLE</v>
      </c>
      <c r="AN354" s="13" t="s">
        <v>68</v>
      </c>
      <c r="AO354" s="14">
        <v>4</v>
      </c>
      <c r="AP354" s="13">
        <f>ROUNDDOWN(MIN(IF(BC354+BD354=0,1000000000,AO354*BB354/(BC354+BD354)),MIN(U354,AB354)/4,8*[1]Parametros!$B$12,24*BA354,300,IF(AV354=0,1000000000,2*((H354-2*([1]Parametros!$B$7+[1]Parametros!$B$9/2))+(I354-2*([1]Parametros!$B$7+[1]Parametros!$B$9/2)))/8))/10,0)*10</f>
        <v>120</v>
      </c>
      <c r="AQ354" s="13">
        <f>ROUNDDOWN(MIN(IF(BC354+BD354=0,1000000000,AO354*BB354/(BC354+BD354)),IF(AK354&gt;0.33*SQRT([1]Parametros!$B$2)*H354*MIN(U354,AB354)/1000,MIN(U354,AB354)/4,MIN(U354,AB354)/2),600,IF(AV354=0,1000000000,2*((H354-2*([1]Parametros!$B$7+[1]Parametros!$B$9/2))+(I354-2*([1]Parametros!$B$7+[1]Parametros!$B$9/2)))/8))/10,0)*10</f>
        <v>120</v>
      </c>
      <c r="AR354" s="13">
        <f>[1]Parametros!$B$6*(AJ354+MAX(BE354-BD354,0)*[1]Parametros!$B$4*MIN(U354,AB354)/1000)</f>
        <v>755.51930848816824</v>
      </c>
      <c r="AS354" s="13" t="str">
        <f t="shared" si="70"/>
        <v>CUMPLE</v>
      </c>
      <c r="AT354" s="13">
        <f>[1]Parametros!$B$6*0.083*SQRT([1]Parametros!$B$2)*(H354*I354)^2/(2*(H354+I354))/1000000</f>
        <v>11.862178757598967</v>
      </c>
      <c r="AU354" s="13" t="str">
        <f t="shared" si="71"/>
        <v>DISEÑAR</v>
      </c>
      <c r="AV354" s="13">
        <f>IF(Q354&lt;=AT354,0,Q354*1000000/([1]Parametros!$B$6*2*0.85*(H354-2*([1]Parametros!$B$7+[1]Parametros!$B$9/2))*(I354-2*([1]Parametros!$B$7+[1]Parametros!$B$9/2))*[1]Parametros!$B$4))</f>
        <v>0.23477633281170709</v>
      </c>
      <c r="AW354" s="13">
        <f>AV354*2*((H354-2*([1]Parametros!$B$7+[1]Parametros!$B$9/2))+(I354-2*([1]Parametros!$B$7+[1]Parametros!$B$9/2)))*[1]Parametros!$B$4/[1]Parametros!$B$3</f>
        <v>405.97523469800387</v>
      </c>
      <c r="AX354" s="14">
        <v>8</v>
      </c>
      <c r="AY354" s="13" t="str">
        <f t="shared" si="72"/>
        <v>CUMPLE</v>
      </c>
      <c r="AZ354" s="13" t="str">
        <f t="shared" si="73"/>
        <v>CUMPLE</v>
      </c>
      <c r="BA354" s="14">
        <v>12.7</v>
      </c>
      <c r="BB354" s="14">
        <v>129</v>
      </c>
      <c r="BC354" s="13">
        <f>MAX(IF(AK354=0,0,AK354*1000/([1]Parametros!$B$4*MIN(U354,AB354))),MAX(0.062*SQRT([1]Parametros!$B$2)*H354/[1]Parametros!$B$4,0.35*H354/[1]Parametros!$B$4))</f>
        <v>3.3997930749156664</v>
      </c>
      <c r="BD354" s="13">
        <f t="shared" si="74"/>
        <v>0.46955266562341419</v>
      </c>
      <c r="BE354" s="13">
        <f t="shared" si="75"/>
        <v>4.3</v>
      </c>
      <c r="BF354" s="13">
        <f>SQRT((AI354*1000/(H354*MIN(U354,AB354)))^2+(Q354*1000000*2*((H354-2*([1]Parametros!$B$7+[1]Parametros!$B$9/2))+(I354-2*([1]Parametros!$B$7+[1]Parametros!$B$9/2)))/(1.7*((H354-2*([1]Parametros!$B$7+[1]Parametros!$B$9/2))*(I354-2*([1]Parametros!$B$7+[1]Parametros!$B$9/2)))^2))^2)</f>
        <v>2.8990128707083702</v>
      </c>
      <c r="BG354" s="13">
        <f>[1]Parametros!$B$6*(AJ354*1000/(H354*MIN(U354,AB354))+0.66*SQRT([1]Parametros!$B$2))</f>
        <v>3.2939603822754151</v>
      </c>
      <c r="BH354" s="13" t="str">
        <f t="shared" si="76"/>
        <v>CUMPLE</v>
      </c>
      <c r="BI354" s="13">
        <f>AX354*[1]Parametros!$B$8</f>
        <v>1592</v>
      </c>
      <c r="BJ354" s="15" t="str">
        <f t="shared" si="77"/>
        <v>CUMPLE</v>
      </c>
    </row>
    <row r="355" spans="1:62" x14ac:dyDescent="0.3">
      <c r="A355" s="33" t="s">
        <v>76</v>
      </c>
      <c r="B355" s="34">
        <v>20</v>
      </c>
      <c r="C355" s="13">
        <v>1</v>
      </c>
      <c r="D355" s="13">
        <v>2</v>
      </c>
      <c r="E355" s="13">
        <v>2</v>
      </c>
      <c r="F355" s="13">
        <v>500</v>
      </c>
      <c r="G355" s="13">
        <v>550</v>
      </c>
      <c r="H355" s="13">
        <v>500</v>
      </c>
      <c r="I355" s="13">
        <v>550</v>
      </c>
      <c r="J355" s="14">
        <v>200.93860000000001</v>
      </c>
      <c r="K355" s="13">
        <v>20</v>
      </c>
      <c r="L355" s="14">
        <v>151.01480000000001</v>
      </c>
      <c r="M355" s="13">
        <v>20</v>
      </c>
      <c r="N355" s="14">
        <v>180.61500000000001</v>
      </c>
      <c r="O355" s="14">
        <v>695.30700000000002</v>
      </c>
      <c r="P355" s="13">
        <v>20</v>
      </c>
      <c r="Q355" s="14">
        <v>52.332299999999996</v>
      </c>
      <c r="R355" s="13">
        <f>MAX(MAX(1.4/[1]Parametros!$B$3,0.25*SQRT([1]Parametros!$B$2)/[1]Parametros!$B$3)*H355*U355,(0.85*[1]Parametros!$B$2/[1]Parametros!$B$3)*(1-SQRT(1-2*(J355*1000000/([1]Parametros!$B$5*H355*U355^2))/(0.85*[1]Parametros!$B$2)))*H355*U355)</f>
        <v>1132.56246067342</v>
      </c>
      <c r="S355" s="14">
        <v>6</v>
      </c>
      <c r="T355" s="14">
        <v>1</v>
      </c>
      <c r="U355" s="13">
        <f>IF(T355=1,I355-([1]Parametros!$B$7+[1]Parametros!$B$9+[1]Parametros!$B$12/2),I355-(ROUNDUP(S355/2,0)*([1]Parametros!$B$7+[1]Parametros!$B$9+[1]Parametros!$B$12/2)+ROUNDDOWN(S355/2,0)*([1]Parametros!$B$7+[1]Parametros!$B$9+[1]Parametros!$B$12/2+[1]Parametros!$B$12+[1]Parametros!$B$10))/S355)</f>
        <v>489.35</v>
      </c>
      <c r="V355" s="13">
        <f>S355*[1]Parametros!$B$8</f>
        <v>1194</v>
      </c>
      <c r="W355" s="13">
        <f>[1]Parametros!$B$5*V355*[1]Parametros!$B$3*(U355-(V355*[1]Parametros!$B$3/(0.85*[1]Parametros!$B$2*H355))/2)/1000000</f>
        <v>211.34948347058827</v>
      </c>
      <c r="X355" s="13" t="str">
        <f t="shared" si="65"/>
        <v>CUMPLE</v>
      </c>
      <c r="Y355" s="13">
        <f>MAX(MAX(1.4/[1]Parametros!$B$3,0.25*SQRT([1]Parametros!$B$2)/[1]Parametros!$B$3)*H355*AB355,(0.85*[1]Parametros!$B$2/[1]Parametros!$B$3)*(1-SQRT(1-2*(L355*1000000/([1]Parametros!$B$5*H355*AB355^2))/(0.85*[1]Parametros!$B$2)))*H355*AB355)</f>
        <v>841.97494156573714</v>
      </c>
      <c r="Z355" s="14">
        <v>5</v>
      </c>
      <c r="AA355" s="14">
        <v>1</v>
      </c>
      <c r="AB355" s="13">
        <f>IF(AA355=1,I355-([1]Parametros!$B$7+[1]Parametros!$B$9+[1]Parametros!$B$12/2),I355-(ROUNDUP(Z355/2,0)*([1]Parametros!$B$7+[1]Parametros!$B$9+[1]Parametros!$B$12/2)+ROUNDDOWN(Z355/2,0)*([1]Parametros!$B$7+[1]Parametros!$B$9+[1]Parametros!$B$12/2+[1]Parametros!$B$12+[1]Parametros!$B$10))/Z355)</f>
        <v>489.35</v>
      </c>
      <c r="AC355" s="13">
        <f>Z355*[1]Parametros!$B$8</f>
        <v>995</v>
      </c>
      <c r="AD355" s="13">
        <f>[1]Parametros!$B$5*AC355*[1]Parametros!$B$3*(AB355-(AC355*[1]Parametros!$B$3/(0.85*[1]Parametros!$B$2*H355))/2)/1000000</f>
        <v>177.44537938235294</v>
      </c>
      <c r="AE355" s="13" t="str">
        <f t="shared" si="66"/>
        <v>CUMPLE</v>
      </c>
      <c r="AF355" s="13">
        <f>V355*1.25*[1]Parametros!$B$3*(U355-(V355*1.25*[1]Parametros!$B$3/(0.85*[1]Parametros!$B$2*H355))/2)/1000000</f>
        <v>290.23892470588237</v>
      </c>
      <c r="AG355" s="13">
        <f>AC355*1.25*[1]Parametros!$B$3*(AB355-(AC355*1.25*[1]Parametros!$B$3/(0.85*[1]Parametros!$B$2*H355))/2)/1000000</f>
        <v>244.15884319852941</v>
      </c>
      <c r="AH355" s="13">
        <f t="shared" si="67"/>
        <v>447.81388395220591</v>
      </c>
      <c r="AI355" s="13">
        <f t="shared" si="68"/>
        <v>695.30700000000002</v>
      </c>
      <c r="AJ355" s="13">
        <f>0.17*SQRT([1]Parametros!$B$2)*H355*MIN(U355,AB355)/1000</f>
        <v>220.09872869180776</v>
      </c>
      <c r="AK355" s="13">
        <f>MAX(AI355/[1]Parametros!$B$6-AJ355,0)</f>
        <v>706.97727130819226</v>
      </c>
      <c r="AL355" s="13">
        <f>0.66*SQRT([1]Parametros!$B$2)*H355*MIN(U355,AB355)/1000</f>
        <v>854.500946685842</v>
      </c>
      <c r="AM355" s="13" t="str">
        <f t="shared" si="69"/>
        <v>CUMPLE</v>
      </c>
      <c r="AN355" s="13" t="s">
        <v>68</v>
      </c>
      <c r="AO355" s="14">
        <v>4</v>
      </c>
      <c r="AP355" s="13">
        <f>ROUNDDOWN(MIN(IF(BC355+BD355=0,1000000000,AO355*BB355/(BC355+BD355)),MIN(U355,AB355)/4,8*[1]Parametros!$B$12,24*BA355,300,IF(AV355=0,1000000000,2*((H355-2*([1]Parametros!$B$7+[1]Parametros!$B$9/2))+(I355-2*([1]Parametros!$B$7+[1]Parametros!$B$9/2)))/8))/10,0)*10</f>
        <v>110</v>
      </c>
      <c r="AQ355" s="13">
        <f>ROUNDDOWN(MIN(IF(BC355+BD355=0,1000000000,AO355*BB355/(BC355+BD355)),IF(AK355&gt;0.33*SQRT([1]Parametros!$B$2)*H355*MIN(U355,AB355)/1000,MIN(U355,AB355)/4,MIN(U355,AB355)/2),600,IF(AV355=0,1000000000,2*((H355-2*([1]Parametros!$B$7+[1]Parametros!$B$9/2))+(I355-2*([1]Parametros!$B$7+[1]Parametros!$B$9/2)))/8))/10,0)*10</f>
        <v>110</v>
      </c>
      <c r="AR355" s="13">
        <f>[1]Parametros!$B$6*(AJ355+MAX(BE355-BD355,0)*[1]Parametros!$B$4*MIN(U355,AB355)/1000)</f>
        <v>726.40145740328558</v>
      </c>
      <c r="AS355" s="13" t="str">
        <f t="shared" si="70"/>
        <v>CUMPLE</v>
      </c>
      <c r="AT355" s="13">
        <f>[1]Parametros!$B$6*0.083*SQRT([1]Parametros!$B$2)*(H355*I355)^2/(2*(H355+I355))/1000000</f>
        <v>11.862178757598967</v>
      </c>
      <c r="AU355" s="13" t="str">
        <f t="shared" si="71"/>
        <v>DISEÑAR</v>
      </c>
      <c r="AV355" s="13">
        <f>IF(Q355&lt;=AT355,0,Q355*1000000/([1]Parametros!$B$6*2*0.85*(H355-2*([1]Parametros!$B$7+[1]Parametros!$B$9/2))*(I355-2*([1]Parametros!$B$7+[1]Parametros!$B$9/2))*[1]Parametros!$B$4))</f>
        <v>0.52468027286285113</v>
      </c>
      <c r="AW355" s="13">
        <f>AV355*2*((H355-2*([1]Parametros!$B$7+[1]Parametros!$B$9/2))+(I355-2*([1]Parametros!$B$7+[1]Parametros!$B$9/2)))*[1]Parametros!$B$4/[1]Parametros!$B$3</f>
        <v>907.27712783444213</v>
      </c>
      <c r="AX355" s="14">
        <v>8</v>
      </c>
      <c r="AY355" s="13" t="str">
        <f t="shared" si="72"/>
        <v>CUMPLE</v>
      </c>
      <c r="AZ355" s="13" t="str">
        <f t="shared" si="73"/>
        <v>CUMPLE</v>
      </c>
      <c r="BA355" s="14">
        <v>12.7</v>
      </c>
      <c r="BB355" s="14">
        <v>129</v>
      </c>
      <c r="BC355" s="13">
        <f>MAX(IF(AK355=0,0,AK355*1000/([1]Parametros!$B$4*MIN(U355,AB355))),MAX(0.062*SQRT([1]Parametros!$B$2)*H355/[1]Parametros!$B$4,0.35*H355/[1]Parametros!$B$4))</f>
        <v>3.4398267444578683</v>
      </c>
      <c r="BD355" s="13">
        <f t="shared" si="74"/>
        <v>1.0493605457257023</v>
      </c>
      <c r="BE355" s="13">
        <f t="shared" si="75"/>
        <v>4.6909090909090905</v>
      </c>
      <c r="BF355" s="13">
        <f>SQRT((AI355*1000/(H355*MIN(U355,AB355)))^2+(Q355*1000000*2*((H355-2*([1]Parametros!$B$7+[1]Parametros!$B$9/2))+(I355-2*([1]Parametros!$B$7+[1]Parametros!$B$9/2)))/(1.7*((H355-2*([1]Parametros!$B$7+[1]Parametros!$B$9/2))*(I355-2*([1]Parametros!$B$7+[1]Parametros!$B$9/2)))^2))^2)</f>
        <v>3.2295400163427543</v>
      </c>
      <c r="BG355" s="13">
        <f>[1]Parametros!$B$6*(AJ355*1000/(H355*MIN(U355,AB355))+0.66*SQRT([1]Parametros!$B$2))</f>
        <v>3.2939603822754151</v>
      </c>
      <c r="BH355" s="13" t="str">
        <f t="shared" si="76"/>
        <v>CUMPLE</v>
      </c>
      <c r="BI355" s="13">
        <f>AX355*[1]Parametros!$B$8</f>
        <v>1592</v>
      </c>
      <c r="BJ355" s="15" t="str">
        <f t="shared" si="77"/>
        <v>CUMPLE</v>
      </c>
    </row>
    <row r="356" spans="1:62" x14ac:dyDescent="0.3">
      <c r="A356" s="33" t="s">
        <v>76</v>
      </c>
      <c r="B356" s="34">
        <v>21</v>
      </c>
      <c r="C356" s="13">
        <v>1</v>
      </c>
      <c r="D356" s="13">
        <v>3.05308</v>
      </c>
      <c r="E356" s="13">
        <v>3.05308</v>
      </c>
      <c r="F356" s="13">
        <v>500</v>
      </c>
      <c r="G356" s="13">
        <v>550</v>
      </c>
      <c r="H356" s="13">
        <v>500</v>
      </c>
      <c r="I356" s="13">
        <v>550</v>
      </c>
      <c r="J356" s="14">
        <v>186.2296</v>
      </c>
      <c r="K356" s="13">
        <v>21</v>
      </c>
      <c r="L356" s="14">
        <v>124.4443</v>
      </c>
      <c r="M356" s="13">
        <v>21</v>
      </c>
      <c r="N356" s="14">
        <v>137.56100000000001</v>
      </c>
      <c r="O356" s="14">
        <v>429.85500000000002</v>
      </c>
      <c r="P356" s="13">
        <v>21</v>
      </c>
      <c r="Q356" s="14">
        <v>59.207999999999998</v>
      </c>
      <c r="R356" s="13">
        <f>MAX(MAX(1.4/[1]Parametros!$B$3,0.25*SQRT([1]Parametros!$B$2)/[1]Parametros!$B$3)*H356*U356,(0.85*[1]Parametros!$B$2/[1]Parametros!$B$3)*(1-SQRT(1-2*(J356*1000000/([1]Parametros!$B$5*H356*U356^2))/(0.85*[1]Parametros!$B$2)))*H356*U356)</f>
        <v>1046.2624261885817</v>
      </c>
      <c r="S356" s="14">
        <v>6</v>
      </c>
      <c r="T356" s="14">
        <v>1</v>
      </c>
      <c r="U356" s="13">
        <f>IF(T356=1,I356-([1]Parametros!$B$7+[1]Parametros!$B$9+[1]Parametros!$B$12/2),I356-(ROUNDUP(S356/2,0)*([1]Parametros!$B$7+[1]Parametros!$B$9+[1]Parametros!$B$12/2)+ROUNDDOWN(S356/2,0)*([1]Parametros!$B$7+[1]Parametros!$B$9+[1]Parametros!$B$12/2+[1]Parametros!$B$12+[1]Parametros!$B$10))/S356)</f>
        <v>489.35</v>
      </c>
      <c r="V356" s="13">
        <f>S356*[1]Parametros!$B$8</f>
        <v>1194</v>
      </c>
      <c r="W356" s="13">
        <f>[1]Parametros!$B$5*V356*[1]Parametros!$B$3*(U356-(V356*[1]Parametros!$B$3/(0.85*[1]Parametros!$B$2*H356))/2)/1000000</f>
        <v>211.34948347058827</v>
      </c>
      <c r="X356" s="13" t="str">
        <f t="shared" si="65"/>
        <v>CUMPLE</v>
      </c>
      <c r="Y356" s="13">
        <f>MAX(MAX(1.4/[1]Parametros!$B$3,0.25*SQRT([1]Parametros!$B$2)/[1]Parametros!$B$3)*H356*AB356,(0.85*[1]Parametros!$B$2/[1]Parametros!$B$3)*(1-SQRT(1-2*(L356*1000000/([1]Parametros!$B$5*H356*AB356^2))/(0.85*[1]Parametros!$B$2)))*H356*AB356)</f>
        <v>815.58333333333326</v>
      </c>
      <c r="Z356" s="14">
        <v>5</v>
      </c>
      <c r="AA356" s="14">
        <v>1</v>
      </c>
      <c r="AB356" s="13">
        <f>IF(AA356=1,I356-([1]Parametros!$B$7+[1]Parametros!$B$9+[1]Parametros!$B$12/2),I356-(ROUNDUP(Z356/2,0)*([1]Parametros!$B$7+[1]Parametros!$B$9+[1]Parametros!$B$12/2)+ROUNDDOWN(Z356/2,0)*([1]Parametros!$B$7+[1]Parametros!$B$9+[1]Parametros!$B$12/2+[1]Parametros!$B$12+[1]Parametros!$B$10))/Z356)</f>
        <v>489.35</v>
      </c>
      <c r="AC356" s="13">
        <f>Z356*[1]Parametros!$B$8</f>
        <v>995</v>
      </c>
      <c r="AD356" s="13">
        <f>[1]Parametros!$B$5*AC356*[1]Parametros!$B$3*(AB356-(AC356*[1]Parametros!$B$3/(0.85*[1]Parametros!$B$2*H356))/2)/1000000</f>
        <v>177.44537938235294</v>
      </c>
      <c r="AE356" s="13" t="str">
        <f t="shared" si="66"/>
        <v>CUMPLE</v>
      </c>
      <c r="AF356" s="13">
        <f>V356*1.25*[1]Parametros!$B$3*(U356-(V356*1.25*[1]Parametros!$B$3/(0.85*[1]Parametros!$B$2*H356))/2)/1000000</f>
        <v>290.23892470588237</v>
      </c>
      <c r="AG356" s="13">
        <f>AC356*1.25*[1]Parametros!$B$3*(AB356-(AC356*1.25*[1]Parametros!$B$3/(0.85*[1]Parametros!$B$2*H356))/2)/1000000</f>
        <v>244.15884319852941</v>
      </c>
      <c r="AH356" s="13">
        <f t="shared" si="67"/>
        <v>312.59662563195587</v>
      </c>
      <c r="AI356" s="13">
        <f t="shared" si="68"/>
        <v>429.85500000000002</v>
      </c>
      <c r="AJ356" s="13">
        <f>0.17*SQRT([1]Parametros!$B$2)*H356*MIN(U356,AB356)/1000</f>
        <v>220.09872869180776</v>
      </c>
      <c r="AK356" s="13">
        <f>MAX(AI356/[1]Parametros!$B$6-AJ356,0)</f>
        <v>353.04127130819222</v>
      </c>
      <c r="AL356" s="13">
        <f>0.66*SQRT([1]Parametros!$B$2)*H356*MIN(U356,AB356)/1000</f>
        <v>854.500946685842</v>
      </c>
      <c r="AM356" s="13" t="str">
        <f t="shared" si="69"/>
        <v>CUMPLE</v>
      </c>
      <c r="AN356" s="13" t="s">
        <v>68</v>
      </c>
      <c r="AO356" s="14">
        <v>2</v>
      </c>
      <c r="AP356" s="13">
        <f>ROUNDDOWN(MIN(IF(BC356+BD356=0,1000000000,AO356*BB356/(BC356+BD356)),MIN(U356,AB356)/4,8*[1]Parametros!$B$12,24*BA356,300,IF(AV356=0,1000000000,2*((H356-2*([1]Parametros!$B$7+[1]Parametros!$B$9/2))+(I356-2*([1]Parametros!$B$7+[1]Parametros!$B$9/2)))/8))/10,0)*10</f>
        <v>80</v>
      </c>
      <c r="AQ356" s="13">
        <f>ROUNDDOWN(MIN(IF(BC356+BD356=0,1000000000,AO356*BB356/(BC356+BD356)),IF(AK356&gt;0.33*SQRT([1]Parametros!$B$2)*H356*MIN(U356,AB356)/1000,MIN(U356,AB356)/4,MIN(U356,AB356)/2),600,IF(AV356=0,1000000000,2*((H356-2*([1]Parametros!$B$7+[1]Parametros!$B$9/2))+(I356-2*([1]Parametros!$B$7+[1]Parametros!$B$9/2)))/8))/10,0)*10</f>
        <v>80</v>
      </c>
      <c r="AR356" s="13">
        <f>[1]Parametros!$B$6*(AJ356+MAX(BE356-BD356,0)*[1]Parametros!$B$4*MIN(U356,AB356)/1000)</f>
        <v>479.1864280389193</v>
      </c>
      <c r="AS356" s="13" t="str">
        <f t="shared" si="70"/>
        <v>CUMPLE</v>
      </c>
      <c r="AT356" s="13">
        <f>[1]Parametros!$B$6*0.083*SQRT([1]Parametros!$B$2)*(H356*I356)^2/(2*(H356+I356))/1000000</f>
        <v>11.862178757598967</v>
      </c>
      <c r="AU356" s="13" t="str">
        <f t="shared" si="71"/>
        <v>DISEÑAR</v>
      </c>
      <c r="AV356" s="13">
        <f>IF(Q356&lt;=AT356,0,Q356*1000000/([1]Parametros!$B$6*2*0.85*(H356-2*([1]Parametros!$B$7+[1]Parametros!$B$9/2))*(I356-2*([1]Parametros!$B$7+[1]Parametros!$B$9/2))*[1]Parametros!$B$4))</f>
        <v>0.59361559869647795</v>
      </c>
      <c r="AW356" s="13">
        <f>AV356*2*((H356-2*([1]Parametros!$B$7+[1]Parametros!$B$9/2))+(I356-2*([1]Parametros!$B$7+[1]Parametros!$B$9/2)))*[1]Parametros!$B$4/[1]Parametros!$B$3</f>
        <v>1026.4800932659498</v>
      </c>
      <c r="AX356" s="14">
        <v>8</v>
      </c>
      <c r="AY356" s="13" t="str">
        <f t="shared" si="72"/>
        <v>CUMPLE</v>
      </c>
      <c r="AZ356" s="13" t="str">
        <f t="shared" si="73"/>
        <v>CUMPLE</v>
      </c>
      <c r="BA356" s="14">
        <v>12.7</v>
      </c>
      <c r="BB356" s="14">
        <v>129</v>
      </c>
      <c r="BC356" s="13">
        <f>MAX(IF(AK356=0,0,AK356*1000/([1]Parametros!$B$4*MIN(U356,AB356))),MAX(0.062*SQRT([1]Parametros!$B$2)*H356/[1]Parametros!$B$4,0.35*H356/[1]Parametros!$B$4))</f>
        <v>1.7177367027601835</v>
      </c>
      <c r="BD356" s="13">
        <f t="shared" si="74"/>
        <v>1.1872311973929559</v>
      </c>
      <c r="BE356" s="13">
        <f t="shared" si="75"/>
        <v>3.2250000000000001</v>
      </c>
      <c r="BF356" s="13">
        <f>SQRT((AI356*1000/(H356*MIN(U356,AB356)))^2+(Q356*1000000*2*((H356-2*([1]Parametros!$B$7+[1]Parametros!$B$9/2))+(I356-2*([1]Parametros!$B$7+[1]Parametros!$B$9/2)))/(1.7*((H356-2*([1]Parametros!$B$7+[1]Parametros!$B$9/2))*(I356-2*([1]Parametros!$B$7+[1]Parametros!$B$9/2)))^2))^2)</f>
        <v>2.4698433810632028</v>
      </c>
      <c r="BG356" s="13">
        <f>[1]Parametros!$B$6*(AJ356*1000/(H356*MIN(U356,AB356))+0.66*SQRT([1]Parametros!$B$2))</f>
        <v>3.2939603822754151</v>
      </c>
      <c r="BH356" s="13" t="str">
        <f t="shared" si="76"/>
        <v>CUMPLE</v>
      </c>
      <c r="BI356" s="13">
        <f>AX356*[1]Parametros!$B$8</f>
        <v>1592</v>
      </c>
      <c r="BJ356" s="15" t="str">
        <f t="shared" si="77"/>
        <v>CUMPLE</v>
      </c>
    </row>
    <row r="357" spans="1:62" x14ac:dyDescent="0.3">
      <c r="A357" s="33" t="s">
        <v>76</v>
      </c>
      <c r="B357" s="34">
        <v>22</v>
      </c>
      <c r="C357" s="13">
        <v>1</v>
      </c>
      <c r="D357" s="13">
        <v>2</v>
      </c>
      <c r="E357" s="13">
        <v>2</v>
      </c>
      <c r="F357" s="13">
        <v>500</v>
      </c>
      <c r="G357" s="13">
        <v>550</v>
      </c>
      <c r="H357" s="13">
        <v>500</v>
      </c>
      <c r="I357" s="13">
        <v>550</v>
      </c>
      <c r="J357" s="14">
        <v>232.39869999999999</v>
      </c>
      <c r="K357" s="13">
        <v>22</v>
      </c>
      <c r="L357" s="14">
        <v>173.9838</v>
      </c>
      <c r="M357" s="13">
        <v>22</v>
      </c>
      <c r="N357" s="14">
        <v>186.55799999999999</v>
      </c>
      <c r="O357" s="14">
        <v>745.61300000000006</v>
      </c>
      <c r="P357" s="13">
        <v>22</v>
      </c>
      <c r="Q357" s="14">
        <v>9.202</v>
      </c>
      <c r="R357" s="13">
        <f>MAX(MAX(1.4/[1]Parametros!$B$3,0.25*SQRT([1]Parametros!$B$2)/[1]Parametros!$B$3)*H357*U357,(0.85*[1]Parametros!$B$2/[1]Parametros!$B$3)*(1-SQRT(1-2*(J357*1000000/([1]Parametros!$B$5*H357*U357^2))/(0.85*[1]Parametros!$B$2)))*H357*U357)</f>
        <v>1319.1363845904195</v>
      </c>
      <c r="S357" s="14">
        <v>7</v>
      </c>
      <c r="T357" s="14">
        <v>1</v>
      </c>
      <c r="U357" s="13">
        <f>IF(T357=1,I357-([1]Parametros!$B$7+[1]Parametros!$B$9+[1]Parametros!$B$12/2),I357-(ROUNDUP(S357/2,0)*([1]Parametros!$B$7+[1]Parametros!$B$9+[1]Parametros!$B$12/2)+ROUNDDOWN(S357/2,0)*([1]Parametros!$B$7+[1]Parametros!$B$9+[1]Parametros!$B$12/2+[1]Parametros!$B$12+[1]Parametros!$B$10))/S357)</f>
        <v>489.35</v>
      </c>
      <c r="V357" s="13">
        <f>S357*[1]Parametros!$B$8</f>
        <v>1393</v>
      </c>
      <c r="W357" s="13">
        <f>[1]Parametros!$B$5*V357*[1]Parametros!$B$3*(U357-(V357*[1]Parametros!$B$3/(0.85*[1]Parametros!$B$2*H357))/2)/1000000</f>
        <v>244.72526362941178</v>
      </c>
      <c r="X357" s="13" t="str">
        <f t="shared" si="65"/>
        <v>CUMPLE</v>
      </c>
      <c r="Y357" s="13">
        <f>MAX(MAX(1.4/[1]Parametros!$B$3,0.25*SQRT([1]Parametros!$B$2)/[1]Parametros!$B$3)*H357*AB357,(0.85*[1]Parametros!$B$2/[1]Parametros!$B$3)*(1-SQRT(1-2*(L357*1000000/([1]Parametros!$B$5*H357*AB357^2))/(0.85*[1]Parametros!$B$2)))*H357*AB357)</f>
        <v>974.85512063890496</v>
      </c>
      <c r="Z357" s="14">
        <v>5</v>
      </c>
      <c r="AA357" s="14">
        <v>1</v>
      </c>
      <c r="AB357" s="13">
        <f>IF(AA357=1,I357-([1]Parametros!$B$7+[1]Parametros!$B$9+[1]Parametros!$B$12/2),I357-(ROUNDUP(Z357/2,0)*([1]Parametros!$B$7+[1]Parametros!$B$9+[1]Parametros!$B$12/2)+ROUNDDOWN(Z357/2,0)*([1]Parametros!$B$7+[1]Parametros!$B$9+[1]Parametros!$B$12/2+[1]Parametros!$B$12+[1]Parametros!$B$10))/Z357)</f>
        <v>489.35</v>
      </c>
      <c r="AC357" s="13">
        <f>Z357*[1]Parametros!$B$8</f>
        <v>995</v>
      </c>
      <c r="AD357" s="13">
        <f>[1]Parametros!$B$5*AC357*[1]Parametros!$B$3*(AB357-(AC357*[1]Parametros!$B$3/(0.85*[1]Parametros!$B$2*H357))/2)/1000000</f>
        <v>177.44537938235294</v>
      </c>
      <c r="AE357" s="13" t="str">
        <f t="shared" si="66"/>
        <v>CUMPLE</v>
      </c>
      <c r="AF357" s="13">
        <f>V357*1.25*[1]Parametros!$B$3*(U357-(V357*1.25*[1]Parametros!$B$3/(0.85*[1]Parametros!$B$2*H357))/2)/1000000</f>
        <v>335.40177716911762</v>
      </c>
      <c r="AG357" s="13">
        <f>AC357*1.25*[1]Parametros!$B$3*(AB357-(AC357*1.25*[1]Parametros!$B$3/(0.85*[1]Parametros!$B$2*H357))/2)/1000000</f>
        <v>244.15884319852941</v>
      </c>
      <c r="AH357" s="13">
        <f t="shared" si="67"/>
        <v>476.33831018382352</v>
      </c>
      <c r="AI357" s="13">
        <f t="shared" si="68"/>
        <v>745.61300000000006</v>
      </c>
      <c r="AJ357" s="13">
        <f>0.17*SQRT([1]Parametros!$B$2)*H357*MIN(U357,AB357)/1000</f>
        <v>220.09872869180776</v>
      </c>
      <c r="AK357" s="13">
        <f>MAX(AI357/[1]Parametros!$B$6-AJ357,0)</f>
        <v>774.05193797485902</v>
      </c>
      <c r="AL357" s="13">
        <f>0.66*SQRT([1]Parametros!$B$2)*H357*MIN(U357,AB357)/1000</f>
        <v>854.500946685842</v>
      </c>
      <c r="AM357" s="13" t="str">
        <f t="shared" si="69"/>
        <v>CUMPLE</v>
      </c>
      <c r="AN357" s="13" t="s">
        <v>68</v>
      </c>
      <c r="AO357" s="14">
        <v>4</v>
      </c>
      <c r="AP357" s="13">
        <f>ROUNDDOWN(MIN(IF(BC357+BD357=0,1000000000,AO357*BB357/(BC357+BD357)),MIN(U357,AB357)/4,8*[1]Parametros!$B$12,24*BA357,300,IF(AV357=0,1000000000,2*((H357-2*([1]Parametros!$B$7+[1]Parametros!$B$9/2))+(I357-2*([1]Parametros!$B$7+[1]Parametros!$B$9/2)))/8))/10,0)*10</f>
        <v>120</v>
      </c>
      <c r="AQ357" s="13">
        <f>ROUNDDOWN(MIN(IF(BC357+BD357=0,1000000000,AO357*BB357/(BC357+BD357)),IF(AK357&gt;0.33*SQRT([1]Parametros!$B$2)*H357*MIN(U357,AB357)/1000,MIN(U357,AB357)/4,MIN(U357,AB357)/2),600,IF(AV357=0,1000000000,2*((H357-2*([1]Parametros!$B$7+[1]Parametros!$B$9/2))+(I357-2*([1]Parametros!$B$7+[1]Parametros!$B$9/2)))/8))/10,0)*10</f>
        <v>120</v>
      </c>
      <c r="AR357" s="13">
        <f>[1]Parametros!$B$6*(AJ357+MAX(BE357-BD357,0)*[1]Parametros!$B$4*MIN(U357,AB357)/1000)</f>
        <v>827.89862151885586</v>
      </c>
      <c r="AS357" s="13" t="str">
        <f t="shared" si="70"/>
        <v>CUMPLE</v>
      </c>
      <c r="AT357" s="13">
        <f>[1]Parametros!$B$6*0.083*SQRT([1]Parametros!$B$2)*(H357*I357)^2/(2*(H357+I357))/1000000</f>
        <v>11.862178757598967</v>
      </c>
      <c r="AU357" s="13" t="str">
        <f t="shared" si="71"/>
        <v>DESPRECIABLE</v>
      </c>
      <c r="AV357" s="13">
        <f>IF(Q357&lt;=AT357,0,Q357*1000000/([1]Parametros!$B$6*2*0.85*(H357-2*([1]Parametros!$B$7+[1]Parametros!$B$9/2))*(I357-2*([1]Parametros!$B$7+[1]Parametros!$B$9/2))*[1]Parametros!$B$4))</f>
        <v>0</v>
      </c>
      <c r="AW357" s="13">
        <f>AV357*2*((H357-2*([1]Parametros!$B$7+[1]Parametros!$B$9/2))+(I357-2*([1]Parametros!$B$7+[1]Parametros!$B$9/2)))*[1]Parametros!$B$4/[1]Parametros!$B$3</f>
        <v>0</v>
      </c>
      <c r="AX357" s="14">
        <v>0</v>
      </c>
      <c r="AY357" s="13" t="str">
        <f t="shared" si="72"/>
        <v>DESPRECIABLE</v>
      </c>
      <c r="AZ357" s="13" t="str">
        <f t="shared" si="73"/>
        <v>CUMPLE</v>
      </c>
      <c r="BA357" s="14">
        <v>12.7</v>
      </c>
      <c r="BB357" s="14">
        <v>129</v>
      </c>
      <c r="BC357" s="13">
        <f>MAX(IF(AK357=0,0,AK357*1000/([1]Parametros!$B$4*MIN(U357,AB357))),MAX(0.062*SQRT([1]Parametros!$B$2)*H357/[1]Parametros!$B$4,0.35*H357/[1]Parametros!$B$4))</f>
        <v>3.7661812704649948</v>
      </c>
      <c r="BD357" s="13">
        <f t="shared" si="74"/>
        <v>0</v>
      </c>
      <c r="BE357" s="13">
        <f t="shared" si="75"/>
        <v>4.3</v>
      </c>
      <c r="BF357" s="13">
        <f>SQRT((AI357*1000/(H357*MIN(U357,AB357)))^2+(Q357*1000000*2*((H357-2*([1]Parametros!$B$7+[1]Parametros!$B$9/2))+(I357-2*([1]Parametros!$B$7+[1]Parametros!$B$9/2)))/(1.7*((H357-2*([1]Parametros!$B$7+[1]Parametros!$B$9/2))*(I357-2*([1]Parametros!$B$7+[1]Parametros!$B$9/2)))^2))^2)</f>
        <v>3.0592812213123648</v>
      </c>
      <c r="BG357" s="13">
        <f>[1]Parametros!$B$6*(AJ357*1000/(H357*MIN(U357,AB357))+0.66*SQRT([1]Parametros!$B$2))</f>
        <v>3.2939603822754151</v>
      </c>
      <c r="BH357" s="13" t="str">
        <f t="shared" si="76"/>
        <v>CUMPLE</v>
      </c>
      <c r="BI357" s="13">
        <f>AX357*[1]Parametros!$B$8</f>
        <v>0</v>
      </c>
      <c r="BJ357" s="15" t="str">
        <f t="shared" si="77"/>
        <v>CUMPLE</v>
      </c>
    </row>
    <row r="358" spans="1:62" x14ac:dyDescent="0.3">
      <c r="A358" s="33" t="s">
        <v>76</v>
      </c>
      <c r="B358" s="34">
        <v>33</v>
      </c>
      <c r="C358" s="13">
        <v>1</v>
      </c>
      <c r="D358" s="13">
        <v>2</v>
      </c>
      <c r="E358" s="13">
        <v>2</v>
      </c>
      <c r="F358" s="13">
        <v>500</v>
      </c>
      <c r="G358" s="13">
        <v>550</v>
      </c>
      <c r="H358" s="13">
        <v>500</v>
      </c>
      <c r="I358" s="13">
        <v>550</v>
      </c>
      <c r="J358" s="14">
        <v>232.47190000000001</v>
      </c>
      <c r="K358" s="13">
        <v>33</v>
      </c>
      <c r="L358" s="14">
        <v>173.93979999999999</v>
      </c>
      <c r="M358" s="13">
        <v>33</v>
      </c>
      <c r="N358" s="14">
        <v>186.60900000000001</v>
      </c>
      <c r="O358" s="14">
        <v>745.66200000000003</v>
      </c>
      <c r="P358" s="13">
        <v>33</v>
      </c>
      <c r="Q358" s="14">
        <v>9.2035</v>
      </c>
      <c r="R358" s="13">
        <f>MAX(MAX(1.4/[1]Parametros!$B$3,0.25*SQRT([1]Parametros!$B$2)/[1]Parametros!$B$3)*H358*U358,(0.85*[1]Parametros!$B$2/[1]Parametros!$B$3)*(1-SQRT(1-2*(J358*1000000/([1]Parametros!$B$5*H358*U358^2))/(0.85*[1]Parametros!$B$2)))*H358*U358)</f>
        <v>1319.5737322882048</v>
      </c>
      <c r="S358" s="14">
        <v>7</v>
      </c>
      <c r="T358" s="14">
        <v>1</v>
      </c>
      <c r="U358" s="13">
        <f>IF(T358=1,I358-([1]Parametros!$B$7+[1]Parametros!$B$9+[1]Parametros!$B$12/2),I358-(ROUNDUP(S358/2,0)*([1]Parametros!$B$7+[1]Parametros!$B$9+[1]Parametros!$B$12/2)+ROUNDDOWN(S358/2,0)*([1]Parametros!$B$7+[1]Parametros!$B$9+[1]Parametros!$B$12/2+[1]Parametros!$B$12+[1]Parametros!$B$10))/S358)</f>
        <v>489.35</v>
      </c>
      <c r="V358" s="13">
        <f>S358*[1]Parametros!$B$8</f>
        <v>1393</v>
      </c>
      <c r="W358" s="13">
        <f>[1]Parametros!$B$5*V358*[1]Parametros!$B$3*(U358-(V358*[1]Parametros!$B$3/(0.85*[1]Parametros!$B$2*H358))/2)/1000000</f>
        <v>244.72526362941178</v>
      </c>
      <c r="X358" s="13" t="str">
        <f t="shared" si="65"/>
        <v>CUMPLE</v>
      </c>
      <c r="Y358" s="13">
        <f>MAX(MAX(1.4/[1]Parametros!$B$3,0.25*SQRT([1]Parametros!$B$2)/[1]Parametros!$B$3)*H358*AB358,(0.85*[1]Parametros!$B$2/[1]Parametros!$B$3)*(1-SQRT(1-2*(L358*1000000/([1]Parametros!$B$5*H358*AB358^2))/(0.85*[1]Parametros!$B$2)))*H358*AB358)</f>
        <v>974.59926249414434</v>
      </c>
      <c r="Z358" s="14">
        <v>5</v>
      </c>
      <c r="AA358" s="14">
        <v>1</v>
      </c>
      <c r="AB358" s="13">
        <f>IF(AA358=1,I358-([1]Parametros!$B$7+[1]Parametros!$B$9+[1]Parametros!$B$12/2),I358-(ROUNDUP(Z358/2,0)*([1]Parametros!$B$7+[1]Parametros!$B$9+[1]Parametros!$B$12/2)+ROUNDDOWN(Z358/2,0)*([1]Parametros!$B$7+[1]Parametros!$B$9+[1]Parametros!$B$12/2+[1]Parametros!$B$12+[1]Parametros!$B$10))/Z358)</f>
        <v>489.35</v>
      </c>
      <c r="AC358" s="13">
        <f>Z358*[1]Parametros!$B$8</f>
        <v>995</v>
      </c>
      <c r="AD358" s="13">
        <f>[1]Parametros!$B$5*AC358*[1]Parametros!$B$3*(AB358-(AC358*[1]Parametros!$B$3/(0.85*[1]Parametros!$B$2*H358))/2)/1000000</f>
        <v>177.44537938235294</v>
      </c>
      <c r="AE358" s="13" t="str">
        <f t="shared" si="66"/>
        <v>CUMPLE</v>
      </c>
      <c r="AF358" s="13">
        <f>V358*1.25*[1]Parametros!$B$3*(U358-(V358*1.25*[1]Parametros!$B$3/(0.85*[1]Parametros!$B$2*H358))/2)/1000000</f>
        <v>335.40177716911762</v>
      </c>
      <c r="AG358" s="13">
        <f>AC358*1.25*[1]Parametros!$B$3*(AB358-(AC358*1.25*[1]Parametros!$B$3/(0.85*[1]Parametros!$B$2*H358))/2)/1000000</f>
        <v>244.15884319852941</v>
      </c>
      <c r="AH358" s="13">
        <f t="shared" si="67"/>
        <v>476.38931018382357</v>
      </c>
      <c r="AI358" s="13">
        <f t="shared" si="68"/>
        <v>745.66200000000003</v>
      </c>
      <c r="AJ358" s="13">
        <f>0.17*SQRT([1]Parametros!$B$2)*H358*MIN(U358,AB358)/1000</f>
        <v>220.09872869180776</v>
      </c>
      <c r="AK358" s="13">
        <f>MAX(AI358/[1]Parametros!$B$6-AJ358,0)</f>
        <v>774.11727130819224</v>
      </c>
      <c r="AL358" s="13">
        <f>0.66*SQRT([1]Parametros!$B$2)*H358*MIN(U358,AB358)/1000</f>
        <v>854.500946685842</v>
      </c>
      <c r="AM358" s="13" t="str">
        <f t="shared" si="69"/>
        <v>CUMPLE</v>
      </c>
      <c r="AN358" s="13" t="s">
        <v>68</v>
      </c>
      <c r="AO358" s="14">
        <v>4</v>
      </c>
      <c r="AP358" s="13">
        <f>ROUNDDOWN(MIN(IF(BC358+BD358=0,1000000000,AO358*BB358/(BC358+BD358)),MIN(U358,AB358)/4,8*[1]Parametros!$B$12,24*BA358,300,IF(AV358=0,1000000000,2*((H358-2*([1]Parametros!$B$7+[1]Parametros!$B$9/2))+(I358-2*([1]Parametros!$B$7+[1]Parametros!$B$9/2)))/8))/10,0)*10</f>
        <v>120</v>
      </c>
      <c r="AQ358" s="13">
        <f>ROUNDDOWN(MIN(IF(BC358+BD358=0,1000000000,AO358*BB358/(BC358+BD358)),IF(AK358&gt;0.33*SQRT([1]Parametros!$B$2)*H358*MIN(U358,AB358)/1000,MIN(U358,AB358)/4,MIN(U358,AB358)/2),600,IF(AV358=0,1000000000,2*((H358-2*([1]Parametros!$B$7+[1]Parametros!$B$9/2))+(I358-2*([1]Parametros!$B$7+[1]Parametros!$B$9/2)))/8))/10,0)*10</f>
        <v>120</v>
      </c>
      <c r="AR358" s="13">
        <f>[1]Parametros!$B$6*(AJ358+MAX(BE358-BD358,0)*[1]Parametros!$B$4*MIN(U358,AB358)/1000)</f>
        <v>827.89862151885586</v>
      </c>
      <c r="AS358" s="13" t="str">
        <f t="shared" si="70"/>
        <v>CUMPLE</v>
      </c>
      <c r="AT358" s="13">
        <f>[1]Parametros!$B$6*0.083*SQRT([1]Parametros!$B$2)*(H358*I358)^2/(2*(H358+I358))/1000000</f>
        <v>11.862178757598967</v>
      </c>
      <c r="AU358" s="13" t="str">
        <f t="shared" si="71"/>
        <v>DESPRECIABLE</v>
      </c>
      <c r="AV358" s="13">
        <f>IF(Q358&lt;=AT358,0,Q358*1000000/([1]Parametros!$B$6*2*0.85*(H358-2*([1]Parametros!$B$7+[1]Parametros!$B$9/2))*(I358-2*([1]Parametros!$B$7+[1]Parametros!$B$9/2))*[1]Parametros!$B$4))</f>
        <v>0</v>
      </c>
      <c r="AW358" s="13">
        <f>AV358*2*((H358-2*([1]Parametros!$B$7+[1]Parametros!$B$9/2))+(I358-2*([1]Parametros!$B$7+[1]Parametros!$B$9/2)))*[1]Parametros!$B$4/[1]Parametros!$B$3</f>
        <v>0</v>
      </c>
      <c r="AX358" s="14">
        <v>0</v>
      </c>
      <c r="AY358" s="13" t="str">
        <f t="shared" si="72"/>
        <v>DESPRECIABLE</v>
      </c>
      <c r="AZ358" s="13" t="str">
        <f t="shared" si="73"/>
        <v>CUMPLE</v>
      </c>
      <c r="BA358" s="14">
        <v>12.7</v>
      </c>
      <c r="BB358" s="14">
        <v>129</v>
      </c>
      <c r="BC358" s="13">
        <f>MAX(IF(AK358=0,0,AK358*1000/([1]Parametros!$B$4*MIN(U358,AB358))),MAX(0.062*SQRT([1]Parametros!$B$2)*H358/[1]Parametros!$B$4,0.35*H358/[1]Parametros!$B$4))</f>
        <v>3.7664991524626559</v>
      </c>
      <c r="BD358" s="13">
        <f t="shared" si="74"/>
        <v>0</v>
      </c>
      <c r="BE358" s="13">
        <f t="shared" si="75"/>
        <v>4.3</v>
      </c>
      <c r="BF358" s="13">
        <f>SQRT((AI358*1000/(H358*MIN(U358,AB358)))^2+(Q358*1000000*2*((H358-2*([1]Parametros!$B$7+[1]Parametros!$B$9/2))+(I358-2*([1]Parametros!$B$7+[1]Parametros!$B$9/2)))/(1.7*((H358-2*([1]Parametros!$B$7+[1]Parametros!$B$9/2))*(I358-2*([1]Parametros!$B$7+[1]Parametros!$B$9/2)))^2))^2)</f>
        <v>3.0594845854336215</v>
      </c>
      <c r="BG358" s="13">
        <f>[1]Parametros!$B$6*(AJ358*1000/(H358*MIN(U358,AB358))+0.66*SQRT([1]Parametros!$B$2))</f>
        <v>3.2939603822754151</v>
      </c>
      <c r="BH358" s="13" t="str">
        <f t="shared" si="76"/>
        <v>CUMPLE</v>
      </c>
      <c r="BI358" s="13">
        <f>AX358*[1]Parametros!$B$8</f>
        <v>0</v>
      </c>
      <c r="BJ358" s="15" t="str">
        <f t="shared" si="77"/>
        <v>CUMPLE</v>
      </c>
    </row>
    <row r="359" spans="1:62" x14ac:dyDescent="0.3">
      <c r="A359" s="33" t="s">
        <v>76</v>
      </c>
      <c r="B359" s="34">
        <v>34</v>
      </c>
      <c r="C359" s="13">
        <v>1</v>
      </c>
      <c r="D359" s="13">
        <v>3.05308</v>
      </c>
      <c r="E359" s="13">
        <v>3.05308</v>
      </c>
      <c r="F359" s="13">
        <v>500</v>
      </c>
      <c r="G359" s="13">
        <v>550</v>
      </c>
      <c r="H359" s="13">
        <v>500</v>
      </c>
      <c r="I359" s="13">
        <v>550</v>
      </c>
      <c r="J359" s="14">
        <v>186.16200000000001</v>
      </c>
      <c r="K359" s="13">
        <v>34</v>
      </c>
      <c r="L359" s="14">
        <v>124.4027</v>
      </c>
      <c r="M359" s="13">
        <v>34</v>
      </c>
      <c r="N359" s="14">
        <v>137.52799999999999</v>
      </c>
      <c r="O359" s="14">
        <v>429.81700000000001</v>
      </c>
      <c r="P359" s="13">
        <v>34</v>
      </c>
      <c r="Q359" s="14">
        <v>59.208100000000002</v>
      </c>
      <c r="R359" s="13">
        <f>MAX(MAX(1.4/[1]Parametros!$B$3,0.25*SQRT([1]Parametros!$B$2)/[1]Parametros!$B$3)*H359*U359,(0.85*[1]Parametros!$B$2/[1]Parametros!$B$3)*(1-SQRT(1-2*(J359*1000000/([1]Parametros!$B$5*H359*U359^2))/(0.85*[1]Parametros!$B$2)))*H359*U359)</f>
        <v>1045.8671474656626</v>
      </c>
      <c r="S359" s="14">
        <v>6</v>
      </c>
      <c r="T359" s="14">
        <v>1</v>
      </c>
      <c r="U359" s="13">
        <f>IF(T359=1,I359-([1]Parametros!$B$7+[1]Parametros!$B$9+[1]Parametros!$B$12/2),I359-(ROUNDUP(S359/2,0)*([1]Parametros!$B$7+[1]Parametros!$B$9+[1]Parametros!$B$12/2)+ROUNDDOWN(S359/2,0)*([1]Parametros!$B$7+[1]Parametros!$B$9+[1]Parametros!$B$12/2+[1]Parametros!$B$12+[1]Parametros!$B$10))/S359)</f>
        <v>489.35</v>
      </c>
      <c r="V359" s="13">
        <f>S359*[1]Parametros!$B$8</f>
        <v>1194</v>
      </c>
      <c r="W359" s="13">
        <f>[1]Parametros!$B$5*V359*[1]Parametros!$B$3*(U359-(V359*[1]Parametros!$B$3/(0.85*[1]Parametros!$B$2*H359))/2)/1000000</f>
        <v>211.34948347058827</v>
      </c>
      <c r="X359" s="13" t="str">
        <f t="shared" si="65"/>
        <v>CUMPLE</v>
      </c>
      <c r="Y359" s="13">
        <f>MAX(MAX(1.4/[1]Parametros!$B$3,0.25*SQRT([1]Parametros!$B$2)/[1]Parametros!$B$3)*H359*AB359,(0.85*[1]Parametros!$B$2/[1]Parametros!$B$3)*(1-SQRT(1-2*(L359*1000000/([1]Parametros!$B$5*H359*AB359^2))/(0.85*[1]Parametros!$B$2)))*H359*AB359)</f>
        <v>815.58333333333326</v>
      </c>
      <c r="Z359" s="14">
        <v>5</v>
      </c>
      <c r="AA359" s="14">
        <v>1</v>
      </c>
      <c r="AB359" s="13">
        <f>IF(AA359=1,I359-([1]Parametros!$B$7+[1]Parametros!$B$9+[1]Parametros!$B$12/2),I359-(ROUNDUP(Z359/2,0)*([1]Parametros!$B$7+[1]Parametros!$B$9+[1]Parametros!$B$12/2)+ROUNDDOWN(Z359/2,0)*([1]Parametros!$B$7+[1]Parametros!$B$9+[1]Parametros!$B$12/2+[1]Parametros!$B$12+[1]Parametros!$B$10))/Z359)</f>
        <v>489.35</v>
      </c>
      <c r="AC359" s="13">
        <f>Z359*[1]Parametros!$B$8</f>
        <v>995</v>
      </c>
      <c r="AD359" s="13">
        <f>[1]Parametros!$B$5*AC359*[1]Parametros!$B$3*(AB359-(AC359*[1]Parametros!$B$3/(0.85*[1]Parametros!$B$2*H359))/2)/1000000</f>
        <v>177.44537938235294</v>
      </c>
      <c r="AE359" s="13" t="str">
        <f t="shared" si="66"/>
        <v>CUMPLE</v>
      </c>
      <c r="AF359" s="13">
        <f>V359*1.25*[1]Parametros!$B$3*(U359-(V359*1.25*[1]Parametros!$B$3/(0.85*[1]Parametros!$B$2*H359))/2)/1000000</f>
        <v>290.23892470588237</v>
      </c>
      <c r="AG359" s="13">
        <f>AC359*1.25*[1]Parametros!$B$3*(AB359-(AC359*1.25*[1]Parametros!$B$3/(0.85*[1]Parametros!$B$2*H359))/2)/1000000</f>
        <v>244.15884319852941</v>
      </c>
      <c r="AH359" s="13">
        <f t="shared" si="67"/>
        <v>312.56362563195586</v>
      </c>
      <c r="AI359" s="13">
        <f t="shared" si="68"/>
        <v>429.81700000000001</v>
      </c>
      <c r="AJ359" s="13">
        <f>0.17*SQRT([1]Parametros!$B$2)*H359*MIN(U359,AB359)/1000</f>
        <v>220.09872869180776</v>
      </c>
      <c r="AK359" s="13">
        <f>MAX(AI359/[1]Parametros!$B$6-AJ359,0)</f>
        <v>352.99060464152558</v>
      </c>
      <c r="AL359" s="13">
        <f>0.66*SQRT([1]Parametros!$B$2)*H359*MIN(U359,AB359)/1000</f>
        <v>854.500946685842</v>
      </c>
      <c r="AM359" s="13" t="str">
        <f t="shared" si="69"/>
        <v>CUMPLE</v>
      </c>
      <c r="AN359" s="13" t="s">
        <v>68</v>
      </c>
      <c r="AO359" s="14">
        <v>2</v>
      </c>
      <c r="AP359" s="13">
        <f>ROUNDDOWN(MIN(IF(BC359+BD359=0,1000000000,AO359*BB359/(BC359+BD359)),MIN(U359,AB359)/4,8*[1]Parametros!$B$12,24*BA359,300,IF(AV359=0,1000000000,2*((H359-2*([1]Parametros!$B$7+[1]Parametros!$B$9/2))+(I359-2*([1]Parametros!$B$7+[1]Parametros!$B$9/2)))/8))/10,0)*10</f>
        <v>80</v>
      </c>
      <c r="AQ359" s="13">
        <f>ROUNDDOWN(MIN(IF(BC359+BD359=0,1000000000,AO359*BB359/(BC359+BD359)),IF(AK359&gt;0.33*SQRT([1]Parametros!$B$2)*H359*MIN(U359,AB359)/1000,MIN(U359,AB359)/4,MIN(U359,AB359)/2),600,IF(AV359=0,1000000000,2*((H359-2*([1]Parametros!$B$7+[1]Parametros!$B$9/2))+(I359-2*([1]Parametros!$B$7+[1]Parametros!$B$9/2)))/8))/10,0)*10</f>
        <v>80</v>
      </c>
      <c r="AR359" s="13">
        <f>[1]Parametros!$B$6*(AJ359+MAX(BE359-BD359,0)*[1]Parametros!$B$4*MIN(U359,AB359)/1000)</f>
        <v>479.18611894884748</v>
      </c>
      <c r="AS359" s="13" t="str">
        <f t="shared" si="70"/>
        <v>CUMPLE</v>
      </c>
      <c r="AT359" s="13">
        <f>[1]Parametros!$B$6*0.083*SQRT([1]Parametros!$B$2)*(H359*I359)^2/(2*(H359+I359))/1000000</f>
        <v>11.862178757598967</v>
      </c>
      <c r="AU359" s="13" t="str">
        <f t="shared" si="71"/>
        <v>DISEÑAR</v>
      </c>
      <c r="AV359" s="13">
        <f>IF(Q359&lt;=AT359,0,Q359*1000000/([1]Parametros!$B$6*2*0.85*(H359-2*([1]Parametros!$B$7+[1]Parametros!$B$9/2))*(I359-2*([1]Parametros!$B$7+[1]Parametros!$B$9/2))*[1]Parametros!$B$4))</f>
        <v>0.59361660129004423</v>
      </c>
      <c r="AW359" s="13">
        <f>AV359*2*((H359-2*([1]Parametros!$B$7+[1]Parametros!$B$9/2))+(I359-2*([1]Parametros!$B$7+[1]Parametros!$B$9/2)))*[1]Parametros!$B$4/[1]Parametros!$B$3</f>
        <v>1026.4818269507446</v>
      </c>
      <c r="AX359" s="14">
        <v>8</v>
      </c>
      <c r="AY359" s="13" t="str">
        <f t="shared" si="72"/>
        <v>CUMPLE</v>
      </c>
      <c r="AZ359" s="13" t="str">
        <f t="shared" si="73"/>
        <v>CUMPLE</v>
      </c>
      <c r="BA359" s="14">
        <v>12.7</v>
      </c>
      <c r="BB359" s="14">
        <v>129</v>
      </c>
      <c r="BC359" s="13">
        <f>MAX(IF(AK359=0,0,AK359*1000/([1]Parametros!$B$4*MIN(U359,AB359))),MAX(0.062*SQRT([1]Parametros!$B$2)*H359/[1]Parametros!$B$4,0.35*H359/[1]Parametros!$B$4))</f>
        <v>1.7174901820273034</v>
      </c>
      <c r="BD359" s="13">
        <f t="shared" si="74"/>
        <v>1.1872332025800885</v>
      </c>
      <c r="BE359" s="13">
        <f t="shared" si="75"/>
        <v>3.2250000000000001</v>
      </c>
      <c r="BF359" s="13">
        <f>SQRT((AI359*1000/(H359*MIN(U359,AB359)))^2+(Q359*1000000*2*((H359-2*([1]Parametros!$B$7+[1]Parametros!$B$9/2))+(I359-2*([1]Parametros!$B$7+[1]Parametros!$B$9/2)))/(1.7*((H359-2*([1]Parametros!$B$7+[1]Parametros!$B$9/2))*(I359-2*([1]Parametros!$B$7+[1]Parametros!$B$9/2)))^2))^2)</f>
        <v>2.4697349711844825</v>
      </c>
      <c r="BG359" s="13">
        <f>[1]Parametros!$B$6*(AJ359*1000/(H359*MIN(U359,AB359))+0.66*SQRT([1]Parametros!$B$2))</f>
        <v>3.2939603822754151</v>
      </c>
      <c r="BH359" s="13" t="str">
        <f t="shared" si="76"/>
        <v>CUMPLE</v>
      </c>
      <c r="BI359" s="13">
        <f>AX359*[1]Parametros!$B$8</f>
        <v>1592</v>
      </c>
      <c r="BJ359" s="15" t="str">
        <f t="shared" si="77"/>
        <v>CUMPLE</v>
      </c>
    </row>
    <row r="360" spans="1:62" x14ac:dyDescent="0.3">
      <c r="A360" s="33" t="s">
        <v>76</v>
      </c>
      <c r="B360" s="34">
        <v>35</v>
      </c>
      <c r="C360" s="13">
        <v>1</v>
      </c>
      <c r="D360" s="13">
        <v>2</v>
      </c>
      <c r="E360" s="13">
        <v>2</v>
      </c>
      <c r="F360" s="13">
        <v>500</v>
      </c>
      <c r="G360" s="13">
        <v>550</v>
      </c>
      <c r="H360" s="13">
        <v>500</v>
      </c>
      <c r="I360" s="13">
        <v>550</v>
      </c>
      <c r="J360" s="14">
        <v>201.01169999999999</v>
      </c>
      <c r="K360" s="13">
        <v>35</v>
      </c>
      <c r="L360" s="14">
        <v>150.97139999999999</v>
      </c>
      <c r="M360" s="13">
        <v>35</v>
      </c>
      <c r="N360" s="14">
        <v>180.67</v>
      </c>
      <c r="O360" s="14">
        <v>695.35599999999999</v>
      </c>
      <c r="P360" s="13">
        <v>35</v>
      </c>
      <c r="Q360" s="14">
        <v>52.332599999999999</v>
      </c>
      <c r="R360" s="13">
        <f>MAX(MAX(1.4/[1]Parametros!$B$3,0.25*SQRT([1]Parametros!$B$2)/[1]Parametros!$B$3)*H360*U360,(0.85*[1]Parametros!$B$2/[1]Parametros!$B$3)*(1-SQRT(1-2*(J360*1000000/([1]Parametros!$B$5*H360*U360^2))/(0.85*[1]Parametros!$B$2)))*H360*U360)</f>
        <v>1132.9928107412795</v>
      </c>
      <c r="S360" s="14">
        <v>6</v>
      </c>
      <c r="T360" s="14">
        <v>1</v>
      </c>
      <c r="U360" s="13">
        <f>IF(T360=1,I360-([1]Parametros!$B$7+[1]Parametros!$B$9+[1]Parametros!$B$12/2),I360-(ROUNDUP(S360/2,0)*([1]Parametros!$B$7+[1]Parametros!$B$9+[1]Parametros!$B$12/2)+ROUNDDOWN(S360/2,0)*([1]Parametros!$B$7+[1]Parametros!$B$9+[1]Parametros!$B$12/2+[1]Parametros!$B$12+[1]Parametros!$B$10))/S360)</f>
        <v>489.35</v>
      </c>
      <c r="V360" s="13">
        <f>S360*[1]Parametros!$B$8</f>
        <v>1194</v>
      </c>
      <c r="W360" s="13">
        <f>[1]Parametros!$B$5*V360*[1]Parametros!$B$3*(U360-(V360*[1]Parametros!$B$3/(0.85*[1]Parametros!$B$2*H360))/2)/1000000</f>
        <v>211.34948347058827</v>
      </c>
      <c r="X360" s="13" t="str">
        <f t="shared" si="65"/>
        <v>CUMPLE</v>
      </c>
      <c r="Y360" s="13">
        <f>MAX(MAX(1.4/[1]Parametros!$B$3,0.25*SQRT([1]Parametros!$B$2)/[1]Parametros!$B$3)*H360*AB360,(0.85*[1]Parametros!$B$2/[1]Parametros!$B$3)*(1-SQRT(1-2*(L360*1000000/([1]Parametros!$B$5*H360*AB360^2))/(0.85*[1]Parametros!$B$2)))*H360*AB360)</f>
        <v>841.72514737254789</v>
      </c>
      <c r="Z360" s="14">
        <v>5</v>
      </c>
      <c r="AA360" s="14">
        <v>1</v>
      </c>
      <c r="AB360" s="13">
        <f>IF(AA360=1,I360-([1]Parametros!$B$7+[1]Parametros!$B$9+[1]Parametros!$B$12/2),I360-(ROUNDUP(Z360/2,0)*([1]Parametros!$B$7+[1]Parametros!$B$9+[1]Parametros!$B$12/2)+ROUNDDOWN(Z360/2,0)*([1]Parametros!$B$7+[1]Parametros!$B$9+[1]Parametros!$B$12/2+[1]Parametros!$B$12+[1]Parametros!$B$10))/Z360)</f>
        <v>489.35</v>
      </c>
      <c r="AC360" s="13">
        <f>Z360*[1]Parametros!$B$8</f>
        <v>995</v>
      </c>
      <c r="AD360" s="13">
        <f>[1]Parametros!$B$5*AC360*[1]Parametros!$B$3*(AB360-(AC360*[1]Parametros!$B$3/(0.85*[1]Parametros!$B$2*H360))/2)/1000000</f>
        <v>177.44537938235294</v>
      </c>
      <c r="AE360" s="13" t="str">
        <f t="shared" si="66"/>
        <v>CUMPLE</v>
      </c>
      <c r="AF360" s="13">
        <f>V360*1.25*[1]Parametros!$B$3*(U360-(V360*1.25*[1]Parametros!$B$3/(0.85*[1]Parametros!$B$2*H360))/2)/1000000</f>
        <v>290.23892470588237</v>
      </c>
      <c r="AG360" s="13">
        <f>AC360*1.25*[1]Parametros!$B$3*(AB360-(AC360*1.25*[1]Parametros!$B$3/(0.85*[1]Parametros!$B$2*H360))/2)/1000000</f>
        <v>244.15884319852941</v>
      </c>
      <c r="AH360" s="13">
        <f t="shared" si="67"/>
        <v>447.86888395220592</v>
      </c>
      <c r="AI360" s="13">
        <f t="shared" si="68"/>
        <v>695.35599999999999</v>
      </c>
      <c r="AJ360" s="13">
        <f>0.17*SQRT([1]Parametros!$B$2)*H360*MIN(U360,AB360)/1000</f>
        <v>220.09872869180776</v>
      </c>
      <c r="AK360" s="13">
        <f>MAX(AI360/[1]Parametros!$B$6-AJ360,0)</f>
        <v>707.0426046415256</v>
      </c>
      <c r="AL360" s="13">
        <f>0.66*SQRT([1]Parametros!$B$2)*H360*MIN(U360,AB360)/1000</f>
        <v>854.500946685842</v>
      </c>
      <c r="AM360" s="13" t="str">
        <f t="shared" si="69"/>
        <v>CUMPLE</v>
      </c>
      <c r="AN360" s="13" t="s">
        <v>68</v>
      </c>
      <c r="AO360" s="14">
        <v>4</v>
      </c>
      <c r="AP360" s="13">
        <f>ROUNDDOWN(MIN(IF(BC360+BD360=0,1000000000,AO360*BB360/(BC360+BD360)),MIN(U360,AB360)/4,8*[1]Parametros!$B$12,24*BA360,300,IF(AV360=0,1000000000,2*((H360-2*([1]Parametros!$B$7+[1]Parametros!$B$9/2))+(I360-2*([1]Parametros!$B$7+[1]Parametros!$B$9/2)))/8))/10,0)*10</f>
        <v>110</v>
      </c>
      <c r="AQ360" s="13">
        <f>ROUNDDOWN(MIN(IF(BC360+BD360=0,1000000000,AO360*BB360/(BC360+BD360)),IF(AK360&gt;0.33*SQRT([1]Parametros!$B$2)*H360*MIN(U360,AB360)/1000,MIN(U360,AB360)/4,MIN(U360,AB360)/2),600,IF(AV360=0,1000000000,2*((H360-2*([1]Parametros!$B$7+[1]Parametros!$B$9/2))+(I360-2*([1]Parametros!$B$7+[1]Parametros!$B$9/2)))/8))/10,0)*10</f>
        <v>110</v>
      </c>
      <c r="AR360" s="13">
        <f>[1]Parametros!$B$6*(AJ360+MAX(BE360-BD360,0)*[1]Parametros!$B$4*MIN(U360,AB360)/1000)</f>
        <v>726.40053013307011</v>
      </c>
      <c r="AS360" s="13" t="str">
        <f t="shared" si="70"/>
        <v>CUMPLE</v>
      </c>
      <c r="AT360" s="13">
        <f>[1]Parametros!$B$6*0.083*SQRT([1]Parametros!$B$2)*(H360*I360)^2/(2*(H360+I360))/1000000</f>
        <v>11.862178757598967</v>
      </c>
      <c r="AU360" s="13" t="str">
        <f t="shared" si="71"/>
        <v>DISEÑAR</v>
      </c>
      <c r="AV360" s="13">
        <f>IF(Q360&lt;=AT360,0,Q360*1000000/([1]Parametros!$B$6*2*0.85*(H360-2*([1]Parametros!$B$7+[1]Parametros!$B$9/2))*(I360-2*([1]Parametros!$B$7+[1]Parametros!$B$9/2))*[1]Parametros!$B$4))</f>
        <v>0.52468328064354985</v>
      </c>
      <c r="AW360" s="13">
        <f>AV360*2*((H360-2*([1]Parametros!$B$7+[1]Parametros!$B$9/2))+(I360-2*([1]Parametros!$B$7+[1]Parametros!$B$9/2)))*[1]Parametros!$B$4/[1]Parametros!$B$3</f>
        <v>907.28232888882644</v>
      </c>
      <c r="AX360" s="14">
        <v>8</v>
      </c>
      <c r="AY360" s="13" t="str">
        <f t="shared" si="72"/>
        <v>CUMPLE</v>
      </c>
      <c r="AZ360" s="13" t="str">
        <f t="shared" si="73"/>
        <v>CUMPLE</v>
      </c>
      <c r="BA360" s="14">
        <v>12.7</v>
      </c>
      <c r="BB360" s="14">
        <v>129</v>
      </c>
      <c r="BC360" s="13">
        <f>MAX(IF(AK360=0,0,AK360*1000/([1]Parametros!$B$4*MIN(U360,AB360))),MAX(0.062*SQRT([1]Parametros!$B$2)*H360/[1]Parametros!$B$4,0.35*H360/[1]Parametros!$B$4))</f>
        <v>3.4401446264555298</v>
      </c>
      <c r="BD360" s="13">
        <f t="shared" si="74"/>
        <v>1.0493665612870997</v>
      </c>
      <c r="BE360" s="13">
        <f t="shared" si="75"/>
        <v>4.6909090909090905</v>
      </c>
      <c r="BF360" s="13">
        <f>SQRT((AI360*1000/(H360*MIN(U360,AB360)))^2+(Q360*1000000*2*((H360-2*([1]Parametros!$B$7+[1]Parametros!$B$9/2))+(I360-2*([1]Parametros!$B$7+[1]Parametros!$B$9/2)))/(1.7*((H360-2*([1]Parametros!$B$7+[1]Parametros!$B$9/2))*(I360-2*([1]Parametros!$B$7+[1]Parametros!$B$9/2)))^2))^2)</f>
        <v>3.2297204156390302</v>
      </c>
      <c r="BG360" s="13">
        <f>[1]Parametros!$B$6*(AJ360*1000/(H360*MIN(U360,AB360))+0.66*SQRT([1]Parametros!$B$2))</f>
        <v>3.2939603822754151</v>
      </c>
      <c r="BH360" s="13" t="str">
        <f t="shared" si="76"/>
        <v>CUMPLE</v>
      </c>
      <c r="BI360" s="13">
        <f>AX360*[1]Parametros!$B$8</f>
        <v>1592</v>
      </c>
      <c r="BJ360" s="15" t="str">
        <f t="shared" si="77"/>
        <v>CUMPLE</v>
      </c>
    </row>
    <row r="361" spans="1:62" x14ac:dyDescent="0.3">
      <c r="A361" s="33" t="s">
        <v>76</v>
      </c>
      <c r="B361" s="34">
        <v>36</v>
      </c>
      <c r="C361" s="13">
        <v>1</v>
      </c>
      <c r="D361" s="13">
        <v>1.9</v>
      </c>
      <c r="E361" s="13">
        <v>1.9</v>
      </c>
      <c r="F361" s="13">
        <v>500</v>
      </c>
      <c r="G361" s="13">
        <v>550</v>
      </c>
      <c r="H361" s="13">
        <v>500</v>
      </c>
      <c r="I361" s="13">
        <v>550</v>
      </c>
      <c r="J361" s="14">
        <v>180.94720000000001</v>
      </c>
      <c r="K361" s="13">
        <v>36</v>
      </c>
      <c r="L361" s="14">
        <v>158.1377</v>
      </c>
      <c r="M361" s="13">
        <v>36</v>
      </c>
      <c r="N361" s="14">
        <v>171.48500000000001</v>
      </c>
      <c r="O361" s="14">
        <v>689.28300000000002</v>
      </c>
      <c r="P361" s="13">
        <v>36</v>
      </c>
      <c r="Q361" s="14">
        <v>23.409500000000001</v>
      </c>
      <c r="R361" s="13">
        <f>MAX(MAX(1.4/[1]Parametros!$B$3,0.25*SQRT([1]Parametros!$B$2)/[1]Parametros!$B$3)*H361*U361,(0.85*[1]Parametros!$B$2/[1]Parametros!$B$3)*(1-SQRT(1-2*(J361*1000000/([1]Parametros!$B$5*H361*U361^2))/(0.85*[1]Parametros!$B$2)))*H361*U361)</f>
        <v>1015.4112008200916</v>
      </c>
      <c r="S361" s="14">
        <v>6</v>
      </c>
      <c r="T361" s="14">
        <v>1</v>
      </c>
      <c r="U361" s="13">
        <f>IF(T361=1,I361-([1]Parametros!$B$7+[1]Parametros!$B$9+[1]Parametros!$B$12/2),I361-(ROUNDUP(S361/2,0)*([1]Parametros!$B$7+[1]Parametros!$B$9+[1]Parametros!$B$12/2)+ROUNDDOWN(S361/2,0)*([1]Parametros!$B$7+[1]Parametros!$B$9+[1]Parametros!$B$12/2+[1]Parametros!$B$12+[1]Parametros!$B$10))/S361)</f>
        <v>489.35</v>
      </c>
      <c r="V361" s="13">
        <f>S361*[1]Parametros!$B$8</f>
        <v>1194</v>
      </c>
      <c r="W361" s="13">
        <f>[1]Parametros!$B$5*V361*[1]Parametros!$B$3*(U361-(V361*[1]Parametros!$B$3/(0.85*[1]Parametros!$B$2*H361))/2)/1000000</f>
        <v>211.34948347058827</v>
      </c>
      <c r="X361" s="13" t="str">
        <f t="shared" si="65"/>
        <v>CUMPLE</v>
      </c>
      <c r="Y361" s="13">
        <f>MAX(MAX(1.4/[1]Parametros!$B$3,0.25*SQRT([1]Parametros!$B$2)/[1]Parametros!$B$3)*H361*AB361,(0.85*[1]Parametros!$B$2/[1]Parametros!$B$3)*(1-SQRT(1-2*(L361*1000000/([1]Parametros!$B$5*H361*AB361^2))/(0.85*[1]Parametros!$B$2)))*H361*AB361)</f>
        <v>883.03682216541324</v>
      </c>
      <c r="Z361" s="14">
        <v>5</v>
      </c>
      <c r="AA361" s="14">
        <v>1</v>
      </c>
      <c r="AB361" s="13">
        <f>IF(AA361=1,I361-([1]Parametros!$B$7+[1]Parametros!$B$9+[1]Parametros!$B$12/2),I361-(ROUNDUP(Z361/2,0)*([1]Parametros!$B$7+[1]Parametros!$B$9+[1]Parametros!$B$12/2)+ROUNDDOWN(Z361/2,0)*([1]Parametros!$B$7+[1]Parametros!$B$9+[1]Parametros!$B$12/2+[1]Parametros!$B$12+[1]Parametros!$B$10))/Z361)</f>
        <v>489.35</v>
      </c>
      <c r="AC361" s="13">
        <f>Z361*[1]Parametros!$B$8</f>
        <v>995</v>
      </c>
      <c r="AD361" s="13">
        <f>[1]Parametros!$B$5*AC361*[1]Parametros!$B$3*(AB361-(AC361*[1]Parametros!$B$3/(0.85*[1]Parametros!$B$2*H361))/2)/1000000</f>
        <v>177.44537938235294</v>
      </c>
      <c r="AE361" s="13" t="str">
        <f t="shared" si="66"/>
        <v>CUMPLE</v>
      </c>
      <c r="AF361" s="13">
        <f>V361*1.25*[1]Parametros!$B$3*(U361-(V361*1.25*[1]Parametros!$B$3/(0.85*[1]Parametros!$B$2*H361))/2)/1000000</f>
        <v>290.23892470588237</v>
      </c>
      <c r="AG361" s="13">
        <f>AC361*1.25*[1]Parametros!$B$3*(AB361-(AC361*1.25*[1]Parametros!$B$3/(0.85*[1]Parametros!$B$2*H361))/2)/1000000</f>
        <v>244.15884319852941</v>
      </c>
      <c r="AH361" s="13">
        <f t="shared" si="67"/>
        <v>452.74698310758521</v>
      </c>
      <c r="AI361" s="13">
        <f t="shared" si="68"/>
        <v>689.28300000000002</v>
      </c>
      <c r="AJ361" s="13">
        <f>0.17*SQRT([1]Parametros!$B$2)*H361*MIN(U361,AB361)/1000</f>
        <v>220.09872869180776</v>
      </c>
      <c r="AK361" s="13">
        <f>MAX(AI361/[1]Parametros!$B$6-AJ361,0)</f>
        <v>698.94527130819222</v>
      </c>
      <c r="AL361" s="13">
        <f>0.66*SQRT([1]Parametros!$B$2)*H361*MIN(U361,AB361)/1000</f>
        <v>854.500946685842</v>
      </c>
      <c r="AM361" s="13" t="str">
        <f t="shared" si="69"/>
        <v>CUMPLE</v>
      </c>
      <c r="AN361" s="13" t="s">
        <v>68</v>
      </c>
      <c r="AO361" s="14">
        <v>4</v>
      </c>
      <c r="AP361" s="13">
        <f>ROUNDDOWN(MIN(IF(BC361+BD361=0,1000000000,AO361*BB361/(BC361+BD361)),MIN(U361,AB361)/4,8*[1]Parametros!$B$12,24*BA361,300,IF(AV361=0,1000000000,2*((H361-2*([1]Parametros!$B$7+[1]Parametros!$B$9/2))+(I361-2*([1]Parametros!$B$7+[1]Parametros!$B$9/2)))/8))/10,0)*10</f>
        <v>120</v>
      </c>
      <c r="AQ361" s="13">
        <f>ROUNDDOWN(MIN(IF(BC361+BD361=0,1000000000,AO361*BB361/(BC361+BD361)),IF(AK361&gt;0.33*SQRT([1]Parametros!$B$2)*H361*MIN(U361,AB361)/1000,MIN(U361,AB361)/4,MIN(U361,AB361)/2),600,IF(AV361=0,1000000000,2*((H361-2*([1]Parametros!$B$7+[1]Parametros!$B$9/2))+(I361-2*([1]Parametros!$B$7+[1]Parametros!$B$9/2)))/8))/10,0)*10</f>
        <v>120</v>
      </c>
      <c r="AR361" s="13">
        <f>[1]Parametros!$B$6*(AJ361+MAX(BE361-BD361,0)*[1]Parametros!$B$4*MIN(U361,AB361)/1000)</f>
        <v>755.54218115348374</v>
      </c>
      <c r="AS361" s="13" t="str">
        <f t="shared" si="70"/>
        <v>CUMPLE</v>
      </c>
      <c r="AT361" s="13">
        <f>[1]Parametros!$B$6*0.083*SQRT([1]Parametros!$B$2)*(H361*I361)^2/(2*(H361+I361))/1000000</f>
        <v>11.862178757598967</v>
      </c>
      <c r="AU361" s="13" t="str">
        <f t="shared" si="71"/>
        <v>DISEÑAR</v>
      </c>
      <c r="AV361" s="13">
        <f>IF(Q361&lt;=AT361,0,Q361*1000000/([1]Parametros!$B$6*2*0.85*(H361-2*([1]Parametros!$B$7+[1]Parametros!$B$9/2))*(I361-2*([1]Parametros!$B$7+[1]Parametros!$B$9/2))*[1]Parametros!$B$4))</f>
        <v>0.23470214088780572</v>
      </c>
      <c r="AW361" s="13">
        <f>AV361*2*((H361-2*([1]Parametros!$B$7+[1]Parametros!$B$9/2))+(I361-2*([1]Parametros!$B$7+[1]Parametros!$B$9/2)))*[1]Parametros!$B$4/[1]Parametros!$B$3</f>
        <v>405.84694202319372</v>
      </c>
      <c r="AX361" s="14">
        <v>8</v>
      </c>
      <c r="AY361" s="13" t="str">
        <f t="shared" si="72"/>
        <v>CUMPLE</v>
      </c>
      <c r="AZ361" s="13" t="str">
        <f t="shared" si="73"/>
        <v>CUMPLE</v>
      </c>
      <c r="BA361" s="14">
        <v>12.7</v>
      </c>
      <c r="BB361" s="14">
        <v>129</v>
      </c>
      <c r="BC361" s="13">
        <f>MAX(IF(AK361=0,0,AK361*1000/([1]Parametros!$B$4*MIN(U361,AB361))),MAX(0.062*SQRT([1]Parametros!$B$2)*H361/[1]Parametros!$B$4,0.35*H361/[1]Parametros!$B$4))</f>
        <v>3.4007467209086504</v>
      </c>
      <c r="BD361" s="13">
        <f t="shared" si="74"/>
        <v>0.46940428177561144</v>
      </c>
      <c r="BE361" s="13">
        <f t="shared" si="75"/>
        <v>4.3</v>
      </c>
      <c r="BF361" s="13">
        <f>SQRT((AI361*1000/(H361*MIN(U361,AB361)))^2+(Q361*1000000*2*((H361-2*([1]Parametros!$B$7+[1]Parametros!$B$9/2))+(I361-2*([1]Parametros!$B$7+[1]Parametros!$B$9/2)))/(1.7*((H361-2*([1]Parametros!$B$7+[1]Parametros!$B$9/2))*(I361-2*([1]Parametros!$B$7+[1]Parametros!$B$9/2)))^2))^2)</f>
        <v>2.8995452109975841</v>
      </c>
      <c r="BG361" s="13">
        <f>[1]Parametros!$B$6*(AJ361*1000/(H361*MIN(U361,AB361))+0.66*SQRT([1]Parametros!$B$2))</f>
        <v>3.2939603822754151</v>
      </c>
      <c r="BH361" s="13" t="str">
        <f t="shared" si="76"/>
        <v>CUMPLE</v>
      </c>
      <c r="BI361" s="13">
        <f>AX361*[1]Parametros!$B$8</f>
        <v>1592</v>
      </c>
      <c r="BJ361" s="15" t="str">
        <f t="shared" si="77"/>
        <v>CUMPLE</v>
      </c>
    </row>
    <row r="362" spans="1:62" x14ac:dyDescent="0.3">
      <c r="A362" s="33" t="s">
        <v>76</v>
      </c>
      <c r="B362" s="34">
        <v>37</v>
      </c>
      <c r="C362" s="13">
        <v>1</v>
      </c>
      <c r="D362" s="13">
        <v>3.57612</v>
      </c>
      <c r="E362" s="13">
        <v>3.57612</v>
      </c>
      <c r="F362" s="13">
        <v>500</v>
      </c>
      <c r="G362" s="13">
        <v>550</v>
      </c>
      <c r="H362" s="13">
        <v>500</v>
      </c>
      <c r="I362" s="13">
        <v>550</v>
      </c>
      <c r="J362" s="14">
        <v>181.35310000000001</v>
      </c>
      <c r="K362" s="13">
        <v>37</v>
      </c>
      <c r="L362" s="14">
        <v>116.6392</v>
      </c>
      <c r="M362" s="13">
        <v>37</v>
      </c>
      <c r="N362" s="14">
        <v>131.32300000000001</v>
      </c>
      <c r="O362" s="14">
        <v>397.04599999999999</v>
      </c>
      <c r="P362" s="13">
        <v>37</v>
      </c>
      <c r="Q362" s="14">
        <v>5.4474</v>
      </c>
      <c r="R362" s="13">
        <f>MAX(MAX(1.4/[1]Parametros!$B$3,0.25*SQRT([1]Parametros!$B$2)/[1]Parametros!$B$3)*H362*U362,(0.85*[1]Parametros!$B$2/[1]Parametros!$B$3)*(1-SQRT(1-2*(J362*1000000/([1]Parametros!$B$5*H362*U362^2))/(0.85*[1]Parametros!$B$2)))*H362*U362)</f>
        <v>1017.7791835355786</v>
      </c>
      <c r="S362" s="14">
        <v>6</v>
      </c>
      <c r="T362" s="14">
        <v>1</v>
      </c>
      <c r="U362" s="13">
        <f>IF(T362=1,I362-([1]Parametros!$B$7+[1]Parametros!$B$9+[1]Parametros!$B$12/2),I362-(ROUNDUP(S362/2,0)*([1]Parametros!$B$7+[1]Parametros!$B$9+[1]Parametros!$B$12/2)+ROUNDDOWN(S362/2,0)*([1]Parametros!$B$7+[1]Parametros!$B$9+[1]Parametros!$B$12/2+[1]Parametros!$B$12+[1]Parametros!$B$10))/S362)</f>
        <v>489.35</v>
      </c>
      <c r="V362" s="13">
        <f>S362*[1]Parametros!$B$8</f>
        <v>1194</v>
      </c>
      <c r="W362" s="13">
        <f>[1]Parametros!$B$5*V362*[1]Parametros!$B$3*(U362-(V362*[1]Parametros!$B$3/(0.85*[1]Parametros!$B$2*H362))/2)/1000000</f>
        <v>211.34948347058827</v>
      </c>
      <c r="X362" s="13" t="str">
        <f t="shared" si="65"/>
        <v>CUMPLE</v>
      </c>
      <c r="Y362" s="13">
        <f>MAX(MAX(1.4/[1]Parametros!$B$3,0.25*SQRT([1]Parametros!$B$2)/[1]Parametros!$B$3)*H362*AB362,(0.85*[1]Parametros!$B$2/[1]Parametros!$B$3)*(1-SQRT(1-2*(L362*1000000/([1]Parametros!$B$5*H362*AB362^2))/(0.85*[1]Parametros!$B$2)))*H362*AB362)</f>
        <v>815.58333333333326</v>
      </c>
      <c r="Z362" s="14">
        <v>5</v>
      </c>
      <c r="AA362" s="14">
        <v>1</v>
      </c>
      <c r="AB362" s="13">
        <f>IF(AA362=1,I362-([1]Parametros!$B$7+[1]Parametros!$B$9+[1]Parametros!$B$12/2),I362-(ROUNDUP(Z362/2,0)*([1]Parametros!$B$7+[1]Parametros!$B$9+[1]Parametros!$B$12/2)+ROUNDDOWN(Z362/2,0)*([1]Parametros!$B$7+[1]Parametros!$B$9+[1]Parametros!$B$12/2+[1]Parametros!$B$12+[1]Parametros!$B$10))/Z362)</f>
        <v>489.35</v>
      </c>
      <c r="AC362" s="13">
        <f>Z362*[1]Parametros!$B$8</f>
        <v>995</v>
      </c>
      <c r="AD362" s="13">
        <f>[1]Parametros!$B$5*AC362*[1]Parametros!$B$3*(AB362-(AC362*[1]Parametros!$B$3/(0.85*[1]Parametros!$B$2*H362))/2)/1000000</f>
        <v>177.44537938235294</v>
      </c>
      <c r="AE362" s="13" t="str">
        <f t="shared" si="66"/>
        <v>CUMPLE</v>
      </c>
      <c r="AF362" s="13">
        <f>V362*1.25*[1]Parametros!$B$3*(U362-(V362*1.25*[1]Parametros!$B$3/(0.85*[1]Parametros!$B$2*H362))/2)/1000000</f>
        <v>290.23892470588237</v>
      </c>
      <c r="AG362" s="13">
        <f>AC362*1.25*[1]Parametros!$B$3*(AB362-(AC362*1.25*[1]Parametros!$B$3/(0.85*[1]Parametros!$B$2*H362))/2)/1000000</f>
        <v>244.15884319852941</v>
      </c>
      <c r="AH362" s="13">
        <f t="shared" si="67"/>
        <v>280.75807709596205</v>
      </c>
      <c r="AI362" s="13">
        <f t="shared" si="68"/>
        <v>397.04599999999999</v>
      </c>
      <c r="AJ362" s="13">
        <f>0.17*SQRT([1]Parametros!$B$2)*H362*MIN(U362,AB362)/1000</f>
        <v>220.09872869180776</v>
      </c>
      <c r="AK362" s="13">
        <f>MAX(AI362/[1]Parametros!$B$6-AJ362,0)</f>
        <v>309.29593797485893</v>
      </c>
      <c r="AL362" s="13">
        <f>0.66*SQRT([1]Parametros!$B$2)*H362*MIN(U362,AB362)/1000</f>
        <v>854.500946685842</v>
      </c>
      <c r="AM362" s="13" t="str">
        <f t="shared" si="69"/>
        <v>CUMPLE</v>
      </c>
      <c r="AN362" s="13" t="s">
        <v>64</v>
      </c>
      <c r="AO362" s="14">
        <v>2</v>
      </c>
      <c r="AP362" s="13">
        <f>ROUNDDOWN(MIN(IF(BC362+BD362=0,1000000000,AO362*BB362/(BC362+BD362)),MIN(U362,AB362)/4,8*[1]Parametros!$B$12,24*BA362,300,IF(AV362=0,1000000000,2*((H362-2*([1]Parametros!$B$7+[1]Parametros!$B$9/2))+(I362-2*([1]Parametros!$B$7+[1]Parametros!$B$9/2)))/8))/10,0)*10</f>
        <v>90</v>
      </c>
      <c r="AQ362" s="13">
        <f>ROUNDDOWN(MIN(IF(BC362+BD362=0,1000000000,AO362*BB362/(BC362+BD362)),IF(AK362&gt;0.33*SQRT([1]Parametros!$B$2)*H362*MIN(U362,AB362)/1000,MIN(U362,AB362)/4,MIN(U362,AB362)/2),600,IF(AV362=0,1000000000,2*((H362-2*([1]Parametros!$B$7+[1]Parametros!$B$9/2))+(I362-2*([1]Parametros!$B$7+[1]Parametros!$B$9/2)))/8))/10,0)*10</f>
        <v>90</v>
      </c>
      <c r="AR362" s="13">
        <f>[1]Parametros!$B$6*(AJ362+MAX(BE362-BD362,0)*[1]Parametros!$B$4*MIN(U362,AB362)/1000)</f>
        <v>408.28099651885583</v>
      </c>
      <c r="AS362" s="13" t="str">
        <f t="shared" si="70"/>
        <v>CUMPLE</v>
      </c>
      <c r="AT362" s="13">
        <f>[1]Parametros!$B$6*0.083*SQRT([1]Parametros!$B$2)*(H362*I362)^2/(2*(H362+I362))/1000000</f>
        <v>11.862178757598967</v>
      </c>
      <c r="AU362" s="13" t="str">
        <f t="shared" si="71"/>
        <v>DESPRECIABLE</v>
      </c>
      <c r="AV362" s="13">
        <f>IF(Q362&lt;=AT362,0,Q362*1000000/([1]Parametros!$B$6*2*0.85*(H362-2*([1]Parametros!$B$7+[1]Parametros!$B$9/2))*(I362-2*([1]Parametros!$B$7+[1]Parametros!$B$9/2))*[1]Parametros!$B$4))</f>
        <v>0</v>
      </c>
      <c r="AW362" s="13">
        <f>AV362*2*((H362-2*([1]Parametros!$B$7+[1]Parametros!$B$9/2))+(I362-2*([1]Parametros!$B$7+[1]Parametros!$B$9/2)))*[1]Parametros!$B$4/[1]Parametros!$B$3</f>
        <v>0</v>
      </c>
      <c r="AX362" s="14">
        <v>0</v>
      </c>
      <c r="AY362" s="13" t="str">
        <f t="shared" si="72"/>
        <v>DESPRECIABLE</v>
      </c>
      <c r="AZ362" s="13" t="str">
        <f t="shared" si="73"/>
        <v>CUMPLE</v>
      </c>
      <c r="BA362" s="14">
        <v>9.5</v>
      </c>
      <c r="BB362" s="14">
        <v>71</v>
      </c>
      <c r="BC362" s="13">
        <f>MAX(IF(AK362=0,0,AK362*1000/([1]Parametros!$B$4*MIN(U362,AB362))),MAX(0.062*SQRT([1]Parametros!$B$2)*H362/[1]Parametros!$B$4,0.35*H362/[1]Parametros!$B$4))</f>
        <v>1.5048919994689696</v>
      </c>
      <c r="BD362" s="13">
        <f t="shared" si="74"/>
        <v>0</v>
      </c>
      <c r="BE362" s="13">
        <f t="shared" si="75"/>
        <v>1.5777777777777777</v>
      </c>
      <c r="BF362" s="13">
        <f>SQRT((AI362*1000/(H362*MIN(U362,AB362)))^2+(Q362*1000000*2*((H362-2*([1]Parametros!$B$7+[1]Parametros!$B$9/2))+(I362-2*([1]Parametros!$B$7+[1]Parametros!$B$9/2)))/(1.7*((H362-2*([1]Parametros!$B$7+[1]Parametros!$B$9/2))*(I362-2*([1]Parametros!$B$7+[1]Parametros!$B$9/2)))^2))^2)</f>
        <v>1.6305896889160298</v>
      </c>
      <c r="BG362" s="13">
        <f>[1]Parametros!$B$6*(AJ362*1000/(H362*MIN(U362,AB362))+0.66*SQRT([1]Parametros!$B$2))</f>
        <v>3.2939603822754151</v>
      </c>
      <c r="BH362" s="13" t="str">
        <f t="shared" si="76"/>
        <v>CUMPLE</v>
      </c>
      <c r="BI362" s="13">
        <f>AX362*[1]Parametros!$B$8</f>
        <v>0</v>
      </c>
      <c r="BJ362" s="15" t="str">
        <f t="shared" si="77"/>
        <v>CUMPLE</v>
      </c>
    </row>
    <row r="363" spans="1:62" x14ac:dyDescent="0.3">
      <c r="A363" s="33" t="s">
        <v>76</v>
      </c>
      <c r="B363" s="34">
        <v>38</v>
      </c>
      <c r="C363" s="13">
        <v>1</v>
      </c>
      <c r="D363" s="13">
        <v>2.1</v>
      </c>
      <c r="E363" s="13">
        <v>2.1</v>
      </c>
      <c r="F363" s="13">
        <v>500</v>
      </c>
      <c r="G363" s="13">
        <v>550</v>
      </c>
      <c r="H363" s="13">
        <v>500</v>
      </c>
      <c r="I363" s="13">
        <v>550</v>
      </c>
      <c r="J363" s="14">
        <v>192.63919999999999</v>
      </c>
      <c r="K363" s="13">
        <v>38</v>
      </c>
      <c r="L363" s="14">
        <v>168.1052</v>
      </c>
      <c r="M363" s="13">
        <v>38</v>
      </c>
      <c r="N363" s="14">
        <v>173.94399999999999</v>
      </c>
      <c r="O363" s="14">
        <v>638.97900000000004</v>
      </c>
      <c r="P363" s="13">
        <v>38</v>
      </c>
      <c r="Q363" s="14">
        <v>93.716899999999995</v>
      </c>
      <c r="R363" s="13">
        <f>MAX(MAX(1.4/[1]Parametros!$B$3,0.25*SQRT([1]Parametros!$B$2)/[1]Parametros!$B$3)*H363*U363,(0.85*[1]Parametros!$B$2/[1]Parametros!$B$3)*(1-SQRT(1-2*(J363*1000000/([1]Parametros!$B$5*H363*U363^2))/(0.85*[1]Parametros!$B$2)))*H363*U363)</f>
        <v>1083.7969286552366</v>
      </c>
      <c r="S363" s="14">
        <v>6</v>
      </c>
      <c r="T363" s="14">
        <v>1</v>
      </c>
      <c r="U363" s="13">
        <f>IF(T363=1,I363-([1]Parametros!$B$7+[1]Parametros!$B$9+[1]Parametros!$B$12/2),I363-(ROUNDUP(S363/2,0)*([1]Parametros!$B$7+[1]Parametros!$B$9+[1]Parametros!$B$12/2)+ROUNDDOWN(S363/2,0)*([1]Parametros!$B$7+[1]Parametros!$B$9+[1]Parametros!$B$12/2+[1]Parametros!$B$12+[1]Parametros!$B$10))/S363)</f>
        <v>489.35</v>
      </c>
      <c r="V363" s="13">
        <f>S363*[1]Parametros!$B$8</f>
        <v>1194</v>
      </c>
      <c r="W363" s="13">
        <f>[1]Parametros!$B$5*V363*[1]Parametros!$B$3*(U363-(V363*[1]Parametros!$B$3/(0.85*[1]Parametros!$B$2*H363))/2)/1000000</f>
        <v>211.34948347058827</v>
      </c>
      <c r="X363" s="13" t="str">
        <f t="shared" si="65"/>
        <v>CUMPLE</v>
      </c>
      <c r="Y363" s="13">
        <f>MAX(MAX(1.4/[1]Parametros!$B$3,0.25*SQRT([1]Parametros!$B$2)/[1]Parametros!$B$3)*H363*AB363,(0.85*[1]Parametros!$B$2/[1]Parametros!$B$3)*(1-SQRT(1-2*(L363*1000000/([1]Parametros!$B$5*H363*AB363^2))/(0.85*[1]Parametros!$B$2)))*H363*AB363)</f>
        <v>940.71617822940789</v>
      </c>
      <c r="Z363" s="14">
        <v>5</v>
      </c>
      <c r="AA363" s="14">
        <v>1</v>
      </c>
      <c r="AB363" s="13">
        <f>IF(AA363=1,I363-([1]Parametros!$B$7+[1]Parametros!$B$9+[1]Parametros!$B$12/2),I363-(ROUNDUP(Z363/2,0)*([1]Parametros!$B$7+[1]Parametros!$B$9+[1]Parametros!$B$12/2)+ROUNDDOWN(Z363/2,0)*([1]Parametros!$B$7+[1]Parametros!$B$9+[1]Parametros!$B$12/2+[1]Parametros!$B$12+[1]Parametros!$B$10))/Z363)</f>
        <v>489.35</v>
      </c>
      <c r="AC363" s="13">
        <f>Z363*[1]Parametros!$B$8</f>
        <v>995</v>
      </c>
      <c r="AD363" s="13">
        <f>[1]Parametros!$B$5*AC363*[1]Parametros!$B$3*(AB363-(AC363*[1]Parametros!$B$3/(0.85*[1]Parametros!$B$2*H363))/2)/1000000</f>
        <v>177.44537938235294</v>
      </c>
      <c r="AE363" s="13" t="str">
        <f t="shared" si="66"/>
        <v>CUMPLE</v>
      </c>
      <c r="AF363" s="13">
        <f>V363*1.25*[1]Parametros!$B$3*(U363-(V363*1.25*[1]Parametros!$B$3/(0.85*[1]Parametros!$B$2*H363))/2)/1000000</f>
        <v>290.23892470588237</v>
      </c>
      <c r="AG363" s="13">
        <f>AC363*1.25*[1]Parametros!$B$3*(AB363-(AC363*1.25*[1]Parametros!$B$3/(0.85*[1]Parametros!$B$2*H363))/2)/1000000</f>
        <v>244.15884319852941</v>
      </c>
      <c r="AH363" s="13">
        <f t="shared" si="67"/>
        <v>428.41912757352941</v>
      </c>
      <c r="AI363" s="13">
        <f t="shared" si="68"/>
        <v>638.97900000000004</v>
      </c>
      <c r="AJ363" s="13">
        <f>0.17*SQRT([1]Parametros!$B$2)*H363*MIN(U363,AB363)/1000</f>
        <v>220.09872869180776</v>
      </c>
      <c r="AK363" s="13">
        <f>MAX(AI363/[1]Parametros!$B$6-AJ363,0)</f>
        <v>631.87327130819233</v>
      </c>
      <c r="AL363" s="13">
        <f>0.66*SQRT([1]Parametros!$B$2)*H363*MIN(U363,AB363)/1000</f>
        <v>854.500946685842</v>
      </c>
      <c r="AM363" s="13" t="str">
        <f t="shared" si="69"/>
        <v>CUMPLE</v>
      </c>
      <c r="AN363" s="13" t="s">
        <v>68</v>
      </c>
      <c r="AO363" s="14">
        <v>4</v>
      </c>
      <c r="AP363" s="13">
        <f>ROUNDDOWN(MIN(IF(BC363+BD363=0,1000000000,AO363*BB363/(BC363+BD363)),MIN(U363,AB363)/4,8*[1]Parametros!$B$12,24*BA363,300,IF(AV363=0,1000000000,2*((H363-2*([1]Parametros!$B$7+[1]Parametros!$B$9/2))+(I363-2*([1]Parametros!$B$7+[1]Parametros!$B$9/2)))/8))/10,0)*10</f>
        <v>100</v>
      </c>
      <c r="AQ363" s="13">
        <f>ROUNDDOWN(MIN(IF(BC363+BD363=0,1000000000,AO363*BB363/(BC363+BD363)),IF(AK363&gt;0.33*SQRT([1]Parametros!$B$2)*H363*MIN(U363,AB363)/1000,MIN(U363,AB363)/4,MIN(U363,AB363)/2),600,IF(AV363=0,1000000000,2*((H363-2*([1]Parametros!$B$7+[1]Parametros!$B$9/2))+(I363-2*([1]Parametros!$B$7+[1]Parametros!$B$9/2)))/8))/10,0)*10</f>
        <v>100</v>
      </c>
      <c r="AR363" s="13">
        <f>[1]Parametros!$B$6*(AJ363+MAX(BE363-BD363,0)*[1]Parametros!$B$4*MIN(U363,AB363)/1000)</f>
        <v>670.79390299069269</v>
      </c>
      <c r="AS363" s="13" t="str">
        <f t="shared" si="70"/>
        <v>CUMPLE</v>
      </c>
      <c r="AT363" s="13">
        <f>[1]Parametros!$B$6*0.083*SQRT([1]Parametros!$B$2)*(H363*I363)^2/(2*(H363+I363))/1000000</f>
        <v>11.862178757598967</v>
      </c>
      <c r="AU363" s="13" t="str">
        <f t="shared" si="71"/>
        <v>DISEÑAR</v>
      </c>
      <c r="AV363" s="13">
        <f>IF(Q363&lt;=AT363,0,Q363*1000000/([1]Parametros!$B$6*2*0.85*(H363-2*([1]Parametros!$B$7+[1]Parametros!$B$9/2))*(I363-2*([1]Parametros!$B$7+[1]Parametros!$B$9/2))*[1]Parametros!$B$4))</f>
        <v>0.93959960987498237</v>
      </c>
      <c r="AW363" s="13">
        <f>AV363*2*((H363-2*([1]Parametros!$B$7+[1]Parametros!$B$9/2))+(I363-2*([1]Parametros!$B$7+[1]Parametros!$B$9/2)))*[1]Parametros!$B$4/[1]Parametros!$B$3</f>
        <v>1624.7556453958196</v>
      </c>
      <c r="AX363" s="14">
        <v>12</v>
      </c>
      <c r="AY363" s="13" t="str">
        <f t="shared" si="72"/>
        <v>NO CUMPLE</v>
      </c>
      <c r="AZ363" s="13" t="str">
        <f t="shared" si="73"/>
        <v>NO CUMPLE</v>
      </c>
      <c r="BA363" s="14">
        <v>12.7</v>
      </c>
      <c r="BB363" s="14">
        <v>129</v>
      </c>
      <c r="BC363" s="13">
        <f>MAX(IF(AK363=0,0,AK363*1000/([1]Parametros!$B$4*MIN(U363,AB363))),MAX(0.062*SQRT([1]Parametros!$B$2)*H363/[1]Parametros!$B$4,0.35*H363/[1]Parametros!$B$4))</f>
        <v>3.0744051696769392</v>
      </c>
      <c r="BD363" s="13">
        <f t="shared" si="74"/>
        <v>1.8791992197499647</v>
      </c>
      <c r="BE363" s="13">
        <f t="shared" si="75"/>
        <v>5.16</v>
      </c>
      <c r="BF363" s="13">
        <f>SQRT((AI363*1000/(H363*MIN(U363,AB363)))^2+(Q363*1000000*2*((H363-2*([1]Parametros!$B$7+[1]Parametros!$B$9/2))+(I363-2*([1]Parametros!$B$7+[1]Parametros!$B$9/2)))/(1.7*((H363-2*([1]Parametros!$B$7+[1]Parametros!$B$9/2))*(I363-2*([1]Parametros!$B$7+[1]Parametros!$B$9/2)))^2))^2)</f>
        <v>3.7908418375156634</v>
      </c>
      <c r="BG363" s="13">
        <f>[1]Parametros!$B$6*(AJ363*1000/(H363*MIN(U363,AB363))+0.66*SQRT([1]Parametros!$B$2))</f>
        <v>3.2939603822754151</v>
      </c>
      <c r="BH363" s="13" t="str">
        <f t="shared" si="76"/>
        <v>NO CUMPLE</v>
      </c>
      <c r="BI363" s="13">
        <f>AX363*[1]Parametros!$B$8</f>
        <v>2388</v>
      </c>
      <c r="BJ363" s="15" t="str">
        <f t="shared" si="77"/>
        <v>CUMPLE</v>
      </c>
    </row>
    <row r="364" spans="1:62" x14ac:dyDescent="0.3">
      <c r="A364" s="33" t="s">
        <v>76</v>
      </c>
      <c r="B364" s="34">
        <v>39</v>
      </c>
      <c r="C364" s="13">
        <v>1</v>
      </c>
      <c r="D364" s="13">
        <v>2.2000000000000002</v>
      </c>
      <c r="E364" s="13">
        <v>2.2000000000000002</v>
      </c>
      <c r="F364" s="13">
        <v>500</v>
      </c>
      <c r="G364" s="13">
        <v>550</v>
      </c>
      <c r="H364" s="13">
        <v>500</v>
      </c>
      <c r="I364" s="13">
        <v>550</v>
      </c>
      <c r="J364" s="14">
        <v>191.93379999999999</v>
      </c>
      <c r="K364" s="13">
        <v>39</v>
      </c>
      <c r="L364" s="14">
        <v>165.1515</v>
      </c>
      <c r="M364" s="13">
        <v>39</v>
      </c>
      <c r="N364" s="14">
        <v>169.35900000000001</v>
      </c>
      <c r="O364" s="14">
        <v>614.048</v>
      </c>
      <c r="P364" s="13">
        <v>39</v>
      </c>
      <c r="Q364" s="14">
        <v>90.691299999999998</v>
      </c>
      <c r="R364" s="13">
        <f>MAX(MAX(1.4/[1]Parametros!$B$3,0.25*SQRT([1]Parametros!$B$2)/[1]Parametros!$B$3)*H364*U364,(0.85*[1]Parametros!$B$2/[1]Parametros!$B$3)*(1-SQRT(1-2*(J364*1000000/([1]Parametros!$B$5*H364*U364^2))/(0.85*[1]Parametros!$B$2)))*H364*U364)</f>
        <v>1079.6607226974643</v>
      </c>
      <c r="S364" s="14">
        <v>6</v>
      </c>
      <c r="T364" s="14">
        <v>1</v>
      </c>
      <c r="U364" s="13">
        <f>IF(T364=1,I364-([1]Parametros!$B$7+[1]Parametros!$B$9+[1]Parametros!$B$12/2),I364-(ROUNDUP(S364/2,0)*([1]Parametros!$B$7+[1]Parametros!$B$9+[1]Parametros!$B$12/2)+ROUNDDOWN(S364/2,0)*([1]Parametros!$B$7+[1]Parametros!$B$9+[1]Parametros!$B$12/2+[1]Parametros!$B$12+[1]Parametros!$B$10))/S364)</f>
        <v>489.35</v>
      </c>
      <c r="V364" s="13">
        <f>S364*[1]Parametros!$B$8</f>
        <v>1194</v>
      </c>
      <c r="W364" s="13">
        <f>[1]Parametros!$B$5*V364*[1]Parametros!$B$3*(U364-(V364*[1]Parametros!$B$3/(0.85*[1]Parametros!$B$2*H364))/2)/1000000</f>
        <v>211.34948347058827</v>
      </c>
      <c r="X364" s="13" t="str">
        <f t="shared" si="65"/>
        <v>CUMPLE</v>
      </c>
      <c r="Y364" s="13">
        <f>MAX(MAX(1.4/[1]Parametros!$B$3,0.25*SQRT([1]Parametros!$B$2)/[1]Parametros!$B$3)*H364*AB364,(0.85*[1]Parametros!$B$2/[1]Parametros!$B$3)*(1-SQRT(1-2*(L364*1000000/([1]Parametros!$B$5*H364*AB364^2))/(0.85*[1]Parametros!$B$2)))*H364*AB364)</f>
        <v>923.59707406136954</v>
      </c>
      <c r="Z364" s="14">
        <v>5</v>
      </c>
      <c r="AA364" s="14">
        <v>1</v>
      </c>
      <c r="AB364" s="13">
        <f>IF(AA364=1,I364-([1]Parametros!$B$7+[1]Parametros!$B$9+[1]Parametros!$B$12/2),I364-(ROUNDUP(Z364/2,0)*([1]Parametros!$B$7+[1]Parametros!$B$9+[1]Parametros!$B$12/2)+ROUNDDOWN(Z364/2,0)*([1]Parametros!$B$7+[1]Parametros!$B$9+[1]Parametros!$B$12/2+[1]Parametros!$B$12+[1]Parametros!$B$10))/Z364)</f>
        <v>489.35</v>
      </c>
      <c r="AC364" s="13">
        <f>Z364*[1]Parametros!$B$8</f>
        <v>995</v>
      </c>
      <c r="AD364" s="13">
        <f>[1]Parametros!$B$5*AC364*[1]Parametros!$B$3*(AB364-(AC364*[1]Parametros!$B$3/(0.85*[1]Parametros!$B$2*H364))/2)/1000000</f>
        <v>177.44537938235294</v>
      </c>
      <c r="AE364" s="13" t="str">
        <f t="shared" si="66"/>
        <v>CUMPLE</v>
      </c>
      <c r="AF364" s="13">
        <f>V364*1.25*[1]Parametros!$B$3*(U364-(V364*1.25*[1]Parametros!$B$3/(0.85*[1]Parametros!$B$2*H364))/2)/1000000</f>
        <v>290.23892470588237</v>
      </c>
      <c r="AG364" s="13">
        <f>AC364*1.25*[1]Parametros!$B$3*(AB364-(AC364*1.25*[1]Parametros!$B$3/(0.85*[1]Parametros!$B$2*H364))/2)/1000000</f>
        <v>244.15884319852941</v>
      </c>
      <c r="AH364" s="13">
        <f t="shared" si="67"/>
        <v>412.26707632018719</v>
      </c>
      <c r="AI364" s="13">
        <f t="shared" si="68"/>
        <v>614.048</v>
      </c>
      <c r="AJ364" s="13">
        <f>0.17*SQRT([1]Parametros!$B$2)*H364*MIN(U364,AB364)/1000</f>
        <v>220.09872869180776</v>
      </c>
      <c r="AK364" s="13">
        <f>MAX(AI364/[1]Parametros!$B$6-AJ364,0)</f>
        <v>598.63193797485894</v>
      </c>
      <c r="AL364" s="13">
        <f>0.66*SQRT([1]Parametros!$B$2)*H364*MIN(U364,AB364)/1000</f>
        <v>854.500946685842</v>
      </c>
      <c r="AM364" s="13" t="str">
        <f t="shared" si="69"/>
        <v>CUMPLE</v>
      </c>
      <c r="AN364" s="13" t="s">
        <v>68</v>
      </c>
      <c r="AO364" s="14">
        <v>4</v>
      </c>
      <c r="AP364" s="13">
        <f>ROUNDDOWN(MIN(IF(BC364+BD364=0,1000000000,AO364*BB364/(BC364+BD364)),MIN(U364,AB364)/4,8*[1]Parametros!$B$12,24*BA364,300,IF(AV364=0,1000000000,2*((H364-2*([1]Parametros!$B$7+[1]Parametros!$B$9/2))+(I364-2*([1]Parametros!$B$7+[1]Parametros!$B$9/2)))/8))/10,0)*10</f>
        <v>100</v>
      </c>
      <c r="AQ364" s="13">
        <f>ROUNDDOWN(MIN(IF(BC364+BD364=0,1000000000,AO364*BB364/(BC364+BD364)),IF(AK364&gt;0.33*SQRT([1]Parametros!$B$2)*H364*MIN(U364,AB364)/1000,MIN(U364,AB364)/4,MIN(U364,AB364)/2),600,IF(AV364=0,1000000000,2*((H364-2*([1]Parametros!$B$7+[1]Parametros!$B$9/2))+(I364-2*([1]Parametros!$B$7+[1]Parametros!$B$9/2)))/8))/10,0)*10</f>
        <v>100</v>
      </c>
      <c r="AR364" s="13">
        <f>[1]Parametros!$B$6*(AJ364+MAX(BE364-BD364,0)*[1]Parametros!$B$4*MIN(U364,AB364)/1000)</f>
        <v>680.14573220402349</v>
      </c>
      <c r="AS364" s="13" t="str">
        <f t="shared" si="70"/>
        <v>CUMPLE</v>
      </c>
      <c r="AT364" s="13">
        <f>[1]Parametros!$B$6*0.083*SQRT([1]Parametros!$B$2)*(H364*I364)^2/(2*(H364+I364))/1000000</f>
        <v>11.862178757598967</v>
      </c>
      <c r="AU364" s="13" t="str">
        <f t="shared" si="71"/>
        <v>DISEÑAR</v>
      </c>
      <c r="AV364" s="13">
        <f>IF(Q364&lt;=AT364,0,Q364*1000000/([1]Parametros!$B$6*2*0.85*(H364-2*([1]Parametros!$B$7+[1]Parametros!$B$9/2))*(I364-2*([1]Parametros!$B$7+[1]Parametros!$B$9/2))*[1]Parametros!$B$4))</f>
        <v>0.90926513893497318</v>
      </c>
      <c r="AW364" s="13">
        <f>AV364*2*((H364-2*([1]Parametros!$B$7+[1]Parametros!$B$9/2))+(I364-2*([1]Parametros!$B$7+[1]Parametros!$B$9/2)))*[1]Parametros!$B$4/[1]Parametros!$B$3</f>
        <v>1572.3012782463557</v>
      </c>
      <c r="AX364" s="14">
        <v>8</v>
      </c>
      <c r="AY364" s="13" t="str">
        <f t="shared" si="72"/>
        <v>NO CUMPLE</v>
      </c>
      <c r="AZ364" s="13" t="str">
        <f t="shared" si="73"/>
        <v>NO CUMPLE</v>
      </c>
      <c r="BA364" s="14">
        <v>12.7</v>
      </c>
      <c r="BB364" s="14">
        <v>129</v>
      </c>
      <c r="BC364" s="13">
        <f>MAX(IF(AK364=0,0,AK364*1000/([1]Parametros!$B$4*MIN(U364,AB364))),MAX(0.062*SQRT([1]Parametros!$B$2)*H364/[1]Parametros!$B$4,0.35*H364/[1]Parametros!$B$4))</f>
        <v>2.9126681067444129</v>
      </c>
      <c r="BD364" s="13">
        <f t="shared" si="74"/>
        <v>1.8185302778699464</v>
      </c>
      <c r="BE364" s="13">
        <f t="shared" si="75"/>
        <v>5.16</v>
      </c>
      <c r="BF364" s="13">
        <f>SQRT((AI364*1000/(H364*MIN(U364,AB364)))^2+(Q364*1000000*2*((H364-2*([1]Parametros!$B$7+[1]Parametros!$B$9/2))+(I364-2*([1]Parametros!$B$7+[1]Parametros!$B$9/2)))/(1.7*((H364-2*([1]Parametros!$B$7+[1]Parametros!$B$9/2))*(I364-2*([1]Parametros!$B$7+[1]Parametros!$B$9/2)))^2))^2)</f>
        <v>3.6563662822075917</v>
      </c>
      <c r="BG364" s="13">
        <f>[1]Parametros!$B$6*(AJ364*1000/(H364*MIN(U364,AB364))+0.66*SQRT([1]Parametros!$B$2))</f>
        <v>3.2939603822754151</v>
      </c>
      <c r="BH364" s="13" t="str">
        <f t="shared" si="76"/>
        <v>NO CUMPLE</v>
      </c>
      <c r="BI364" s="13">
        <f>AX364*[1]Parametros!$B$8</f>
        <v>1592</v>
      </c>
      <c r="BJ364" s="15" t="str">
        <f t="shared" si="77"/>
        <v>CUMPLE</v>
      </c>
    </row>
    <row r="365" spans="1:62" x14ac:dyDescent="0.3">
      <c r="A365" s="33" t="s">
        <v>76</v>
      </c>
      <c r="B365" s="34">
        <v>40</v>
      </c>
      <c r="C365" s="13">
        <v>1</v>
      </c>
      <c r="D365" s="13">
        <v>3.57612</v>
      </c>
      <c r="E365" s="13">
        <v>3.57612</v>
      </c>
      <c r="F365" s="13">
        <v>500</v>
      </c>
      <c r="G365" s="13">
        <v>550</v>
      </c>
      <c r="H365" s="13">
        <v>500</v>
      </c>
      <c r="I365" s="13">
        <v>550</v>
      </c>
      <c r="J365" s="14">
        <v>181.37209999999999</v>
      </c>
      <c r="K365" s="13">
        <v>40</v>
      </c>
      <c r="L365" s="14">
        <v>116.7428</v>
      </c>
      <c r="M365" s="13">
        <v>40</v>
      </c>
      <c r="N365" s="14">
        <v>131.34</v>
      </c>
      <c r="O365" s="14">
        <v>397.25900000000001</v>
      </c>
      <c r="P365" s="13">
        <v>40</v>
      </c>
      <c r="Q365" s="14">
        <v>5.2779999999999996</v>
      </c>
      <c r="R365" s="13">
        <f>MAX(MAX(1.4/[1]Parametros!$B$3,0.25*SQRT([1]Parametros!$B$2)/[1]Parametros!$B$3)*H365*U365,(0.85*[1]Parametros!$B$2/[1]Parametros!$B$3)*(1-SQRT(1-2*(J365*1000000/([1]Parametros!$B$5*H365*U365^2))/(0.85*[1]Parametros!$B$2)))*H365*U365)</f>
        <v>1017.8900384558895</v>
      </c>
      <c r="S365" s="14">
        <v>6</v>
      </c>
      <c r="T365" s="14">
        <v>1</v>
      </c>
      <c r="U365" s="13">
        <f>IF(T365=1,I365-([1]Parametros!$B$7+[1]Parametros!$B$9+[1]Parametros!$B$12/2),I365-(ROUNDUP(S365/2,0)*([1]Parametros!$B$7+[1]Parametros!$B$9+[1]Parametros!$B$12/2)+ROUNDDOWN(S365/2,0)*([1]Parametros!$B$7+[1]Parametros!$B$9+[1]Parametros!$B$12/2+[1]Parametros!$B$12+[1]Parametros!$B$10))/S365)</f>
        <v>489.35</v>
      </c>
      <c r="V365" s="13">
        <f>S365*[1]Parametros!$B$8</f>
        <v>1194</v>
      </c>
      <c r="W365" s="13">
        <f>[1]Parametros!$B$5*V365*[1]Parametros!$B$3*(U365-(V365*[1]Parametros!$B$3/(0.85*[1]Parametros!$B$2*H365))/2)/1000000</f>
        <v>211.34948347058827</v>
      </c>
      <c r="X365" s="13" t="str">
        <f t="shared" si="65"/>
        <v>CUMPLE</v>
      </c>
      <c r="Y365" s="13">
        <f>MAX(MAX(1.4/[1]Parametros!$B$3,0.25*SQRT([1]Parametros!$B$2)/[1]Parametros!$B$3)*H365*AB365,(0.85*[1]Parametros!$B$2/[1]Parametros!$B$3)*(1-SQRT(1-2*(L365*1000000/([1]Parametros!$B$5*H365*AB365^2))/(0.85*[1]Parametros!$B$2)))*H365*AB365)</f>
        <v>815.58333333333326</v>
      </c>
      <c r="Z365" s="14">
        <v>5</v>
      </c>
      <c r="AA365" s="14">
        <v>1</v>
      </c>
      <c r="AB365" s="13">
        <f>IF(AA365=1,I365-([1]Parametros!$B$7+[1]Parametros!$B$9+[1]Parametros!$B$12/2),I365-(ROUNDUP(Z365/2,0)*([1]Parametros!$B$7+[1]Parametros!$B$9+[1]Parametros!$B$12/2)+ROUNDDOWN(Z365/2,0)*([1]Parametros!$B$7+[1]Parametros!$B$9+[1]Parametros!$B$12/2+[1]Parametros!$B$12+[1]Parametros!$B$10))/Z365)</f>
        <v>489.35</v>
      </c>
      <c r="AC365" s="13">
        <f>Z365*[1]Parametros!$B$8</f>
        <v>995</v>
      </c>
      <c r="AD365" s="13">
        <f>[1]Parametros!$B$5*AC365*[1]Parametros!$B$3*(AB365-(AC365*[1]Parametros!$B$3/(0.85*[1]Parametros!$B$2*H365))/2)/1000000</f>
        <v>177.44537938235294</v>
      </c>
      <c r="AE365" s="13" t="str">
        <f t="shared" si="66"/>
        <v>CUMPLE</v>
      </c>
      <c r="AF365" s="13">
        <f>V365*1.25*[1]Parametros!$B$3*(U365-(V365*1.25*[1]Parametros!$B$3/(0.85*[1]Parametros!$B$2*H365))/2)/1000000</f>
        <v>290.23892470588237</v>
      </c>
      <c r="AG365" s="13">
        <f>AC365*1.25*[1]Parametros!$B$3*(AB365-(AC365*1.25*[1]Parametros!$B$3/(0.85*[1]Parametros!$B$2*H365))/2)/1000000</f>
        <v>244.15884319852941</v>
      </c>
      <c r="AH365" s="13">
        <f t="shared" si="67"/>
        <v>280.77507709596205</v>
      </c>
      <c r="AI365" s="13">
        <f t="shared" si="68"/>
        <v>397.25900000000001</v>
      </c>
      <c r="AJ365" s="13">
        <f>0.17*SQRT([1]Parametros!$B$2)*H365*MIN(U365,AB365)/1000</f>
        <v>220.09872869180776</v>
      </c>
      <c r="AK365" s="13">
        <f>MAX(AI365/[1]Parametros!$B$6-AJ365,0)</f>
        <v>309.57993797485892</v>
      </c>
      <c r="AL365" s="13">
        <f>0.66*SQRT([1]Parametros!$B$2)*H365*MIN(U365,AB365)/1000</f>
        <v>854.500946685842</v>
      </c>
      <c r="AM365" s="13" t="str">
        <f t="shared" si="69"/>
        <v>CUMPLE</v>
      </c>
      <c r="AN365" s="13" t="s">
        <v>64</v>
      </c>
      <c r="AO365" s="14">
        <v>2</v>
      </c>
      <c r="AP365" s="13">
        <f>ROUNDDOWN(MIN(IF(BC365+BD365=0,1000000000,AO365*BB365/(BC365+BD365)),MIN(U365,AB365)/4,8*[1]Parametros!$B$12,24*BA365,300,IF(AV365=0,1000000000,2*((H365-2*([1]Parametros!$B$7+[1]Parametros!$B$9/2))+(I365-2*([1]Parametros!$B$7+[1]Parametros!$B$9/2)))/8))/10,0)*10</f>
        <v>90</v>
      </c>
      <c r="AQ365" s="13">
        <f>ROUNDDOWN(MIN(IF(BC365+BD365=0,1000000000,AO365*BB365/(BC365+BD365)),IF(AK365&gt;0.33*SQRT([1]Parametros!$B$2)*H365*MIN(U365,AB365)/1000,MIN(U365,AB365)/4,MIN(U365,AB365)/2),600,IF(AV365=0,1000000000,2*((H365-2*([1]Parametros!$B$7+[1]Parametros!$B$9/2))+(I365-2*([1]Parametros!$B$7+[1]Parametros!$B$9/2)))/8))/10,0)*10</f>
        <v>90</v>
      </c>
      <c r="AR365" s="13">
        <f>[1]Parametros!$B$6*(AJ365+MAX(BE365-BD365,0)*[1]Parametros!$B$4*MIN(U365,AB365)/1000)</f>
        <v>408.28099651885583</v>
      </c>
      <c r="AS365" s="13" t="str">
        <f t="shared" si="70"/>
        <v>CUMPLE</v>
      </c>
      <c r="AT365" s="13">
        <f>[1]Parametros!$B$6*0.083*SQRT([1]Parametros!$B$2)*(H365*I365)^2/(2*(H365+I365))/1000000</f>
        <v>11.862178757598967</v>
      </c>
      <c r="AU365" s="13" t="str">
        <f t="shared" si="71"/>
        <v>DESPRECIABLE</v>
      </c>
      <c r="AV365" s="13">
        <f>IF(Q365&lt;=AT365,0,Q365*1000000/([1]Parametros!$B$6*2*0.85*(H365-2*([1]Parametros!$B$7+[1]Parametros!$B$9/2))*(I365-2*([1]Parametros!$B$7+[1]Parametros!$B$9/2))*[1]Parametros!$B$4))</f>
        <v>0</v>
      </c>
      <c r="AW365" s="13">
        <f>AV365*2*((H365-2*([1]Parametros!$B$7+[1]Parametros!$B$9/2))+(I365-2*([1]Parametros!$B$7+[1]Parametros!$B$9/2)))*[1]Parametros!$B$4/[1]Parametros!$B$3</f>
        <v>0</v>
      </c>
      <c r="AX365" s="14">
        <v>0</v>
      </c>
      <c r="AY365" s="13" t="str">
        <f t="shared" si="72"/>
        <v>DESPRECIABLE</v>
      </c>
      <c r="AZ365" s="13" t="str">
        <f t="shared" si="73"/>
        <v>CUMPLE</v>
      </c>
      <c r="BA365" s="14">
        <v>9.5</v>
      </c>
      <c r="BB365" s="14">
        <v>71</v>
      </c>
      <c r="BC365" s="13">
        <f>MAX(IF(AK365=0,0,AK365*1000/([1]Parametros!$B$4*MIN(U365,AB365))),MAX(0.062*SQRT([1]Parametros!$B$2)*H365/[1]Parametros!$B$4,0.35*H365/[1]Parametros!$B$4))</f>
        <v>1.5062738130506401</v>
      </c>
      <c r="BD365" s="13">
        <f t="shared" si="74"/>
        <v>0</v>
      </c>
      <c r="BE365" s="13">
        <f t="shared" si="75"/>
        <v>1.5777777777777777</v>
      </c>
      <c r="BF365" s="13">
        <f>SQRT((AI365*1000/(H365*MIN(U365,AB365)))^2+(Q365*1000000*2*((H365-2*([1]Parametros!$B$7+[1]Parametros!$B$9/2))+(I365-2*([1]Parametros!$B$7+[1]Parametros!$B$9/2)))/(1.7*((H365-2*([1]Parametros!$B$7+[1]Parametros!$B$9/2))*(I365-2*([1]Parametros!$B$7+[1]Parametros!$B$9/2)))^2))^2)</f>
        <v>1.6309772901393051</v>
      </c>
      <c r="BG365" s="13">
        <f>[1]Parametros!$B$6*(AJ365*1000/(H365*MIN(U365,AB365))+0.66*SQRT([1]Parametros!$B$2))</f>
        <v>3.2939603822754151</v>
      </c>
      <c r="BH365" s="13" t="str">
        <f t="shared" si="76"/>
        <v>CUMPLE</v>
      </c>
      <c r="BI365" s="13">
        <f>AX365*[1]Parametros!$B$8</f>
        <v>0</v>
      </c>
      <c r="BJ365" s="15" t="str">
        <f t="shared" si="77"/>
        <v>CUMPLE</v>
      </c>
    </row>
    <row r="366" spans="1:62" x14ac:dyDescent="0.3">
      <c r="A366" s="33" t="s">
        <v>76</v>
      </c>
      <c r="B366" s="34">
        <v>41</v>
      </c>
      <c r="C366" s="13">
        <v>1</v>
      </c>
      <c r="D366" s="13">
        <v>1.9</v>
      </c>
      <c r="E366" s="13">
        <v>1.9</v>
      </c>
      <c r="F366" s="13">
        <v>500</v>
      </c>
      <c r="G366" s="13">
        <v>550</v>
      </c>
      <c r="H366" s="13">
        <v>500</v>
      </c>
      <c r="I366" s="13">
        <v>550</v>
      </c>
      <c r="J366" s="14">
        <v>181.00309999999999</v>
      </c>
      <c r="K366" s="13">
        <v>41</v>
      </c>
      <c r="L366" s="14">
        <v>158.06319999999999</v>
      </c>
      <c r="M366" s="13">
        <v>41</v>
      </c>
      <c r="N366" s="14">
        <v>171.405</v>
      </c>
      <c r="O366" s="14">
        <v>689.12099999999998</v>
      </c>
      <c r="P366" s="13">
        <v>41</v>
      </c>
      <c r="Q366" s="14">
        <v>23.418199999999999</v>
      </c>
      <c r="R366" s="13">
        <f>MAX(MAX(1.4/[1]Parametros!$B$3,0.25*SQRT([1]Parametros!$B$2)/[1]Parametros!$B$3)*H366*U366,(0.85*[1]Parametros!$B$2/[1]Parametros!$B$3)*(1-SQRT(1-2*(J366*1000000/([1]Parametros!$B$5*H366*U366^2))/(0.85*[1]Parametros!$B$2)))*H366*U366)</f>
        <v>1015.7372902911372</v>
      </c>
      <c r="S366" s="14">
        <v>6</v>
      </c>
      <c r="T366" s="14">
        <v>1</v>
      </c>
      <c r="U366" s="13">
        <f>IF(T366=1,I366-([1]Parametros!$B$7+[1]Parametros!$B$9+[1]Parametros!$B$12/2),I366-(ROUNDUP(S366/2,0)*([1]Parametros!$B$7+[1]Parametros!$B$9+[1]Parametros!$B$12/2)+ROUNDDOWN(S366/2,0)*([1]Parametros!$B$7+[1]Parametros!$B$9+[1]Parametros!$B$12/2+[1]Parametros!$B$12+[1]Parametros!$B$10))/S366)</f>
        <v>489.35</v>
      </c>
      <c r="V366" s="13">
        <f>S366*[1]Parametros!$B$8</f>
        <v>1194</v>
      </c>
      <c r="W366" s="13">
        <f>[1]Parametros!$B$5*V366*[1]Parametros!$B$3*(U366-(V366*[1]Parametros!$B$3/(0.85*[1]Parametros!$B$2*H366))/2)/1000000</f>
        <v>211.34948347058827</v>
      </c>
      <c r="X366" s="13" t="str">
        <f t="shared" si="65"/>
        <v>CUMPLE</v>
      </c>
      <c r="Y366" s="13">
        <f>MAX(MAX(1.4/[1]Parametros!$B$3,0.25*SQRT([1]Parametros!$B$2)/[1]Parametros!$B$3)*H366*AB366,(0.85*[1]Parametros!$B$2/[1]Parametros!$B$3)*(1-SQRT(1-2*(L366*1000000/([1]Parametros!$B$5*H366*AB366^2))/(0.85*[1]Parametros!$B$2)))*H366*AB366)</f>
        <v>882.60667470441126</v>
      </c>
      <c r="Z366" s="14">
        <v>5</v>
      </c>
      <c r="AA366" s="14">
        <v>1</v>
      </c>
      <c r="AB366" s="13">
        <f>IF(AA366=1,I366-([1]Parametros!$B$7+[1]Parametros!$B$9+[1]Parametros!$B$12/2),I366-(ROUNDUP(Z366/2,0)*([1]Parametros!$B$7+[1]Parametros!$B$9+[1]Parametros!$B$12/2)+ROUNDDOWN(Z366/2,0)*([1]Parametros!$B$7+[1]Parametros!$B$9+[1]Parametros!$B$12/2+[1]Parametros!$B$12+[1]Parametros!$B$10))/Z366)</f>
        <v>489.35</v>
      </c>
      <c r="AC366" s="13">
        <f>Z366*[1]Parametros!$B$8</f>
        <v>995</v>
      </c>
      <c r="AD366" s="13">
        <f>[1]Parametros!$B$5*AC366*[1]Parametros!$B$3*(AB366-(AC366*[1]Parametros!$B$3/(0.85*[1]Parametros!$B$2*H366))/2)/1000000</f>
        <v>177.44537938235294</v>
      </c>
      <c r="AE366" s="13" t="str">
        <f t="shared" si="66"/>
        <v>CUMPLE</v>
      </c>
      <c r="AF366" s="13">
        <f>V366*1.25*[1]Parametros!$B$3*(U366-(V366*1.25*[1]Parametros!$B$3/(0.85*[1]Parametros!$B$2*H366))/2)/1000000</f>
        <v>290.23892470588237</v>
      </c>
      <c r="AG366" s="13">
        <f>AC366*1.25*[1]Parametros!$B$3*(AB366-(AC366*1.25*[1]Parametros!$B$3/(0.85*[1]Parametros!$B$2*H366))/2)/1000000</f>
        <v>244.15884319852941</v>
      </c>
      <c r="AH366" s="13">
        <f t="shared" si="67"/>
        <v>452.66698310758522</v>
      </c>
      <c r="AI366" s="13">
        <f t="shared" si="68"/>
        <v>689.12099999999998</v>
      </c>
      <c r="AJ366" s="13">
        <f>0.17*SQRT([1]Parametros!$B$2)*H366*MIN(U366,AB366)/1000</f>
        <v>220.09872869180776</v>
      </c>
      <c r="AK366" s="13">
        <f>MAX(AI366/[1]Parametros!$B$6-AJ366,0)</f>
        <v>698.72927130819221</v>
      </c>
      <c r="AL366" s="13">
        <f>0.66*SQRT([1]Parametros!$B$2)*H366*MIN(U366,AB366)/1000</f>
        <v>854.500946685842</v>
      </c>
      <c r="AM366" s="13" t="str">
        <f t="shared" si="69"/>
        <v>CUMPLE</v>
      </c>
      <c r="AN366" s="13" t="s">
        <v>68</v>
      </c>
      <c r="AO366" s="14">
        <v>4</v>
      </c>
      <c r="AP366" s="13">
        <f>ROUNDDOWN(MIN(IF(BC366+BD366=0,1000000000,AO366*BB366/(BC366+BD366)),MIN(U366,AB366)/4,8*[1]Parametros!$B$12,24*BA366,300,IF(AV366=0,1000000000,2*((H366-2*([1]Parametros!$B$7+[1]Parametros!$B$9/2))+(I366-2*([1]Parametros!$B$7+[1]Parametros!$B$9/2)))/8))/10,0)*10</f>
        <v>120</v>
      </c>
      <c r="AQ366" s="13">
        <f>ROUNDDOWN(MIN(IF(BC366+BD366=0,1000000000,AO366*BB366/(BC366+BD366)),IF(AK366&gt;0.33*SQRT([1]Parametros!$B$2)*H366*MIN(U366,AB366)/1000,MIN(U366,AB366)/4,MIN(U366,AB366)/2),600,IF(AV366=0,1000000000,2*((H366-2*([1]Parametros!$B$7+[1]Parametros!$B$9/2))+(I366-2*([1]Parametros!$B$7+[1]Parametros!$B$9/2)))/8))/10,0)*10</f>
        <v>120</v>
      </c>
      <c r="AR366" s="13">
        <f>[1]Parametros!$B$6*(AJ366+MAX(BE366-BD366,0)*[1]Parametros!$B$4*MIN(U366,AB366)/1000)</f>
        <v>755.5152903172343</v>
      </c>
      <c r="AS366" s="13" t="str">
        <f t="shared" si="70"/>
        <v>CUMPLE</v>
      </c>
      <c r="AT366" s="13">
        <f>[1]Parametros!$B$6*0.083*SQRT([1]Parametros!$B$2)*(H366*I366)^2/(2*(H366+I366))/1000000</f>
        <v>11.862178757598967</v>
      </c>
      <c r="AU366" s="13" t="str">
        <f t="shared" si="71"/>
        <v>DISEÑAR</v>
      </c>
      <c r="AV366" s="13">
        <f>IF(Q366&lt;=AT366,0,Q366*1000000/([1]Parametros!$B$6*2*0.85*(H366-2*([1]Parametros!$B$7+[1]Parametros!$B$9/2))*(I366-2*([1]Parametros!$B$7+[1]Parametros!$B$9/2))*[1]Parametros!$B$4))</f>
        <v>0.23478936652806817</v>
      </c>
      <c r="AW366" s="13">
        <f>AV366*2*((H366-2*([1]Parametros!$B$7+[1]Parametros!$B$9/2))+(I366-2*([1]Parametros!$B$7+[1]Parametros!$B$9/2)))*[1]Parametros!$B$4/[1]Parametros!$B$3</f>
        <v>405.99777260033557</v>
      </c>
      <c r="AX366" s="14">
        <v>8</v>
      </c>
      <c r="AY366" s="13" t="str">
        <f t="shared" si="72"/>
        <v>CUMPLE</v>
      </c>
      <c r="AZ366" s="13" t="str">
        <f t="shared" si="73"/>
        <v>CUMPLE</v>
      </c>
      <c r="BA366" s="14">
        <v>12.7</v>
      </c>
      <c r="BB366" s="14">
        <v>129</v>
      </c>
      <c r="BC366" s="13">
        <f>MAX(IF(AK366=0,0,AK366*1000/([1]Parametros!$B$4*MIN(U366,AB366))),MAX(0.062*SQRT([1]Parametros!$B$2)*H366/[1]Parametros!$B$4,0.35*H366/[1]Parametros!$B$4))</f>
        <v>3.3996957641000556</v>
      </c>
      <c r="BD366" s="13">
        <f t="shared" si="74"/>
        <v>0.46957873305613634</v>
      </c>
      <c r="BE366" s="13">
        <f t="shared" si="75"/>
        <v>4.3</v>
      </c>
      <c r="BF366" s="13">
        <f>SQRT((AI366*1000/(H366*MIN(U366,AB366)))^2+(Q366*1000000*2*((H366-2*([1]Parametros!$B$7+[1]Parametros!$B$9/2))+(I366-2*([1]Parametros!$B$7+[1]Parametros!$B$9/2)))/(1.7*((H366-2*([1]Parametros!$B$7+[1]Parametros!$B$9/2))*(I366-2*([1]Parametros!$B$7+[1]Parametros!$B$9/2)))^2))^2)</f>
        <v>2.8989623366916359</v>
      </c>
      <c r="BG366" s="13">
        <f>[1]Parametros!$B$6*(AJ366*1000/(H366*MIN(U366,AB366))+0.66*SQRT([1]Parametros!$B$2))</f>
        <v>3.2939603822754151</v>
      </c>
      <c r="BH366" s="13" t="str">
        <f t="shared" si="76"/>
        <v>CUMPLE</v>
      </c>
      <c r="BI366" s="13">
        <f>AX366*[1]Parametros!$B$8</f>
        <v>1592</v>
      </c>
      <c r="BJ366" s="15" t="str">
        <f t="shared" si="77"/>
        <v>CUMPLE</v>
      </c>
    </row>
    <row r="367" spans="1:62" x14ac:dyDescent="0.3">
      <c r="A367" s="33" t="s">
        <v>76</v>
      </c>
      <c r="B367" s="34">
        <v>42</v>
      </c>
      <c r="C367" s="13">
        <v>1</v>
      </c>
      <c r="D367" s="13">
        <v>2</v>
      </c>
      <c r="E367" s="13">
        <v>2</v>
      </c>
      <c r="F367" s="13">
        <v>500</v>
      </c>
      <c r="G367" s="13">
        <v>550</v>
      </c>
      <c r="H367" s="13">
        <v>500</v>
      </c>
      <c r="I367" s="13">
        <v>550</v>
      </c>
      <c r="J367" s="14">
        <v>200.8947</v>
      </c>
      <c r="K367" s="13">
        <v>42</v>
      </c>
      <c r="L367" s="14">
        <v>151.03360000000001</v>
      </c>
      <c r="M367" s="13">
        <v>42</v>
      </c>
      <c r="N367" s="14">
        <v>180.48</v>
      </c>
      <c r="O367" s="14">
        <v>695.12400000000002</v>
      </c>
      <c r="P367" s="13">
        <v>42</v>
      </c>
      <c r="Q367" s="14">
        <v>52.286900000000003</v>
      </c>
      <c r="R367" s="13">
        <f>MAX(MAX(1.4/[1]Parametros!$B$3,0.25*SQRT([1]Parametros!$B$2)/[1]Parametros!$B$3)*H367*U367,(0.85*[1]Parametros!$B$2/[1]Parametros!$B$3)*(1-SQRT(1-2*(J367*1000000/([1]Parametros!$B$5*H367*U367^2))/(0.85*[1]Parametros!$B$2)))*H367*U367)</f>
        <v>1132.3040221375909</v>
      </c>
      <c r="S367" s="14">
        <v>6</v>
      </c>
      <c r="T367" s="14">
        <v>1</v>
      </c>
      <c r="U367" s="13">
        <f>IF(T367=1,I367-([1]Parametros!$B$7+[1]Parametros!$B$9+[1]Parametros!$B$12/2),I367-(ROUNDUP(S367/2,0)*([1]Parametros!$B$7+[1]Parametros!$B$9+[1]Parametros!$B$12/2)+ROUNDDOWN(S367/2,0)*([1]Parametros!$B$7+[1]Parametros!$B$9+[1]Parametros!$B$12/2+[1]Parametros!$B$12+[1]Parametros!$B$10))/S367)</f>
        <v>489.35</v>
      </c>
      <c r="V367" s="13">
        <f>S367*[1]Parametros!$B$8</f>
        <v>1194</v>
      </c>
      <c r="W367" s="13">
        <f>[1]Parametros!$B$5*V367*[1]Parametros!$B$3*(U367-(V367*[1]Parametros!$B$3/(0.85*[1]Parametros!$B$2*H367))/2)/1000000</f>
        <v>211.34948347058827</v>
      </c>
      <c r="X367" s="13" t="str">
        <f t="shared" si="65"/>
        <v>CUMPLE</v>
      </c>
      <c r="Y367" s="13">
        <f>MAX(MAX(1.4/[1]Parametros!$B$3,0.25*SQRT([1]Parametros!$B$2)/[1]Parametros!$B$3)*H367*AB367,(0.85*[1]Parametros!$B$2/[1]Parametros!$B$3)*(1-SQRT(1-2*(L367*1000000/([1]Parametros!$B$5*H367*AB367^2))/(0.85*[1]Parametros!$B$2)))*H367*AB367)</f>
        <v>842.08314883257401</v>
      </c>
      <c r="Z367" s="14">
        <v>5</v>
      </c>
      <c r="AA367" s="14">
        <v>1</v>
      </c>
      <c r="AB367" s="13">
        <f>IF(AA367=1,I367-([1]Parametros!$B$7+[1]Parametros!$B$9+[1]Parametros!$B$12/2),I367-(ROUNDUP(Z367/2,0)*([1]Parametros!$B$7+[1]Parametros!$B$9+[1]Parametros!$B$12/2)+ROUNDDOWN(Z367/2,0)*([1]Parametros!$B$7+[1]Parametros!$B$9+[1]Parametros!$B$12/2+[1]Parametros!$B$12+[1]Parametros!$B$10))/Z367)</f>
        <v>489.35</v>
      </c>
      <c r="AC367" s="13">
        <f>Z367*[1]Parametros!$B$8</f>
        <v>995</v>
      </c>
      <c r="AD367" s="13">
        <f>[1]Parametros!$B$5*AC367*[1]Parametros!$B$3*(AB367-(AC367*[1]Parametros!$B$3/(0.85*[1]Parametros!$B$2*H367))/2)/1000000</f>
        <v>177.44537938235294</v>
      </c>
      <c r="AE367" s="13" t="str">
        <f t="shared" si="66"/>
        <v>CUMPLE</v>
      </c>
      <c r="AF367" s="13">
        <f>V367*1.25*[1]Parametros!$B$3*(U367-(V367*1.25*[1]Parametros!$B$3/(0.85*[1]Parametros!$B$2*H367))/2)/1000000</f>
        <v>290.23892470588237</v>
      </c>
      <c r="AG367" s="13">
        <f>AC367*1.25*[1]Parametros!$B$3*(AB367-(AC367*1.25*[1]Parametros!$B$3/(0.85*[1]Parametros!$B$2*H367))/2)/1000000</f>
        <v>244.15884319852941</v>
      </c>
      <c r="AH367" s="13">
        <f t="shared" si="67"/>
        <v>447.67888395220587</v>
      </c>
      <c r="AI367" s="13">
        <f t="shared" si="68"/>
        <v>695.12400000000002</v>
      </c>
      <c r="AJ367" s="13">
        <f>0.17*SQRT([1]Parametros!$B$2)*H367*MIN(U367,AB367)/1000</f>
        <v>220.09872869180776</v>
      </c>
      <c r="AK367" s="13">
        <f>MAX(AI367/[1]Parametros!$B$6-AJ367,0)</f>
        <v>706.73327130819223</v>
      </c>
      <c r="AL367" s="13">
        <f>0.66*SQRT([1]Parametros!$B$2)*H367*MIN(U367,AB367)/1000</f>
        <v>854.500946685842</v>
      </c>
      <c r="AM367" s="13" t="str">
        <f t="shared" si="69"/>
        <v>CUMPLE</v>
      </c>
      <c r="AN367" s="13" t="s">
        <v>68</v>
      </c>
      <c r="AO367" s="14">
        <v>4</v>
      </c>
      <c r="AP367" s="13">
        <f>ROUNDDOWN(MIN(IF(BC367+BD367=0,1000000000,AO367*BB367/(BC367+BD367)),MIN(U367,AB367)/4,8*[1]Parametros!$B$12,24*BA367,300,IF(AV367=0,1000000000,2*((H367-2*([1]Parametros!$B$7+[1]Parametros!$B$9/2))+(I367-2*([1]Parametros!$B$7+[1]Parametros!$B$9/2)))/8))/10,0)*10</f>
        <v>110</v>
      </c>
      <c r="AQ367" s="13">
        <f>ROUNDDOWN(MIN(IF(BC367+BD367=0,1000000000,AO367*BB367/(BC367+BD367)),IF(AK367&gt;0.33*SQRT([1]Parametros!$B$2)*H367*MIN(U367,AB367)/1000,MIN(U367,AB367)/4,MIN(U367,AB367)/2),600,IF(AV367=0,1000000000,2*((H367-2*([1]Parametros!$B$7+[1]Parametros!$B$9/2))+(I367-2*([1]Parametros!$B$7+[1]Parametros!$B$9/2)))/8))/10,0)*10</f>
        <v>110</v>
      </c>
      <c r="AR367" s="13">
        <f>[1]Parametros!$B$6*(AJ367+MAX(BE367-BD367,0)*[1]Parametros!$B$4*MIN(U367,AB367)/1000)</f>
        <v>726.54178429589706</v>
      </c>
      <c r="AS367" s="13" t="str">
        <f t="shared" si="70"/>
        <v>CUMPLE</v>
      </c>
      <c r="AT367" s="13">
        <f>[1]Parametros!$B$6*0.083*SQRT([1]Parametros!$B$2)*(H367*I367)^2/(2*(H367+I367))/1000000</f>
        <v>11.862178757598967</v>
      </c>
      <c r="AU367" s="13" t="str">
        <f t="shared" si="71"/>
        <v>DISEÑAR</v>
      </c>
      <c r="AV367" s="13">
        <f>IF(Q367&lt;=AT367,0,Q367*1000000/([1]Parametros!$B$6*2*0.85*(H367-2*([1]Parametros!$B$7+[1]Parametros!$B$9/2))*(I367-2*([1]Parametros!$B$7+[1]Parametros!$B$9/2))*[1]Parametros!$B$4))</f>
        <v>0.52422509538378048</v>
      </c>
      <c r="AW367" s="13">
        <f>AV367*2*((H367-2*([1]Parametros!$B$7+[1]Parametros!$B$9/2))+(I367-2*([1]Parametros!$B$7+[1]Parametros!$B$9/2)))*[1]Parametros!$B$4/[1]Parametros!$B$3</f>
        <v>906.49003493763325</v>
      </c>
      <c r="AX367" s="14">
        <v>8</v>
      </c>
      <c r="AY367" s="13" t="str">
        <f t="shared" si="72"/>
        <v>CUMPLE</v>
      </c>
      <c r="AZ367" s="13" t="str">
        <f t="shared" si="73"/>
        <v>CUMPLE</v>
      </c>
      <c r="BA367" s="14">
        <v>12.7</v>
      </c>
      <c r="BB367" s="14">
        <v>129</v>
      </c>
      <c r="BC367" s="13">
        <f>MAX(IF(AK367=0,0,AK367*1000/([1]Parametros!$B$4*MIN(U367,AB367))),MAX(0.062*SQRT([1]Parametros!$B$2)*H367/[1]Parametros!$B$4,0.35*H367/[1]Parametros!$B$4))</f>
        <v>3.4386395525074187</v>
      </c>
      <c r="BD367" s="13">
        <f t="shared" si="74"/>
        <v>1.048450190767561</v>
      </c>
      <c r="BE367" s="13">
        <f t="shared" si="75"/>
        <v>4.6909090909090905</v>
      </c>
      <c r="BF367" s="13">
        <f>SQRT((AI367*1000/(H367*MIN(U367,AB367)))^2+(Q367*1000000*2*((H367-2*([1]Parametros!$B$7+[1]Parametros!$B$9/2))+(I367-2*([1]Parametros!$B$7+[1]Parametros!$B$9/2)))/(1.7*((H367-2*([1]Parametros!$B$7+[1]Parametros!$B$9/2))*(I367-2*([1]Parametros!$B$7+[1]Parametros!$B$9/2)))^2))^2)</f>
        <v>3.2282495613674196</v>
      </c>
      <c r="BG367" s="13">
        <f>[1]Parametros!$B$6*(AJ367*1000/(H367*MIN(U367,AB367))+0.66*SQRT([1]Parametros!$B$2))</f>
        <v>3.2939603822754151</v>
      </c>
      <c r="BH367" s="13" t="str">
        <f t="shared" si="76"/>
        <v>CUMPLE</v>
      </c>
      <c r="BI367" s="13">
        <f>AX367*[1]Parametros!$B$8</f>
        <v>1592</v>
      </c>
      <c r="BJ367" s="15" t="str">
        <f t="shared" si="77"/>
        <v>CUMPLE</v>
      </c>
    </row>
    <row r="368" spans="1:62" x14ac:dyDescent="0.3">
      <c r="A368" s="33" t="s">
        <v>76</v>
      </c>
      <c r="B368" s="34">
        <v>43</v>
      </c>
      <c r="C368" s="13">
        <v>1</v>
      </c>
      <c r="D368" s="13">
        <v>3.05308</v>
      </c>
      <c r="E368" s="13">
        <v>3.05308</v>
      </c>
      <c r="F368" s="13">
        <v>500</v>
      </c>
      <c r="G368" s="13">
        <v>550</v>
      </c>
      <c r="H368" s="13">
        <v>500</v>
      </c>
      <c r="I368" s="13">
        <v>550</v>
      </c>
      <c r="J368" s="14">
        <v>186.2824</v>
      </c>
      <c r="K368" s="13">
        <v>43</v>
      </c>
      <c r="L368" s="14">
        <v>124.4825</v>
      </c>
      <c r="M368" s="13">
        <v>43</v>
      </c>
      <c r="N368" s="14">
        <v>137.69300000000001</v>
      </c>
      <c r="O368" s="14">
        <v>429.98899999999998</v>
      </c>
      <c r="P368" s="13">
        <v>43</v>
      </c>
      <c r="Q368" s="14">
        <v>59.177500000000002</v>
      </c>
      <c r="R368" s="13">
        <f>MAX(MAX(1.4/[1]Parametros!$B$3,0.25*SQRT([1]Parametros!$B$2)/[1]Parametros!$B$3)*H368*U368,(0.85*[1]Parametros!$B$2/[1]Parametros!$B$3)*(1-SQRT(1-2*(J368*1000000/([1]Parametros!$B$5*H368*U368^2))/(0.85*[1]Parametros!$B$2)))*H368*U368)</f>
        <v>1046.5711730777434</v>
      </c>
      <c r="S368" s="14">
        <v>6</v>
      </c>
      <c r="T368" s="14">
        <v>1</v>
      </c>
      <c r="U368" s="13">
        <f>IF(T368=1,I368-([1]Parametros!$B$7+[1]Parametros!$B$9+[1]Parametros!$B$12/2),I368-(ROUNDUP(S368/2,0)*([1]Parametros!$B$7+[1]Parametros!$B$9+[1]Parametros!$B$12/2)+ROUNDDOWN(S368/2,0)*([1]Parametros!$B$7+[1]Parametros!$B$9+[1]Parametros!$B$12/2+[1]Parametros!$B$12+[1]Parametros!$B$10))/S368)</f>
        <v>489.35</v>
      </c>
      <c r="V368" s="13">
        <f>S368*[1]Parametros!$B$8</f>
        <v>1194</v>
      </c>
      <c r="W368" s="13">
        <f>[1]Parametros!$B$5*V368*[1]Parametros!$B$3*(U368-(V368*[1]Parametros!$B$3/(0.85*[1]Parametros!$B$2*H368))/2)/1000000</f>
        <v>211.34948347058827</v>
      </c>
      <c r="X368" s="13" t="str">
        <f t="shared" si="65"/>
        <v>CUMPLE</v>
      </c>
      <c r="Y368" s="13">
        <f>MAX(MAX(1.4/[1]Parametros!$B$3,0.25*SQRT([1]Parametros!$B$2)/[1]Parametros!$B$3)*H368*AB368,(0.85*[1]Parametros!$B$2/[1]Parametros!$B$3)*(1-SQRT(1-2*(L368*1000000/([1]Parametros!$B$5*H368*AB368^2))/(0.85*[1]Parametros!$B$2)))*H368*AB368)</f>
        <v>815.58333333333326</v>
      </c>
      <c r="Z368" s="14">
        <v>5</v>
      </c>
      <c r="AA368" s="14">
        <v>1</v>
      </c>
      <c r="AB368" s="13">
        <f>IF(AA368=1,I368-([1]Parametros!$B$7+[1]Parametros!$B$9+[1]Parametros!$B$12/2),I368-(ROUNDUP(Z368/2,0)*([1]Parametros!$B$7+[1]Parametros!$B$9+[1]Parametros!$B$12/2)+ROUNDDOWN(Z368/2,0)*([1]Parametros!$B$7+[1]Parametros!$B$9+[1]Parametros!$B$12/2+[1]Parametros!$B$12+[1]Parametros!$B$10))/Z368)</f>
        <v>489.35</v>
      </c>
      <c r="AC368" s="13">
        <f>Z368*[1]Parametros!$B$8</f>
        <v>995</v>
      </c>
      <c r="AD368" s="13">
        <f>[1]Parametros!$B$5*AC368*[1]Parametros!$B$3*(AB368-(AC368*[1]Parametros!$B$3/(0.85*[1]Parametros!$B$2*H368))/2)/1000000</f>
        <v>177.44537938235294</v>
      </c>
      <c r="AE368" s="13" t="str">
        <f t="shared" si="66"/>
        <v>CUMPLE</v>
      </c>
      <c r="AF368" s="13">
        <f>V368*1.25*[1]Parametros!$B$3*(U368-(V368*1.25*[1]Parametros!$B$3/(0.85*[1]Parametros!$B$2*H368))/2)/1000000</f>
        <v>290.23892470588237</v>
      </c>
      <c r="AG368" s="13">
        <f>AC368*1.25*[1]Parametros!$B$3*(AB368-(AC368*1.25*[1]Parametros!$B$3/(0.85*[1]Parametros!$B$2*H368))/2)/1000000</f>
        <v>244.15884319852941</v>
      </c>
      <c r="AH368" s="13">
        <f t="shared" si="67"/>
        <v>312.72862563195588</v>
      </c>
      <c r="AI368" s="13">
        <f t="shared" si="68"/>
        <v>429.98899999999998</v>
      </c>
      <c r="AJ368" s="13">
        <f>0.17*SQRT([1]Parametros!$B$2)*H368*MIN(U368,AB368)/1000</f>
        <v>220.09872869180776</v>
      </c>
      <c r="AK368" s="13">
        <f>MAX(AI368/[1]Parametros!$B$6-AJ368,0)</f>
        <v>353.21993797485891</v>
      </c>
      <c r="AL368" s="13">
        <f>0.66*SQRT([1]Parametros!$B$2)*H368*MIN(U368,AB368)/1000</f>
        <v>854.500946685842</v>
      </c>
      <c r="AM368" s="13" t="str">
        <f t="shared" si="69"/>
        <v>CUMPLE</v>
      </c>
      <c r="AN368" s="13" t="s">
        <v>68</v>
      </c>
      <c r="AO368" s="14">
        <v>2</v>
      </c>
      <c r="AP368" s="13">
        <f>ROUNDDOWN(MIN(IF(BC368+BD368=0,1000000000,AO368*BB368/(BC368+BD368)),MIN(U368,AB368)/4,8*[1]Parametros!$B$12,24*BA368,300,IF(AV368=0,1000000000,2*((H368-2*([1]Parametros!$B$7+[1]Parametros!$B$9/2))+(I368-2*([1]Parametros!$B$7+[1]Parametros!$B$9/2)))/8))/10,0)*10</f>
        <v>80</v>
      </c>
      <c r="AQ368" s="13">
        <f>ROUNDDOWN(MIN(IF(BC368+BD368=0,1000000000,AO368*BB368/(BC368+BD368)),IF(AK368&gt;0.33*SQRT([1]Parametros!$B$2)*H368*MIN(U368,AB368)/1000,MIN(U368,AB368)/4,MIN(U368,AB368)/2),600,IF(AV368=0,1000000000,2*((H368-2*([1]Parametros!$B$7+[1]Parametros!$B$9/2))+(I368-2*([1]Parametros!$B$7+[1]Parametros!$B$9/2)))/8))/10,0)*10</f>
        <v>80</v>
      </c>
      <c r="AR368" s="13">
        <f>[1]Parametros!$B$6*(AJ368+MAX(BE368-BD368,0)*[1]Parametros!$B$4*MIN(U368,AB368)/1000)</f>
        <v>479.2807005108279</v>
      </c>
      <c r="AS368" s="13" t="str">
        <f t="shared" si="70"/>
        <v>CUMPLE</v>
      </c>
      <c r="AT368" s="13">
        <f>[1]Parametros!$B$6*0.083*SQRT([1]Parametros!$B$2)*(H368*I368)^2/(2*(H368+I368))/1000000</f>
        <v>11.862178757598967</v>
      </c>
      <c r="AU368" s="13" t="str">
        <f t="shared" si="71"/>
        <v>DISEÑAR</v>
      </c>
      <c r="AV368" s="13">
        <f>IF(Q368&lt;=AT368,0,Q368*1000000/([1]Parametros!$B$6*2*0.85*(H368-2*([1]Parametros!$B$7+[1]Parametros!$B$9/2))*(I368-2*([1]Parametros!$B$7+[1]Parametros!$B$9/2))*[1]Parametros!$B$4))</f>
        <v>0.59330980765877628</v>
      </c>
      <c r="AW368" s="13">
        <f>AV368*2*((H368-2*([1]Parametros!$B$7+[1]Parametros!$B$9/2))+(I368-2*([1]Parametros!$B$7+[1]Parametros!$B$9/2)))*[1]Parametros!$B$4/[1]Parametros!$B$3</f>
        <v>1025.951319403556</v>
      </c>
      <c r="AX368" s="14">
        <v>8</v>
      </c>
      <c r="AY368" s="13" t="str">
        <f t="shared" si="72"/>
        <v>CUMPLE</v>
      </c>
      <c r="AZ368" s="13" t="str">
        <f t="shared" si="73"/>
        <v>CUMPLE</v>
      </c>
      <c r="BA368" s="14">
        <v>12.7</v>
      </c>
      <c r="BB368" s="14">
        <v>129</v>
      </c>
      <c r="BC368" s="13">
        <f>MAX(IF(AK368=0,0,AK368*1000/([1]Parametros!$B$4*MIN(U368,AB368))),MAX(0.062*SQRT([1]Parametros!$B$2)*H368/[1]Parametros!$B$4,0.35*H368/[1]Parametros!$B$4))</f>
        <v>1.7186060127129716</v>
      </c>
      <c r="BD368" s="13">
        <f t="shared" si="74"/>
        <v>1.1866196153175526</v>
      </c>
      <c r="BE368" s="13">
        <f t="shared" si="75"/>
        <v>3.2250000000000001</v>
      </c>
      <c r="BF368" s="13">
        <f>SQRT((AI368*1000/(H368*MIN(U368,AB368)))^2+(Q368*1000000*2*((H368-2*([1]Parametros!$B$7+[1]Parametros!$B$9/2))+(I368-2*([1]Parametros!$B$7+[1]Parametros!$B$9/2)))/(1.7*((H368-2*([1]Parametros!$B$7+[1]Parametros!$B$9/2))*(I368-2*([1]Parametros!$B$7+[1]Parametros!$B$9/2)))^2))^2)</f>
        <v>2.4696046038922752</v>
      </c>
      <c r="BG368" s="13">
        <f>[1]Parametros!$B$6*(AJ368*1000/(H368*MIN(U368,AB368))+0.66*SQRT([1]Parametros!$B$2))</f>
        <v>3.2939603822754151</v>
      </c>
      <c r="BH368" s="13" t="str">
        <f t="shared" si="76"/>
        <v>CUMPLE</v>
      </c>
      <c r="BI368" s="13">
        <f>AX368*[1]Parametros!$B$8</f>
        <v>1592</v>
      </c>
      <c r="BJ368" s="15" t="str">
        <f t="shared" si="77"/>
        <v>CUMPLE</v>
      </c>
    </row>
    <row r="369" spans="1:62" x14ac:dyDescent="0.3">
      <c r="A369" s="33" t="s">
        <v>76</v>
      </c>
      <c r="B369" s="34">
        <v>44</v>
      </c>
      <c r="C369" s="13">
        <v>1</v>
      </c>
      <c r="D369" s="13">
        <v>2</v>
      </c>
      <c r="E369" s="13">
        <v>2</v>
      </c>
      <c r="F369" s="13">
        <v>500</v>
      </c>
      <c r="G369" s="13">
        <v>550</v>
      </c>
      <c r="H369" s="13">
        <v>500</v>
      </c>
      <c r="I369" s="13">
        <v>550</v>
      </c>
      <c r="J369" s="14">
        <v>232.3964</v>
      </c>
      <c r="K369" s="13">
        <v>44</v>
      </c>
      <c r="L369" s="14">
        <v>173.98490000000001</v>
      </c>
      <c r="M369" s="13">
        <v>44</v>
      </c>
      <c r="N369" s="14">
        <v>186.56100000000001</v>
      </c>
      <c r="O369" s="14">
        <v>745.61500000000001</v>
      </c>
      <c r="P369" s="13">
        <v>44</v>
      </c>
      <c r="Q369" s="14">
        <v>9.2006999999999994</v>
      </c>
      <c r="R369" s="13">
        <f>MAX(MAX(1.4/[1]Parametros!$B$3,0.25*SQRT([1]Parametros!$B$2)/[1]Parametros!$B$3)*H369*U369,(0.85*[1]Parametros!$B$2/[1]Parametros!$B$3)*(1-SQRT(1-2*(J369*1000000/([1]Parametros!$B$5*H369*U369^2))/(0.85*[1]Parametros!$B$2)))*H369*U369)</f>
        <v>1319.122643038218</v>
      </c>
      <c r="S369" s="14">
        <v>7</v>
      </c>
      <c r="T369" s="14">
        <v>1</v>
      </c>
      <c r="U369" s="13">
        <f>IF(T369=1,I369-([1]Parametros!$B$7+[1]Parametros!$B$9+[1]Parametros!$B$12/2),I369-(ROUNDUP(S369/2,0)*([1]Parametros!$B$7+[1]Parametros!$B$9+[1]Parametros!$B$12/2)+ROUNDDOWN(S369/2,0)*([1]Parametros!$B$7+[1]Parametros!$B$9+[1]Parametros!$B$12/2+[1]Parametros!$B$12+[1]Parametros!$B$10))/S369)</f>
        <v>489.35</v>
      </c>
      <c r="V369" s="13">
        <f>S369*[1]Parametros!$B$8</f>
        <v>1393</v>
      </c>
      <c r="W369" s="13">
        <f>[1]Parametros!$B$5*V369*[1]Parametros!$B$3*(U369-(V369*[1]Parametros!$B$3/(0.85*[1]Parametros!$B$2*H369))/2)/1000000</f>
        <v>244.72526362941178</v>
      </c>
      <c r="X369" s="13" t="str">
        <f t="shared" si="65"/>
        <v>CUMPLE</v>
      </c>
      <c r="Y369" s="13">
        <f>MAX(MAX(1.4/[1]Parametros!$B$3,0.25*SQRT([1]Parametros!$B$2)/[1]Parametros!$B$3)*H369*AB369,(0.85*[1]Parametros!$B$2/[1]Parametros!$B$3)*(1-SQRT(1-2*(L369*1000000/([1]Parametros!$B$5*H369*AB369^2))/(0.85*[1]Parametros!$B$2)))*H369*AB369)</f>
        <v>974.86151715759388</v>
      </c>
      <c r="Z369" s="14">
        <v>5</v>
      </c>
      <c r="AA369" s="14">
        <v>1</v>
      </c>
      <c r="AB369" s="13">
        <f>IF(AA369=1,I369-([1]Parametros!$B$7+[1]Parametros!$B$9+[1]Parametros!$B$12/2),I369-(ROUNDUP(Z369/2,0)*([1]Parametros!$B$7+[1]Parametros!$B$9+[1]Parametros!$B$12/2)+ROUNDDOWN(Z369/2,0)*([1]Parametros!$B$7+[1]Parametros!$B$9+[1]Parametros!$B$12/2+[1]Parametros!$B$12+[1]Parametros!$B$10))/Z369)</f>
        <v>489.35</v>
      </c>
      <c r="AC369" s="13">
        <f>Z369*[1]Parametros!$B$8</f>
        <v>995</v>
      </c>
      <c r="AD369" s="13">
        <f>[1]Parametros!$B$5*AC369*[1]Parametros!$B$3*(AB369-(AC369*[1]Parametros!$B$3/(0.85*[1]Parametros!$B$2*H369))/2)/1000000</f>
        <v>177.44537938235294</v>
      </c>
      <c r="AE369" s="13" t="str">
        <f t="shared" si="66"/>
        <v>CUMPLE</v>
      </c>
      <c r="AF369" s="13">
        <f>V369*1.25*[1]Parametros!$B$3*(U369-(V369*1.25*[1]Parametros!$B$3/(0.85*[1]Parametros!$B$2*H369))/2)/1000000</f>
        <v>335.40177716911762</v>
      </c>
      <c r="AG369" s="13">
        <f>AC369*1.25*[1]Parametros!$B$3*(AB369-(AC369*1.25*[1]Parametros!$B$3/(0.85*[1]Parametros!$B$2*H369))/2)/1000000</f>
        <v>244.15884319852941</v>
      </c>
      <c r="AH369" s="13">
        <f t="shared" si="67"/>
        <v>476.34131018382357</v>
      </c>
      <c r="AI369" s="13">
        <f t="shared" si="68"/>
        <v>745.61500000000001</v>
      </c>
      <c r="AJ369" s="13">
        <f>0.17*SQRT([1]Parametros!$B$2)*H369*MIN(U369,AB369)/1000</f>
        <v>220.09872869180776</v>
      </c>
      <c r="AK369" s="13">
        <f>MAX(AI369/[1]Parametros!$B$6-AJ369,0)</f>
        <v>774.05460464152554</v>
      </c>
      <c r="AL369" s="13">
        <f>0.66*SQRT([1]Parametros!$B$2)*H369*MIN(U369,AB369)/1000</f>
        <v>854.500946685842</v>
      </c>
      <c r="AM369" s="13" t="str">
        <f t="shared" si="69"/>
        <v>CUMPLE</v>
      </c>
      <c r="AN369" s="13" t="s">
        <v>68</v>
      </c>
      <c r="AO369" s="14">
        <v>4</v>
      </c>
      <c r="AP369" s="13">
        <f>ROUNDDOWN(MIN(IF(BC369+BD369=0,1000000000,AO369*BB369/(BC369+BD369)),MIN(U369,AB369)/4,8*[1]Parametros!$B$12,24*BA369,300,IF(AV369=0,1000000000,2*((H369-2*([1]Parametros!$B$7+[1]Parametros!$B$9/2))+(I369-2*([1]Parametros!$B$7+[1]Parametros!$B$9/2)))/8))/10,0)*10</f>
        <v>120</v>
      </c>
      <c r="AQ369" s="13">
        <f>ROUNDDOWN(MIN(IF(BC369+BD369=0,1000000000,AO369*BB369/(BC369+BD369)),IF(AK369&gt;0.33*SQRT([1]Parametros!$B$2)*H369*MIN(U369,AB369)/1000,MIN(U369,AB369)/4,MIN(U369,AB369)/2),600,IF(AV369=0,1000000000,2*((H369-2*([1]Parametros!$B$7+[1]Parametros!$B$9/2))+(I369-2*([1]Parametros!$B$7+[1]Parametros!$B$9/2)))/8))/10,0)*10</f>
        <v>120</v>
      </c>
      <c r="AR369" s="13">
        <f>[1]Parametros!$B$6*(AJ369+MAX(BE369-BD369,0)*[1]Parametros!$B$4*MIN(U369,AB369)/1000)</f>
        <v>827.89862151885586</v>
      </c>
      <c r="AS369" s="13" t="str">
        <f t="shared" si="70"/>
        <v>CUMPLE</v>
      </c>
      <c r="AT369" s="13">
        <f>[1]Parametros!$B$6*0.083*SQRT([1]Parametros!$B$2)*(H369*I369)^2/(2*(H369+I369))/1000000</f>
        <v>11.862178757598967</v>
      </c>
      <c r="AU369" s="13" t="str">
        <f t="shared" si="71"/>
        <v>DESPRECIABLE</v>
      </c>
      <c r="AV369" s="13">
        <f>IF(Q369&lt;=AT369,0,Q369*1000000/([1]Parametros!$B$6*2*0.85*(H369-2*([1]Parametros!$B$7+[1]Parametros!$B$9/2))*(I369-2*([1]Parametros!$B$7+[1]Parametros!$B$9/2))*[1]Parametros!$B$4))</f>
        <v>0</v>
      </c>
      <c r="AW369" s="13">
        <f>AV369*2*((H369-2*([1]Parametros!$B$7+[1]Parametros!$B$9/2))+(I369-2*([1]Parametros!$B$7+[1]Parametros!$B$9/2)))*[1]Parametros!$B$4/[1]Parametros!$B$3</f>
        <v>0</v>
      </c>
      <c r="AX369" s="14">
        <v>0</v>
      </c>
      <c r="AY369" s="13" t="str">
        <f t="shared" si="72"/>
        <v>DESPRECIABLE</v>
      </c>
      <c r="AZ369" s="13" t="str">
        <f t="shared" si="73"/>
        <v>CUMPLE</v>
      </c>
      <c r="BA369" s="14">
        <v>12.7</v>
      </c>
      <c r="BB369" s="14">
        <v>129</v>
      </c>
      <c r="BC369" s="13">
        <f>MAX(IF(AK369=0,0,AK369*1000/([1]Parametros!$B$4*MIN(U369,AB369))),MAX(0.062*SQRT([1]Parametros!$B$2)*H369/[1]Parametros!$B$4,0.35*H369/[1]Parametros!$B$4))</f>
        <v>3.7661942452404089</v>
      </c>
      <c r="BD369" s="13">
        <f t="shared" si="74"/>
        <v>0</v>
      </c>
      <c r="BE369" s="13">
        <f t="shared" si="75"/>
        <v>4.3</v>
      </c>
      <c r="BF369" s="13">
        <f>SQRT((AI369*1000/(H369*MIN(U369,AB369)))^2+(Q369*1000000*2*((H369-2*([1]Parametros!$B$7+[1]Parametros!$B$9/2))+(I369-2*([1]Parametros!$B$7+[1]Parametros!$B$9/2)))/(1.7*((H369-2*([1]Parametros!$B$7+[1]Parametros!$B$9/2))*(I369-2*([1]Parametros!$B$7+[1]Parametros!$B$9/2)))^2))^2)</f>
        <v>3.0592860022902348</v>
      </c>
      <c r="BG369" s="13">
        <f>[1]Parametros!$B$6*(AJ369*1000/(H369*MIN(U369,AB369))+0.66*SQRT([1]Parametros!$B$2))</f>
        <v>3.2939603822754151</v>
      </c>
      <c r="BH369" s="13" t="str">
        <f t="shared" si="76"/>
        <v>CUMPLE</v>
      </c>
      <c r="BI369" s="13">
        <f>AX369*[1]Parametros!$B$8</f>
        <v>0</v>
      </c>
      <c r="BJ369" s="15" t="str">
        <f t="shared" si="77"/>
        <v>CUMPLE</v>
      </c>
    </row>
    <row r="370" spans="1:62" x14ac:dyDescent="0.3">
      <c r="A370" s="33" t="s">
        <v>76</v>
      </c>
      <c r="B370" s="34">
        <v>145</v>
      </c>
      <c r="C370" s="13">
        <v>1</v>
      </c>
      <c r="D370" s="13">
        <v>0.9</v>
      </c>
      <c r="E370" s="13">
        <v>0.9</v>
      </c>
      <c r="F370" s="13">
        <v>500</v>
      </c>
      <c r="G370" s="13">
        <v>550</v>
      </c>
      <c r="H370" s="13">
        <v>500</v>
      </c>
      <c r="I370" s="13">
        <v>550</v>
      </c>
      <c r="J370" s="14">
        <v>71.296099999999996</v>
      </c>
      <c r="K370" s="13">
        <v>145</v>
      </c>
      <c r="L370" s="14">
        <v>0.13070000000000001</v>
      </c>
      <c r="M370" s="13">
        <v>145</v>
      </c>
      <c r="N370" s="14">
        <v>52.862000000000002</v>
      </c>
      <c r="O370" s="14">
        <v>101.02</v>
      </c>
      <c r="P370" s="13">
        <v>145</v>
      </c>
      <c r="Q370" s="14">
        <v>140.66120000000001</v>
      </c>
      <c r="R370" s="13">
        <f>MAX(MAX(1.4/[1]Parametros!$B$3,0.25*SQRT([1]Parametros!$B$2)/[1]Parametros!$B$3)*H370*U370,(0.85*[1]Parametros!$B$2/[1]Parametros!$B$3)*(1-SQRT(1-2*(J370*1000000/([1]Parametros!$B$5*H370*U370^2))/(0.85*[1]Parametros!$B$2)))*H370*U370)</f>
        <v>815.58333333333326</v>
      </c>
      <c r="S370" s="14">
        <v>5</v>
      </c>
      <c r="T370" s="14">
        <v>1</v>
      </c>
      <c r="U370" s="13">
        <f>IF(T370=1,I370-([1]Parametros!$B$7+[1]Parametros!$B$9+[1]Parametros!$B$12/2),I370-(ROUNDUP(S370/2,0)*([1]Parametros!$B$7+[1]Parametros!$B$9+[1]Parametros!$B$12/2)+ROUNDDOWN(S370/2,0)*([1]Parametros!$B$7+[1]Parametros!$B$9+[1]Parametros!$B$12/2+[1]Parametros!$B$12+[1]Parametros!$B$10))/S370)</f>
        <v>489.35</v>
      </c>
      <c r="V370" s="13">
        <f>S370*[1]Parametros!$B$8</f>
        <v>995</v>
      </c>
      <c r="W370" s="13">
        <f>[1]Parametros!$B$5*V370*[1]Parametros!$B$3*(U370-(V370*[1]Parametros!$B$3/(0.85*[1]Parametros!$B$2*H370))/2)/1000000</f>
        <v>177.44537938235294</v>
      </c>
      <c r="X370" s="13" t="str">
        <f t="shared" si="65"/>
        <v>CUMPLE</v>
      </c>
      <c r="Y370" s="13">
        <f>MAX(MAX(1.4/[1]Parametros!$B$3,0.25*SQRT([1]Parametros!$B$2)/[1]Parametros!$B$3)*H370*AB370,(0.85*[1]Parametros!$B$2/[1]Parametros!$B$3)*(1-SQRT(1-2*(L370*1000000/([1]Parametros!$B$5*H370*AB370^2))/(0.85*[1]Parametros!$B$2)))*H370*AB370)</f>
        <v>815.58333333333326</v>
      </c>
      <c r="Z370" s="14">
        <v>5</v>
      </c>
      <c r="AA370" s="14">
        <v>1</v>
      </c>
      <c r="AB370" s="13">
        <f>IF(AA370=1,I370-([1]Parametros!$B$7+[1]Parametros!$B$9+[1]Parametros!$B$12/2),I370-(ROUNDUP(Z370/2,0)*([1]Parametros!$B$7+[1]Parametros!$B$9+[1]Parametros!$B$12/2)+ROUNDDOWN(Z370/2,0)*([1]Parametros!$B$7+[1]Parametros!$B$9+[1]Parametros!$B$12/2+[1]Parametros!$B$12+[1]Parametros!$B$10))/Z370)</f>
        <v>489.35</v>
      </c>
      <c r="AC370" s="13">
        <f>Z370*[1]Parametros!$B$8</f>
        <v>995</v>
      </c>
      <c r="AD370" s="13">
        <f>[1]Parametros!$B$5*AC370*[1]Parametros!$B$3*(AB370-(AC370*[1]Parametros!$B$3/(0.85*[1]Parametros!$B$2*H370))/2)/1000000</f>
        <v>177.44537938235294</v>
      </c>
      <c r="AE370" s="13" t="str">
        <f t="shared" si="66"/>
        <v>CUMPLE</v>
      </c>
      <c r="AF370" s="13">
        <f>V370*1.25*[1]Parametros!$B$3*(U370-(V370*1.25*[1]Parametros!$B$3/(0.85*[1]Parametros!$B$2*H370))/2)/1000000</f>
        <v>244.15884319852941</v>
      </c>
      <c r="AG370" s="13">
        <f>AC370*1.25*[1]Parametros!$B$3*(AB370-(AC370*1.25*[1]Parametros!$B$3/(0.85*[1]Parametros!$B$2*H370))/2)/1000000</f>
        <v>244.15884319852941</v>
      </c>
      <c r="AH370" s="13">
        <f t="shared" si="67"/>
        <v>595.43720710784305</v>
      </c>
      <c r="AI370" s="13">
        <f t="shared" si="68"/>
        <v>595.43720710784305</v>
      </c>
      <c r="AJ370" s="13">
        <f>0.17*SQRT([1]Parametros!$B$2)*H370*MIN(U370,AB370)/1000</f>
        <v>220.09872869180776</v>
      </c>
      <c r="AK370" s="13">
        <f>MAX(AI370/[1]Parametros!$B$6-AJ370,0)</f>
        <v>573.81754745198293</v>
      </c>
      <c r="AL370" s="13">
        <f>0.66*SQRT([1]Parametros!$B$2)*H370*MIN(U370,AB370)/1000</f>
        <v>854.500946685842</v>
      </c>
      <c r="AM370" s="13" t="str">
        <f t="shared" si="69"/>
        <v>CUMPLE</v>
      </c>
      <c r="AN370" s="13" t="s">
        <v>68</v>
      </c>
      <c r="AO370" s="14">
        <v>4</v>
      </c>
      <c r="AP370" s="13">
        <f>ROUNDDOWN(MIN(IF(BC370+BD370=0,1000000000,AO370*BB370/(BC370+BD370)),MIN(U370,AB370)/4,8*[1]Parametros!$B$12,24*BA370,300,IF(AV370=0,1000000000,2*((H370-2*([1]Parametros!$B$7+[1]Parametros!$B$9/2))+(I370-2*([1]Parametros!$B$7+[1]Parametros!$B$9/2)))/8))/10,0)*10</f>
        <v>90</v>
      </c>
      <c r="AQ370" s="13">
        <f>ROUNDDOWN(MIN(IF(BC370+BD370=0,1000000000,AO370*BB370/(BC370+BD370)),IF(AK370&gt;0.33*SQRT([1]Parametros!$B$2)*H370*MIN(U370,AB370)/1000,MIN(U370,AB370)/4,MIN(U370,AB370)/2),600,IF(AV370=0,1000000000,2*((H370-2*([1]Parametros!$B$7+[1]Parametros!$B$9/2))+(I370-2*([1]Parametros!$B$7+[1]Parametros!$B$9/2)))/8))/10,0)*10</f>
        <v>90</v>
      </c>
      <c r="AR370" s="13">
        <f>[1]Parametros!$B$6*(AJ370+MAX(BE370-BD370,0)*[1]Parametros!$B$4*MIN(U370,AB370)/1000)</f>
        <v>614.07034239994368</v>
      </c>
      <c r="AS370" s="13" t="str">
        <f t="shared" si="70"/>
        <v>CUMPLE</v>
      </c>
      <c r="AT370" s="13">
        <f>[1]Parametros!$B$6*0.083*SQRT([1]Parametros!$B$2)*(H370*I370)^2/(2*(H370+I370))/1000000</f>
        <v>11.862178757598967</v>
      </c>
      <c r="AU370" s="13" t="str">
        <f t="shared" si="71"/>
        <v>DISEÑAR</v>
      </c>
      <c r="AV370" s="13">
        <f>IF(Q370&lt;=AT370,0,Q370*1000000/([1]Parametros!$B$6*2*0.85*(H370-2*([1]Parametros!$B$7+[1]Parametros!$B$9/2))*(I370-2*([1]Parametros!$B$7+[1]Parametros!$B$9/2))*[1]Parametros!$B$4))</f>
        <v>1.4102601413890863</v>
      </c>
      <c r="AW370" s="13">
        <f>AV370*2*((H370-2*([1]Parametros!$B$7+[1]Parametros!$B$9/2))+(I370-2*([1]Parametros!$B$7+[1]Parametros!$B$9/2)))*[1]Parametros!$B$4/[1]Parametros!$B$3</f>
        <v>2438.6218364900083</v>
      </c>
      <c r="AX370" s="14">
        <v>16</v>
      </c>
      <c r="AY370" s="13" t="str">
        <f t="shared" si="72"/>
        <v>NO CUMPLE</v>
      </c>
      <c r="AZ370" s="13" t="str">
        <f t="shared" si="73"/>
        <v>NO CUMPLE</v>
      </c>
      <c r="BA370" s="14">
        <v>12.7</v>
      </c>
      <c r="BB370" s="14">
        <v>129</v>
      </c>
      <c r="BC370" s="13">
        <f>MAX(IF(AK370=0,0,AK370*1000/([1]Parametros!$B$4*MIN(U370,AB370))),MAX(0.062*SQRT([1]Parametros!$B$2)*H370/[1]Parametros!$B$4,0.35*H370/[1]Parametros!$B$4))</f>
        <v>2.7919326777113613</v>
      </c>
      <c r="BD370" s="13">
        <f t="shared" si="74"/>
        <v>2.8205202827781726</v>
      </c>
      <c r="BE370" s="13">
        <f t="shared" si="75"/>
        <v>5.7333333333333334</v>
      </c>
      <c r="BF370" s="13">
        <f>SQRT((AI370*1000/(H370*MIN(U370,AB370)))^2+(Q370*1000000*2*((H370-2*([1]Parametros!$B$7+[1]Parametros!$B$9/2))+(I370-2*([1]Parametros!$B$7+[1]Parametros!$B$9/2)))/(1.7*((H370-2*([1]Parametros!$B$7+[1]Parametros!$B$9/2))*(I370-2*([1]Parametros!$B$7+[1]Parametros!$B$9/2)))^2))^2)</f>
        <v>4.7886671119944042</v>
      </c>
      <c r="BG370" s="13">
        <f>[1]Parametros!$B$6*(AJ370*1000/(H370*MIN(U370,AB370))+0.66*SQRT([1]Parametros!$B$2))</f>
        <v>3.2939603822754151</v>
      </c>
      <c r="BH370" s="13" t="str">
        <f t="shared" si="76"/>
        <v>NO CUMPLE</v>
      </c>
      <c r="BI370" s="13">
        <f>AX370*[1]Parametros!$B$8</f>
        <v>3184</v>
      </c>
      <c r="BJ370" s="15" t="str">
        <f t="shared" si="77"/>
        <v>CUMPLE</v>
      </c>
    </row>
    <row r="371" spans="1:62" x14ac:dyDescent="0.3">
      <c r="A371" s="33" t="s">
        <v>76</v>
      </c>
      <c r="B371" s="34">
        <v>147</v>
      </c>
      <c r="C371" s="13">
        <v>1</v>
      </c>
      <c r="D371" s="13">
        <v>0.9</v>
      </c>
      <c r="E371" s="13">
        <v>0.9</v>
      </c>
      <c r="F371" s="13">
        <v>500</v>
      </c>
      <c r="G371" s="13">
        <v>550</v>
      </c>
      <c r="H371" s="13">
        <v>500</v>
      </c>
      <c r="I371" s="13">
        <v>550</v>
      </c>
      <c r="J371" s="14">
        <v>71.293099999999995</v>
      </c>
      <c r="K371" s="13">
        <v>147</v>
      </c>
      <c r="L371" s="14">
        <v>0.1308</v>
      </c>
      <c r="M371" s="13">
        <v>147</v>
      </c>
      <c r="N371" s="14">
        <v>52.86</v>
      </c>
      <c r="O371" s="14">
        <v>101.018</v>
      </c>
      <c r="P371" s="13">
        <v>147</v>
      </c>
      <c r="Q371" s="14">
        <v>140.65719999999999</v>
      </c>
      <c r="R371" s="13">
        <f>MAX(MAX(1.4/[1]Parametros!$B$3,0.25*SQRT([1]Parametros!$B$2)/[1]Parametros!$B$3)*H371*U371,(0.85*[1]Parametros!$B$2/[1]Parametros!$B$3)*(1-SQRT(1-2*(J371*1000000/([1]Parametros!$B$5*H371*U371^2))/(0.85*[1]Parametros!$B$2)))*H371*U371)</f>
        <v>815.58333333333326</v>
      </c>
      <c r="S371" s="14">
        <v>5</v>
      </c>
      <c r="T371" s="14">
        <v>1</v>
      </c>
      <c r="U371" s="13">
        <f>IF(T371=1,I371-([1]Parametros!$B$7+[1]Parametros!$B$9+[1]Parametros!$B$12/2),I371-(ROUNDUP(S371/2,0)*([1]Parametros!$B$7+[1]Parametros!$B$9+[1]Parametros!$B$12/2)+ROUNDDOWN(S371/2,0)*([1]Parametros!$B$7+[1]Parametros!$B$9+[1]Parametros!$B$12/2+[1]Parametros!$B$12+[1]Parametros!$B$10))/S371)</f>
        <v>489.35</v>
      </c>
      <c r="V371" s="13">
        <f>S371*[1]Parametros!$B$8</f>
        <v>995</v>
      </c>
      <c r="W371" s="13">
        <f>[1]Parametros!$B$5*V371*[1]Parametros!$B$3*(U371-(V371*[1]Parametros!$B$3/(0.85*[1]Parametros!$B$2*H371))/2)/1000000</f>
        <v>177.44537938235294</v>
      </c>
      <c r="X371" s="13" t="str">
        <f t="shared" si="65"/>
        <v>CUMPLE</v>
      </c>
      <c r="Y371" s="13">
        <f>MAX(MAX(1.4/[1]Parametros!$B$3,0.25*SQRT([1]Parametros!$B$2)/[1]Parametros!$B$3)*H371*AB371,(0.85*[1]Parametros!$B$2/[1]Parametros!$B$3)*(1-SQRT(1-2*(L371*1000000/([1]Parametros!$B$5*H371*AB371^2))/(0.85*[1]Parametros!$B$2)))*H371*AB371)</f>
        <v>815.58333333333326</v>
      </c>
      <c r="Z371" s="14">
        <v>5</v>
      </c>
      <c r="AA371" s="14">
        <v>1</v>
      </c>
      <c r="AB371" s="13">
        <f>IF(AA371=1,I371-([1]Parametros!$B$7+[1]Parametros!$B$9+[1]Parametros!$B$12/2),I371-(ROUNDUP(Z371/2,0)*([1]Parametros!$B$7+[1]Parametros!$B$9+[1]Parametros!$B$12/2)+ROUNDDOWN(Z371/2,0)*([1]Parametros!$B$7+[1]Parametros!$B$9+[1]Parametros!$B$12/2+[1]Parametros!$B$12+[1]Parametros!$B$10))/Z371)</f>
        <v>489.35</v>
      </c>
      <c r="AC371" s="13">
        <f>Z371*[1]Parametros!$B$8</f>
        <v>995</v>
      </c>
      <c r="AD371" s="13">
        <f>[1]Parametros!$B$5*AC371*[1]Parametros!$B$3*(AB371-(AC371*[1]Parametros!$B$3/(0.85*[1]Parametros!$B$2*H371))/2)/1000000</f>
        <v>177.44537938235294</v>
      </c>
      <c r="AE371" s="13" t="str">
        <f t="shared" si="66"/>
        <v>CUMPLE</v>
      </c>
      <c r="AF371" s="13">
        <f>V371*1.25*[1]Parametros!$B$3*(U371-(V371*1.25*[1]Parametros!$B$3/(0.85*[1]Parametros!$B$2*H371))/2)/1000000</f>
        <v>244.15884319852941</v>
      </c>
      <c r="AG371" s="13">
        <f>AC371*1.25*[1]Parametros!$B$3*(AB371-(AC371*1.25*[1]Parametros!$B$3/(0.85*[1]Parametros!$B$2*H371))/2)/1000000</f>
        <v>244.15884319852941</v>
      </c>
      <c r="AH371" s="13">
        <f t="shared" si="67"/>
        <v>595.4352071078431</v>
      </c>
      <c r="AI371" s="13">
        <f t="shared" si="68"/>
        <v>595.4352071078431</v>
      </c>
      <c r="AJ371" s="13">
        <f>0.17*SQRT([1]Parametros!$B$2)*H371*MIN(U371,AB371)/1000</f>
        <v>220.09872869180776</v>
      </c>
      <c r="AK371" s="13">
        <f>MAX(AI371/[1]Parametros!$B$6-AJ371,0)</f>
        <v>573.8148807853164</v>
      </c>
      <c r="AL371" s="13">
        <f>0.66*SQRT([1]Parametros!$B$2)*H371*MIN(U371,AB371)/1000</f>
        <v>854.500946685842</v>
      </c>
      <c r="AM371" s="13" t="str">
        <f t="shared" si="69"/>
        <v>CUMPLE</v>
      </c>
      <c r="AN371" s="13" t="s">
        <v>68</v>
      </c>
      <c r="AO371" s="14">
        <v>4</v>
      </c>
      <c r="AP371" s="13">
        <f>ROUNDDOWN(MIN(IF(BC371+BD371=0,1000000000,AO371*BB371/(BC371+BD371)),MIN(U371,AB371)/4,8*[1]Parametros!$B$12,24*BA371,300,IF(AV371=0,1000000000,2*((H371-2*([1]Parametros!$B$7+[1]Parametros!$B$9/2))+(I371-2*([1]Parametros!$B$7+[1]Parametros!$B$9/2)))/8))/10,0)*10</f>
        <v>90</v>
      </c>
      <c r="AQ371" s="13">
        <f>ROUNDDOWN(MIN(IF(BC371+BD371=0,1000000000,AO371*BB371/(BC371+BD371)),IF(AK371&gt;0.33*SQRT([1]Parametros!$B$2)*H371*MIN(U371,AB371)/1000,MIN(U371,AB371)/4,MIN(U371,AB371)/2),600,IF(AV371=0,1000000000,2*((H371-2*([1]Parametros!$B$7+[1]Parametros!$B$9/2))+(I371-2*([1]Parametros!$B$7+[1]Parametros!$B$9/2)))/8))/10,0)*10</f>
        <v>90</v>
      </c>
      <c r="AR371" s="13">
        <f>[1]Parametros!$B$6*(AJ371+MAX(BE371-BD371,0)*[1]Parametros!$B$4*MIN(U371,AB371)/1000)</f>
        <v>614.08270600281696</v>
      </c>
      <c r="AS371" s="13" t="str">
        <f t="shared" si="70"/>
        <v>CUMPLE</v>
      </c>
      <c r="AT371" s="13">
        <f>[1]Parametros!$B$6*0.083*SQRT([1]Parametros!$B$2)*(H371*I371)^2/(2*(H371+I371))/1000000</f>
        <v>11.862178757598967</v>
      </c>
      <c r="AU371" s="13" t="str">
        <f t="shared" si="71"/>
        <v>DISEÑAR</v>
      </c>
      <c r="AV371" s="13">
        <f>IF(Q371&lt;=AT371,0,Q371*1000000/([1]Parametros!$B$6*2*0.85*(H371-2*([1]Parametros!$B$7+[1]Parametros!$B$9/2))*(I371-2*([1]Parametros!$B$7+[1]Parametros!$B$9/2))*[1]Parametros!$B$4))</f>
        <v>1.4102200376464369</v>
      </c>
      <c r="AW371" s="13">
        <f>AV371*2*((H371-2*([1]Parametros!$B$7+[1]Parametros!$B$9/2))+(I371-2*([1]Parametros!$B$7+[1]Parametros!$B$9/2)))*[1]Parametros!$B$4/[1]Parametros!$B$3</f>
        <v>2438.5524890982188</v>
      </c>
      <c r="AX371" s="14">
        <v>16</v>
      </c>
      <c r="AY371" s="13" t="str">
        <f t="shared" si="72"/>
        <v>NO CUMPLE</v>
      </c>
      <c r="AZ371" s="13" t="str">
        <f t="shared" si="73"/>
        <v>NO CUMPLE</v>
      </c>
      <c r="BA371" s="14">
        <v>12.7</v>
      </c>
      <c r="BB371" s="14">
        <v>129</v>
      </c>
      <c r="BC371" s="13">
        <f>MAX(IF(AK371=0,0,AK371*1000/([1]Parametros!$B$4*MIN(U371,AB371))),MAX(0.062*SQRT([1]Parametros!$B$2)*H371/[1]Parametros!$B$4,0.35*H371/[1]Parametros!$B$4))</f>
        <v>2.7919197029359473</v>
      </c>
      <c r="BD371" s="13">
        <f t="shared" si="74"/>
        <v>2.8204400752928738</v>
      </c>
      <c r="BE371" s="13">
        <f t="shared" si="75"/>
        <v>5.7333333333333334</v>
      </c>
      <c r="BF371" s="13">
        <f>SQRT((AI371*1000/(H371*MIN(U371,AB371)))^2+(Q371*1000000*2*((H371-2*([1]Parametros!$B$7+[1]Parametros!$B$9/2))+(I371-2*([1]Parametros!$B$7+[1]Parametros!$B$9/2)))/(1.7*((H371-2*([1]Parametros!$B$7+[1]Parametros!$B$9/2))*(I371-2*([1]Parametros!$B$7+[1]Parametros!$B$9/2)))^2))^2)</f>
        <v>4.788561951611741</v>
      </c>
      <c r="BG371" s="13">
        <f>[1]Parametros!$B$6*(AJ371*1000/(H371*MIN(U371,AB371))+0.66*SQRT([1]Parametros!$B$2))</f>
        <v>3.2939603822754151</v>
      </c>
      <c r="BH371" s="13" t="str">
        <f t="shared" si="76"/>
        <v>NO CUMPLE</v>
      </c>
      <c r="BI371" s="13">
        <f>AX371*[1]Parametros!$B$8</f>
        <v>3184</v>
      </c>
      <c r="BJ371" s="15" t="str">
        <f t="shared" si="77"/>
        <v>CUMPLE</v>
      </c>
    </row>
    <row r="372" spans="1:62" x14ac:dyDescent="0.3">
      <c r="A372" s="33" t="s">
        <v>76</v>
      </c>
      <c r="B372" s="34">
        <v>150</v>
      </c>
      <c r="C372" s="13">
        <v>1</v>
      </c>
      <c r="D372" s="13">
        <v>0.9</v>
      </c>
      <c r="E372" s="13">
        <v>0.9</v>
      </c>
      <c r="F372" s="13">
        <v>500</v>
      </c>
      <c r="G372" s="13">
        <v>550</v>
      </c>
      <c r="H372" s="13">
        <v>500</v>
      </c>
      <c r="I372" s="13">
        <v>550</v>
      </c>
      <c r="J372" s="14">
        <v>71.294399999999996</v>
      </c>
      <c r="K372" s="13">
        <v>150</v>
      </c>
      <c r="L372" s="14">
        <v>0.1308</v>
      </c>
      <c r="M372" s="13">
        <v>150</v>
      </c>
      <c r="N372" s="14">
        <v>52.860999999999997</v>
      </c>
      <c r="O372" s="14">
        <v>101.02</v>
      </c>
      <c r="P372" s="13">
        <v>150</v>
      </c>
      <c r="Q372" s="14">
        <v>140.66079999999999</v>
      </c>
      <c r="R372" s="13">
        <f>MAX(MAX(1.4/[1]Parametros!$B$3,0.25*SQRT([1]Parametros!$B$2)/[1]Parametros!$B$3)*H372*U372,(0.85*[1]Parametros!$B$2/[1]Parametros!$B$3)*(1-SQRT(1-2*(J372*1000000/([1]Parametros!$B$5*H372*U372^2))/(0.85*[1]Parametros!$B$2)))*H372*U372)</f>
        <v>815.58333333333326</v>
      </c>
      <c r="S372" s="14">
        <v>5</v>
      </c>
      <c r="T372" s="14">
        <v>1</v>
      </c>
      <c r="U372" s="13">
        <f>IF(T372=1,I372-([1]Parametros!$B$7+[1]Parametros!$B$9+[1]Parametros!$B$12/2),I372-(ROUNDUP(S372/2,0)*([1]Parametros!$B$7+[1]Parametros!$B$9+[1]Parametros!$B$12/2)+ROUNDDOWN(S372/2,0)*([1]Parametros!$B$7+[1]Parametros!$B$9+[1]Parametros!$B$12/2+[1]Parametros!$B$12+[1]Parametros!$B$10))/S372)</f>
        <v>489.35</v>
      </c>
      <c r="V372" s="13">
        <f>S372*[1]Parametros!$B$8</f>
        <v>995</v>
      </c>
      <c r="W372" s="13">
        <f>[1]Parametros!$B$5*V372*[1]Parametros!$B$3*(U372-(V372*[1]Parametros!$B$3/(0.85*[1]Parametros!$B$2*H372))/2)/1000000</f>
        <v>177.44537938235294</v>
      </c>
      <c r="X372" s="13" t="str">
        <f t="shared" si="65"/>
        <v>CUMPLE</v>
      </c>
      <c r="Y372" s="13">
        <f>MAX(MAX(1.4/[1]Parametros!$B$3,0.25*SQRT([1]Parametros!$B$2)/[1]Parametros!$B$3)*H372*AB372,(0.85*[1]Parametros!$B$2/[1]Parametros!$B$3)*(1-SQRT(1-2*(L372*1000000/([1]Parametros!$B$5*H372*AB372^2))/(0.85*[1]Parametros!$B$2)))*H372*AB372)</f>
        <v>815.58333333333326</v>
      </c>
      <c r="Z372" s="14">
        <v>5</v>
      </c>
      <c r="AA372" s="14">
        <v>1</v>
      </c>
      <c r="AB372" s="13">
        <f>IF(AA372=1,I372-([1]Parametros!$B$7+[1]Parametros!$B$9+[1]Parametros!$B$12/2),I372-(ROUNDUP(Z372/2,0)*([1]Parametros!$B$7+[1]Parametros!$B$9+[1]Parametros!$B$12/2)+ROUNDDOWN(Z372/2,0)*([1]Parametros!$B$7+[1]Parametros!$B$9+[1]Parametros!$B$12/2+[1]Parametros!$B$12+[1]Parametros!$B$10))/Z372)</f>
        <v>489.35</v>
      </c>
      <c r="AC372" s="13">
        <f>Z372*[1]Parametros!$B$8</f>
        <v>995</v>
      </c>
      <c r="AD372" s="13">
        <f>[1]Parametros!$B$5*AC372*[1]Parametros!$B$3*(AB372-(AC372*[1]Parametros!$B$3/(0.85*[1]Parametros!$B$2*H372))/2)/1000000</f>
        <v>177.44537938235294</v>
      </c>
      <c r="AE372" s="13" t="str">
        <f t="shared" si="66"/>
        <v>CUMPLE</v>
      </c>
      <c r="AF372" s="13">
        <f>V372*1.25*[1]Parametros!$B$3*(U372-(V372*1.25*[1]Parametros!$B$3/(0.85*[1]Parametros!$B$2*H372))/2)/1000000</f>
        <v>244.15884319852941</v>
      </c>
      <c r="AG372" s="13">
        <f>AC372*1.25*[1]Parametros!$B$3*(AB372-(AC372*1.25*[1]Parametros!$B$3/(0.85*[1]Parametros!$B$2*H372))/2)/1000000</f>
        <v>244.15884319852941</v>
      </c>
      <c r="AH372" s="13">
        <f t="shared" si="67"/>
        <v>595.43620710784307</v>
      </c>
      <c r="AI372" s="13">
        <f t="shared" si="68"/>
        <v>595.43620710784307</v>
      </c>
      <c r="AJ372" s="13">
        <f>0.17*SQRT([1]Parametros!$B$2)*H372*MIN(U372,AB372)/1000</f>
        <v>220.09872869180776</v>
      </c>
      <c r="AK372" s="13">
        <f>MAX(AI372/[1]Parametros!$B$6-AJ372,0)</f>
        <v>573.81621411864967</v>
      </c>
      <c r="AL372" s="13">
        <f>0.66*SQRT([1]Parametros!$B$2)*H372*MIN(U372,AB372)/1000</f>
        <v>854.500946685842</v>
      </c>
      <c r="AM372" s="13" t="str">
        <f t="shared" si="69"/>
        <v>CUMPLE</v>
      </c>
      <c r="AN372" s="13" t="s">
        <v>68</v>
      </c>
      <c r="AO372" s="14">
        <v>4</v>
      </c>
      <c r="AP372" s="13">
        <f>ROUNDDOWN(MIN(IF(BC372+BD372=0,1000000000,AO372*BB372/(BC372+BD372)),MIN(U372,AB372)/4,8*[1]Parametros!$B$12,24*BA372,300,IF(AV372=0,1000000000,2*((H372-2*([1]Parametros!$B$7+[1]Parametros!$B$9/2))+(I372-2*([1]Parametros!$B$7+[1]Parametros!$B$9/2)))/8))/10,0)*10</f>
        <v>90</v>
      </c>
      <c r="AQ372" s="13">
        <f>ROUNDDOWN(MIN(IF(BC372+BD372=0,1000000000,AO372*BB372/(BC372+BD372)),IF(AK372&gt;0.33*SQRT([1]Parametros!$B$2)*H372*MIN(U372,AB372)/1000,MIN(U372,AB372)/4,MIN(U372,AB372)/2),600,IF(AV372=0,1000000000,2*((H372-2*([1]Parametros!$B$7+[1]Parametros!$B$9/2))+(I372-2*([1]Parametros!$B$7+[1]Parametros!$B$9/2)))/8))/10,0)*10</f>
        <v>90</v>
      </c>
      <c r="AR372" s="13">
        <f>[1]Parametros!$B$6*(AJ372+MAX(BE372-BD372,0)*[1]Parametros!$B$4*MIN(U372,AB372)/1000)</f>
        <v>614.07157876023098</v>
      </c>
      <c r="AS372" s="13" t="str">
        <f t="shared" si="70"/>
        <v>CUMPLE</v>
      </c>
      <c r="AT372" s="13">
        <f>[1]Parametros!$B$6*0.083*SQRT([1]Parametros!$B$2)*(H372*I372)^2/(2*(H372+I372))/1000000</f>
        <v>11.862178757598967</v>
      </c>
      <c r="AU372" s="13" t="str">
        <f t="shared" si="71"/>
        <v>DISEÑAR</v>
      </c>
      <c r="AV372" s="13">
        <f>IF(Q372&lt;=AT372,0,Q372*1000000/([1]Parametros!$B$6*2*0.85*(H372-2*([1]Parametros!$B$7+[1]Parametros!$B$9/2))*(I372-2*([1]Parametros!$B$7+[1]Parametros!$B$9/2))*[1]Parametros!$B$4))</f>
        <v>1.4102561310148214</v>
      </c>
      <c r="AW372" s="13">
        <f>AV372*2*((H372-2*([1]Parametros!$B$7+[1]Parametros!$B$9/2))+(I372-2*([1]Parametros!$B$7+[1]Parametros!$B$9/2)))*[1]Parametros!$B$4/[1]Parametros!$B$3</f>
        <v>2438.6149017508292</v>
      </c>
      <c r="AX372" s="14">
        <v>16</v>
      </c>
      <c r="AY372" s="13" t="str">
        <f t="shared" si="72"/>
        <v>NO CUMPLE</v>
      </c>
      <c r="AZ372" s="13" t="str">
        <f t="shared" si="73"/>
        <v>NO CUMPLE</v>
      </c>
      <c r="BA372" s="14">
        <v>12.7</v>
      </c>
      <c r="BB372" s="14">
        <v>129</v>
      </c>
      <c r="BC372" s="13">
        <f>MAX(IF(AK372=0,0,AK372*1000/([1]Parametros!$B$4*MIN(U372,AB372))),MAX(0.062*SQRT([1]Parametros!$B$2)*H372/[1]Parametros!$B$4,0.35*H372/[1]Parametros!$B$4))</f>
        <v>2.7919261903236543</v>
      </c>
      <c r="BD372" s="13">
        <f t="shared" si="74"/>
        <v>2.8205122620296428</v>
      </c>
      <c r="BE372" s="13">
        <f t="shared" si="75"/>
        <v>5.7333333333333334</v>
      </c>
      <c r="BF372" s="13">
        <f>SQRT((AI372*1000/(H372*MIN(U372,AB372)))^2+(Q372*1000000*2*((H372-2*([1]Parametros!$B$7+[1]Parametros!$B$9/2))+(I372-2*([1]Parametros!$B$7+[1]Parametros!$B$9/2)))/(1.7*((H372-2*([1]Parametros!$B$7+[1]Parametros!$B$9/2))*(I372-2*([1]Parametros!$B$7+[1]Parametros!$B$9/2)))^2))^2)</f>
        <v>4.7886549343063693</v>
      </c>
      <c r="BG372" s="13">
        <f>[1]Parametros!$B$6*(AJ372*1000/(H372*MIN(U372,AB372))+0.66*SQRT([1]Parametros!$B$2))</f>
        <v>3.2939603822754151</v>
      </c>
      <c r="BH372" s="13" t="str">
        <f t="shared" si="76"/>
        <v>NO CUMPLE</v>
      </c>
      <c r="BI372" s="13">
        <f>AX372*[1]Parametros!$B$8</f>
        <v>3184</v>
      </c>
      <c r="BJ372" s="15" t="str">
        <f t="shared" si="77"/>
        <v>CUMPLE</v>
      </c>
    </row>
    <row r="373" spans="1:62" x14ac:dyDescent="0.3">
      <c r="A373" s="33" t="s">
        <v>76</v>
      </c>
      <c r="B373" s="34">
        <v>152</v>
      </c>
      <c r="C373" s="13">
        <v>1</v>
      </c>
      <c r="D373" s="13">
        <v>0.9</v>
      </c>
      <c r="E373" s="13">
        <v>0.9</v>
      </c>
      <c r="F373" s="13">
        <v>500</v>
      </c>
      <c r="G373" s="13">
        <v>550</v>
      </c>
      <c r="H373" s="13">
        <v>500</v>
      </c>
      <c r="I373" s="13">
        <v>550</v>
      </c>
      <c r="J373" s="14">
        <v>71.297700000000006</v>
      </c>
      <c r="K373" s="13">
        <v>152</v>
      </c>
      <c r="L373" s="14">
        <v>0.13059999999999999</v>
      </c>
      <c r="M373" s="13">
        <v>152</v>
      </c>
      <c r="N373" s="14">
        <v>52.863</v>
      </c>
      <c r="O373" s="14">
        <v>101.02200000000001</v>
      </c>
      <c r="P373" s="13">
        <v>152</v>
      </c>
      <c r="Q373" s="14">
        <v>140.66489999999999</v>
      </c>
      <c r="R373" s="13">
        <f>MAX(MAX(1.4/[1]Parametros!$B$3,0.25*SQRT([1]Parametros!$B$2)/[1]Parametros!$B$3)*H373*U373,(0.85*[1]Parametros!$B$2/[1]Parametros!$B$3)*(1-SQRT(1-2*(J373*1000000/([1]Parametros!$B$5*H373*U373^2))/(0.85*[1]Parametros!$B$2)))*H373*U373)</f>
        <v>815.58333333333326</v>
      </c>
      <c r="S373" s="14">
        <v>5</v>
      </c>
      <c r="T373" s="14">
        <v>1</v>
      </c>
      <c r="U373" s="13">
        <f>IF(T373=1,I373-([1]Parametros!$B$7+[1]Parametros!$B$9+[1]Parametros!$B$12/2),I373-(ROUNDUP(S373/2,0)*([1]Parametros!$B$7+[1]Parametros!$B$9+[1]Parametros!$B$12/2)+ROUNDDOWN(S373/2,0)*([1]Parametros!$B$7+[1]Parametros!$B$9+[1]Parametros!$B$12/2+[1]Parametros!$B$12+[1]Parametros!$B$10))/S373)</f>
        <v>489.35</v>
      </c>
      <c r="V373" s="13">
        <f>S373*[1]Parametros!$B$8</f>
        <v>995</v>
      </c>
      <c r="W373" s="13">
        <f>[1]Parametros!$B$5*V373*[1]Parametros!$B$3*(U373-(V373*[1]Parametros!$B$3/(0.85*[1]Parametros!$B$2*H373))/2)/1000000</f>
        <v>177.44537938235294</v>
      </c>
      <c r="X373" s="13" t="str">
        <f t="shared" si="65"/>
        <v>CUMPLE</v>
      </c>
      <c r="Y373" s="13">
        <f>MAX(MAX(1.4/[1]Parametros!$B$3,0.25*SQRT([1]Parametros!$B$2)/[1]Parametros!$B$3)*H373*AB373,(0.85*[1]Parametros!$B$2/[1]Parametros!$B$3)*(1-SQRT(1-2*(L373*1000000/([1]Parametros!$B$5*H373*AB373^2))/(0.85*[1]Parametros!$B$2)))*H373*AB373)</f>
        <v>815.58333333333326</v>
      </c>
      <c r="Z373" s="14">
        <v>5</v>
      </c>
      <c r="AA373" s="14">
        <v>1</v>
      </c>
      <c r="AB373" s="13">
        <f>IF(AA373=1,I373-([1]Parametros!$B$7+[1]Parametros!$B$9+[1]Parametros!$B$12/2),I373-(ROUNDUP(Z373/2,0)*([1]Parametros!$B$7+[1]Parametros!$B$9+[1]Parametros!$B$12/2)+ROUNDDOWN(Z373/2,0)*([1]Parametros!$B$7+[1]Parametros!$B$9+[1]Parametros!$B$12/2+[1]Parametros!$B$12+[1]Parametros!$B$10))/Z373)</f>
        <v>489.35</v>
      </c>
      <c r="AC373" s="13">
        <f>Z373*[1]Parametros!$B$8</f>
        <v>995</v>
      </c>
      <c r="AD373" s="13">
        <f>[1]Parametros!$B$5*AC373*[1]Parametros!$B$3*(AB373-(AC373*[1]Parametros!$B$3/(0.85*[1]Parametros!$B$2*H373))/2)/1000000</f>
        <v>177.44537938235294</v>
      </c>
      <c r="AE373" s="13" t="str">
        <f t="shared" si="66"/>
        <v>CUMPLE</v>
      </c>
      <c r="AF373" s="13">
        <f>V373*1.25*[1]Parametros!$B$3*(U373-(V373*1.25*[1]Parametros!$B$3/(0.85*[1]Parametros!$B$2*H373))/2)/1000000</f>
        <v>244.15884319852941</v>
      </c>
      <c r="AG373" s="13">
        <f>AC373*1.25*[1]Parametros!$B$3*(AB373-(AC373*1.25*[1]Parametros!$B$3/(0.85*[1]Parametros!$B$2*H373))/2)/1000000</f>
        <v>244.15884319852941</v>
      </c>
      <c r="AH373" s="13">
        <f t="shared" si="67"/>
        <v>595.43820710784303</v>
      </c>
      <c r="AI373" s="13">
        <f t="shared" si="68"/>
        <v>595.43820710784303</v>
      </c>
      <c r="AJ373" s="13">
        <f>0.17*SQRT([1]Parametros!$B$2)*H373*MIN(U373,AB373)/1000</f>
        <v>220.09872869180776</v>
      </c>
      <c r="AK373" s="13">
        <f>MAX(AI373/[1]Parametros!$B$6-AJ373,0)</f>
        <v>573.81888078531631</v>
      </c>
      <c r="AL373" s="13">
        <f>0.66*SQRT([1]Parametros!$B$2)*H373*MIN(U373,AB373)/1000</f>
        <v>854.500946685842</v>
      </c>
      <c r="AM373" s="13" t="str">
        <f t="shared" si="69"/>
        <v>CUMPLE</v>
      </c>
      <c r="AN373" s="13" t="s">
        <v>68</v>
      </c>
      <c r="AO373" s="14">
        <v>4</v>
      </c>
      <c r="AP373" s="13">
        <f>ROUNDDOWN(MIN(IF(BC373+BD373=0,1000000000,AO373*BB373/(BC373+BD373)),MIN(U373,AB373)/4,8*[1]Parametros!$B$12,24*BA373,300,IF(AV373=0,1000000000,2*((H373-2*([1]Parametros!$B$7+[1]Parametros!$B$9/2))+(I373-2*([1]Parametros!$B$7+[1]Parametros!$B$9/2)))/8))/10,0)*10</f>
        <v>90</v>
      </c>
      <c r="AQ373" s="13">
        <f>ROUNDDOWN(MIN(IF(BC373+BD373=0,1000000000,AO373*BB373/(BC373+BD373)),IF(AK373&gt;0.33*SQRT([1]Parametros!$B$2)*H373*MIN(U373,AB373)/1000,MIN(U373,AB373)/4,MIN(U373,AB373)/2),600,IF(AV373=0,1000000000,2*((H373-2*([1]Parametros!$B$7+[1]Parametros!$B$9/2))+(I373-2*([1]Parametros!$B$7+[1]Parametros!$B$9/2)))/8))/10,0)*10</f>
        <v>90</v>
      </c>
      <c r="AR373" s="13">
        <f>[1]Parametros!$B$6*(AJ373+MAX(BE373-BD373,0)*[1]Parametros!$B$4*MIN(U373,AB373)/1000)</f>
        <v>614.05890606728587</v>
      </c>
      <c r="AS373" s="13" t="str">
        <f t="shared" si="70"/>
        <v>CUMPLE</v>
      </c>
      <c r="AT373" s="13">
        <f>[1]Parametros!$B$6*0.083*SQRT([1]Parametros!$B$2)*(H373*I373)^2/(2*(H373+I373))/1000000</f>
        <v>11.862178757598967</v>
      </c>
      <c r="AU373" s="13" t="str">
        <f t="shared" si="71"/>
        <v>DISEÑAR</v>
      </c>
      <c r="AV373" s="13">
        <f>IF(Q373&lt;=AT373,0,Q373*1000000/([1]Parametros!$B$6*2*0.85*(H373-2*([1]Parametros!$B$7+[1]Parametros!$B$9/2))*(I373-2*([1]Parametros!$B$7+[1]Parametros!$B$9/2))*[1]Parametros!$B$4))</f>
        <v>1.410297237351037</v>
      </c>
      <c r="AW373" s="13">
        <f>AV373*2*((H373-2*([1]Parametros!$B$7+[1]Parametros!$B$9/2))+(I373-2*([1]Parametros!$B$7+[1]Parametros!$B$9/2)))*[1]Parametros!$B$4/[1]Parametros!$B$3</f>
        <v>2438.6859828274132</v>
      </c>
      <c r="AX373" s="14">
        <v>16</v>
      </c>
      <c r="AY373" s="13" t="str">
        <f t="shared" si="72"/>
        <v>NO CUMPLE</v>
      </c>
      <c r="AZ373" s="13" t="str">
        <f t="shared" si="73"/>
        <v>NO CUMPLE</v>
      </c>
      <c r="BA373" s="14">
        <v>12.7</v>
      </c>
      <c r="BB373" s="14">
        <v>129</v>
      </c>
      <c r="BC373" s="13">
        <f>MAX(IF(AK373=0,0,AK373*1000/([1]Parametros!$B$4*MIN(U373,AB373))),MAX(0.062*SQRT([1]Parametros!$B$2)*H373/[1]Parametros!$B$4,0.35*H373/[1]Parametros!$B$4))</f>
        <v>2.7919391650990688</v>
      </c>
      <c r="BD373" s="13">
        <f t="shared" si="74"/>
        <v>2.8205944747020739</v>
      </c>
      <c r="BE373" s="13">
        <f t="shared" si="75"/>
        <v>5.7333333333333334</v>
      </c>
      <c r="BF373" s="13">
        <f>SQRT((AI373*1000/(H373*MIN(U373,AB373)))^2+(Q373*1000000*2*((H373-2*([1]Parametros!$B$7+[1]Parametros!$B$9/2))+(I373-2*([1]Parametros!$B$7+[1]Parametros!$B$9/2)))/(1.7*((H373-2*([1]Parametros!$B$7+[1]Parametros!$B$9/2))*(I373-2*([1]Parametros!$B$7+[1]Parametros!$B$9/2)))^2))^2)</f>
        <v>4.7887626204204379</v>
      </c>
      <c r="BG373" s="13">
        <f>[1]Parametros!$B$6*(AJ373*1000/(H373*MIN(U373,AB373))+0.66*SQRT([1]Parametros!$B$2))</f>
        <v>3.2939603822754151</v>
      </c>
      <c r="BH373" s="13" t="str">
        <f t="shared" si="76"/>
        <v>NO CUMPLE</v>
      </c>
      <c r="BI373" s="13">
        <f>AX373*[1]Parametros!$B$8</f>
        <v>3184</v>
      </c>
      <c r="BJ373" s="15" t="str">
        <f t="shared" si="77"/>
        <v>CUMPLE</v>
      </c>
    </row>
    <row r="374" spans="1:62" x14ac:dyDescent="0.3">
      <c r="A374" s="33" t="s">
        <v>76</v>
      </c>
      <c r="B374" s="34">
        <v>155</v>
      </c>
      <c r="C374" s="13">
        <v>1</v>
      </c>
      <c r="D374" s="13">
        <v>0.9</v>
      </c>
      <c r="E374" s="13">
        <v>0.9</v>
      </c>
      <c r="F374" s="13">
        <v>500</v>
      </c>
      <c r="G374" s="13">
        <v>550</v>
      </c>
      <c r="H374" s="13">
        <v>500</v>
      </c>
      <c r="I374" s="13">
        <v>550</v>
      </c>
      <c r="J374" s="14">
        <v>71.311499999999995</v>
      </c>
      <c r="K374" s="13">
        <v>155</v>
      </c>
      <c r="L374" s="14">
        <v>0.27329999999999999</v>
      </c>
      <c r="M374" s="13">
        <v>155</v>
      </c>
      <c r="N374" s="14">
        <v>53.094000000000001</v>
      </c>
      <c r="O374" s="14">
        <v>99.227000000000004</v>
      </c>
      <c r="P374" s="13">
        <v>155</v>
      </c>
      <c r="Q374" s="14">
        <v>137.56989999999999</v>
      </c>
      <c r="R374" s="13">
        <f>MAX(MAX(1.4/[1]Parametros!$B$3,0.25*SQRT([1]Parametros!$B$2)/[1]Parametros!$B$3)*H374*U374,(0.85*[1]Parametros!$B$2/[1]Parametros!$B$3)*(1-SQRT(1-2*(J374*1000000/([1]Parametros!$B$5*H374*U374^2))/(0.85*[1]Parametros!$B$2)))*H374*U374)</f>
        <v>815.58333333333326</v>
      </c>
      <c r="S374" s="14">
        <v>5</v>
      </c>
      <c r="T374" s="14">
        <v>1</v>
      </c>
      <c r="U374" s="13">
        <f>IF(T374=1,I374-([1]Parametros!$B$7+[1]Parametros!$B$9+[1]Parametros!$B$12/2),I374-(ROUNDUP(S374/2,0)*([1]Parametros!$B$7+[1]Parametros!$B$9+[1]Parametros!$B$12/2)+ROUNDDOWN(S374/2,0)*([1]Parametros!$B$7+[1]Parametros!$B$9+[1]Parametros!$B$12/2+[1]Parametros!$B$12+[1]Parametros!$B$10))/S374)</f>
        <v>489.35</v>
      </c>
      <c r="V374" s="13">
        <f>S374*[1]Parametros!$B$8</f>
        <v>995</v>
      </c>
      <c r="W374" s="13">
        <f>[1]Parametros!$B$5*V374*[1]Parametros!$B$3*(U374-(V374*[1]Parametros!$B$3/(0.85*[1]Parametros!$B$2*H374))/2)/1000000</f>
        <v>177.44537938235294</v>
      </c>
      <c r="X374" s="13" t="str">
        <f t="shared" si="65"/>
        <v>CUMPLE</v>
      </c>
      <c r="Y374" s="13">
        <f>MAX(MAX(1.4/[1]Parametros!$B$3,0.25*SQRT([1]Parametros!$B$2)/[1]Parametros!$B$3)*H374*AB374,(0.85*[1]Parametros!$B$2/[1]Parametros!$B$3)*(1-SQRT(1-2*(L374*1000000/([1]Parametros!$B$5*H374*AB374^2))/(0.85*[1]Parametros!$B$2)))*H374*AB374)</f>
        <v>815.58333333333326</v>
      </c>
      <c r="Z374" s="14">
        <v>5</v>
      </c>
      <c r="AA374" s="14">
        <v>1</v>
      </c>
      <c r="AB374" s="13">
        <f>IF(AA374=1,I374-([1]Parametros!$B$7+[1]Parametros!$B$9+[1]Parametros!$B$12/2),I374-(ROUNDUP(Z374/2,0)*([1]Parametros!$B$7+[1]Parametros!$B$9+[1]Parametros!$B$12/2)+ROUNDDOWN(Z374/2,0)*([1]Parametros!$B$7+[1]Parametros!$B$9+[1]Parametros!$B$12/2+[1]Parametros!$B$12+[1]Parametros!$B$10))/Z374)</f>
        <v>489.35</v>
      </c>
      <c r="AC374" s="13">
        <f>Z374*[1]Parametros!$B$8</f>
        <v>995</v>
      </c>
      <c r="AD374" s="13">
        <f>[1]Parametros!$B$5*AC374*[1]Parametros!$B$3*(AB374-(AC374*[1]Parametros!$B$3/(0.85*[1]Parametros!$B$2*H374))/2)/1000000</f>
        <v>177.44537938235294</v>
      </c>
      <c r="AE374" s="13" t="str">
        <f t="shared" si="66"/>
        <v>CUMPLE</v>
      </c>
      <c r="AF374" s="13">
        <f>V374*1.25*[1]Parametros!$B$3*(U374-(V374*1.25*[1]Parametros!$B$3/(0.85*[1]Parametros!$B$2*H374))/2)/1000000</f>
        <v>244.15884319852941</v>
      </c>
      <c r="AG374" s="13">
        <f>AC374*1.25*[1]Parametros!$B$3*(AB374-(AC374*1.25*[1]Parametros!$B$3/(0.85*[1]Parametros!$B$2*H374))/2)/1000000</f>
        <v>244.15884319852941</v>
      </c>
      <c r="AH374" s="13">
        <f t="shared" si="67"/>
        <v>595.66920710784314</v>
      </c>
      <c r="AI374" s="13">
        <f t="shared" si="68"/>
        <v>595.66920710784314</v>
      </c>
      <c r="AJ374" s="13">
        <f>0.17*SQRT([1]Parametros!$B$2)*H374*MIN(U374,AB374)/1000</f>
        <v>220.09872869180776</v>
      </c>
      <c r="AK374" s="13">
        <f>MAX(AI374/[1]Parametros!$B$6-AJ374,0)</f>
        <v>574.12688078531642</v>
      </c>
      <c r="AL374" s="13">
        <f>0.66*SQRT([1]Parametros!$B$2)*H374*MIN(U374,AB374)/1000</f>
        <v>854.500946685842</v>
      </c>
      <c r="AM374" s="13" t="str">
        <f t="shared" si="69"/>
        <v>CUMPLE</v>
      </c>
      <c r="AN374" s="13" t="s">
        <v>68</v>
      </c>
      <c r="AO374" s="14">
        <v>4</v>
      </c>
      <c r="AP374" s="13">
        <f>ROUNDDOWN(MIN(IF(BC374+BD374=0,1000000000,AO374*BB374/(BC374+BD374)),MIN(U374,AB374)/4,8*[1]Parametros!$B$12,24*BA374,300,IF(AV374=0,1000000000,2*((H374-2*([1]Parametros!$B$7+[1]Parametros!$B$9/2))+(I374-2*([1]Parametros!$B$7+[1]Parametros!$B$9/2)))/8))/10,0)*10</f>
        <v>90</v>
      </c>
      <c r="AQ374" s="13">
        <f>ROUNDDOWN(MIN(IF(BC374+BD374=0,1000000000,AO374*BB374/(BC374+BD374)),IF(AK374&gt;0.33*SQRT([1]Parametros!$B$2)*H374*MIN(U374,AB374)/1000,MIN(U374,AB374)/4,MIN(U374,AB374)/2),600,IF(AV374=0,1000000000,2*((H374-2*([1]Parametros!$B$7+[1]Parametros!$B$9/2))+(I374-2*([1]Parametros!$B$7+[1]Parametros!$B$9/2)))/8))/10,0)*10</f>
        <v>90</v>
      </c>
      <c r="AR374" s="13">
        <f>[1]Parametros!$B$6*(AJ374+MAX(BE374-BD374,0)*[1]Parametros!$B$4*MIN(U374,AB374)/1000)</f>
        <v>623.62524379046795</v>
      </c>
      <c r="AS374" s="13" t="str">
        <f t="shared" si="70"/>
        <v>CUMPLE</v>
      </c>
      <c r="AT374" s="13">
        <f>[1]Parametros!$B$6*0.083*SQRT([1]Parametros!$B$2)*(H374*I374)^2/(2*(H374+I374))/1000000</f>
        <v>11.862178757598967</v>
      </c>
      <c r="AU374" s="13" t="str">
        <f t="shared" si="71"/>
        <v>DISEÑAR</v>
      </c>
      <c r="AV374" s="13">
        <f>IF(Q374&lt;=AT374,0,Q374*1000000/([1]Parametros!$B$6*2*0.85*(H374-2*([1]Parametros!$B$7+[1]Parametros!$B$9/2))*(I374-2*([1]Parametros!$B$7+[1]Parametros!$B$9/2))*[1]Parametros!$B$4))</f>
        <v>1.3792669664760606</v>
      </c>
      <c r="AW374" s="13">
        <f>AV374*2*((H374-2*([1]Parametros!$B$7+[1]Parametros!$B$9/2))+(I374-2*([1]Parametros!$B$7+[1]Parametros!$B$9/2)))*[1]Parametros!$B$4/[1]Parametros!$B$3</f>
        <v>2385.0284384304041</v>
      </c>
      <c r="AX374" s="14">
        <v>12</v>
      </c>
      <c r="AY374" s="13" t="str">
        <f t="shared" si="72"/>
        <v>NO CUMPLE</v>
      </c>
      <c r="AZ374" s="13" t="str">
        <f t="shared" si="73"/>
        <v>NO CUMPLE</v>
      </c>
      <c r="BA374" s="14">
        <v>12.7</v>
      </c>
      <c r="BB374" s="14">
        <v>129</v>
      </c>
      <c r="BC374" s="13">
        <f>MAX(IF(AK374=0,0,AK374*1000/([1]Parametros!$B$4*MIN(U374,AB374))),MAX(0.062*SQRT([1]Parametros!$B$2)*H374/[1]Parametros!$B$4,0.35*H374/[1]Parametros!$B$4))</f>
        <v>2.7934377516594728</v>
      </c>
      <c r="BD374" s="13">
        <f t="shared" si="74"/>
        <v>2.7585339329521212</v>
      </c>
      <c r="BE374" s="13">
        <f t="shared" si="75"/>
        <v>5.7333333333333334</v>
      </c>
      <c r="BF374" s="13">
        <f>SQRT((AI374*1000/(H374*MIN(U374,AB374)))^2+(Q374*1000000*2*((H374-2*([1]Parametros!$B$7+[1]Parametros!$B$9/2))+(I374-2*([1]Parametros!$B$7+[1]Parametros!$B$9/2)))/(1.7*((H374-2*([1]Parametros!$B$7+[1]Parametros!$B$9/2))*(I374-2*([1]Parametros!$B$7+[1]Parametros!$B$9/2)))^2))^2)</f>
        <v>4.7113217699305077</v>
      </c>
      <c r="BG374" s="13">
        <f>[1]Parametros!$B$6*(AJ374*1000/(H374*MIN(U374,AB374))+0.66*SQRT([1]Parametros!$B$2))</f>
        <v>3.2939603822754151</v>
      </c>
      <c r="BH374" s="13" t="str">
        <f t="shared" si="76"/>
        <v>NO CUMPLE</v>
      </c>
      <c r="BI374" s="13">
        <f>AX374*[1]Parametros!$B$8</f>
        <v>2388</v>
      </c>
      <c r="BJ374" s="15" t="str">
        <f t="shared" si="77"/>
        <v>CUMPLE</v>
      </c>
    </row>
    <row r="375" spans="1:62" x14ac:dyDescent="0.3">
      <c r="A375" s="33" t="s">
        <v>76</v>
      </c>
      <c r="B375" s="34">
        <v>157</v>
      </c>
      <c r="C375" s="13">
        <v>1</v>
      </c>
      <c r="D375" s="13">
        <v>0.9</v>
      </c>
      <c r="E375" s="13">
        <v>0.9</v>
      </c>
      <c r="F375" s="13">
        <v>500</v>
      </c>
      <c r="G375" s="13">
        <v>550</v>
      </c>
      <c r="H375" s="13">
        <v>500</v>
      </c>
      <c r="I375" s="13">
        <v>550</v>
      </c>
      <c r="J375" s="14">
        <v>71.314499999999995</v>
      </c>
      <c r="K375" s="13">
        <v>157</v>
      </c>
      <c r="L375" s="14">
        <v>0.2732</v>
      </c>
      <c r="M375" s="13">
        <v>157</v>
      </c>
      <c r="N375" s="14">
        <v>53.095999999999997</v>
      </c>
      <c r="O375" s="14">
        <v>99.228999999999999</v>
      </c>
      <c r="P375" s="13">
        <v>157</v>
      </c>
      <c r="Q375" s="14">
        <v>137.5746</v>
      </c>
      <c r="R375" s="13">
        <f>MAX(MAX(1.4/[1]Parametros!$B$3,0.25*SQRT([1]Parametros!$B$2)/[1]Parametros!$B$3)*H375*U375,(0.85*[1]Parametros!$B$2/[1]Parametros!$B$3)*(1-SQRT(1-2*(J375*1000000/([1]Parametros!$B$5*H375*U375^2))/(0.85*[1]Parametros!$B$2)))*H375*U375)</f>
        <v>815.58333333333326</v>
      </c>
      <c r="S375" s="14">
        <v>5</v>
      </c>
      <c r="T375" s="14">
        <v>1</v>
      </c>
      <c r="U375" s="13">
        <f>IF(T375=1,I375-([1]Parametros!$B$7+[1]Parametros!$B$9+[1]Parametros!$B$12/2),I375-(ROUNDUP(S375/2,0)*([1]Parametros!$B$7+[1]Parametros!$B$9+[1]Parametros!$B$12/2)+ROUNDDOWN(S375/2,0)*([1]Parametros!$B$7+[1]Parametros!$B$9+[1]Parametros!$B$12/2+[1]Parametros!$B$12+[1]Parametros!$B$10))/S375)</f>
        <v>489.35</v>
      </c>
      <c r="V375" s="13">
        <f>S375*[1]Parametros!$B$8</f>
        <v>995</v>
      </c>
      <c r="W375" s="13">
        <f>[1]Parametros!$B$5*V375*[1]Parametros!$B$3*(U375-(V375*[1]Parametros!$B$3/(0.85*[1]Parametros!$B$2*H375))/2)/1000000</f>
        <v>177.44537938235294</v>
      </c>
      <c r="X375" s="13" t="str">
        <f t="shared" si="65"/>
        <v>CUMPLE</v>
      </c>
      <c r="Y375" s="13">
        <f>MAX(MAX(1.4/[1]Parametros!$B$3,0.25*SQRT([1]Parametros!$B$2)/[1]Parametros!$B$3)*H375*AB375,(0.85*[1]Parametros!$B$2/[1]Parametros!$B$3)*(1-SQRT(1-2*(L375*1000000/([1]Parametros!$B$5*H375*AB375^2))/(0.85*[1]Parametros!$B$2)))*H375*AB375)</f>
        <v>815.58333333333326</v>
      </c>
      <c r="Z375" s="14">
        <v>5</v>
      </c>
      <c r="AA375" s="14">
        <v>1</v>
      </c>
      <c r="AB375" s="13">
        <f>IF(AA375=1,I375-([1]Parametros!$B$7+[1]Parametros!$B$9+[1]Parametros!$B$12/2),I375-(ROUNDUP(Z375/2,0)*([1]Parametros!$B$7+[1]Parametros!$B$9+[1]Parametros!$B$12/2)+ROUNDDOWN(Z375/2,0)*([1]Parametros!$B$7+[1]Parametros!$B$9+[1]Parametros!$B$12/2+[1]Parametros!$B$12+[1]Parametros!$B$10))/Z375)</f>
        <v>489.35</v>
      </c>
      <c r="AC375" s="13">
        <f>Z375*[1]Parametros!$B$8</f>
        <v>995</v>
      </c>
      <c r="AD375" s="13">
        <f>[1]Parametros!$B$5*AC375*[1]Parametros!$B$3*(AB375-(AC375*[1]Parametros!$B$3/(0.85*[1]Parametros!$B$2*H375))/2)/1000000</f>
        <v>177.44537938235294</v>
      </c>
      <c r="AE375" s="13" t="str">
        <f t="shared" si="66"/>
        <v>CUMPLE</v>
      </c>
      <c r="AF375" s="13">
        <f>V375*1.25*[1]Parametros!$B$3*(U375-(V375*1.25*[1]Parametros!$B$3/(0.85*[1]Parametros!$B$2*H375))/2)/1000000</f>
        <v>244.15884319852941</v>
      </c>
      <c r="AG375" s="13">
        <f>AC375*1.25*[1]Parametros!$B$3*(AB375-(AC375*1.25*[1]Parametros!$B$3/(0.85*[1]Parametros!$B$2*H375))/2)/1000000</f>
        <v>244.15884319852941</v>
      </c>
      <c r="AH375" s="13">
        <f t="shared" si="67"/>
        <v>595.67120710784309</v>
      </c>
      <c r="AI375" s="13">
        <f t="shared" si="68"/>
        <v>595.67120710784309</v>
      </c>
      <c r="AJ375" s="13">
        <f>0.17*SQRT([1]Parametros!$B$2)*H375*MIN(U375,AB375)/1000</f>
        <v>220.09872869180776</v>
      </c>
      <c r="AK375" s="13">
        <f>MAX(AI375/[1]Parametros!$B$6-AJ375,0)</f>
        <v>574.12954745198306</v>
      </c>
      <c r="AL375" s="13">
        <f>0.66*SQRT([1]Parametros!$B$2)*H375*MIN(U375,AB375)/1000</f>
        <v>854.500946685842</v>
      </c>
      <c r="AM375" s="13" t="str">
        <f t="shared" si="69"/>
        <v>CUMPLE</v>
      </c>
      <c r="AN375" s="13" t="s">
        <v>68</v>
      </c>
      <c r="AO375" s="14">
        <v>4</v>
      </c>
      <c r="AP375" s="13">
        <f>ROUNDDOWN(MIN(IF(BC375+BD375=0,1000000000,AO375*BB375/(BC375+BD375)),MIN(U375,AB375)/4,8*[1]Parametros!$B$12,24*BA375,300,IF(AV375=0,1000000000,2*((H375-2*([1]Parametros!$B$7+[1]Parametros!$B$9/2))+(I375-2*([1]Parametros!$B$7+[1]Parametros!$B$9/2)))/8))/10,0)*10</f>
        <v>90</v>
      </c>
      <c r="AQ375" s="13">
        <f>ROUNDDOWN(MIN(IF(BC375+BD375=0,1000000000,AO375*BB375/(BC375+BD375)),IF(AK375&gt;0.33*SQRT([1]Parametros!$B$2)*H375*MIN(U375,AB375)/1000,MIN(U375,AB375)/4,MIN(U375,AB375)/2),600,IF(AV375=0,1000000000,2*((H375-2*([1]Parametros!$B$7+[1]Parametros!$B$9/2))+(I375-2*([1]Parametros!$B$7+[1]Parametros!$B$9/2)))/8))/10,0)*10</f>
        <v>90</v>
      </c>
      <c r="AR375" s="13">
        <f>[1]Parametros!$B$6*(AJ375+MAX(BE375-BD375,0)*[1]Parametros!$B$4*MIN(U375,AB375)/1000)</f>
        <v>623.61071655709179</v>
      </c>
      <c r="AS375" s="13" t="str">
        <f t="shared" si="70"/>
        <v>CUMPLE</v>
      </c>
      <c r="AT375" s="13">
        <f>[1]Parametros!$B$6*0.083*SQRT([1]Parametros!$B$2)*(H375*I375)^2/(2*(H375+I375))/1000000</f>
        <v>11.862178757598967</v>
      </c>
      <c r="AU375" s="13" t="str">
        <f t="shared" si="71"/>
        <v>DISEÑAR</v>
      </c>
      <c r="AV375" s="13">
        <f>IF(Q375&lt;=AT375,0,Q375*1000000/([1]Parametros!$B$6*2*0.85*(H375-2*([1]Parametros!$B$7+[1]Parametros!$B$9/2))*(I375-2*([1]Parametros!$B$7+[1]Parametros!$B$9/2))*[1]Parametros!$B$4))</f>
        <v>1.3793140883736736</v>
      </c>
      <c r="AW375" s="13">
        <f>AV375*2*((H375-2*([1]Parametros!$B$7+[1]Parametros!$B$9/2))+(I375-2*([1]Parametros!$B$7+[1]Parametros!$B$9/2)))*[1]Parametros!$B$4/[1]Parametros!$B$3</f>
        <v>2385.1099216157563</v>
      </c>
      <c r="AX375" s="14">
        <v>12</v>
      </c>
      <c r="AY375" s="13" t="str">
        <f t="shared" si="72"/>
        <v>NO CUMPLE</v>
      </c>
      <c r="AZ375" s="13" t="str">
        <f t="shared" si="73"/>
        <v>NO CUMPLE</v>
      </c>
      <c r="BA375" s="14">
        <v>12.7</v>
      </c>
      <c r="BB375" s="14">
        <v>129</v>
      </c>
      <c r="BC375" s="13">
        <f>MAX(IF(AK375=0,0,AK375*1000/([1]Parametros!$B$4*MIN(U375,AB375))),MAX(0.062*SQRT([1]Parametros!$B$2)*H375/[1]Parametros!$B$4,0.35*H375/[1]Parametros!$B$4))</f>
        <v>2.7934507264348873</v>
      </c>
      <c r="BD375" s="13">
        <f t="shared" si="74"/>
        <v>2.7586281767473473</v>
      </c>
      <c r="BE375" s="13">
        <f t="shared" si="75"/>
        <v>5.7333333333333334</v>
      </c>
      <c r="BF375" s="13">
        <f>SQRT((AI375*1000/(H375*MIN(U375,AB375)))^2+(Q375*1000000*2*((H375-2*([1]Parametros!$B$7+[1]Parametros!$B$9/2))+(I375-2*([1]Parametros!$B$7+[1]Parametros!$B$9/2)))/(1.7*((H375-2*([1]Parametros!$B$7+[1]Parametros!$B$9/2))*(I375-2*([1]Parametros!$B$7+[1]Parametros!$B$9/2)))^2))^2)</f>
        <v>4.7114439743415799</v>
      </c>
      <c r="BG375" s="13">
        <f>[1]Parametros!$B$6*(AJ375*1000/(H375*MIN(U375,AB375))+0.66*SQRT([1]Parametros!$B$2))</f>
        <v>3.2939603822754151</v>
      </c>
      <c r="BH375" s="13" t="str">
        <f t="shared" si="76"/>
        <v>NO CUMPLE</v>
      </c>
      <c r="BI375" s="13">
        <f>AX375*[1]Parametros!$B$8</f>
        <v>2388</v>
      </c>
      <c r="BJ375" s="15" t="str">
        <f t="shared" si="77"/>
        <v>CUMPLE</v>
      </c>
    </row>
    <row r="376" spans="1:62" x14ac:dyDescent="0.3">
      <c r="A376" s="33" t="s">
        <v>76</v>
      </c>
      <c r="B376" s="34">
        <v>160</v>
      </c>
      <c r="C376" s="13">
        <v>1</v>
      </c>
      <c r="D376" s="13">
        <v>0.9</v>
      </c>
      <c r="E376" s="13">
        <v>0.9</v>
      </c>
      <c r="F376" s="13">
        <v>500</v>
      </c>
      <c r="G376" s="13">
        <v>550</v>
      </c>
      <c r="H376" s="13">
        <v>500</v>
      </c>
      <c r="I376" s="13">
        <v>550</v>
      </c>
      <c r="J376" s="14">
        <v>68.529300000000006</v>
      </c>
      <c r="K376" s="13">
        <v>160</v>
      </c>
      <c r="L376" s="14">
        <v>0</v>
      </c>
      <c r="M376" s="13">
        <v>160</v>
      </c>
      <c r="N376" s="14">
        <v>51.142000000000003</v>
      </c>
      <c r="O376" s="14">
        <v>86.977000000000004</v>
      </c>
      <c r="P376" s="13">
        <v>160</v>
      </c>
      <c r="Q376" s="14">
        <v>109.5309</v>
      </c>
      <c r="R376" s="13">
        <f>MAX(MAX(1.4/[1]Parametros!$B$3,0.25*SQRT([1]Parametros!$B$2)/[1]Parametros!$B$3)*H376*U376,(0.85*[1]Parametros!$B$2/[1]Parametros!$B$3)*(1-SQRT(1-2*(J376*1000000/([1]Parametros!$B$5*H376*U376^2))/(0.85*[1]Parametros!$B$2)))*H376*U376)</f>
        <v>815.58333333333326</v>
      </c>
      <c r="S376" s="14">
        <v>5</v>
      </c>
      <c r="T376" s="14">
        <v>1</v>
      </c>
      <c r="U376" s="13">
        <f>IF(T376=1,I376-([1]Parametros!$B$7+[1]Parametros!$B$9+[1]Parametros!$B$12/2),I376-(ROUNDUP(S376/2,0)*([1]Parametros!$B$7+[1]Parametros!$B$9+[1]Parametros!$B$12/2)+ROUNDDOWN(S376/2,0)*([1]Parametros!$B$7+[1]Parametros!$B$9+[1]Parametros!$B$12/2+[1]Parametros!$B$12+[1]Parametros!$B$10))/S376)</f>
        <v>489.35</v>
      </c>
      <c r="V376" s="13">
        <f>S376*[1]Parametros!$B$8</f>
        <v>995</v>
      </c>
      <c r="W376" s="13">
        <f>[1]Parametros!$B$5*V376*[1]Parametros!$B$3*(U376-(V376*[1]Parametros!$B$3/(0.85*[1]Parametros!$B$2*H376))/2)/1000000</f>
        <v>177.44537938235294</v>
      </c>
      <c r="X376" s="13" t="str">
        <f t="shared" si="65"/>
        <v>CUMPLE</v>
      </c>
      <c r="Y376" s="13">
        <f>MAX(MAX(1.4/[1]Parametros!$B$3,0.25*SQRT([1]Parametros!$B$2)/[1]Parametros!$B$3)*H376*AB376,(0.85*[1]Parametros!$B$2/[1]Parametros!$B$3)*(1-SQRT(1-2*(L376*1000000/([1]Parametros!$B$5*H376*AB376^2))/(0.85*[1]Parametros!$B$2)))*H376*AB376)</f>
        <v>815.58333333333326</v>
      </c>
      <c r="Z376" s="14">
        <v>5</v>
      </c>
      <c r="AA376" s="14">
        <v>1</v>
      </c>
      <c r="AB376" s="13">
        <f>IF(AA376=1,I376-([1]Parametros!$B$7+[1]Parametros!$B$9+[1]Parametros!$B$12/2),I376-(ROUNDUP(Z376/2,0)*([1]Parametros!$B$7+[1]Parametros!$B$9+[1]Parametros!$B$12/2)+ROUNDDOWN(Z376/2,0)*([1]Parametros!$B$7+[1]Parametros!$B$9+[1]Parametros!$B$12/2+[1]Parametros!$B$12+[1]Parametros!$B$10))/Z376)</f>
        <v>489.35</v>
      </c>
      <c r="AC376" s="13">
        <f>Z376*[1]Parametros!$B$8</f>
        <v>995</v>
      </c>
      <c r="AD376" s="13">
        <f>[1]Parametros!$B$5*AC376*[1]Parametros!$B$3*(AB376-(AC376*[1]Parametros!$B$3/(0.85*[1]Parametros!$B$2*H376))/2)/1000000</f>
        <v>177.44537938235294</v>
      </c>
      <c r="AE376" s="13" t="str">
        <f t="shared" si="66"/>
        <v>CUMPLE</v>
      </c>
      <c r="AF376" s="13">
        <f>V376*1.25*[1]Parametros!$B$3*(U376-(V376*1.25*[1]Parametros!$B$3/(0.85*[1]Parametros!$B$2*H376))/2)/1000000</f>
        <v>244.15884319852941</v>
      </c>
      <c r="AG376" s="13">
        <f>AC376*1.25*[1]Parametros!$B$3*(AB376-(AC376*1.25*[1]Parametros!$B$3/(0.85*[1]Parametros!$B$2*H376))/2)/1000000</f>
        <v>244.15884319852941</v>
      </c>
      <c r="AH376" s="13">
        <f t="shared" si="67"/>
        <v>593.71720710784314</v>
      </c>
      <c r="AI376" s="13">
        <f t="shared" si="68"/>
        <v>593.71720710784314</v>
      </c>
      <c r="AJ376" s="13">
        <f>0.17*SQRT([1]Parametros!$B$2)*H376*MIN(U376,AB376)/1000</f>
        <v>220.09872869180776</v>
      </c>
      <c r="AK376" s="13">
        <f>MAX(AI376/[1]Parametros!$B$6-AJ376,0)</f>
        <v>571.52421411864975</v>
      </c>
      <c r="AL376" s="13">
        <f>0.66*SQRT([1]Parametros!$B$2)*H376*MIN(U376,AB376)/1000</f>
        <v>854.500946685842</v>
      </c>
      <c r="AM376" s="13" t="str">
        <f t="shared" si="69"/>
        <v>CUMPLE</v>
      </c>
      <c r="AN376" s="13" t="s">
        <v>68</v>
      </c>
      <c r="AO376" s="14">
        <v>4</v>
      </c>
      <c r="AP376" s="13">
        <f>ROUNDDOWN(MIN(IF(BC376+BD376=0,1000000000,AO376*BB376/(BC376+BD376)),MIN(U376,AB376)/4,8*[1]Parametros!$B$12,24*BA376,300,IF(AV376=0,1000000000,2*((H376-2*([1]Parametros!$B$7+[1]Parametros!$B$9/2))+(I376-2*([1]Parametros!$B$7+[1]Parametros!$B$9/2)))/8))/10,0)*10</f>
        <v>100</v>
      </c>
      <c r="AQ376" s="13">
        <f>ROUNDDOWN(MIN(IF(BC376+BD376=0,1000000000,AO376*BB376/(BC376+BD376)),IF(AK376&gt;0.33*SQRT([1]Parametros!$B$2)*H376*MIN(U376,AB376)/1000,MIN(U376,AB376)/4,MIN(U376,AB376)/2),600,IF(AV376=0,1000000000,2*((H376-2*([1]Parametros!$B$7+[1]Parametros!$B$9/2))+(I376-2*([1]Parametros!$B$7+[1]Parametros!$B$9/2)))/8))/10,0)*10</f>
        <v>100</v>
      </c>
      <c r="AR376" s="13">
        <f>[1]Parametros!$B$6*(AJ376+MAX(BE376-BD376,0)*[1]Parametros!$B$4*MIN(U376,AB376)/1000)</f>
        <v>621.9143990312748</v>
      </c>
      <c r="AS376" s="13" t="str">
        <f t="shared" si="70"/>
        <v>CUMPLE</v>
      </c>
      <c r="AT376" s="13">
        <f>[1]Parametros!$B$6*0.083*SQRT([1]Parametros!$B$2)*(H376*I376)^2/(2*(H376+I376))/1000000</f>
        <v>11.862178757598967</v>
      </c>
      <c r="AU376" s="13" t="str">
        <f t="shared" si="71"/>
        <v>DISEÑAR</v>
      </c>
      <c r="AV376" s="13">
        <f>IF(Q376&lt;=AT376,0,Q376*1000000/([1]Parametros!$B$6*2*0.85*(H376-2*([1]Parametros!$B$7+[1]Parametros!$B$9/2))*(I376-2*([1]Parametros!$B$7+[1]Parametros!$B$9/2))*[1]Parametros!$B$4))</f>
        <v>1.0981497564394009</v>
      </c>
      <c r="AW376" s="13">
        <f>AV376*2*((H376-2*([1]Parametros!$B$7+[1]Parametros!$B$9/2))+(I376-2*([1]Parametros!$B$7+[1]Parametros!$B$9/2)))*[1]Parametros!$B$4/[1]Parametros!$B$3</f>
        <v>1898.9205588350123</v>
      </c>
      <c r="AX376" s="14">
        <v>12</v>
      </c>
      <c r="AY376" s="13" t="str">
        <f t="shared" si="72"/>
        <v>NO CUMPLE</v>
      </c>
      <c r="AZ376" s="13" t="str">
        <f t="shared" si="73"/>
        <v>NO CUMPLE</v>
      </c>
      <c r="BA376" s="14">
        <v>12.7</v>
      </c>
      <c r="BB376" s="14">
        <v>129</v>
      </c>
      <c r="BC376" s="13">
        <f>MAX(IF(AK376=0,0,AK376*1000/([1]Parametros!$B$4*MIN(U376,AB376))),MAX(0.062*SQRT([1]Parametros!$B$2)*H376/[1]Parametros!$B$4,0.35*H376/[1]Parametros!$B$4))</f>
        <v>2.7807743708546795</v>
      </c>
      <c r="BD376" s="13">
        <f t="shared" si="74"/>
        <v>2.1962995128788019</v>
      </c>
      <c r="BE376" s="13">
        <f t="shared" si="75"/>
        <v>5.16</v>
      </c>
      <c r="BF376" s="13">
        <f>SQRT((AI376*1000/(H376*MIN(U376,AB376)))^2+(Q376*1000000*2*((H376-2*([1]Parametros!$B$7+[1]Parametros!$B$9/2))+(I376-2*([1]Parametros!$B$7+[1]Parametros!$B$9/2)))/(1.7*((H376-2*([1]Parametros!$B$7+[1]Parametros!$B$9/2))*(I376-2*([1]Parametros!$B$7+[1]Parametros!$B$9/2)))^2))^2)</f>
        <v>4.0251217132221475</v>
      </c>
      <c r="BG376" s="13">
        <f>[1]Parametros!$B$6*(AJ376*1000/(H376*MIN(U376,AB376))+0.66*SQRT([1]Parametros!$B$2))</f>
        <v>3.2939603822754151</v>
      </c>
      <c r="BH376" s="13" t="str">
        <f t="shared" si="76"/>
        <v>NO CUMPLE</v>
      </c>
      <c r="BI376" s="13">
        <f>AX376*[1]Parametros!$B$8</f>
        <v>2388</v>
      </c>
      <c r="BJ376" s="15" t="str">
        <f t="shared" si="77"/>
        <v>CUMPLE</v>
      </c>
    </row>
    <row r="377" spans="1:62" x14ac:dyDescent="0.3">
      <c r="A377" s="33" t="s">
        <v>76</v>
      </c>
      <c r="B377" s="34">
        <v>162</v>
      </c>
      <c r="C377" s="13">
        <v>1</v>
      </c>
      <c r="D377" s="13">
        <v>0.9</v>
      </c>
      <c r="E377" s="13">
        <v>0.9</v>
      </c>
      <c r="F377" s="13">
        <v>500</v>
      </c>
      <c r="G377" s="13">
        <v>550</v>
      </c>
      <c r="H377" s="13">
        <v>500</v>
      </c>
      <c r="I377" s="13">
        <v>550</v>
      </c>
      <c r="J377" s="14">
        <v>68.534499999999994</v>
      </c>
      <c r="K377" s="13">
        <v>162</v>
      </c>
      <c r="L377" s="14">
        <v>0</v>
      </c>
      <c r="M377" s="13">
        <v>162</v>
      </c>
      <c r="N377" s="14">
        <v>51.145000000000003</v>
      </c>
      <c r="O377" s="14">
        <v>86.980999999999995</v>
      </c>
      <c r="P377" s="13">
        <v>162</v>
      </c>
      <c r="Q377" s="14">
        <v>109.5378</v>
      </c>
      <c r="R377" s="13">
        <f>MAX(MAX(1.4/[1]Parametros!$B$3,0.25*SQRT([1]Parametros!$B$2)/[1]Parametros!$B$3)*H377*U377,(0.85*[1]Parametros!$B$2/[1]Parametros!$B$3)*(1-SQRT(1-2*(J377*1000000/([1]Parametros!$B$5*H377*U377^2))/(0.85*[1]Parametros!$B$2)))*H377*U377)</f>
        <v>815.58333333333326</v>
      </c>
      <c r="S377" s="14">
        <v>5</v>
      </c>
      <c r="T377" s="14">
        <v>1</v>
      </c>
      <c r="U377" s="13">
        <f>IF(T377=1,I377-([1]Parametros!$B$7+[1]Parametros!$B$9+[1]Parametros!$B$12/2),I377-(ROUNDUP(S377/2,0)*([1]Parametros!$B$7+[1]Parametros!$B$9+[1]Parametros!$B$12/2)+ROUNDDOWN(S377/2,0)*([1]Parametros!$B$7+[1]Parametros!$B$9+[1]Parametros!$B$12/2+[1]Parametros!$B$12+[1]Parametros!$B$10))/S377)</f>
        <v>489.35</v>
      </c>
      <c r="V377" s="13">
        <f>S377*[1]Parametros!$B$8</f>
        <v>995</v>
      </c>
      <c r="W377" s="13">
        <f>[1]Parametros!$B$5*V377*[1]Parametros!$B$3*(U377-(V377*[1]Parametros!$B$3/(0.85*[1]Parametros!$B$2*H377))/2)/1000000</f>
        <v>177.44537938235294</v>
      </c>
      <c r="X377" s="13" t="str">
        <f t="shared" si="65"/>
        <v>CUMPLE</v>
      </c>
      <c r="Y377" s="13">
        <f>MAX(MAX(1.4/[1]Parametros!$B$3,0.25*SQRT([1]Parametros!$B$2)/[1]Parametros!$B$3)*H377*AB377,(0.85*[1]Parametros!$B$2/[1]Parametros!$B$3)*(1-SQRT(1-2*(L377*1000000/([1]Parametros!$B$5*H377*AB377^2))/(0.85*[1]Parametros!$B$2)))*H377*AB377)</f>
        <v>815.58333333333326</v>
      </c>
      <c r="Z377" s="14">
        <v>5</v>
      </c>
      <c r="AA377" s="14">
        <v>1</v>
      </c>
      <c r="AB377" s="13">
        <f>IF(AA377=1,I377-([1]Parametros!$B$7+[1]Parametros!$B$9+[1]Parametros!$B$12/2),I377-(ROUNDUP(Z377/2,0)*([1]Parametros!$B$7+[1]Parametros!$B$9+[1]Parametros!$B$12/2)+ROUNDDOWN(Z377/2,0)*([1]Parametros!$B$7+[1]Parametros!$B$9+[1]Parametros!$B$12/2+[1]Parametros!$B$12+[1]Parametros!$B$10))/Z377)</f>
        <v>489.35</v>
      </c>
      <c r="AC377" s="13">
        <f>Z377*[1]Parametros!$B$8</f>
        <v>995</v>
      </c>
      <c r="AD377" s="13">
        <f>[1]Parametros!$B$5*AC377*[1]Parametros!$B$3*(AB377-(AC377*[1]Parametros!$B$3/(0.85*[1]Parametros!$B$2*H377))/2)/1000000</f>
        <v>177.44537938235294</v>
      </c>
      <c r="AE377" s="13" t="str">
        <f t="shared" si="66"/>
        <v>CUMPLE</v>
      </c>
      <c r="AF377" s="13">
        <f>V377*1.25*[1]Parametros!$B$3*(U377-(V377*1.25*[1]Parametros!$B$3/(0.85*[1]Parametros!$B$2*H377))/2)/1000000</f>
        <v>244.15884319852941</v>
      </c>
      <c r="AG377" s="13">
        <f>AC377*1.25*[1]Parametros!$B$3*(AB377-(AC377*1.25*[1]Parametros!$B$3/(0.85*[1]Parametros!$B$2*H377))/2)/1000000</f>
        <v>244.15884319852941</v>
      </c>
      <c r="AH377" s="13">
        <f t="shared" si="67"/>
        <v>593.72020710784307</v>
      </c>
      <c r="AI377" s="13">
        <f t="shared" si="68"/>
        <v>593.72020710784307</v>
      </c>
      <c r="AJ377" s="13">
        <f>0.17*SQRT([1]Parametros!$B$2)*H377*MIN(U377,AB377)/1000</f>
        <v>220.09872869180776</v>
      </c>
      <c r="AK377" s="13">
        <f>MAX(AI377/[1]Parametros!$B$6-AJ377,0)</f>
        <v>571.52821411864966</v>
      </c>
      <c r="AL377" s="13">
        <f>0.66*SQRT([1]Parametros!$B$2)*H377*MIN(U377,AB377)/1000</f>
        <v>854.500946685842</v>
      </c>
      <c r="AM377" s="13" t="str">
        <f t="shared" si="69"/>
        <v>CUMPLE</v>
      </c>
      <c r="AN377" s="13" t="s">
        <v>68</v>
      </c>
      <c r="AO377" s="14">
        <v>4</v>
      </c>
      <c r="AP377" s="13">
        <f>ROUNDDOWN(MIN(IF(BC377+BD377=0,1000000000,AO377*BB377/(BC377+BD377)),MIN(U377,AB377)/4,8*[1]Parametros!$B$12,24*BA377,300,IF(AV377=0,1000000000,2*((H377-2*([1]Parametros!$B$7+[1]Parametros!$B$9/2))+(I377-2*([1]Parametros!$B$7+[1]Parametros!$B$9/2)))/8))/10,0)*10</f>
        <v>100</v>
      </c>
      <c r="AQ377" s="13">
        <f>ROUNDDOWN(MIN(IF(BC377+BD377=0,1000000000,AO377*BB377/(BC377+BD377)),IF(AK377&gt;0.33*SQRT([1]Parametros!$B$2)*H377*MIN(U377,AB377)/1000,MIN(U377,AB377)/4,MIN(U377,AB377)/2),600,IF(AV377=0,1000000000,2*((H377-2*([1]Parametros!$B$7+[1]Parametros!$B$9/2))+(I377-2*([1]Parametros!$B$7+[1]Parametros!$B$9/2)))/8))/10,0)*10</f>
        <v>100</v>
      </c>
      <c r="AR377" s="13">
        <f>[1]Parametros!$B$6*(AJ377+MAX(BE377-BD377,0)*[1]Parametros!$B$4*MIN(U377,AB377)/1000)</f>
        <v>621.89307181631841</v>
      </c>
      <c r="AS377" s="13" t="str">
        <f t="shared" si="70"/>
        <v>CUMPLE</v>
      </c>
      <c r="AT377" s="13">
        <f>[1]Parametros!$B$6*0.083*SQRT([1]Parametros!$B$2)*(H377*I377)^2/(2*(H377+I377))/1000000</f>
        <v>11.862178757598967</v>
      </c>
      <c r="AU377" s="13" t="str">
        <f t="shared" si="71"/>
        <v>DISEÑAR</v>
      </c>
      <c r="AV377" s="13">
        <f>IF(Q377&lt;=AT377,0,Q377*1000000/([1]Parametros!$B$6*2*0.85*(H377-2*([1]Parametros!$B$7+[1]Parametros!$B$9/2))*(I377-2*([1]Parametros!$B$7+[1]Parametros!$B$9/2))*[1]Parametros!$B$4))</f>
        <v>1.0982189353954712</v>
      </c>
      <c r="AW377" s="13">
        <f>AV377*2*((H377-2*([1]Parametros!$B$7+[1]Parametros!$B$9/2))+(I377-2*([1]Parametros!$B$7+[1]Parametros!$B$9/2)))*[1]Parametros!$B$4/[1]Parametros!$B$3</f>
        <v>1899.0401830858491</v>
      </c>
      <c r="AX377" s="14">
        <v>12</v>
      </c>
      <c r="AY377" s="13" t="str">
        <f t="shared" si="72"/>
        <v>NO CUMPLE</v>
      </c>
      <c r="AZ377" s="13" t="str">
        <f t="shared" si="73"/>
        <v>NO CUMPLE</v>
      </c>
      <c r="BA377" s="14">
        <v>12.7</v>
      </c>
      <c r="BB377" s="14">
        <v>129</v>
      </c>
      <c r="BC377" s="13">
        <f>MAX(IF(AK377=0,0,AK377*1000/([1]Parametros!$B$4*MIN(U377,AB377))),MAX(0.062*SQRT([1]Parametros!$B$2)*H377/[1]Parametros!$B$4,0.35*H377/[1]Parametros!$B$4))</f>
        <v>2.780793833017801</v>
      </c>
      <c r="BD377" s="13">
        <f t="shared" si="74"/>
        <v>2.1964378707909424</v>
      </c>
      <c r="BE377" s="13">
        <f t="shared" si="75"/>
        <v>5.16</v>
      </c>
      <c r="BF377" s="13">
        <f>SQRT((AI377*1000/(H377*MIN(U377,AB377)))^2+(Q377*1000000*2*((H377-2*([1]Parametros!$B$7+[1]Parametros!$B$9/2))+(I377-2*([1]Parametros!$B$7+[1]Parametros!$B$9/2)))/(1.7*((H377-2*([1]Parametros!$B$7+[1]Parametros!$B$9/2))*(I377-2*([1]Parametros!$B$7+[1]Parametros!$B$9/2)))^2))^2)</f>
        <v>4.0252905188570924</v>
      </c>
      <c r="BG377" s="13">
        <f>[1]Parametros!$B$6*(AJ377*1000/(H377*MIN(U377,AB377))+0.66*SQRT([1]Parametros!$B$2))</f>
        <v>3.2939603822754151</v>
      </c>
      <c r="BH377" s="13" t="str">
        <f t="shared" si="76"/>
        <v>NO CUMPLE</v>
      </c>
      <c r="BI377" s="13">
        <f>AX377*[1]Parametros!$B$8</f>
        <v>2388</v>
      </c>
      <c r="BJ377" s="15" t="str">
        <f t="shared" si="77"/>
        <v>CUMPLE</v>
      </c>
    </row>
    <row r="378" spans="1:62" x14ac:dyDescent="0.3">
      <c r="A378" s="33" t="s">
        <v>76</v>
      </c>
      <c r="B378" s="34">
        <v>165</v>
      </c>
      <c r="C378" s="13">
        <v>1</v>
      </c>
      <c r="D378" s="13">
        <v>0.9</v>
      </c>
      <c r="E378" s="13">
        <v>0.9</v>
      </c>
      <c r="F378" s="13">
        <v>500</v>
      </c>
      <c r="G378" s="13">
        <v>550</v>
      </c>
      <c r="H378" s="13">
        <v>500</v>
      </c>
      <c r="I378" s="13">
        <v>550</v>
      </c>
      <c r="J378" s="14">
        <v>76.475300000000004</v>
      </c>
      <c r="K378" s="13">
        <v>165</v>
      </c>
      <c r="L378" s="14">
        <v>0</v>
      </c>
      <c r="M378" s="13">
        <v>165</v>
      </c>
      <c r="N378" s="14">
        <v>55.84</v>
      </c>
      <c r="O378" s="14">
        <v>78.744</v>
      </c>
      <c r="P378" s="13">
        <v>165</v>
      </c>
      <c r="Q378" s="14">
        <v>75.049599999999998</v>
      </c>
      <c r="R378" s="13">
        <f>MAX(MAX(1.4/[1]Parametros!$B$3,0.25*SQRT([1]Parametros!$B$2)/[1]Parametros!$B$3)*H378*U378,(0.85*[1]Parametros!$B$2/[1]Parametros!$B$3)*(1-SQRT(1-2*(J378*1000000/([1]Parametros!$B$5*H378*U378^2))/(0.85*[1]Parametros!$B$2)))*H378*U378)</f>
        <v>815.58333333333326</v>
      </c>
      <c r="S378" s="14">
        <v>5</v>
      </c>
      <c r="T378" s="14">
        <v>1</v>
      </c>
      <c r="U378" s="13">
        <f>IF(T378=1,I378-([1]Parametros!$B$7+[1]Parametros!$B$9+[1]Parametros!$B$12/2),I378-(ROUNDUP(S378/2,0)*([1]Parametros!$B$7+[1]Parametros!$B$9+[1]Parametros!$B$12/2)+ROUNDDOWN(S378/2,0)*([1]Parametros!$B$7+[1]Parametros!$B$9+[1]Parametros!$B$12/2+[1]Parametros!$B$12+[1]Parametros!$B$10))/S378)</f>
        <v>489.35</v>
      </c>
      <c r="V378" s="13">
        <f>S378*[1]Parametros!$B$8</f>
        <v>995</v>
      </c>
      <c r="W378" s="13">
        <f>[1]Parametros!$B$5*V378*[1]Parametros!$B$3*(U378-(V378*[1]Parametros!$B$3/(0.85*[1]Parametros!$B$2*H378))/2)/1000000</f>
        <v>177.44537938235294</v>
      </c>
      <c r="X378" s="13" t="str">
        <f t="shared" si="65"/>
        <v>CUMPLE</v>
      </c>
      <c r="Y378" s="13">
        <f>MAX(MAX(1.4/[1]Parametros!$B$3,0.25*SQRT([1]Parametros!$B$2)/[1]Parametros!$B$3)*H378*AB378,(0.85*[1]Parametros!$B$2/[1]Parametros!$B$3)*(1-SQRT(1-2*(L378*1000000/([1]Parametros!$B$5*H378*AB378^2))/(0.85*[1]Parametros!$B$2)))*H378*AB378)</f>
        <v>815.58333333333326</v>
      </c>
      <c r="Z378" s="14">
        <v>5</v>
      </c>
      <c r="AA378" s="14">
        <v>1</v>
      </c>
      <c r="AB378" s="13">
        <f>IF(AA378=1,I378-([1]Parametros!$B$7+[1]Parametros!$B$9+[1]Parametros!$B$12/2),I378-(ROUNDUP(Z378/2,0)*([1]Parametros!$B$7+[1]Parametros!$B$9+[1]Parametros!$B$12/2)+ROUNDDOWN(Z378/2,0)*([1]Parametros!$B$7+[1]Parametros!$B$9+[1]Parametros!$B$12/2+[1]Parametros!$B$12+[1]Parametros!$B$10))/Z378)</f>
        <v>489.35</v>
      </c>
      <c r="AC378" s="13">
        <f>Z378*[1]Parametros!$B$8</f>
        <v>995</v>
      </c>
      <c r="AD378" s="13">
        <f>[1]Parametros!$B$5*AC378*[1]Parametros!$B$3*(AB378-(AC378*[1]Parametros!$B$3/(0.85*[1]Parametros!$B$2*H378))/2)/1000000</f>
        <v>177.44537938235294</v>
      </c>
      <c r="AE378" s="13" t="str">
        <f t="shared" si="66"/>
        <v>CUMPLE</v>
      </c>
      <c r="AF378" s="13">
        <f>V378*1.25*[1]Parametros!$B$3*(U378-(V378*1.25*[1]Parametros!$B$3/(0.85*[1]Parametros!$B$2*H378))/2)/1000000</f>
        <v>244.15884319852941</v>
      </c>
      <c r="AG378" s="13">
        <f>AC378*1.25*[1]Parametros!$B$3*(AB378-(AC378*1.25*[1]Parametros!$B$3/(0.85*[1]Parametros!$B$2*H378))/2)/1000000</f>
        <v>244.15884319852941</v>
      </c>
      <c r="AH378" s="13">
        <f t="shared" si="67"/>
        <v>598.41520710784312</v>
      </c>
      <c r="AI378" s="13">
        <f t="shared" si="68"/>
        <v>598.41520710784312</v>
      </c>
      <c r="AJ378" s="13">
        <f>0.17*SQRT([1]Parametros!$B$2)*H378*MIN(U378,AB378)/1000</f>
        <v>220.09872869180776</v>
      </c>
      <c r="AK378" s="13">
        <f>MAX(AI378/[1]Parametros!$B$6-AJ378,0)</f>
        <v>577.78821411864976</v>
      </c>
      <c r="AL378" s="13">
        <f>0.66*SQRT([1]Parametros!$B$2)*H378*MIN(U378,AB378)/1000</f>
        <v>854.500946685842</v>
      </c>
      <c r="AM378" s="13" t="str">
        <f t="shared" si="69"/>
        <v>CUMPLE</v>
      </c>
      <c r="AN378" s="13" t="s">
        <v>68</v>
      </c>
      <c r="AO378" s="14">
        <v>4</v>
      </c>
      <c r="AP378" s="13">
        <f>ROUNDDOWN(MIN(IF(BC378+BD378=0,1000000000,AO378*BB378/(BC378+BD378)),MIN(U378,AB378)/4,8*[1]Parametros!$B$12,24*BA378,300,IF(AV378=0,1000000000,2*((H378-2*([1]Parametros!$B$7+[1]Parametros!$B$9/2))+(I378-2*([1]Parametros!$B$7+[1]Parametros!$B$9/2)))/8))/10,0)*10</f>
        <v>110</v>
      </c>
      <c r="AQ378" s="13">
        <f>ROUNDDOWN(MIN(IF(BC378+BD378=0,1000000000,AO378*BB378/(BC378+BD378)),IF(AK378&gt;0.33*SQRT([1]Parametros!$B$2)*H378*MIN(U378,AB378)/1000,MIN(U378,AB378)/4,MIN(U378,AB378)/2),600,IF(AV378=0,1000000000,2*((H378-2*([1]Parametros!$B$7+[1]Parametros!$B$9/2))+(I378-2*([1]Parametros!$B$7+[1]Parametros!$B$9/2)))/8))/10,0)*10</f>
        <v>110</v>
      </c>
      <c r="AR378" s="13">
        <f>[1]Parametros!$B$6*(AJ378+MAX(BE378-BD378,0)*[1]Parametros!$B$4*MIN(U378,AB378)/1000)</f>
        <v>656.1845385151305</v>
      </c>
      <c r="AS378" s="13" t="str">
        <f t="shared" si="70"/>
        <v>CUMPLE</v>
      </c>
      <c r="AT378" s="13">
        <f>[1]Parametros!$B$6*0.083*SQRT([1]Parametros!$B$2)*(H378*I378)^2/(2*(H378+I378))/1000000</f>
        <v>11.862178757598967</v>
      </c>
      <c r="AU378" s="13" t="str">
        <f t="shared" si="71"/>
        <v>DISEÑAR</v>
      </c>
      <c r="AV378" s="13">
        <f>IF(Q378&lt;=AT378,0,Q378*1000000/([1]Parametros!$B$6*2*0.85*(H378-2*([1]Parametros!$B$7+[1]Parametros!$B$9/2))*(I378-2*([1]Parametros!$B$7+[1]Parametros!$B$9/2))*[1]Parametros!$B$4))</f>
        <v>0.75244246108517754</v>
      </c>
      <c r="AW378" s="13">
        <f>AV378*2*((H378-2*([1]Parametros!$B$7+[1]Parametros!$B$9/2))+(I378-2*([1]Parametros!$B$7+[1]Parametros!$B$9/2)))*[1]Parametros!$B$4/[1]Parametros!$B$3</f>
        <v>1301.1235037084891</v>
      </c>
      <c r="AX378" s="14">
        <v>8</v>
      </c>
      <c r="AY378" s="13" t="str">
        <f t="shared" si="72"/>
        <v>CUMPLE</v>
      </c>
      <c r="AZ378" s="13" t="str">
        <f t="shared" si="73"/>
        <v>CUMPLE</v>
      </c>
      <c r="BA378" s="14">
        <v>12.7</v>
      </c>
      <c r="BB378" s="14">
        <v>129</v>
      </c>
      <c r="BC378" s="13">
        <f>MAX(IF(AK378=0,0,AK378*1000/([1]Parametros!$B$4*MIN(U378,AB378))),MAX(0.062*SQRT([1]Parametros!$B$2)*H378/[1]Parametros!$B$4,0.35*H378/[1]Parametros!$B$4))</f>
        <v>2.8112521183039196</v>
      </c>
      <c r="BD378" s="13">
        <f t="shared" si="74"/>
        <v>1.5048849221703551</v>
      </c>
      <c r="BE378" s="13">
        <f t="shared" si="75"/>
        <v>4.6909090909090905</v>
      </c>
      <c r="BF378" s="13">
        <f>SQRT((AI378*1000/(H378*MIN(U378,AB378)))^2+(Q378*1000000*2*((H378-2*([1]Parametros!$B$7+[1]Parametros!$B$9/2))+(I378-2*([1]Parametros!$B$7+[1]Parametros!$B$9/2)))/(1.7*((H378-2*([1]Parametros!$B$7+[1]Parametros!$B$9/2))*(I378-2*([1]Parametros!$B$7+[1]Parametros!$B$9/2)))^2))^2)</f>
        <v>3.2899458156408108</v>
      </c>
      <c r="BG378" s="13">
        <f>[1]Parametros!$B$6*(AJ378*1000/(H378*MIN(U378,AB378))+0.66*SQRT([1]Parametros!$B$2))</f>
        <v>3.2939603822754151</v>
      </c>
      <c r="BH378" s="13" t="str">
        <f t="shared" si="76"/>
        <v>CUMPLE</v>
      </c>
      <c r="BI378" s="13">
        <f>AX378*[1]Parametros!$B$8</f>
        <v>1592</v>
      </c>
      <c r="BJ378" s="15" t="str">
        <f t="shared" si="77"/>
        <v>CUMPLE</v>
      </c>
    </row>
    <row r="379" spans="1:62" x14ac:dyDescent="0.3">
      <c r="A379" s="33" t="s">
        <v>76</v>
      </c>
      <c r="B379" s="34">
        <v>167</v>
      </c>
      <c r="C379" s="13">
        <v>1</v>
      </c>
      <c r="D379" s="13">
        <v>0.9</v>
      </c>
      <c r="E379" s="13">
        <v>0.9</v>
      </c>
      <c r="F379" s="13">
        <v>500</v>
      </c>
      <c r="G379" s="13">
        <v>550</v>
      </c>
      <c r="H379" s="13">
        <v>500</v>
      </c>
      <c r="I379" s="13">
        <v>550</v>
      </c>
      <c r="J379" s="14">
        <v>76.4816</v>
      </c>
      <c r="K379" s="13">
        <v>167</v>
      </c>
      <c r="L379" s="14">
        <v>0</v>
      </c>
      <c r="M379" s="13">
        <v>167</v>
      </c>
      <c r="N379" s="14">
        <v>55.844000000000001</v>
      </c>
      <c r="O379" s="14">
        <v>78.748000000000005</v>
      </c>
      <c r="P379" s="13">
        <v>167</v>
      </c>
      <c r="Q379" s="14">
        <v>75.058700000000002</v>
      </c>
      <c r="R379" s="13">
        <f>MAX(MAX(1.4/[1]Parametros!$B$3,0.25*SQRT([1]Parametros!$B$2)/[1]Parametros!$B$3)*H379*U379,(0.85*[1]Parametros!$B$2/[1]Parametros!$B$3)*(1-SQRT(1-2*(J379*1000000/([1]Parametros!$B$5*H379*U379^2))/(0.85*[1]Parametros!$B$2)))*H379*U379)</f>
        <v>815.58333333333326</v>
      </c>
      <c r="S379" s="14">
        <v>5</v>
      </c>
      <c r="T379" s="14">
        <v>1</v>
      </c>
      <c r="U379" s="13">
        <f>IF(T379=1,I379-([1]Parametros!$B$7+[1]Parametros!$B$9+[1]Parametros!$B$12/2),I379-(ROUNDUP(S379/2,0)*([1]Parametros!$B$7+[1]Parametros!$B$9+[1]Parametros!$B$12/2)+ROUNDDOWN(S379/2,0)*([1]Parametros!$B$7+[1]Parametros!$B$9+[1]Parametros!$B$12/2+[1]Parametros!$B$12+[1]Parametros!$B$10))/S379)</f>
        <v>489.35</v>
      </c>
      <c r="V379" s="13">
        <f>S379*[1]Parametros!$B$8</f>
        <v>995</v>
      </c>
      <c r="W379" s="13">
        <f>[1]Parametros!$B$5*V379*[1]Parametros!$B$3*(U379-(V379*[1]Parametros!$B$3/(0.85*[1]Parametros!$B$2*H379))/2)/1000000</f>
        <v>177.44537938235294</v>
      </c>
      <c r="X379" s="13" t="str">
        <f t="shared" si="65"/>
        <v>CUMPLE</v>
      </c>
      <c r="Y379" s="13">
        <f>MAX(MAX(1.4/[1]Parametros!$B$3,0.25*SQRT([1]Parametros!$B$2)/[1]Parametros!$B$3)*H379*AB379,(0.85*[1]Parametros!$B$2/[1]Parametros!$B$3)*(1-SQRT(1-2*(L379*1000000/([1]Parametros!$B$5*H379*AB379^2))/(0.85*[1]Parametros!$B$2)))*H379*AB379)</f>
        <v>815.58333333333326</v>
      </c>
      <c r="Z379" s="14">
        <v>5</v>
      </c>
      <c r="AA379" s="14">
        <v>1</v>
      </c>
      <c r="AB379" s="13">
        <f>IF(AA379=1,I379-([1]Parametros!$B$7+[1]Parametros!$B$9+[1]Parametros!$B$12/2),I379-(ROUNDUP(Z379/2,0)*([1]Parametros!$B$7+[1]Parametros!$B$9+[1]Parametros!$B$12/2)+ROUNDDOWN(Z379/2,0)*([1]Parametros!$B$7+[1]Parametros!$B$9+[1]Parametros!$B$12/2+[1]Parametros!$B$12+[1]Parametros!$B$10))/Z379)</f>
        <v>489.35</v>
      </c>
      <c r="AC379" s="13">
        <f>Z379*[1]Parametros!$B$8</f>
        <v>995</v>
      </c>
      <c r="AD379" s="13">
        <f>[1]Parametros!$B$5*AC379*[1]Parametros!$B$3*(AB379-(AC379*[1]Parametros!$B$3/(0.85*[1]Parametros!$B$2*H379))/2)/1000000</f>
        <v>177.44537938235294</v>
      </c>
      <c r="AE379" s="13" t="str">
        <f t="shared" si="66"/>
        <v>CUMPLE</v>
      </c>
      <c r="AF379" s="13">
        <f>V379*1.25*[1]Parametros!$B$3*(U379-(V379*1.25*[1]Parametros!$B$3/(0.85*[1]Parametros!$B$2*H379))/2)/1000000</f>
        <v>244.15884319852941</v>
      </c>
      <c r="AG379" s="13">
        <f>AC379*1.25*[1]Parametros!$B$3*(AB379-(AC379*1.25*[1]Parametros!$B$3/(0.85*[1]Parametros!$B$2*H379))/2)/1000000</f>
        <v>244.15884319852941</v>
      </c>
      <c r="AH379" s="13">
        <f t="shared" si="67"/>
        <v>598.41920710784314</v>
      </c>
      <c r="AI379" s="13">
        <f t="shared" si="68"/>
        <v>598.41920710784314</v>
      </c>
      <c r="AJ379" s="13">
        <f>0.17*SQRT([1]Parametros!$B$2)*H379*MIN(U379,AB379)/1000</f>
        <v>220.09872869180776</v>
      </c>
      <c r="AK379" s="13">
        <f>MAX(AI379/[1]Parametros!$B$6-AJ379,0)</f>
        <v>577.79354745198304</v>
      </c>
      <c r="AL379" s="13">
        <f>0.66*SQRT([1]Parametros!$B$2)*H379*MIN(U379,AB379)/1000</f>
        <v>854.500946685842</v>
      </c>
      <c r="AM379" s="13" t="str">
        <f t="shared" si="69"/>
        <v>CUMPLE</v>
      </c>
      <c r="AN379" s="13" t="s">
        <v>68</v>
      </c>
      <c r="AO379" s="14">
        <v>4</v>
      </c>
      <c r="AP379" s="13">
        <f>ROUNDDOWN(MIN(IF(BC379+BD379=0,1000000000,AO379*BB379/(BC379+BD379)),MIN(U379,AB379)/4,8*[1]Parametros!$B$12,24*BA379,300,IF(AV379=0,1000000000,2*((H379-2*([1]Parametros!$B$7+[1]Parametros!$B$9/2))+(I379-2*([1]Parametros!$B$7+[1]Parametros!$B$9/2)))/8))/10,0)*10</f>
        <v>110</v>
      </c>
      <c r="AQ379" s="13">
        <f>ROUNDDOWN(MIN(IF(BC379+BD379=0,1000000000,AO379*BB379/(BC379+BD379)),IF(AK379&gt;0.33*SQRT([1]Parametros!$B$2)*H379*MIN(U379,AB379)/1000,MIN(U379,AB379)/4,MIN(U379,AB379)/2),600,IF(AV379=0,1000000000,2*((H379-2*([1]Parametros!$B$7+[1]Parametros!$B$9/2))+(I379-2*([1]Parametros!$B$7+[1]Parametros!$B$9/2)))/8))/10,0)*10</f>
        <v>110</v>
      </c>
      <c r="AR379" s="13">
        <f>[1]Parametros!$B$6*(AJ379+MAX(BE379-BD379,0)*[1]Parametros!$B$4*MIN(U379,AB379)/1000)</f>
        <v>656.15641131859365</v>
      </c>
      <c r="AS379" s="13" t="str">
        <f t="shared" si="70"/>
        <v>CUMPLE</v>
      </c>
      <c r="AT379" s="13">
        <f>[1]Parametros!$B$6*0.083*SQRT([1]Parametros!$B$2)*(H379*I379)^2/(2*(H379+I379))/1000000</f>
        <v>11.862178757598967</v>
      </c>
      <c r="AU379" s="13" t="str">
        <f t="shared" si="71"/>
        <v>DISEÑAR</v>
      </c>
      <c r="AV379" s="13">
        <f>IF(Q379&lt;=AT379,0,Q379*1000000/([1]Parametros!$B$6*2*0.85*(H379-2*([1]Parametros!$B$7+[1]Parametros!$B$9/2))*(I379-2*([1]Parametros!$B$7+[1]Parametros!$B$9/2))*[1]Parametros!$B$4))</f>
        <v>0.75253369709970497</v>
      </c>
      <c r="AW379" s="13">
        <f>AV379*2*((H379-2*([1]Parametros!$B$7+[1]Parametros!$B$9/2))+(I379-2*([1]Parametros!$B$7+[1]Parametros!$B$9/2)))*[1]Parametros!$B$4/[1]Parametros!$B$3</f>
        <v>1301.2812690248099</v>
      </c>
      <c r="AX379" s="14">
        <v>8</v>
      </c>
      <c r="AY379" s="13" t="str">
        <f t="shared" si="72"/>
        <v>CUMPLE</v>
      </c>
      <c r="AZ379" s="13" t="str">
        <f t="shared" si="73"/>
        <v>CUMPLE</v>
      </c>
      <c r="BA379" s="14">
        <v>12.7</v>
      </c>
      <c r="BB379" s="14">
        <v>129</v>
      </c>
      <c r="BC379" s="13">
        <f>MAX(IF(AK379=0,0,AK379*1000/([1]Parametros!$B$4*MIN(U379,AB379))),MAX(0.062*SQRT([1]Parametros!$B$2)*H379/[1]Parametros!$B$4,0.35*H379/[1]Parametros!$B$4))</f>
        <v>2.8112780678547495</v>
      </c>
      <c r="BD379" s="13">
        <f t="shared" si="74"/>
        <v>1.5050673941994099</v>
      </c>
      <c r="BE379" s="13">
        <f t="shared" si="75"/>
        <v>4.6909090909090905</v>
      </c>
      <c r="BF379" s="13">
        <f>SQRT((AI379*1000/(H379*MIN(U379,AB379)))^2+(Q379*1000000*2*((H379-2*([1]Parametros!$B$7+[1]Parametros!$B$9/2))+(I379-2*([1]Parametros!$B$7+[1]Parametros!$B$9/2)))/(1.7*((H379-2*([1]Parametros!$B$7+[1]Parametros!$B$9/2))*(I379-2*([1]Parametros!$B$7+[1]Parametros!$B$9/2)))^2))^2)</f>
        <v>3.290136430307689</v>
      </c>
      <c r="BG379" s="13">
        <f>[1]Parametros!$B$6*(AJ379*1000/(H379*MIN(U379,AB379))+0.66*SQRT([1]Parametros!$B$2))</f>
        <v>3.2939603822754151</v>
      </c>
      <c r="BH379" s="13" t="str">
        <f t="shared" si="76"/>
        <v>CUMPLE</v>
      </c>
      <c r="BI379" s="13">
        <f>AX379*[1]Parametros!$B$8</f>
        <v>1592</v>
      </c>
      <c r="BJ379" s="15" t="str">
        <f t="shared" si="77"/>
        <v>CUMPLE</v>
      </c>
    </row>
    <row r="380" spans="1:62" x14ac:dyDescent="0.3">
      <c r="A380" s="33" t="s">
        <v>76</v>
      </c>
      <c r="B380" s="34">
        <v>170</v>
      </c>
      <c r="C380" s="13">
        <v>1</v>
      </c>
      <c r="D380" s="13">
        <v>0.9</v>
      </c>
      <c r="E380" s="13">
        <v>0.9</v>
      </c>
      <c r="F380" s="13">
        <v>500</v>
      </c>
      <c r="G380" s="13">
        <v>550</v>
      </c>
      <c r="H380" s="13">
        <v>500</v>
      </c>
      <c r="I380" s="13">
        <v>550</v>
      </c>
      <c r="J380" s="14">
        <v>69.427199999999999</v>
      </c>
      <c r="K380" s="13">
        <v>170</v>
      </c>
      <c r="L380" s="14">
        <v>0</v>
      </c>
      <c r="M380" s="13">
        <v>170</v>
      </c>
      <c r="N380" s="14">
        <v>50.281999999999996</v>
      </c>
      <c r="O380" s="14">
        <v>57.246000000000002</v>
      </c>
      <c r="P380" s="13">
        <v>170</v>
      </c>
      <c r="Q380" s="14">
        <v>35.5334</v>
      </c>
      <c r="R380" s="13">
        <f>MAX(MAX(1.4/[1]Parametros!$B$3,0.25*SQRT([1]Parametros!$B$2)/[1]Parametros!$B$3)*H380*U380,(0.85*[1]Parametros!$B$2/[1]Parametros!$B$3)*(1-SQRT(1-2*(J380*1000000/([1]Parametros!$B$5*H380*U380^2))/(0.85*[1]Parametros!$B$2)))*H380*U380)</f>
        <v>815.58333333333326</v>
      </c>
      <c r="S380" s="14">
        <v>5</v>
      </c>
      <c r="T380" s="14">
        <v>1</v>
      </c>
      <c r="U380" s="13">
        <f>IF(T380=1,I380-([1]Parametros!$B$7+[1]Parametros!$B$9+[1]Parametros!$B$12/2),I380-(ROUNDUP(S380/2,0)*([1]Parametros!$B$7+[1]Parametros!$B$9+[1]Parametros!$B$12/2)+ROUNDDOWN(S380/2,0)*([1]Parametros!$B$7+[1]Parametros!$B$9+[1]Parametros!$B$12/2+[1]Parametros!$B$12+[1]Parametros!$B$10))/S380)</f>
        <v>489.35</v>
      </c>
      <c r="V380" s="13">
        <f>S380*[1]Parametros!$B$8</f>
        <v>995</v>
      </c>
      <c r="W380" s="13">
        <f>[1]Parametros!$B$5*V380*[1]Parametros!$B$3*(U380-(V380*[1]Parametros!$B$3/(0.85*[1]Parametros!$B$2*H380))/2)/1000000</f>
        <v>177.44537938235294</v>
      </c>
      <c r="X380" s="13" t="str">
        <f t="shared" si="65"/>
        <v>CUMPLE</v>
      </c>
      <c r="Y380" s="13">
        <f>MAX(MAX(1.4/[1]Parametros!$B$3,0.25*SQRT([1]Parametros!$B$2)/[1]Parametros!$B$3)*H380*AB380,(0.85*[1]Parametros!$B$2/[1]Parametros!$B$3)*(1-SQRT(1-2*(L380*1000000/([1]Parametros!$B$5*H380*AB380^2))/(0.85*[1]Parametros!$B$2)))*H380*AB380)</f>
        <v>815.58333333333326</v>
      </c>
      <c r="Z380" s="14">
        <v>5</v>
      </c>
      <c r="AA380" s="14">
        <v>1</v>
      </c>
      <c r="AB380" s="13">
        <f>IF(AA380=1,I380-([1]Parametros!$B$7+[1]Parametros!$B$9+[1]Parametros!$B$12/2),I380-(ROUNDUP(Z380/2,0)*([1]Parametros!$B$7+[1]Parametros!$B$9+[1]Parametros!$B$12/2)+ROUNDDOWN(Z380/2,0)*([1]Parametros!$B$7+[1]Parametros!$B$9+[1]Parametros!$B$12/2+[1]Parametros!$B$12+[1]Parametros!$B$10))/Z380)</f>
        <v>489.35</v>
      </c>
      <c r="AC380" s="13">
        <f>Z380*[1]Parametros!$B$8</f>
        <v>995</v>
      </c>
      <c r="AD380" s="13">
        <f>[1]Parametros!$B$5*AC380*[1]Parametros!$B$3*(AB380-(AC380*[1]Parametros!$B$3/(0.85*[1]Parametros!$B$2*H380))/2)/1000000</f>
        <v>177.44537938235294</v>
      </c>
      <c r="AE380" s="13" t="str">
        <f t="shared" si="66"/>
        <v>CUMPLE</v>
      </c>
      <c r="AF380" s="13">
        <f>V380*1.25*[1]Parametros!$B$3*(U380-(V380*1.25*[1]Parametros!$B$3/(0.85*[1]Parametros!$B$2*H380))/2)/1000000</f>
        <v>244.15884319852941</v>
      </c>
      <c r="AG380" s="13">
        <f>AC380*1.25*[1]Parametros!$B$3*(AB380-(AC380*1.25*[1]Parametros!$B$3/(0.85*[1]Parametros!$B$2*H380))/2)/1000000</f>
        <v>244.15884319852941</v>
      </c>
      <c r="AH380" s="13">
        <f t="shared" si="67"/>
        <v>592.85720710784312</v>
      </c>
      <c r="AI380" s="13">
        <f t="shared" si="68"/>
        <v>592.85720710784312</v>
      </c>
      <c r="AJ380" s="13">
        <f>0.17*SQRT([1]Parametros!$B$2)*H380*MIN(U380,AB380)/1000</f>
        <v>220.09872869180776</v>
      </c>
      <c r="AK380" s="13">
        <f>MAX(AI380/[1]Parametros!$B$6-AJ380,0)</f>
        <v>570.37754745198311</v>
      </c>
      <c r="AL380" s="13">
        <f>0.66*SQRT([1]Parametros!$B$2)*H380*MIN(U380,AB380)/1000</f>
        <v>854.500946685842</v>
      </c>
      <c r="AM380" s="13" t="str">
        <f t="shared" si="69"/>
        <v>CUMPLE</v>
      </c>
      <c r="AN380" s="13" t="s">
        <v>64</v>
      </c>
      <c r="AO380" s="14">
        <v>4</v>
      </c>
      <c r="AP380" s="13">
        <f>ROUNDDOWN(MIN(IF(BC380+BD380=0,1000000000,AO380*BB380/(BC380+BD380)),MIN(U380,AB380)/4,8*[1]Parametros!$B$12,24*BA380,300,IF(AV380=0,1000000000,2*((H380-2*([1]Parametros!$B$7+[1]Parametros!$B$9/2))+(I380-2*([1]Parametros!$B$7+[1]Parametros!$B$9/2)))/8))/10,0)*10</f>
        <v>80</v>
      </c>
      <c r="AQ380" s="13">
        <f>ROUNDDOWN(MIN(IF(BC380+BD380=0,1000000000,AO380*BB380/(BC380+BD380)),IF(AK380&gt;0.33*SQRT([1]Parametros!$B$2)*H380*MIN(U380,AB380)/1000,MIN(U380,AB380)/4,MIN(U380,AB380)/2),600,IF(AV380=0,1000000000,2*((H380-2*([1]Parametros!$B$7+[1]Parametros!$B$9/2))+(I380-2*([1]Parametros!$B$7+[1]Parametros!$B$9/2)))/8))/10,0)*10</f>
        <v>80</v>
      </c>
      <c r="AR380" s="13">
        <f>[1]Parametros!$B$6*(AJ380+MAX(BE380-BD380,0)*[1]Parametros!$B$4*MIN(U380,AB380)/1000)</f>
        <v>602.45947243471642</v>
      </c>
      <c r="AS380" s="13" t="str">
        <f t="shared" si="70"/>
        <v>CUMPLE</v>
      </c>
      <c r="AT380" s="13">
        <f>[1]Parametros!$B$6*0.083*SQRT([1]Parametros!$B$2)*(H380*I380)^2/(2*(H380+I380))/1000000</f>
        <v>11.862178757598967</v>
      </c>
      <c r="AU380" s="13" t="str">
        <f t="shared" si="71"/>
        <v>DISEÑAR</v>
      </c>
      <c r="AV380" s="13">
        <f>IF(Q380&lt;=AT380,0,Q380*1000000/([1]Parametros!$B$6*2*0.85*(H380-2*([1]Parametros!$B$7+[1]Parametros!$B$9/2))*(I380-2*([1]Parametros!$B$7+[1]Parametros!$B$9/2))*[1]Parametros!$B$4))</f>
        <v>0.35625558226458298</v>
      </c>
      <c r="AW380" s="13">
        <f>AV380*2*((H380-2*([1]Parametros!$B$7+[1]Parametros!$B$9/2))+(I380-2*([1]Parametros!$B$7+[1]Parametros!$B$9/2)))*[1]Parametros!$B$4/[1]Parametros!$B$3</f>
        <v>616.03715285191686</v>
      </c>
      <c r="AX380" s="14">
        <v>8</v>
      </c>
      <c r="AY380" s="13" t="str">
        <f t="shared" si="72"/>
        <v>CUMPLE</v>
      </c>
      <c r="AZ380" s="13" t="str">
        <f t="shared" si="73"/>
        <v>CUMPLE</v>
      </c>
      <c r="BA380" s="14">
        <v>9.5</v>
      </c>
      <c r="BB380" s="14">
        <v>71</v>
      </c>
      <c r="BC380" s="13">
        <f>MAX(IF(AK380=0,0,AK380*1000/([1]Parametros!$B$4*MIN(U380,AB380))),MAX(0.062*SQRT([1]Parametros!$B$2)*H380/[1]Parametros!$B$4,0.35*H380/[1]Parametros!$B$4))</f>
        <v>2.7751952174263388</v>
      </c>
      <c r="BD380" s="13">
        <f t="shared" si="74"/>
        <v>0.71251116452916596</v>
      </c>
      <c r="BE380" s="13">
        <f t="shared" si="75"/>
        <v>3.55</v>
      </c>
      <c r="BF380" s="13">
        <f>SQRT((AI380*1000/(H380*MIN(U380,AB380)))^2+(Q380*1000000*2*((H380-2*([1]Parametros!$B$7+[1]Parametros!$B$9/2))+(I380-2*([1]Parametros!$B$7+[1]Parametros!$B$9/2)))/(1.7*((H380-2*([1]Parametros!$B$7+[1]Parametros!$B$9/2))*(I380-2*([1]Parametros!$B$7+[1]Parametros!$B$9/2)))^2))^2)</f>
        <v>2.6375282837243681</v>
      </c>
      <c r="BG380" s="13">
        <f>[1]Parametros!$B$6*(AJ380*1000/(H380*MIN(U380,AB380))+0.66*SQRT([1]Parametros!$B$2))</f>
        <v>3.2939603822754151</v>
      </c>
      <c r="BH380" s="13" t="str">
        <f t="shared" si="76"/>
        <v>CUMPLE</v>
      </c>
      <c r="BI380" s="13">
        <f>AX380*[1]Parametros!$B$8</f>
        <v>1592</v>
      </c>
      <c r="BJ380" s="15" t="str">
        <f t="shared" si="77"/>
        <v>CUMPLE</v>
      </c>
    </row>
    <row r="381" spans="1:62" x14ac:dyDescent="0.3">
      <c r="A381" s="33" t="s">
        <v>76</v>
      </c>
      <c r="B381" s="34">
        <v>172</v>
      </c>
      <c r="C381" s="13">
        <v>1</v>
      </c>
      <c r="D381" s="13">
        <v>0.9</v>
      </c>
      <c r="E381" s="13">
        <v>0.9</v>
      </c>
      <c r="F381" s="13">
        <v>500</v>
      </c>
      <c r="G381" s="13">
        <v>550</v>
      </c>
      <c r="H381" s="13">
        <v>500</v>
      </c>
      <c r="I381" s="13">
        <v>550</v>
      </c>
      <c r="J381" s="14">
        <v>69.433000000000007</v>
      </c>
      <c r="K381" s="13">
        <v>172</v>
      </c>
      <c r="L381" s="14">
        <v>0</v>
      </c>
      <c r="M381" s="13">
        <v>172</v>
      </c>
      <c r="N381" s="14">
        <v>50.286000000000001</v>
      </c>
      <c r="O381" s="14">
        <v>57.249000000000002</v>
      </c>
      <c r="P381" s="13">
        <v>172</v>
      </c>
      <c r="Q381" s="14">
        <v>35.538800000000002</v>
      </c>
      <c r="R381" s="13">
        <f>MAX(MAX(1.4/[1]Parametros!$B$3,0.25*SQRT([1]Parametros!$B$2)/[1]Parametros!$B$3)*H381*U381,(0.85*[1]Parametros!$B$2/[1]Parametros!$B$3)*(1-SQRT(1-2*(J381*1000000/([1]Parametros!$B$5*H381*U381^2))/(0.85*[1]Parametros!$B$2)))*H381*U381)</f>
        <v>815.58333333333326</v>
      </c>
      <c r="S381" s="14">
        <v>5</v>
      </c>
      <c r="T381" s="14">
        <v>1</v>
      </c>
      <c r="U381" s="13">
        <f>IF(T381=1,I381-([1]Parametros!$B$7+[1]Parametros!$B$9+[1]Parametros!$B$12/2),I381-(ROUNDUP(S381/2,0)*([1]Parametros!$B$7+[1]Parametros!$B$9+[1]Parametros!$B$12/2)+ROUNDDOWN(S381/2,0)*([1]Parametros!$B$7+[1]Parametros!$B$9+[1]Parametros!$B$12/2+[1]Parametros!$B$12+[1]Parametros!$B$10))/S381)</f>
        <v>489.35</v>
      </c>
      <c r="V381" s="13">
        <f>S381*[1]Parametros!$B$8</f>
        <v>995</v>
      </c>
      <c r="W381" s="13">
        <f>[1]Parametros!$B$5*V381*[1]Parametros!$B$3*(U381-(V381*[1]Parametros!$B$3/(0.85*[1]Parametros!$B$2*H381))/2)/1000000</f>
        <v>177.44537938235294</v>
      </c>
      <c r="X381" s="13" t="str">
        <f t="shared" si="65"/>
        <v>CUMPLE</v>
      </c>
      <c r="Y381" s="13">
        <f>MAX(MAX(1.4/[1]Parametros!$B$3,0.25*SQRT([1]Parametros!$B$2)/[1]Parametros!$B$3)*H381*AB381,(0.85*[1]Parametros!$B$2/[1]Parametros!$B$3)*(1-SQRT(1-2*(L381*1000000/([1]Parametros!$B$5*H381*AB381^2))/(0.85*[1]Parametros!$B$2)))*H381*AB381)</f>
        <v>815.58333333333326</v>
      </c>
      <c r="Z381" s="14">
        <v>5</v>
      </c>
      <c r="AA381" s="14">
        <v>1</v>
      </c>
      <c r="AB381" s="13">
        <f>IF(AA381=1,I381-([1]Parametros!$B$7+[1]Parametros!$B$9+[1]Parametros!$B$12/2),I381-(ROUNDUP(Z381/2,0)*([1]Parametros!$B$7+[1]Parametros!$B$9+[1]Parametros!$B$12/2)+ROUNDDOWN(Z381/2,0)*([1]Parametros!$B$7+[1]Parametros!$B$9+[1]Parametros!$B$12/2+[1]Parametros!$B$12+[1]Parametros!$B$10))/Z381)</f>
        <v>489.35</v>
      </c>
      <c r="AC381" s="13">
        <f>Z381*[1]Parametros!$B$8</f>
        <v>995</v>
      </c>
      <c r="AD381" s="13">
        <f>[1]Parametros!$B$5*AC381*[1]Parametros!$B$3*(AB381-(AC381*[1]Parametros!$B$3/(0.85*[1]Parametros!$B$2*H381))/2)/1000000</f>
        <v>177.44537938235294</v>
      </c>
      <c r="AE381" s="13" t="str">
        <f t="shared" si="66"/>
        <v>CUMPLE</v>
      </c>
      <c r="AF381" s="13">
        <f>V381*1.25*[1]Parametros!$B$3*(U381-(V381*1.25*[1]Parametros!$B$3/(0.85*[1]Parametros!$B$2*H381))/2)/1000000</f>
        <v>244.15884319852941</v>
      </c>
      <c r="AG381" s="13">
        <f>AC381*1.25*[1]Parametros!$B$3*(AB381-(AC381*1.25*[1]Parametros!$B$3/(0.85*[1]Parametros!$B$2*H381))/2)/1000000</f>
        <v>244.15884319852941</v>
      </c>
      <c r="AH381" s="13">
        <f t="shared" si="67"/>
        <v>592.86120710784303</v>
      </c>
      <c r="AI381" s="13">
        <f t="shared" si="68"/>
        <v>592.86120710784303</v>
      </c>
      <c r="AJ381" s="13">
        <f>0.17*SQRT([1]Parametros!$B$2)*H381*MIN(U381,AB381)/1000</f>
        <v>220.09872869180776</v>
      </c>
      <c r="AK381" s="13">
        <f>MAX(AI381/[1]Parametros!$B$6-AJ381,0)</f>
        <v>570.38288078531627</v>
      </c>
      <c r="AL381" s="13">
        <f>0.66*SQRT([1]Parametros!$B$2)*H381*MIN(U381,AB381)/1000</f>
        <v>854.500946685842</v>
      </c>
      <c r="AM381" s="13" t="str">
        <f t="shared" si="69"/>
        <v>CUMPLE</v>
      </c>
      <c r="AN381" s="13" t="s">
        <v>64</v>
      </c>
      <c r="AO381" s="14">
        <v>4</v>
      </c>
      <c r="AP381" s="13">
        <f>ROUNDDOWN(MIN(IF(BC381+BD381=0,1000000000,AO381*BB381/(BC381+BD381)),MIN(U381,AB381)/4,8*[1]Parametros!$B$12,24*BA381,300,IF(AV381=0,1000000000,2*((H381-2*([1]Parametros!$B$7+[1]Parametros!$B$9/2))+(I381-2*([1]Parametros!$B$7+[1]Parametros!$B$9/2)))/8))/10,0)*10</f>
        <v>80</v>
      </c>
      <c r="AQ381" s="13">
        <f>ROUNDDOWN(MIN(IF(BC381+BD381=0,1000000000,AO381*BB381/(BC381+BD381)),IF(AK381&gt;0.33*SQRT([1]Parametros!$B$2)*H381*MIN(U381,AB381)/1000,MIN(U381,AB381)/4,MIN(U381,AB381)/2),600,IF(AV381=0,1000000000,2*((H381-2*([1]Parametros!$B$7+[1]Parametros!$B$9/2))+(I381-2*([1]Parametros!$B$7+[1]Parametros!$B$9/2)))/8))/10,0)*10</f>
        <v>80</v>
      </c>
      <c r="AR381" s="13">
        <f>[1]Parametros!$B$6*(AJ381+MAX(BE381-BD381,0)*[1]Parametros!$B$4*MIN(U381,AB381)/1000)</f>
        <v>602.4427815708375</v>
      </c>
      <c r="AS381" s="13" t="str">
        <f t="shared" si="70"/>
        <v>CUMPLE</v>
      </c>
      <c r="AT381" s="13">
        <f>[1]Parametros!$B$6*0.083*SQRT([1]Parametros!$B$2)*(H381*I381)^2/(2*(H381+I381))/1000000</f>
        <v>11.862178757598967</v>
      </c>
      <c r="AU381" s="13" t="str">
        <f t="shared" si="71"/>
        <v>DISEÑAR</v>
      </c>
      <c r="AV381" s="13">
        <f>IF(Q381&lt;=AT381,0,Q381*1000000/([1]Parametros!$B$6*2*0.85*(H381-2*([1]Parametros!$B$7+[1]Parametros!$B$9/2))*(I381-2*([1]Parametros!$B$7+[1]Parametros!$B$9/2))*[1]Parametros!$B$4))</f>
        <v>0.35630972231715968</v>
      </c>
      <c r="AW381" s="13">
        <f>AV381*2*((H381-2*([1]Parametros!$B$7+[1]Parametros!$B$9/2))+(I381-2*([1]Parametros!$B$7+[1]Parametros!$B$9/2)))*[1]Parametros!$B$4/[1]Parametros!$B$3</f>
        <v>616.13077183083249</v>
      </c>
      <c r="AX381" s="14">
        <v>8</v>
      </c>
      <c r="AY381" s="13" t="str">
        <f t="shared" si="72"/>
        <v>CUMPLE</v>
      </c>
      <c r="AZ381" s="13" t="str">
        <f t="shared" si="73"/>
        <v>CUMPLE</v>
      </c>
      <c r="BA381" s="14">
        <v>9.5</v>
      </c>
      <c r="BB381" s="14">
        <v>71</v>
      </c>
      <c r="BC381" s="13">
        <f>MAX(IF(AK381=0,0,AK381*1000/([1]Parametros!$B$4*MIN(U381,AB381))),MAX(0.062*SQRT([1]Parametros!$B$2)*H381/[1]Parametros!$B$4,0.35*H381/[1]Parametros!$B$4))</f>
        <v>2.7752211669771669</v>
      </c>
      <c r="BD381" s="13">
        <f t="shared" si="74"/>
        <v>0.71261944463431937</v>
      </c>
      <c r="BE381" s="13">
        <f t="shared" si="75"/>
        <v>3.55</v>
      </c>
      <c r="BF381" s="13">
        <f>SQRT((AI381*1000/(H381*MIN(U381,AB381)))^2+(Q381*1000000*2*((H381-2*([1]Parametros!$B$7+[1]Parametros!$B$9/2))+(I381-2*([1]Parametros!$B$7+[1]Parametros!$B$9/2)))/(1.7*((H381-2*([1]Parametros!$B$7+[1]Parametros!$B$9/2))*(I381-2*([1]Parametros!$B$7+[1]Parametros!$B$9/2)))^2))^2)</f>
        <v>2.6376058469552763</v>
      </c>
      <c r="BG381" s="13">
        <f>[1]Parametros!$B$6*(AJ381*1000/(H381*MIN(U381,AB381))+0.66*SQRT([1]Parametros!$B$2))</f>
        <v>3.2939603822754151</v>
      </c>
      <c r="BH381" s="13" t="str">
        <f t="shared" si="76"/>
        <v>CUMPLE</v>
      </c>
      <c r="BI381" s="13">
        <f>AX381*[1]Parametros!$B$8</f>
        <v>1592</v>
      </c>
      <c r="BJ381" s="15" t="str">
        <f t="shared" si="77"/>
        <v>CUMPLE</v>
      </c>
    </row>
    <row r="382" spans="1:62" x14ac:dyDescent="0.3">
      <c r="A382" s="33" t="s">
        <v>76</v>
      </c>
      <c r="B382" s="34">
        <v>175</v>
      </c>
      <c r="C382" s="13">
        <v>1</v>
      </c>
      <c r="D382" s="13">
        <v>0.9</v>
      </c>
      <c r="E382" s="13">
        <v>0.9</v>
      </c>
      <c r="F382" s="13">
        <v>500</v>
      </c>
      <c r="G382" s="13">
        <v>550</v>
      </c>
      <c r="H382" s="13">
        <v>500</v>
      </c>
      <c r="I382" s="13">
        <v>550</v>
      </c>
      <c r="J382" s="14">
        <v>71.318200000000004</v>
      </c>
      <c r="K382" s="13">
        <v>175</v>
      </c>
      <c r="L382" s="14">
        <v>0.2727</v>
      </c>
      <c r="M382" s="13">
        <v>175</v>
      </c>
      <c r="N382" s="14">
        <v>53.097999999999999</v>
      </c>
      <c r="O382" s="14">
        <v>99.234999999999999</v>
      </c>
      <c r="P382" s="13">
        <v>175</v>
      </c>
      <c r="Q382" s="14">
        <v>137.58879999999999</v>
      </c>
      <c r="R382" s="13">
        <f>MAX(MAX(1.4/[1]Parametros!$B$3,0.25*SQRT([1]Parametros!$B$2)/[1]Parametros!$B$3)*H382*U382,(0.85*[1]Parametros!$B$2/[1]Parametros!$B$3)*(1-SQRT(1-2*(J382*1000000/([1]Parametros!$B$5*H382*U382^2))/(0.85*[1]Parametros!$B$2)))*H382*U382)</f>
        <v>815.58333333333326</v>
      </c>
      <c r="S382" s="14">
        <v>5</v>
      </c>
      <c r="T382" s="14">
        <v>1</v>
      </c>
      <c r="U382" s="13">
        <f>IF(T382=1,I382-([1]Parametros!$B$7+[1]Parametros!$B$9+[1]Parametros!$B$12/2),I382-(ROUNDUP(S382/2,0)*([1]Parametros!$B$7+[1]Parametros!$B$9+[1]Parametros!$B$12/2)+ROUNDDOWN(S382/2,0)*([1]Parametros!$B$7+[1]Parametros!$B$9+[1]Parametros!$B$12/2+[1]Parametros!$B$12+[1]Parametros!$B$10))/S382)</f>
        <v>489.35</v>
      </c>
      <c r="V382" s="13">
        <f>S382*[1]Parametros!$B$8</f>
        <v>995</v>
      </c>
      <c r="W382" s="13">
        <f>[1]Parametros!$B$5*V382*[1]Parametros!$B$3*(U382-(V382*[1]Parametros!$B$3/(0.85*[1]Parametros!$B$2*H382))/2)/1000000</f>
        <v>177.44537938235294</v>
      </c>
      <c r="X382" s="13" t="str">
        <f t="shared" si="65"/>
        <v>CUMPLE</v>
      </c>
      <c r="Y382" s="13">
        <f>MAX(MAX(1.4/[1]Parametros!$B$3,0.25*SQRT([1]Parametros!$B$2)/[1]Parametros!$B$3)*H382*AB382,(0.85*[1]Parametros!$B$2/[1]Parametros!$B$3)*(1-SQRT(1-2*(L382*1000000/([1]Parametros!$B$5*H382*AB382^2))/(0.85*[1]Parametros!$B$2)))*H382*AB382)</f>
        <v>815.58333333333326</v>
      </c>
      <c r="Z382" s="14">
        <v>5</v>
      </c>
      <c r="AA382" s="14">
        <v>1</v>
      </c>
      <c r="AB382" s="13">
        <f>IF(AA382=1,I382-([1]Parametros!$B$7+[1]Parametros!$B$9+[1]Parametros!$B$12/2),I382-(ROUNDUP(Z382/2,0)*([1]Parametros!$B$7+[1]Parametros!$B$9+[1]Parametros!$B$12/2)+ROUNDDOWN(Z382/2,0)*([1]Parametros!$B$7+[1]Parametros!$B$9+[1]Parametros!$B$12/2+[1]Parametros!$B$12+[1]Parametros!$B$10))/Z382)</f>
        <v>489.35</v>
      </c>
      <c r="AC382" s="13">
        <f>Z382*[1]Parametros!$B$8</f>
        <v>995</v>
      </c>
      <c r="AD382" s="13">
        <f>[1]Parametros!$B$5*AC382*[1]Parametros!$B$3*(AB382-(AC382*[1]Parametros!$B$3/(0.85*[1]Parametros!$B$2*H382))/2)/1000000</f>
        <v>177.44537938235294</v>
      </c>
      <c r="AE382" s="13" t="str">
        <f t="shared" si="66"/>
        <v>CUMPLE</v>
      </c>
      <c r="AF382" s="13">
        <f>V382*1.25*[1]Parametros!$B$3*(U382-(V382*1.25*[1]Parametros!$B$3/(0.85*[1]Parametros!$B$2*H382))/2)/1000000</f>
        <v>244.15884319852941</v>
      </c>
      <c r="AG382" s="13">
        <f>AC382*1.25*[1]Parametros!$B$3*(AB382-(AC382*1.25*[1]Parametros!$B$3/(0.85*[1]Parametros!$B$2*H382))/2)/1000000</f>
        <v>244.15884319852941</v>
      </c>
      <c r="AH382" s="13">
        <f t="shared" si="67"/>
        <v>595.67320710784304</v>
      </c>
      <c r="AI382" s="13">
        <f t="shared" si="68"/>
        <v>595.67320710784304</v>
      </c>
      <c r="AJ382" s="13">
        <f>0.17*SQRT([1]Parametros!$B$2)*H382*MIN(U382,AB382)/1000</f>
        <v>220.09872869180776</v>
      </c>
      <c r="AK382" s="13">
        <f>MAX(AI382/[1]Parametros!$B$6-AJ382,0)</f>
        <v>574.13221411864959</v>
      </c>
      <c r="AL382" s="13">
        <f>0.66*SQRT([1]Parametros!$B$2)*H382*MIN(U382,AB382)/1000</f>
        <v>854.500946685842</v>
      </c>
      <c r="AM382" s="13" t="str">
        <f t="shared" si="69"/>
        <v>CUMPLE</v>
      </c>
      <c r="AN382" s="13" t="s">
        <v>68</v>
      </c>
      <c r="AO382" s="14">
        <v>4</v>
      </c>
      <c r="AP382" s="13">
        <f>ROUNDDOWN(MIN(IF(BC382+BD382=0,1000000000,AO382*BB382/(BC382+BD382)),MIN(U382,AB382)/4,8*[1]Parametros!$B$12,24*BA382,300,IF(AV382=0,1000000000,2*((H382-2*([1]Parametros!$B$7+[1]Parametros!$B$9/2))+(I382-2*([1]Parametros!$B$7+[1]Parametros!$B$9/2)))/8))/10,0)*10</f>
        <v>90</v>
      </c>
      <c r="AQ382" s="13">
        <f>ROUNDDOWN(MIN(IF(BC382+BD382=0,1000000000,AO382*BB382/(BC382+BD382)),IF(AK382&gt;0.33*SQRT([1]Parametros!$B$2)*H382*MIN(U382,AB382)/1000,MIN(U382,AB382)/4,MIN(U382,AB382)/2),600,IF(AV382=0,1000000000,2*((H382-2*([1]Parametros!$B$7+[1]Parametros!$B$9/2))+(I382-2*([1]Parametros!$B$7+[1]Parametros!$B$9/2)))/8))/10,0)*10</f>
        <v>90</v>
      </c>
      <c r="AR382" s="13">
        <f>[1]Parametros!$B$6*(AJ382+MAX(BE382-BD382,0)*[1]Parametros!$B$4*MIN(U382,AB382)/1000)</f>
        <v>623.56682576689184</v>
      </c>
      <c r="AS382" s="13" t="str">
        <f t="shared" si="70"/>
        <v>CUMPLE</v>
      </c>
      <c r="AT382" s="13">
        <f>[1]Parametros!$B$6*0.083*SQRT([1]Parametros!$B$2)*(H382*I382)^2/(2*(H382+I382))/1000000</f>
        <v>11.862178757598967</v>
      </c>
      <c r="AU382" s="13" t="str">
        <f t="shared" si="71"/>
        <v>DISEÑAR</v>
      </c>
      <c r="AV382" s="13">
        <f>IF(Q382&lt;=AT382,0,Q382*1000000/([1]Parametros!$B$6*2*0.85*(H382-2*([1]Parametros!$B$7+[1]Parametros!$B$9/2))*(I382-2*([1]Parametros!$B$7+[1]Parametros!$B$9/2))*[1]Parametros!$B$4))</f>
        <v>1.3794564566600791</v>
      </c>
      <c r="AW382" s="13">
        <f>AV382*2*((H382-2*([1]Parametros!$B$7+[1]Parametros!$B$9/2))+(I382-2*([1]Parametros!$B$7+[1]Parametros!$B$9/2)))*[1]Parametros!$B$4/[1]Parametros!$B$3</f>
        <v>2385.3561048566089</v>
      </c>
      <c r="AX382" s="14">
        <v>12</v>
      </c>
      <c r="AY382" s="13" t="str">
        <f t="shared" si="72"/>
        <v>NO CUMPLE</v>
      </c>
      <c r="AZ382" s="13" t="str">
        <f t="shared" si="73"/>
        <v>NO CUMPLE</v>
      </c>
      <c r="BA382" s="14">
        <v>12.7</v>
      </c>
      <c r="BB382" s="14">
        <v>129</v>
      </c>
      <c r="BC382" s="13">
        <f>MAX(IF(AK382=0,0,AK382*1000/([1]Parametros!$B$4*MIN(U382,AB382))),MAX(0.062*SQRT([1]Parametros!$B$2)*H382/[1]Parametros!$B$4,0.35*H382/[1]Parametros!$B$4))</f>
        <v>2.7934637012103014</v>
      </c>
      <c r="BD382" s="13">
        <f t="shared" si="74"/>
        <v>2.7589129133201582</v>
      </c>
      <c r="BE382" s="13">
        <f t="shared" si="75"/>
        <v>5.7333333333333334</v>
      </c>
      <c r="BF382" s="13">
        <f>SQRT((AI382*1000/(H382*MIN(U382,AB382)))^2+(Q382*1000000*2*((H382-2*([1]Parametros!$B$7+[1]Parametros!$B$9/2))+(I382-2*([1]Parametros!$B$7+[1]Parametros!$B$9/2)))/(1.7*((H382-2*([1]Parametros!$B$7+[1]Parametros!$B$9/2))*(I382-2*([1]Parametros!$B$7+[1]Parametros!$B$9/2)))^2))^2)</f>
        <v>4.7118046561190381</v>
      </c>
      <c r="BG382" s="13">
        <f>[1]Parametros!$B$6*(AJ382*1000/(H382*MIN(U382,AB382))+0.66*SQRT([1]Parametros!$B$2))</f>
        <v>3.2939603822754151</v>
      </c>
      <c r="BH382" s="13" t="str">
        <f t="shared" si="76"/>
        <v>NO CUMPLE</v>
      </c>
      <c r="BI382" s="13">
        <f>AX382*[1]Parametros!$B$8</f>
        <v>2388</v>
      </c>
      <c r="BJ382" s="15" t="str">
        <f t="shared" si="77"/>
        <v>CUMPLE</v>
      </c>
    </row>
    <row r="383" spans="1:62" x14ac:dyDescent="0.3">
      <c r="A383" s="33" t="s">
        <v>76</v>
      </c>
      <c r="B383" s="34">
        <v>177</v>
      </c>
      <c r="C383" s="13">
        <v>1</v>
      </c>
      <c r="D383" s="13">
        <v>0.9</v>
      </c>
      <c r="E383" s="13">
        <v>0.9</v>
      </c>
      <c r="F383" s="13">
        <v>500</v>
      </c>
      <c r="G383" s="13">
        <v>550</v>
      </c>
      <c r="H383" s="13">
        <v>500</v>
      </c>
      <c r="I383" s="13">
        <v>550</v>
      </c>
      <c r="J383" s="14">
        <v>71.3142</v>
      </c>
      <c r="K383" s="13">
        <v>177</v>
      </c>
      <c r="L383" s="14">
        <v>0.27279999999999999</v>
      </c>
      <c r="M383" s="13">
        <v>177</v>
      </c>
      <c r="N383" s="14">
        <v>53.095999999999997</v>
      </c>
      <c r="O383" s="14">
        <v>99.233000000000004</v>
      </c>
      <c r="P383" s="13">
        <v>177</v>
      </c>
      <c r="Q383" s="14">
        <v>137.58320000000001</v>
      </c>
      <c r="R383" s="13">
        <f>MAX(MAX(1.4/[1]Parametros!$B$3,0.25*SQRT([1]Parametros!$B$2)/[1]Parametros!$B$3)*H383*U383,(0.85*[1]Parametros!$B$2/[1]Parametros!$B$3)*(1-SQRT(1-2*(J383*1000000/([1]Parametros!$B$5*H383*U383^2))/(0.85*[1]Parametros!$B$2)))*H383*U383)</f>
        <v>815.58333333333326</v>
      </c>
      <c r="S383" s="14">
        <v>5</v>
      </c>
      <c r="T383" s="14">
        <v>1</v>
      </c>
      <c r="U383" s="13">
        <f>IF(T383=1,I383-([1]Parametros!$B$7+[1]Parametros!$B$9+[1]Parametros!$B$12/2),I383-(ROUNDUP(S383/2,0)*([1]Parametros!$B$7+[1]Parametros!$B$9+[1]Parametros!$B$12/2)+ROUNDDOWN(S383/2,0)*([1]Parametros!$B$7+[1]Parametros!$B$9+[1]Parametros!$B$12/2+[1]Parametros!$B$12+[1]Parametros!$B$10))/S383)</f>
        <v>489.35</v>
      </c>
      <c r="V383" s="13">
        <f>S383*[1]Parametros!$B$8</f>
        <v>995</v>
      </c>
      <c r="W383" s="13">
        <f>[1]Parametros!$B$5*V383*[1]Parametros!$B$3*(U383-(V383*[1]Parametros!$B$3/(0.85*[1]Parametros!$B$2*H383))/2)/1000000</f>
        <v>177.44537938235294</v>
      </c>
      <c r="X383" s="13" t="str">
        <f t="shared" si="65"/>
        <v>CUMPLE</v>
      </c>
      <c r="Y383" s="13">
        <f>MAX(MAX(1.4/[1]Parametros!$B$3,0.25*SQRT([1]Parametros!$B$2)/[1]Parametros!$B$3)*H383*AB383,(0.85*[1]Parametros!$B$2/[1]Parametros!$B$3)*(1-SQRT(1-2*(L383*1000000/([1]Parametros!$B$5*H383*AB383^2))/(0.85*[1]Parametros!$B$2)))*H383*AB383)</f>
        <v>815.58333333333326</v>
      </c>
      <c r="Z383" s="14">
        <v>5</v>
      </c>
      <c r="AA383" s="14">
        <v>1</v>
      </c>
      <c r="AB383" s="13">
        <f>IF(AA383=1,I383-([1]Parametros!$B$7+[1]Parametros!$B$9+[1]Parametros!$B$12/2),I383-(ROUNDUP(Z383/2,0)*([1]Parametros!$B$7+[1]Parametros!$B$9+[1]Parametros!$B$12/2)+ROUNDDOWN(Z383/2,0)*([1]Parametros!$B$7+[1]Parametros!$B$9+[1]Parametros!$B$12/2+[1]Parametros!$B$12+[1]Parametros!$B$10))/Z383)</f>
        <v>489.35</v>
      </c>
      <c r="AC383" s="13">
        <f>Z383*[1]Parametros!$B$8</f>
        <v>995</v>
      </c>
      <c r="AD383" s="13">
        <f>[1]Parametros!$B$5*AC383*[1]Parametros!$B$3*(AB383-(AC383*[1]Parametros!$B$3/(0.85*[1]Parametros!$B$2*H383))/2)/1000000</f>
        <v>177.44537938235294</v>
      </c>
      <c r="AE383" s="13" t="str">
        <f t="shared" si="66"/>
        <v>CUMPLE</v>
      </c>
      <c r="AF383" s="13">
        <f>V383*1.25*[1]Parametros!$B$3*(U383-(V383*1.25*[1]Parametros!$B$3/(0.85*[1]Parametros!$B$2*H383))/2)/1000000</f>
        <v>244.15884319852941</v>
      </c>
      <c r="AG383" s="13">
        <f>AC383*1.25*[1]Parametros!$B$3*(AB383-(AC383*1.25*[1]Parametros!$B$3/(0.85*[1]Parametros!$B$2*H383))/2)/1000000</f>
        <v>244.15884319852941</v>
      </c>
      <c r="AH383" s="13">
        <f t="shared" si="67"/>
        <v>595.67120710784309</v>
      </c>
      <c r="AI383" s="13">
        <f t="shared" si="68"/>
        <v>595.67120710784309</v>
      </c>
      <c r="AJ383" s="13">
        <f>0.17*SQRT([1]Parametros!$B$2)*H383*MIN(U383,AB383)/1000</f>
        <v>220.09872869180776</v>
      </c>
      <c r="AK383" s="13">
        <f>MAX(AI383/[1]Parametros!$B$6-AJ383,0)</f>
        <v>574.12954745198306</v>
      </c>
      <c r="AL383" s="13">
        <f>0.66*SQRT([1]Parametros!$B$2)*H383*MIN(U383,AB383)/1000</f>
        <v>854.500946685842</v>
      </c>
      <c r="AM383" s="13" t="str">
        <f t="shared" si="69"/>
        <v>CUMPLE</v>
      </c>
      <c r="AN383" s="13" t="s">
        <v>68</v>
      </c>
      <c r="AO383" s="14">
        <v>4</v>
      </c>
      <c r="AP383" s="13">
        <f>ROUNDDOWN(MIN(IF(BC383+BD383=0,1000000000,AO383*BB383/(BC383+BD383)),MIN(U383,AB383)/4,8*[1]Parametros!$B$12,24*BA383,300,IF(AV383=0,1000000000,2*((H383-2*([1]Parametros!$B$7+[1]Parametros!$B$9/2))+(I383-2*([1]Parametros!$B$7+[1]Parametros!$B$9/2)))/8))/10,0)*10</f>
        <v>90</v>
      </c>
      <c r="AQ383" s="13">
        <f>ROUNDDOWN(MIN(IF(BC383+BD383=0,1000000000,AO383*BB383/(BC383+BD383)),IF(AK383&gt;0.33*SQRT([1]Parametros!$B$2)*H383*MIN(U383,AB383)/1000,MIN(U383,AB383)/4,MIN(U383,AB383)/2),600,IF(AV383=0,1000000000,2*((H383-2*([1]Parametros!$B$7+[1]Parametros!$B$9/2))+(I383-2*([1]Parametros!$B$7+[1]Parametros!$B$9/2)))/8))/10,0)*10</f>
        <v>90</v>
      </c>
      <c r="AR383" s="13">
        <f>[1]Parametros!$B$6*(AJ383+MAX(BE383-BD383,0)*[1]Parametros!$B$4*MIN(U383,AB383)/1000)</f>
        <v>623.58413481091429</v>
      </c>
      <c r="AS383" s="13" t="str">
        <f t="shared" si="70"/>
        <v>CUMPLE</v>
      </c>
      <c r="AT383" s="13">
        <f>[1]Parametros!$B$6*0.083*SQRT([1]Parametros!$B$2)*(H383*I383)^2/(2*(H383+I383))/1000000</f>
        <v>11.862178757598967</v>
      </c>
      <c r="AU383" s="13" t="str">
        <f t="shared" si="71"/>
        <v>DISEÑAR</v>
      </c>
      <c r="AV383" s="13">
        <f>IF(Q383&lt;=AT383,0,Q383*1000000/([1]Parametros!$B$6*2*0.85*(H383-2*([1]Parametros!$B$7+[1]Parametros!$B$9/2))*(I383-2*([1]Parametros!$B$7+[1]Parametros!$B$9/2))*[1]Parametros!$B$4))</f>
        <v>1.3794003114203699</v>
      </c>
      <c r="AW383" s="13">
        <f>AV383*2*((H383-2*([1]Parametros!$B$7+[1]Parametros!$B$9/2))+(I383-2*([1]Parametros!$B$7+[1]Parametros!$B$9/2)))*[1]Parametros!$B$4/[1]Parametros!$B$3</f>
        <v>2385.2590185081035</v>
      </c>
      <c r="AX383" s="14">
        <v>12</v>
      </c>
      <c r="AY383" s="13" t="str">
        <f t="shared" si="72"/>
        <v>NO CUMPLE</v>
      </c>
      <c r="AZ383" s="13" t="str">
        <f t="shared" si="73"/>
        <v>NO CUMPLE</v>
      </c>
      <c r="BA383" s="14">
        <v>12.7</v>
      </c>
      <c r="BB383" s="14">
        <v>129</v>
      </c>
      <c r="BC383" s="13">
        <f>MAX(IF(AK383=0,0,AK383*1000/([1]Parametros!$B$4*MIN(U383,AB383))),MAX(0.062*SQRT([1]Parametros!$B$2)*H383/[1]Parametros!$B$4,0.35*H383/[1]Parametros!$B$4))</f>
        <v>2.7934507264348873</v>
      </c>
      <c r="BD383" s="13">
        <f t="shared" si="74"/>
        <v>2.7588006228407398</v>
      </c>
      <c r="BE383" s="13">
        <f t="shared" si="75"/>
        <v>5.7333333333333334</v>
      </c>
      <c r="BF383" s="13">
        <f>SQRT((AI383*1000/(H383*MIN(U383,AB383)))^2+(Q383*1000000*2*((H383-2*([1]Parametros!$B$7+[1]Parametros!$B$9/2))+(I383-2*([1]Parametros!$B$7+[1]Parametros!$B$9/2)))/(1.7*((H383-2*([1]Parametros!$B$7+[1]Parametros!$B$9/2))*(I383-2*([1]Parametros!$B$7+[1]Parametros!$B$9/2)))^2))^2)</f>
        <v>4.7116598563591738</v>
      </c>
      <c r="BG383" s="13">
        <f>[1]Parametros!$B$6*(AJ383*1000/(H383*MIN(U383,AB383))+0.66*SQRT([1]Parametros!$B$2))</f>
        <v>3.2939603822754151</v>
      </c>
      <c r="BH383" s="13" t="str">
        <f t="shared" si="76"/>
        <v>NO CUMPLE</v>
      </c>
      <c r="BI383" s="13">
        <f>AX383*[1]Parametros!$B$8</f>
        <v>2388</v>
      </c>
      <c r="BJ383" s="15" t="str">
        <f t="shared" si="77"/>
        <v>CUMPLE</v>
      </c>
    </row>
    <row r="384" spans="1:62" x14ac:dyDescent="0.3">
      <c r="A384" s="33" t="s">
        <v>76</v>
      </c>
      <c r="B384" s="34">
        <v>180</v>
      </c>
      <c r="C384" s="13">
        <v>1</v>
      </c>
      <c r="D384" s="13">
        <v>0.9</v>
      </c>
      <c r="E384" s="13">
        <v>0.9</v>
      </c>
      <c r="F384" s="13">
        <v>500</v>
      </c>
      <c r="G384" s="13">
        <v>550</v>
      </c>
      <c r="H384" s="13">
        <v>500</v>
      </c>
      <c r="I384" s="13">
        <v>550</v>
      </c>
      <c r="J384" s="14">
        <v>68.534800000000004</v>
      </c>
      <c r="K384" s="13">
        <v>180</v>
      </c>
      <c r="L384" s="14">
        <v>0</v>
      </c>
      <c r="M384" s="13">
        <v>180</v>
      </c>
      <c r="N384" s="14">
        <v>51.146000000000001</v>
      </c>
      <c r="O384" s="14">
        <v>86.984999999999999</v>
      </c>
      <c r="P384" s="13">
        <v>180</v>
      </c>
      <c r="Q384" s="14">
        <v>109.5487</v>
      </c>
      <c r="R384" s="13">
        <f>MAX(MAX(1.4/[1]Parametros!$B$3,0.25*SQRT([1]Parametros!$B$2)/[1]Parametros!$B$3)*H384*U384,(0.85*[1]Parametros!$B$2/[1]Parametros!$B$3)*(1-SQRT(1-2*(J384*1000000/([1]Parametros!$B$5*H384*U384^2))/(0.85*[1]Parametros!$B$2)))*H384*U384)</f>
        <v>815.58333333333326</v>
      </c>
      <c r="S384" s="14">
        <v>5</v>
      </c>
      <c r="T384" s="14">
        <v>1</v>
      </c>
      <c r="U384" s="13">
        <f>IF(T384=1,I384-([1]Parametros!$B$7+[1]Parametros!$B$9+[1]Parametros!$B$12/2),I384-(ROUNDUP(S384/2,0)*([1]Parametros!$B$7+[1]Parametros!$B$9+[1]Parametros!$B$12/2)+ROUNDDOWN(S384/2,0)*([1]Parametros!$B$7+[1]Parametros!$B$9+[1]Parametros!$B$12/2+[1]Parametros!$B$12+[1]Parametros!$B$10))/S384)</f>
        <v>489.35</v>
      </c>
      <c r="V384" s="13">
        <f>S384*[1]Parametros!$B$8</f>
        <v>995</v>
      </c>
      <c r="W384" s="13">
        <f>[1]Parametros!$B$5*V384*[1]Parametros!$B$3*(U384-(V384*[1]Parametros!$B$3/(0.85*[1]Parametros!$B$2*H384))/2)/1000000</f>
        <v>177.44537938235294</v>
      </c>
      <c r="X384" s="13" t="str">
        <f t="shared" si="65"/>
        <v>CUMPLE</v>
      </c>
      <c r="Y384" s="13">
        <f>MAX(MAX(1.4/[1]Parametros!$B$3,0.25*SQRT([1]Parametros!$B$2)/[1]Parametros!$B$3)*H384*AB384,(0.85*[1]Parametros!$B$2/[1]Parametros!$B$3)*(1-SQRT(1-2*(L384*1000000/([1]Parametros!$B$5*H384*AB384^2))/(0.85*[1]Parametros!$B$2)))*H384*AB384)</f>
        <v>815.58333333333326</v>
      </c>
      <c r="Z384" s="14">
        <v>5</v>
      </c>
      <c r="AA384" s="14">
        <v>1</v>
      </c>
      <c r="AB384" s="13">
        <f>IF(AA384=1,I384-([1]Parametros!$B$7+[1]Parametros!$B$9+[1]Parametros!$B$12/2),I384-(ROUNDUP(Z384/2,0)*([1]Parametros!$B$7+[1]Parametros!$B$9+[1]Parametros!$B$12/2)+ROUNDDOWN(Z384/2,0)*([1]Parametros!$B$7+[1]Parametros!$B$9+[1]Parametros!$B$12/2+[1]Parametros!$B$12+[1]Parametros!$B$10))/Z384)</f>
        <v>489.35</v>
      </c>
      <c r="AC384" s="13">
        <f>Z384*[1]Parametros!$B$8</f>
        <v>995</v>
      </c>
      <c r="AD384" s="13">
        <f>[1]Parametros!$B$5*AC384*[1]Parametros!$B$3*(AB384-(AC384*[1]Parametros!$B$3/(0.85*[1]Parametros!$B$2*H384))/2)/1000000</f>
        <v>177.44537938235294</v>
      </c>
      <c r="AE384" s="13" t="str">
        <f t="shared" si="66"/>
        <v>CUMPLE</v>
      </c>
      <c r="AF384" s="13">
        <f>V384*1.25*[1]Parametros!$B$3*(U384-(V384*1.25*[1]Parametros!$B$3/(0.85*[1]Parametros!$B$2*H384))/2)/1000000</f>
        <v>244.15884319852941</v>
      </c>
      <c r="AG384" s="13">
        <f>AC384*1.25*[1]Parametros!$B$3*(AB384-(AC384*1.25*[1]Parametros!$B$3/(0.85*[1]Parametros!$B$2*H384))/2)/1000000</f>
        <v>244.15884319852941</v>
      </c>
      <c r="AH384" s="13">
        <f t="shared" si="67"/>
        <v>593.72120710784304</v>
      </c>
      <c r="AI384" s="13">
        <f t="shared" si="68"/>
        <v>593.72120710784304</v>
      </c>
      <c r="AJ384" s="13">
        <f>0.17*SQRT([1]Parametros!$B$2)*H384*MIN(U384,AB384)/1000</f>
        <v>220.09872869180776</v>
      </c>
      <c r="AK384" s="13">
        <f>MAX(AI384/[1]Parametros!$B$6-AJ384,0)</f>
        <v>571.52954745198292</v>
      </c>
      <c r="AL384" s="13">
        <f>0.66*SQRT([1]Parametros!$B$2)*H384*MIN(U384,AB384)/1000</f>
        <v>854.500946685842</v>
      </c>
      <c r="AM384" s="13" t="str">
        <f t="shared" si="69"/>
        <v>CUMPLE</v>
      </c>
      <c r="AN384" s="13" t="s">
        <v>68</v>
      </c>
      <c r="AO384" s="14">
        <v>4</v>
      </c>
      <c r="AP384" s="13">
        <f>ROUNDDOWN(MIN(IF(BC384+BD384=0,1000000000,AO384*BB384/(BC384+BD384)),MIN(U384,AB384)/4,8*[1]Parametros!$B$12,24*BA384,300,IF(AV384=0,1000000000,2*((H384-2*([1]Parametros!$B$7+[1]Parametros!$B$9/2))+(I384-2*([1]Parametros!$B$7+[1]Parametros!$B$9/2)))/8))/10,0)*10</f>
        <v>100</v>
      </c>
      <c r="AQ384" s="13">
        <f>ROUNDDOWN(MIN(IF(BC384+BD384=0,1000000000,AO384*BB384/(BC384+BD384)),IF(AK384&gt;0.33*SQRT([1]Parametros!$B$2)*H384*MIN(U384,AB384)/1000,MIN(U384,AB384)/4,MIN(U384,AB384)/2),600,IF(AV384=0,1000000000,2*((H384-2*([1]Parametros!$B$7+[1]Parametros!$B$9/2))+(I384-2*([1]Parametros!$B$7+[1]Parametros!$B$9/2)))/8))/10,0)*10</f>
        <v>100</v>
      </c>
      <c r="AR384" s="13">
        <f>[1]Parametros!$B$6*(AJ384+MAX(BE384-BD384,0)*[1]Parametros!$B$4*MIN(U384,AB384)/1000)</f>
        <v>621.85938099848863</v>
      </c>
      <c r="AS384" s="13" t="str">
        <f t="shared" si="70"/>
        <v>CUMPLE</v>
      </c>
      <c r="AT384" s="13">
        <f>[1]Parametros!$B$6*0.083*SQRT([1]Parametros!$B$2)*(H384*I384)^2/(2*(H384+I384))/1000000</f>
        <v>11.862178757598967</v>
      </c>
      <c r="AU384" s="13" t="str">
        <f t="shared" si="71"/>
        <v>DISEÑAR</v>
      </c>
      <c r="AV384" s="13">
        <f>IF(Q384&lt;=AT384,0,Q384*1000000/([1]Parametros!$B$6*2*0.85*(H384-2*([1]Parametros!$B$7+[1]Parametros!$B$9/2))*(I384-2*([1]Parametros!$B$7+[1]Parametros!$B$9/2))*[1]Parametros!$B$4))</f>
        <v>1.0983282180941909</v>
      </c>
      <c r="AW384" s="13">
        <f>AV384*2*((H384-2*([1]Parametros!$B$7+[1]Parametros!$B$9/2))+(I384-2*([1]Parametros!$B$7+[1]Parametros!$B$9/2)))*[1]Parametros!$B$4/[1]Parametros!$B$3</f>
        <v>1899.2291547284749</v>
      </c>
      <c r="AX384" s="14">
        <v>12</v>
      </c>
      <c r="AY384" s="13" t="str">
        <f t="shared" si="72"/>
        <v>NO CUMPLE</v>
      </c>
      <c r="AZ384" s="13" t="str">
        <f t="shared" si="73"/>
        <v>NO CUMPLE</v>
      </c>
      <c r="BA384" s="14">
        <v>12.7</v>
      </c>
      <c r="BB384" s="14">
        <v>129</v>
      </c>
      <c r="BC384" s="13">
        <f>MAX(IF(AK384=0,0,AK384*1000/([1]Parametros!$B$4*MIN(U384,AB384))),MAX(0.062*SQRT([1]Parametros!$B$2)*H384/[1]Parametros!$B$4,0.35*H384/[1]Parametros!$B$4))</f>
        <v>2.7808003204055085</v>
      </c>
      <c r="BD384" s="13">
        <f t="shared" si="74"/>
        <v>2.1966564361883818</v>
      </c>
      <c r="BE384" s="13">
        <f t="shared" si="75"/>
        <v>5.16</v>
      </c>
      <c r="BF384" s="13">
        <f>SQRT((AI384*1000/(H384*MIN(U384,AB384)))^2+(Q384*1000000*2*((H384-2*([1]Parametros!$B$7+[1]Parametros!$B$9/2))+(I384-2*([1]Parametros!$B$7+[1]Parametros!$B$9/2)))/(1.7*((H384-2*([1]Parametros!$B$7+[1]Parametros!$B$9/2))*(I384-2*([1]Parametros!$B$7+[1]Parametros!$B$9/2)))^2))^2)</f>
        <v>4.0255479772871832</v>
      </c>
      <c r="BG384" s="13">
        <f>[1]Parametros!$B$6*(AJ384*1000/(H384*MIN(U384,AB384))+0.66*SQRT([1]Parametros!$B$2))</f>
        <v>3.2939603822754151</v>
      </c>
      <c r="BH384" s="13" t="str">
        <f t="shared" si="76"/>
        <v>NO CUMPLE</v>
      </c>
      <c r="BI384" s="13">
        <f>AX384*[1]Parametros!$B$8</f>
        <v>2388</v>
      </c>
      <c r="BJ384" s="15" t="str">
        <f t="shared" si="77"/>
        <v>CUMPLE</v>
      </c>
    </row>
    <row r="385" spans="1:62" x14ac:dyDescent="0.3">
      <c r="A385" s="33" t="s">
        <v>76</v>
      </c>
      <c r="B385" s="34">
        <v>182</v>
      </c>
      <c r="C385" s="13">
        <v>1</v>
      </c>
      <c r="D385" s="13">
        <v>0.9</v>
      </c>
      <c r="E385" s="13">
        <v>0.9</v>
      </c>
      <c r="F385" s="13">
        <v>500</v>
      </c>
      <c r="G385" s="13">
        <v>550</v>
      </c>
      <c r="H385" s="13">
        <v>500</v>
      </c>
      <c r="I385" s="13">
        <v>550</v>
      </c>
      <c r="J385" s="14">
        <v>68.5304</v>
      </c>
      <c r="K385" s="13">
        <v>182</v>
      </c>
      <c r="L385" s="14">
        <v>0</v>
      </c>
      <c r="M385" s="13">
        <v>182</v>
      </c>
      <c r="N385" s="14">
        <v>51.143000000000001</v>
      </c>
      <c r="O385" s="14">
        <v>86.981999999999999</v>
      </c>
      <c r="P385" s="13">
        <v>182</v>
      </c>
      <c r="Q385" s="14">
        <v>109.5425</v>
      </c>
      <c r="R385" s="13">
        <f>MAX(MAX(1.4/[1]Parametros!$B$3,0.25*SQRT([1]Parametros!$B$2)/[1]Parametros!$B$3)*H385*U385,(0.85*[1]Parametros!$B$2/[1]Parametros!$B$3)*(1-SQRT(1-2*(J385*1000000/([1]Parametros!$B$5*H385*U385^2))/(0.85*[1]Parametros!$B$2)))*H385*U385)</f>
        <v>815.58333333333326</v>
      </c>
      <c r="S385" s="14">
        <v>5</v>
      </c>
      <c r="T385" s="14">
        <v>1</v>
      </c>
      <c r="U385" s="13">
        <f>IF(T385=1,I385-([1]Parametros!$B$7+[1]Parametros!$B$9+[1]Parametros!$B$12/2),I385-(ROUNDUP(S385/2,0)*([1]Parametros!$B$7+[1]Parametros!$B$9+[1]Parametros!$B$12/2)+ROUNDDOWN(S385/2,0)*([1]Parametros!$B$7+[1]Parametros!$B$9+[1]Parametros!$B$12/2+[1]Parametros!$B$12+[1]Parametros!$B$10))/S385)</f>
        <v>489.35</v>
      </c>
      <c r="V385" s="13">
        <f>S385*[1]Parametros!$B$8</f>
        <v>995</v>
      </c>
      <c r="W385" s="13">
        <f>[1]Parametros!$B$5*V385*[1]Parametros!$B$3*(U385-(V385*[1]Parametros!$B$3/(0.85*[1]Parametros!$B$2*H385))/2)/1000000</f>
        <v>177.44537938235294</v>
      </c>
      <c r="X385" s="13" t="str">
        <f t="shared" si="65"/>
        <v>CUMPLE</v>
      </c>
      <c r="Y385" s="13">
        <f>MAX(MAX(1.4/[1]Parametros!$B$3,0.25*SQRT([1]Parametros!$B$2)/[1]Parametros!$B$3)*H385*AB385,(0.85*[1]Parametros!$B$2/[1]Parametros!$B$3)*(1-SQRT(1-2*(L385*1000000/([1]Parametros!$B$5*H385*AB385^2))/(0.85*[1]Parametros!$B$2)))*H385*AB385)</f>
        <v>815.58333333333326</v>
      </c>
      <c r="Z385" s="14">
        <v>5</v>
      </c>
      <c r="AA385" s="14">
        <v>1</v>
      </c>
      <c r="AB385" s="13">
        <f>IF(AA385=1,I385-([1]Parametros!$B$7+[1]Parametros!$B$9+[1]Parametros!$B$12/2),I385-(ROUNDUP(Z385/2,0)*([1]Parametros!$B$7+[1]Parametros!$B$9+[1]Parametros!$B$12/2)+ROUNDDOWN(Z385/2,0)*([1]Parametros!$B$7+[1]Parametros!$B$9+[1]Parametros!$B$12/2+[1]Parametros!$B$12+[1]Parametros!$B$10))/Z385)</f>
        <v>489.35</v>
      </c>
      <c r="AC385" s="13">
        <f>Z385*[1]Parametros!$B$8</f>
        <v>995</v>
      </c>
      <c r="AD385" s="13">
        <f>[1]Parametros!$B$5*AC385*[1]Parametros!$B$3*(AB385-(AC385*[1]Parametros!$B$3/(0.85*[1]Parametros!$B$2*H385))/2)/1000000</f>
        <v>177.44537938235294</v>
      </c>
      <c r="AE385" s="13" t="str">
        <f t="shared" si="66"/>
        <v>CUMPLE</v>
      </c>
      <c r="AF385" s="13">
        <f>V385*1.25*[1]Parametros!$B$3*(U385-(V385*1.25*[1]Parametros!$B$3/(0.85*[1]Parametros!$B$2*H385))/2)/1000000</f>
        <v>244.15884319852941</v>
      </c>
      <c r="AG385" s="13">
        <f>AC385*1.25*[1]Parametros!$B$3*(AB385-(AC385*1.25*[1]Parametros!$B$3/(0.85*[1]Parametros!$B$2*H385))/2)/1000000</f>
        <v>244.15884319852941</v>
      </c>
      <c r="AH385" s="13">
        <f t="shared" si="67"/>
        <v>593.71820710784311</v>
      </c>
      <c r="AI385" s="13">
        <f t="shared" si="68"/>
        <v>593.71820710784311</v>
      </c>
      <c r="AJ385" s="13">
        <f>0.17*SQRT([1]Parametros!$B$2)*H385*MIN(U385,AB385)/1000</f>
        <v>220.09872869180776</v>
      </c>
      <c r="AK385" s="13">
        <f>MAX(AI385/[1]Parametros!$B$6-AJ385,0)</f>
        <v>571.52554745198302</v>
      </c>
      <c r="AL385" s="13">
        <f>0.66*SQRT([1]Parametros!$B$2)*H385*MIN(U385,AB385)/1000</f>
        <v>854.500946685842</v>
      </c>
      <c r="AM385" s="13" t="str">
        <f t="shared" si="69"/>
        <v>CUMPLE</v>
      </c>
      <c r="AN385" s="13" t="s">
        <v>68</v>
      </c>
      <c r="AO385" s="14">
        <v>4</v>
      </c>
      <c r="AP385" s="13">
        <f>ROUNDDOWN(MIN(IF(BC385+BD385=0,1000000000,AO385*BB385/(BC385+BD385)),MIN(U385,AB385)/4,8*[1]Parametros!$B$12,24*BA385,300,IF(AV385=0,1000000000,2*((H385-2*([1]Parametros!$B$7+[1]Parametros!$B$9/2))+(I385-2*([1]Parametros!$B$7+[1]Parametros!$B$9/2)))/8))/10,0)*10</f>
        <v>100</v>
      </c>
      <c r="AQ385" s="13">
        <f>ROUNDDOWN(MIN(IF(BC385+BD385=0,1000000000,AO385*BB385/(BC385+BD385)),IF(AK385&gt;0.33*SQRT([1]Parametros!$B$2)*H385*MIN(U385,AB385)/1000,MIN(U385,AB385)/4,MIN(U385,AB385)/2),600,IF(AV385=0,1000000000,2*((H385-2*([1]Parametros!$B$7+[1]Parametros!$B$9/2))+(I385-2*([1]Parametros!$B$7+[1]Parametros!$B$9/2)))/8))/10,0)*10</f>
        <v>100</v>
      </c>
      <c r="AR385" s="13">
        <f>[1]Parametros!$B$6*(AJ385+MAX(BE385-BD385,0)*[1]Parametros!$B$4*MIN(U385,AB385)/1000)</f>
        <v>621.87854458294237</v>
      </c>
      <c r="AS385" s="13" t="str">
        <f t="shared" si="70"/>
        <v>CUMPLE</v>
      </c>
      <c r="AT385" s="13">
        <f>[1]Parametros!$B$6*0.083*SQRT([1]Parametros!$B$2)*(H385*I385)^2/(2*(H385+I385))/1000000</f>
        <v>11.862178757598967</v>
      </c>
      <c r="AU385" s="13" t="str">
        <f t="shared" si="71"/>
        <v>DISEÑAR</v>
      </c>
      <c r="AV385" s="13">
        <f>IF(Q385&lt;=AT385,0,Q385*1000000/([1]Parametros!$B$6*2*0.85*(H385-2*([1]Parametros!$B$7+[1]Parametros!$B$9/2))*(I385-2*([1]Parametros!$B$7+[1]Parametros!$B$9/2))*[1]Parametros!$B$4))</f>
        <v>1.0982660572930842</v>
      </c>
      <c r="AW385" s="13">
        <f>AV385*2*((H385-2*([1]Parametros!$B$7+[1]Parametros!$B$9/2))+(I385-2*([1]Parametros!$B$7+[1]Parametros!$B$9/2)))*[1]Parametros!$B$4/[1]Parametros!$B$3</f>
        <v>1899.1216662712013</v>
      </c>
      <c r="AX385" s="14">
        <v>12</v>
      </c>
      <c r="AY385" s="13" t="str">
        <f t="shared" si="72"/>
        <v>NO CUMPLE</v>
      </c>
      <c r="AZ385" s="13" t="str">
        <f t="shared" si="73"/>
        <v>NO CUMPLE</v>
      </c>
      <c r="BA385" s="14">
        <v>12.7</v>
      </c>
      <c r="BB385" s="14">
        <v>129</v>
      </c>
      <c r="BC385" s="13">
        <f>MAX(IF(AK385=0,0,AK385*1000/([1]Parametros!$B$4*MIN(U385,AB385))),MAX(0.062*SQRT([1]Parametros!$B$2)*H385/[1]Parametros!$B$4,0.35*H385/[1]Parametros!$B$4))</f>
        <v>2.7807808582423865</v>
      </c>
      <c r="BD385" s="13">
        <f t="shared" si="74"/>
        <v>2.1965321145861685</v>
      </c>
      <c r="BE385" s="13">
        <f t="shared" si="75"/>
        <v>5.16</v>
      </c>
      <c r="BF385" s="13">
        <f>SQRT((AI385*1000/(H385*MIN(U385,AB385)))^2+(Q385*1000000*2*((H385-2*([1]Parametros!$B$7+[1]Parametros!$B$9/2))+(I385-2*([1]Parametros!$B$7+[1]Parametros!$B$9/2)))/(1.7*((H385-2*([1]Parametros!$B$7+[1]Parametros!$B$9/2))*(I385-2*([1]Parametros!$B$7+[1]Parametros!$B$9/2)))^2))^2)</f>
        <v>4.025395542146601</v>
      </c>
      <c r="BG385" s="13">
        <f>[1]Parametros!$B$6*(AJ385*1000/(H385*MIN(U385,AB385))+0.66*SQRT([1]Parametros!$B$2))</f>
        <v>3.2939603822754151</v>
      </c>
      <c r="BH385" s="13" t="str">
        <f t="shared" si="76"/>
        <v>NO CUMPLE</v>
      </c>
      <c r="BI385" s="13">
        <f>AX385*[1]Parametros!$B$8</f>
        <v>2388</v>
      </c>
      <c r="BJ385" s="15" t="str">
        <f t="shared" si="77"/>
        <v>CUMPLE</v>
      </c>
    </row>
    <row r="386" spans="1:62" x14ac:dyDescent="0.3">
      <c r="A386" s="33" t="s">
        <v>76</v>
      </c>
      <c r="B386" s="34">
        <v>185</v>
      </c>
      <c r="C386" s="13">
        <v>1</v>
      </c>
      <c r="D386" s="13">
        <v>0.9</v>
      </c>
      <c r="E386" s="13">
        <v>0.9</v>
      </c>
      <c r="F386" s="13">
        <v>500</v>
      </c>
      <c r="G386" s="13">
        <v>550</v>
      </c>
      <c r="H386" s="13">
        <v>500</v>
      </c>
      <c r="I386" s="13">
        <v>550</v>
      </c>
      <c r="J386" s="14">
        <v>76.482299999999995</v>
      </c>
      <c r="K386" s="13">
        <v>185</v>
      </c>
      <c r="L386" s="14">
        <v>0</v>
      </c>
      <c r="M386" s="13">
        <v>185</v>
      </c>
      <c r="N386" s="14">
        <v>55.844000000000001</v>
      </c>
      <c r="O386" s="14">
        <v>78.751999999999995</v>
      </c>
      <c r="P386" s="13">
        <v>185</v>
      </c>
      <c r="Q386" s="14">
        <v>75.068100000000001</v>
      </c>
      <c r="R386" s="13">
        <f>MAX(MAX(1.4/[1]Parametros!$B$3,0.25*SQRT([1]Parametros!$B$2)/[1]Parametros!$B$3)*H386*U386,(0.85*[1]Parametros!$B$2/[1]Parametros!$B$3)*(1-SQRT(1-2*(J386*1000000/([1]Parametros!$B$5*H386*U386^2))/(0.85*[1]Parametros!$B$2)))*H386*U386)</f>
        <v>815.58333333333326</v>
      </c>
      <c r="S386" s="14">
        <v>5</v>
      </c>
      <c r="T386" s="14">
        <v>1</v>
      </c>
      <c r="U386" s="13">
        <f>IF(T386=1,I386-([1]Parametros!$B$7+[1]Parametros!$B$9+[1]Parametros!$B$12/2),I386-(ROUNDUP(S386/2,0)*([1]Parametros!$B$7+[1]Parametros!$B$9+[1]Parametros!$B$12/2)+ROUNDDOWN(S386/2,0)*([1]Parametros!$B$7+[1]Parametros!$B$9+[1]Parametros!$B$12/2+[1]Parametros!$B$12+[1]Parametros!$B$10))/S386)</f>
        <v>489.35</v>
      </c>
      <c r="V386" s="13">
        <f>S386*[1]Parametros!$B$8</f>
        <v>995</v>
      </c>
      <c r="W386" s="13">
        <f>[1]Parametros!$B$5*V386*[1]Parametros!$B$3*(U386-(V386*[1]Parametros!$B$3/(0.85*[1]Parametros!$B$2*H386))/2)/1000000</f>
        <v>177.44537938235294</v>
      </c>
      <c r="X386" s="13" t="str">
        <f t="shared" si="65"/>
        <v>CUMPLE</v>
      </c>
      <c r="Y386" s="13">
        <f>MAX(MAX(1.4/[1]Parametros!$B$3,0.25*SQRT([1]Parametros!$B$2)/[1]Parametros!$B$3)*H386*AB386,(0.85*[1]Parametros!$B$2/[1]Parametros!$B$3)*(1-SQRT(1-2*(L386*1000000/([1]Parametros!$B$5*H386*AB386^2))/(0.85*[1]Parametros!$B$2)))*H386*AB386)</f>
        <v>815.58333333333326</v>
      </c>
      <c r="Z386" s="14">
        <v>5</v>
      </c>
      <c r="AA386" s="14">
        <v>1</v>
      </c>
      <c r="AB386" s="13">
        <f>IF(AA386=1,I386-([1]Parametros!$B$7+[1]Parametros!$B$9+[1]Parametros!$B$12/2),I386-(ROUNDUP(Z386/2,0)*([1]Parametros!$B$7+[1]Parametros!$B$9+[1]Parametros!$B$12/2)+ROUNDDOWN(Z386/2,0)*([1]Parametros!$B$7+[1]Parametros!$B$9+[1]Parametros!$B$12/2+[1]Parametros!$B$12+[1]Parametros!$B$10))/Z386)</f>
        <v>489.35</v>
      </c>
      <c r="AC386" s="13">
        <f>Z386*[1]Parametros!$B$8</f>
        <v>995</v>
      </c>
      <c r="AD386" s="13">
        <f>[1]Parametros!$B$5*AC386*[1]Parametros!$B$3*(AB386-(AC386*[1]Parametros!$B$3/(0.85*[1]Parametros!$B$2*H386))/2)/1000000</f>
        <v>177.44537938235294</v>
      </c>
      <c r="AE386" s="13" t="str">
        <f t="shared" si="66"/>
        <v>CUMPLE</v>
      </c>
      <c r="AF386" s="13">
        <f>V386*1.25*[1]Parametros!$B$3*(U386-(V386*1.25*[1]Parametros!$B$3/(0.85*[1]Parametros!$B$2*H386))/2)/1000000</f>
        <v>244.15884319852941</v>
      </c>
      <c r="AG386" s="13">
        <f>AC386*1.25*[1]Parametros!$B$3*(AB386-(AC386*1.25*[1]Parametros!$B$3/(0.85*[1]Parametros!$B$2*H386))/2)/1000000</f>
        <v>244.15884319852941</v>
      </c>
      <c r="AH386" s="13">
        <f t="shared" si="67"/>
        <v>598.41920710784314</v>
      </c>
      <c r="AI386" s="13">
        <f t="shared" si="68"/>
        <v>598.41920710784314</v>
      </c>
      <c r="AJ386" s="13">
        <f>0.17*SQRT([1]Parametros!$B$2)*H386*MIN(U386,AB386)/1000</f>
        <v>220.09872869180776</v>
      </c>
      <c r="AK386" s="13">
        <f>MAX(AI386/[1]Parametros!$B$6-AJ386,0)</f>
        <v>577.79354745198304</v>
      </c>
      <c r="AL386" s="13">
        <f>0.66*SQRT([1]Parametros!$B$2)*H386*MIN(U386,AB386)/1000</f>
        <v>854.500946685842</v>
      </c>
      <c r="AM386" s="13" t="str">
        <f t="shared" si="69"/>
        <v>CUMPLE</v>
      </c>
      <c r="AN386" s="13" t="s">
        <v>68</v>
      </c>
      <c r="AO386" s="14">
        <v>4</v>
      </c>
      <c r="AP386" s="13">
        <f>ROUNDDOWN(MIN(IF(BC386+BD386=0,1000000000,AO386*BB386/(BC386+BD386)),MIN(U386,AB386)/4,8*[1]Parametros!$B$12,24*BA386,300,IF(AV386=0,1000000000,2*((H386-2*([1]Parametros!$B$7+[1]Parametros!$B$9/2))+(I386-2*([1]Parametros!$B$7+[1]Parametros!$B$9/2)))/8))/10,0)*10</f>
        <v>110</v>
      </c>
      <c r="AQ386" s="13">
        <f>ROUNDDOWN(MIN(IF(BC386+BD386=0,1000000000,AO386*BB386/(BC386+BD386)),IF(AK386&gt;0.33*SQRT([1]Parametros!$B$2)*H386*MIN(U386,AB386)/1000,MIN(U386,AB386)/4,MIN(U386,AB386)/2),600,IF(AV386=0,1000000000,2*((H386-2*([1]Parametros!$B$7+[1]Parametros!$B$9/2))+(I386-2*([1]Parametros!$B$7+[1]Parametros!$B$9/2)))/8))/10,0)*10</f>
        <v>110</v>
      </c>
      <c r="AR386" s="13">
        <f>[1]Parametros!$B$6*(AJ386+MAX(BE386-BD386,0)*[1]Parametros!$B$4*MIN(U386,AB386)/1000)</f>
        <v>656.12735685184157</v>
      </c>
      <c r="AS386" s="13" t="str">
        <f t="shared" si="70"/>
        <v>CUMPLE</v>
      </c>
      <c r="AT386" s="13">
        <f>[1]Parametros!$B$6*0.083*SQRT([1]Parametros!$B$2)*(H386*I386)^2/(2*(H386+I386))/1000000</f>
        <v>11.862178757598967</v>
      </c>
      <c r="AU386" s="13" t="str">
        <f t="shared" si="71"/>
        <v>DISEÑAR</v>
      </c>
      <c r="AV386" s="13">
        <f>IF(Q386&lt;=AT386,0,Q386*1000000/([1]Parametros!$B$6*2*0.85*(H386-2*([1]Parametros!$B$7+[1]Parametros!$B$9/2))*(I386-2*([1]Parametros!$B$7+[1]Parametros!$B$9/2))*[1]Parametros!$B$4))</f>
        <v>0.75262794089493101</v>
      </c>
      <c r="AW386" s="13">
        <f>AV386*2*((H386-2*([1]Parametros!$B$7+[1]Parametros!$B$9/2))+(I386-2*([1]Parametros!$B$7+[1]Parametros!$B$9/2)))*[1]Parametros!$B$4/[1]Parametros!$B$3</f>
        <v>1301.4442353955149</v>
      </c>
      <c r="AX386" s="14">
        <v>8</v>
      </c>
      <c r="AY386" s="13" t="str">
        <f t="shared" si="72"/>
        <v>CUMPLE</v>
      </c>
      <c r="AZ386" s="13" t="str">
        <f t="shared" si="73"/>
        <v>CUMPLE</v>
      </c>
      <c r="BA386" s="14">
        <v>12.7</v>
      </c>
      <c r="BB386" s="14">
        <v>129</v>
      </c>
      <c r="BC386" s="13">
        <f>MAX(IF(AK386=0,0,AK386*1000/([1]Parametros!$B$4*MIN(U386,AB386))),MAX(0.062*SQRT([1]Parametros!$B$2)*H386/[1]Parametros!$B$4,0.35*H386/[1]Parametros!$B$4))</f>
        <v>2.8112780678547495</v>
      </c>
      <c r="BD386" s="13">
        <f t="shared" si="74"/>
        <v>1.505255881789862</v>
      </c>
      <c r="BE386" s="13">
        <f t="shared" si="75"/>
        <v>4.6909090909090905</v>
      </c>
      <c r="BF386" s="13">
        <f>SQRT((AI386*1000/(H386*MIN(U386,AB386)))^2+(Q386*1000000*2*((H386-2*([1]Parametros!$B$7+[1]Parametros!$B$9/2))+(I386-2*([1]Parametros!$B$7+[1]Parametros!$B$9/2)))/(1.7*((H386-2*([1]Parametros!$B$7+[1]Parametros!$B$9/2))*(I386-2*([1]Parametros!$B$7+[1]Parametros!$B$9/2)))^2))^2)</f>
        <v>3.290320787538612</v>
      </c>
      <c r="BG386" s="13">
        <f>[1]Parametros!$B$6*(AJ386*1000/(H386*MIN(U386,AB386))+0.66*SQRT([1]Parametros!$B$2))</f>
        <v>3.2939603822754151</v>
      </c>
      <c r="BH386" s="13" t="str">
        <f t="shared" si="76"/>
        <v>CUMPLE</v>
      </c>
      <c r="BI386" s="13">
        <f>AX386*[1]Parametros!$B$8</f>
        <v>1592</v>
      </c>
      <c r="BJ386" s="15" t="str">
        <f t="shared" si="77"/>
        <v>CUMPLE</v>
      </c>
    </row>
    <row r="387" spans="1:62" x14ac:dyDescent="0.3">
      <c r="A387" s="33" t="s">
        <v>76</v>
      </c>
      <c r="B387" s="34">
        <v>187</v>
      </c>
      <c r="C387" s="13">
        <v>1</v>
      </c>
      <c r="D387" s="13">
        <v>0.9</v>
      </c>
      <c r="E387" s="13">
        <v>0.9</v>
      </c>
      <c r="F387" s="13">
        <v>500</v>
      </c>
      <c r="G387" s="13">
        <v>550</v>
      </c>
      <c r="H387" s="13">
        <v>500</v>
      </c>
      <c r="I387" s="13">
        <v>550</v>
      </c>
      <c r="J387" s="14">
        <v>76.477400000000003</v>
      </c>
      <c r="K387" s="13">
        <v>187</v>
      </c>
      <c r="L387" s="14">
        <v>0</v>
      </c>
      <c r="M387" s="13">
        <v>187</v>
      </c>
      <c r="N387" s="14">
        <v>55.841000000000001</v>
      </c>
      <c r="O387" s="14">
        <v>78.748999999999995</v>
      </c>
      <c r="P387" s="13">
        <v>187</v>
      </c>
      <c r="Q387" s="14">
        <v>75.061400000000006</v>
      </c>
      <c r="R387" s="13">
        <f>MAX(MAX(1.4/[1]Parametros!$B$3,0.25*SQRT([1]Parametros!$B$2)/[1]Parametros!$B$3)*H387*U387,(0.85*[1]Parametros!$B$2/[1]Parametros!$B$3)*(1-SQRT(1-2*(J387*1000000/([1]Parametros!$B$5*H387*U387^2))/(0.85*[1]Parametros!$B$2)))*H387*U387)</f>
        <v>815.58333333333326</v>
      </c>
      <c r="S387" s="14">
        <v>5</v>
      </c>
      <c r="T387" s="14">
        <v>1</v>
      </c>
      <c r="U387" s="13">
        <f>IF(T387=1,I387-([1]Parametros!$B$7+[1]Parametros!$B$9+[1]Parametros!$B$12/2),I387-(ROUNDUP(S387/2,0)*([1]Parametros!$B$7+[1]Parametros!$B$9+[1]Parametros!$B$12/2)+ROUNDDOWN(S387/2,0)*([1]Parametros!$B$7+[1]Parametros!$B$9+[1]Parametros!$B$12/2+[1]Parametros!$B$12+[1]Parametros!$B$10))/S387)</f>
        <v>489.35</v>
      </c>
      <c r="V387" s="13">
        <f>S387*[1]Parametros!$B$8</f>
        <v>995</v>
      </c>
      <c r="W387" s="13">
        <f>[1]Parametros!$B$5*V387*[1]Parametros!$B$3*(U387-(V387*[1]Parametros!$B$3/(0.85*[1]Parametros!$B$2*H387))/2)/1000000</f>
        <v>177.44537938235294</v>
      </c>
      <c r="X387" s="13" t="str">
        <f t="shared" si="65"/>
        <v>CUMPLE</v>
      </c>
      <c r="Y387" s="13">
        <f>MAX(MAX(1.4/[1]Parametros!$B$3,0.25*SQRT([1]Parametros!$B$2)/[1]Parametros!$B$3)*H387*AB387,(0.85*[1]Parametros!$B$2/[1]Parametros!$B$3)*(1-SQRT(1-2*(L387*1000000/([1]Parametros!$B$5*H387*AB387^2))/(0.85*[1]Parametros!$B$2)))*H387*AB387)</f>
        <v>815.58333333333326</v>
      </c>
      <c r="Z387" s="14">
        <v>5</v>
      </c>
      <c r="AA387" s="14">
        <v>1</v>
      </c>
      <c r="AB387" s="13">
        <f>IF(AA387=1,I387-([1]Parametros!$B$7+[1]Parametros!$B$9+[1]Parametros!$B$12/2),I387-(ROUNDUP(Z387/2,0)*([1]Parametros!$B$7+[1]Parametros!$B$9+[1]Parametros!$B$12/2)+ROUNDDOWN(Z387/2,0)*([1]Parametros!$B$7+[1]Parametros!$B$9+[1]Parametros!$B$12/2+[1]Parametros!$B$12+[1]Parametros!$B$10))/Z387)</f>
        <v>489.35</v>
      </c>
      <c r="AC387" s="13">
        <f>Z387*[1]Parametros!$B$8</f>
        <v>995</v>
      </c>
      <c r="AD387" s="13">
        <f>[1]Parametros!$B$5*AC387*[1]Parametros!$B$3*(AB387-(AC387*[1]Parametros!$B$3/(0.85*[1]Parametros!$B$2*H387))/2)/1000000</f>
        <v>177.44537938235294</v>
      </c>
      <c r="AE387" s="13" t="str">
        <f t="shared" si="66"/>
        <v>CUMPLE</v>
      </c>
      <c r="AF387" s="13">
        <f>V387*1.25*[1]Parametros!$B$3*(U387-(V387*1.25*[1]Parametros!$B$3/(0.85*[1]Parametros!$B$2*H387))/2)/1000000</f>
        <v>244.15884319852941</v>
      </c>
      <c r="AG387" s="13">
        <f>AC387*1.25*[1]Parametros!$B$3*(AB387-(AC387*1.25*[1]Parametros!$B$3/(0.85*[1]Parametros!$B$2*H387))/2)/1000000</f>
        <v>244.15884319852941</v>
      </c>
      <c r="AH387" s="13">
        <f t="shared" si="67"/>
        <v>598.41620710784309</v>
      </c>
      <c r="AI387" s="13">
        <f t="shared" si="68"/>
        <v>598.41620710784309</v>
      </c>
      <c r="AJ387" s="13">
        <f>0.17*SQRT([1]Parametros!$B$2)*H387*MIN(U387,AB387)/1000</f>
        <v>220.09872869180776</v>
      </c>
      <c r="AK387" s="13">
        <f>MAX(AI387/[1]Parametros!$B$6-AJ387,0)</f>
        <v>577.78954745198303</v>
      </c>
      <c r="AL387" s="13">
        <f>0.66*SQRT([1]Parametros!$B$2)*H387*MIN(U387,AB387)/1000</f>
        <v>854.500946685842</v>
      </c>
      <c r="AM387" s="13" t="str">
        <f t="shared" si="69"/>
        <v>CUMPLE</v>
      </c>
      <c r="AN387" s="13" t="s">
        <v>68</v>
      </c>
      <c r="AO387" s="14">
        <v>4</v>
      </c>
      <c r="AP387" s="13">
        <f>ROUNDDOWN(MIN(IF(BC387+BD387=0,1000000000,AO387*BB387/(BC387+BD387)),MIN(U387,AB387)/4,8*[1]Parametros!$B$12,24*BA387,300,IF(AV387=0,1000000000,2*((H387-2*([1]Parametros!$B$7+[1]Parametros!$B$9/2))+(I387-2*([1]Parametros!$B$7+[1]Parametros!$B$9/2)))/8))/10,0)*10</f>
        <v>110</v>
      </c>
      <c r="AQ387" s="13">
        <f>ROUNDDOWN(MIN(IF(BC387+BD387=0,1000000000,AO387*BB387/(BC387+BD387)),IF(AK387&gt;0.33*SQRT([1]Parametros!$B$2)*H387*MIN(U387,AB387)/1000,MIN(U387,AB387)/4,MIN(U387,AB387)/2),600,IF(AV387=0,1000000000,2*((H387-2*([1]Parametros!$B$7+[1]Parametros!$B$9/2))+(I387-2*([1]Parametros!$B$7+[1]Parametros!$B$9/2)))/8))/10,0)*10</f>
        <v>110</v>
      </c>
      <c r="AR387" s="13">
        <f>[1]Parametros!$B$6*(AJ387+MAX(BE387-BD387,0)*[1]Parametros!$B$4*MIN(U387,AB387)/1000)</f>
        <v>656.14806588665431</v>
      </c>
      <c r="AS387" s="13" t="str">
        <f t="shared" si="70"/>
        <v>CUMPLE</v>
      </c>
      <c r="AT387" s="13">
        <f>[1]Parametros!$B$6*0.083*SQRT([1]Parametros!$B$2)*(H387*I387)^2/(2*(H387+I387))/1000000</f>
        <v>11.862178757598967</v>
      </c>
      <c r="AU387" s="13" t="str">
        <f t="shared" si="71"/>
        <v>DISEÑAR</v>
      </c>
      <c r="AV387" s="13">
        <f>IF(Q387&lt;=AT387,0,Q387*1000000/([1]Parametros!$B$6*2*0.85*(H387-2*([1]Parametros!$B$7+[1]Parametros!$B$9/2))*(I387-2*([1]Parametros!$B$7+[1]Parametros!$B$9/2))*[1]Parametros!$B$4))</f>
        <v>0.75256076712599329</v>
      </c>
      <c r="AW387" s="13">
        <f>AV387*2*((H387-2*([1]Parametros!$B$7+[1]Parametros!$B$9/2))+(I387-2*([1]Parametros!$B$7+[1]Parametros!$B$9/2)))*[1]Parametros!$B$4/[1]Parametros!$B$3</f>
        <v>1301.3280785142676</v>
      </c>
      <c r="AX387" s="14">
        <v>8</v>
      </c>
      <c r="AY387" s="13" t="str">
        <f t="shared" si="72"/>
        <v>CUMPLE</v>
      </c>
      <c r="AZ387" s="13" t="str">
        <f t="shared" si="73"/>
        <v>CUMPLE</v>
      </c>
      <c r="BA387" s="14">
        <v>12.7</v>
      </c>
      <c r="BB387" s="14">
        <v>129</v>
      </c>
      <c r="BC387" s="13">
        <f>MAX(IF(AK387=0,0,AK387*1000/([1]Parametros!$B$4*MIN(U387,AB387))),MAX(0.062*SQRT([1]Parametros!$B$2)*H387/[1]Parametros!$B$4,0.35*H387/[1]Parametros!$B$4))</f>
        <v>2.8112586056916267</v>
      </c>
      <c r="BD387" s="13">
        <f t="shared" si="74"/>
        <v>1.5051215342519866</v>
      </c>
      <c r="BE387" s="13">
        <f t="shared" si="75"/>
        <v>4.6909090909090905</v>
      </c>
      <c r="BF387" s="13">
        <f>SQRT((AI387*1000/(H387*MIN(U387,AB387)))^2+(Q387*1000000*2*((H387-2*([1]Parametros!$B$7+[1]Parametros!$B$9/2))+(I387-2*([1]Parametros!$B$7+[1]Parametros!$B$9/2)))/(1.7*((H387-2*([1]Parametros!$B$7+[1]Parametros!$B$9/2))*(I387-2*([1]Parametros!$B$7+[1]Parametros!$B$9/2)))^2))^2)</f>
        <v>3.290180268314054</v>
      </c>
      <c r="BG387" s="13">
        <f>[1]Parametros!$B$6*(AJ387*1000/(H387*MIN(U387,AB387))+0.66*SQRT([1]Parametros!$B$2))</f>
        <v>3.2939603822754151</v>
      </c>
      <c r="BH387" s="13" t="str">
        <f t="shared" si="76"/>
        <v>CUMPLE</v>
      </c>
      <c r="BI387" s="13">
        <f>AX387*[1]Parametros!$B$8</f>
        <v>1592</v>
      </c>
      <c r="BJ387" s="15" t="str">
        <f t="shared" si="77"/>
        <v>CUMPLE</v>
      </c>
    </row>
    <row r="388" spans="1:62" x14ac:dyDescent="0.3">
      <c r="A388" s="33" t="s">
        <v>76</v>
      </c>
      <c r="B388" s="34">
        <v>190</v>
      </c>
      <c r="C388" s="13">
        <v>1</v>
      </c>
      <c r="D388" s="13">
        <v>0.9</v>
      </c>
      <c r="E388" s="13">
        <v>0.9</v>
      </c>
      <c r="F388" s="13">
        <v>500</v>
      </c>
      <c r="G388" s="13">
        <v>550</v>
      </c>
      <c r="H388" s="13">
        <v>500</v>
      </c>
      <c r="I388" s="13">
        <v>550</v>
      </c>
      <c r="J388" s="14">
        <v>69.431299999999993</v>
      </c>
      <c r="K388" s="13">
        <v>190</v>
      </c>
      <c r="L388" s="14">
        <v>0</v>
      </c>
      <c r="M388" s="13">
        <v>190</v>
      </c>
      <c r="N388" s="14">
        <v>50.283999999999999</v>
      </c>
      <c r="O388" s="14">
        <v>57.250999999999998</v>
      </c>
      <c r="P388" s="13">
        <v>190</v>
      </c>
      <c r="Q388" s="14">
        <v>35.5441</v>
      </c>
      <c r="R388" s="13">
        <f>MAX(MAX(1.4/[1]Parametros!$B$3,0.25*SQRT([1]Parametros!$B$2)/[1]Parametros!$B$3)*H388*U388,(0.85*[1]Parametros!$B$2/[1]Parametros!$B$3)*(1-SQRT(1-2*(J388*1000000/([1]Parametros!$B$5*H388*U388^2))/(0.85*[1]Parametros!$B$2)))*H388*U388)</f>
        <v>815.58333333333326</v>
      </c>
      <c r="S388" s="14">
        <v>5</v>
      </c>
      <c r="T388" s="14">
        <v>1</v>
      </c>
      <c r="U388" s="13">
        <f>IF(T388=1,I388-([1]Parametros!$B$7+[1]Parametros!$B$9+[1]Parametros!$B$12/2),I388-(ROUNDUP(S388/2,0)*([1]Parametros!$B$7+[1]Parametros!$B$9+[1]Parametros!$B$12/2)+ROUNDDOWN(S388/2,0)*([1]Parametros!$B$7+[1]Parametros!$B$9+[1]Parametros!$B$12/2+[1]Parametros!$B$12+[1]Parametros!$B$10))/S388)</f>
        <v>489.35</v>
      </c>
      <c r="V388" s="13">
        <f>S388*[1]Parametros!$B$8</f>
        <v>995</v>
      </c>
      <c r="W388" s="13">
        <f>[1]Parametros!$B$5*V388*[1]Parametros!$B$3*(U388-(V388*[1]Parametros!$B$3/(0.85*[1]Parametros!$B$2*H388))/2)/1000000</f>
        <v>177.44537938235294</v>
      </c>
      <c r="X388" s="13" t="str">
        <f t="shared" ref="X388:X451" si="78">IF(W388&gt;=J388,"CUMPLE","NO CUMPLE")</f>
        <v>CUMPLE</v>
      </c>
      <c r="Y388" s="13">
        <f>MAX(MAX(1.4/[1]Parametros!$B$3,0.25*SQRT([1]Parametros!$B$2)/[1]Parametros!$B$3)*H388*AB388,(0.85*[1]Parametros!$B$2/[1]Parametros!$B$3)*(1-SQRT(1-2*(L388*1000000/([1]Parametros!$B$5*H388*AB388^2))/(0.85*[1]Parametros!$B$2)))*H388*AB388)</f>
        <v>815.58333333333326</v>
      </c>
      <c r="Z388" s="14">
        <v>5</v>
      </c>
      <c r="AA388" s="14">
        <v>1</v>
      </c>
      <c r="AB388" s="13">
        <f>IF(AA388=1,I388-([1]Parametros!$B$7+[1]Parametros!$B$9+[1]Parametros!$B$12/2),I388-(ROUNDUP(Z388/2,0)*([1]Parametros!$B$7+[1]Parametros!$B$9+[1]Parametros!$B$12/2)+ROUNDDOWN(Z388/2,0)*([1]Parametros!$B$7+[1]Parametros!$B$9+[1]Parametros!$B$12/2+[1]Parametros!$B$12+[1]Parametros!$B$10))/Z388)</f>
        <v>489.35</v>
      </c>
      <c r="AC388" s="13">
        <f>Z388*[1]Parametros!$B$8</f>
        <v>995</v>
      </c>
      <c r="AD388" s="13">
        <f>[1]Parametros!$B$5*AC388*[1]Parametros!$B$3*(AB388-(AC388*[1]Parametros!$B$3/(0.85*[1]Parametros!$B$2*H388))/2)/1000000</f>
        <v>177.44537938235294</v>
      </c>
      <c r="AE388" s="13" t="str">
        <f t="shared" ref="AE388:AE451" si="79">IF(AD388&gt;=L388,"CUMPLE","NO CUMPLE")</f>
        <v>CUMPLE</v>
      </c>
      <c r="AF388" s="13">
        <f>V388*1.25*[1]Parametros!$B$3*(U388-(V388*1.25*[1]Parametros!$B$3/(0.85*[1]Parametros!$B$2*H388))/2)/1000000</f>
        <v>244.15884319852941</v>
      </c>
      <c r="AG388" s="13">
        <f>AC388*1.25*[1]Parametros!$B$3*(AB388-(AC388*1.25*[1]Parametros!$B$3/(0.85*[1]Parametros!$B$2*H388))/2)/1000000</f>
        <v>244.15884319852941</v>
      </c>
      <c r="AH388" s="13">
        <f t="shared" ref="AH388:AH451" si="80">N388+(AF388+AG388)/D388</f>
        <v>592.85920710784308</v>
      </c>
      <c r="AI388" s="13">
        <f t="shared" ref="AI388:AI451" si="81">MAX(O388,AH388)</f>
        <v>592.85920710784308</v>
      </c>
      <c r="AJ388" s="13">
        <f>0.17*SQRT([1]Parametros!$B$2)*H388*MIN(U388,AB388)/1000</f>
        <v>220.09872869180776</v>
      </c>
      <c r="AK388" s="13">
        <f>MAX(AI388/[1]Parametros!$B$6-AJ388,0)</f>
        <v>570.38021411864963</v>
      </c>
      <c r="AL388" s="13">
        <f>0.66*SQRT([1]Parametros!$B$2)*H388*MIN(U388,AB388)/1000</f>
        <v>854.500946685842</v>
      </c>
      <c r="AM388" s="13" t="str">
        <f t="shared" ref="AM388:AM451" si="82">IF(AK388&lt;=AL388,"CUMPLE","NO CUMPLE")</f>
        <v>CUMPLE</v>
      </c>
      <c r="AN388" s="13" t="s">
        <v>64</v>
      </c>
      <c r="AO388" s="14">
        <v>4</v>
      </c>
      <c r="AP388" s="13">
        <f>ROUNDDOWN(MIN(IF(BC388+BD388=0,1000000000,AO388*BB388/(BC388+BD388)),MIN(U388,AB388)/4,8*[1]Parametros!$B$12,24*BA388,300,IF(AV388=0,1000000000,2*((H388-2*([1]Parametros!$B$7+[1]Parametros!$B$9/2))+(I388-2*([1]Parametros!$B$7+[1]Parametros!$B$9/2)))/8))/10,0)*10</f>
        <v>80</v>
      </c>
      <c r="AQ388" s="13">
        <f>ROUNDDOWN(MIN(IF(BC388+BD388=0,1000000000,AO388*BB388/(BC388+BD388)),IF(AK388&gt;0.33*SQRT([1]Parametros!$B$2)*H388*MIN(U388,AB388)/1000,MIN(U388,AB388)/4,MIN(U388,AB388)/2),600,IF(AV388=0,1000000000,2*((H388-2*([1]Parametros!$B$7+[1]Parametros!$B$9/2))+(I388-2*([1]Parametros!$B$7+[1]Parametros!$B$9/2)))/8))/10,0)*10</f>
        <v>80</v>
      </c>
      <c r="AR388" s="13">
        <f>[1]Parametros!$B$6*(AJ388+MAX(BE388-BD388,0)*[1]Parametros!$B$4*MIN(U388,AB388)/1000)</f>
        <v>602.4263997970304</v>
      </c>
      <c r="AS388" s="13" t="str">
        <f t="shared" ref="AS388:AS451" si="83">IF(AND(ISERROR(SEARCH("referencia",AN388)),AM388="CUMPLE",AR388&gt;=AI388),"CUMPLE","NO CUMPLE")</f>
        <v>CUMPLE</v>
      </c>
      <c r="AT388" s="13">
        <f>[1]Parametros!$B$6*0.083*SQRT([1]Parametros!$B$2)*(H388*I388)^2/(2*(H388+I388))/1000000</f>
        <v>11.862178757598967</v>
      </c>
      <c r="AU388" s="13" t="str">
        <f t="shared" ref="AU388:AU451" si="84">IF(Q388&lt;=AT388,"DESPRECIABLE","DISEÑAR")</f>
        <v>DISEÑAR</v>
      </c>
      <c r="AV388" s="13">
        <f>IF(Q388&lt;=AT388,0,Q388*1000000/([1]Parametros!$B$6*2*0.85*(H388-2*([1]Parametros!$B$7+[1]Parametros!$B$9/2))*(I388-2*([1]Parametros!$B$7+[1]Parametros!$B$9/2))*[1]Parametros!$B$4))</f>
        <v>0.35636285977617016</v>
      </c>
      <c r="AW388" s="13">
        <f>AV388*2*((H388-2*([1]Parametros!$B$7+[1]Parametros!$B$9/2))+(I388-2*([1]Parametros!$B$7+[1]Parametros!$B$9/2)))*[1]Parametros!$B$4/[1]Parametros!$B$3</f>
        <v>616.22265712495346</v>
      </c>
      <c r="AX388" s="14">
        <v>8</v>
      </c>
      <c r="AY388" s="13" t="str">
        <f t="shared" ref="AY388:AY451" si="85">IF(AV388=0,"DESPRECIABLE",IF(AND(ISERROR(SEARCH("referencia",AN388)),BB388/AP388&gt;=AV388,BI388&gt;=AW388,BH388="CUMPLE"),"CUMPLE","NO CUMPLE"))</f>
        <v>CUMPLE</v>
      </c>
      <c r="AZ388" s="13" t="str">
        <f t="shared" ref="AZ388:AZ451" si="86">IF(AND(X388="CUMPLE",AE388="CUMPLE",AS388="CUMPLE",OR(AY388="CUMPLE",AY388="DESPRECIABLE"),BH388="CUMPLE",BJ388="CUMPLE"),"CUMPLE","NO CUMPLE")</f>
        <v>CUMPLE</v>
      </c>
      <c r="BA388" s="14">
        <v>9.5</v>
      </c>
      <c r="BB388" s="14">
        <v>71</v>
      </c>
      <c r="BC388" s="13">
        <f>MAX(IF(AK388=0,0,AK388*1000/([1]Parametros!$B$4*MIN(U388,AB388))),MAX(0.062*SQRT([1]Parametros!$B$2)*H388/[1]Parametros!$B$4,0.35*H388/[1]Parametros!$B$4))</f>
        <v>2.7752081922017524</v>
      </c>
      <c r="BD388" s="13">
        <f t="shared" ref="BD388:BD451" si="87">2*AV388</f>
        <v>0.71272571955234032</v>
      </c>
      <c r="BE388" s="13">
        <f t="shared" ref="BE388:BE451" si="88">AO388*BB388/AP388</f>
        <v>3.55</v>
      </c>
      <c r="BF388" s="13">
        <f>SQRT((AI388*1000/(H388*MIN(U388,AB388)))^2+(Q388*1000000*2*((H388-2*([1]Parametros!$B$7+[1]Parametros!$B$9/2))+(I388-2*([1]Parametros!$B$7+[1]Parametros!$B$9/2)))/(1.7*((H388-2*([1]Parametros!$B$7+[1]Parametros!$B$9/2))*(I388-2*([1]Parametros!$B$7+[1]Parametros!$B$9/2)))^2))^2)</f>
        <v>2.6376597319691917</v>
      </c>
      <c r="BG388" s="13">
        <f>[1]Parametros!$B$6*(AJ388*1000/(H388*MIN(U388,AB388))+0.66*SQRT([1]Parametros!$B$2))</f>
        <v>3.2939603822754151</v>
      </c>
      <c r="BH388" s="13" t="str">
        <f t="shared" ref="BH388:BH451" si="89">IF(BF388&lt;=BG388,"CUMPLE","NO CUMPLE")</f>
        <v>CUMPLE</v>
      </c>
      <c r="BI388" s="13">
        <f>AX388*[1]Parametros!$B$8</f>
        <v>1592</v>
      </c>
      <c r="BJ388" s="15" t="str">
        <f t="shared" ref="BJ388:BJ451" si="90">IF(BI388&gt;=AW388,"CUMPLE","NO CUMPLE")</f>
        <v>CUMPLE</v>
      </c>
    </row>
    <row r="389" spans="1:62" x14ac:dyDescent="0.3">
      <c r="A389" s="33" t="s">
        <v>76</v>
      </c>
      <c r="B389" s="34">
        <v>192</v>
      </c>
      <c r="C389" s="13">
        <v>1</v>
      </c>
      <c r="D389" s="13">
        <v>0.9</v>
      </c>
      <c r="E389" s="13">
        <v>0.9</v>
      </c>
      <c r="F389" s="13">
        <v>500</v>
      </c>
      <c r="G389" s="13">
        <v>550</v>
      </c>
      <c r="H389" s="13">
        <v>500</v>
      </c>
      <c r="I389" s="13">
        <v>550</v>
      </c>
      <c r="J389" s="14">
        <v>69.427099999999996</v>
      </c>
      <c r="K389" s="13">
        <v>192</v>
      </c>
      <c r="L389" s="14">
        <v>0</v>
      </c>
      <c r="M389" s="13">
        <v>192</v>
      </c>
      <c r="N389" s="14">
        <v>50.281999999999996</v>
      </c>
      <c r="O389" s="14">
        <v>57.249000000000002</v>
      </c>
      <c r="P389" s="13">
        <v>192</v>
      </c>
      <c r="Q389" s="14">
        <v>35.540100000000002</v>
      </c>
      <c r="R389" s="13">
        <f>MAX(MAX(1.4/[1]Parametros!$B$3,0.25*SQRT([1]Parametros!$B$2)/[1]Parametros!$B$3)*H389*U389,(0.85*[1]Parametros!$B$2/[1]Parametros!$B$3)*(1-SQRT(1-2*(J389*1000000/([1]Parametros!$B$5*H389*U389^2))/(0.85*[1]Parametros!$B$2)))*H389*U389)</f>
        <v>815.58333333333326</v>
      </c>
      <c r="S389" s="14">
        <v>5</v>
      </c>
      <c r="T389" s="14">
        <v>1</v>
      </c>
      <c r="U389" s="13">
        <f>IF(T389=1,I389-([1]Parametros!$B$7+[1]Parametros!$B$9+[1]Parametros!$B$12/2),I389-(ROUNDUP(S389/2,0)*([1]Parametros!$B$7+[1]Parametros!$B$9+[1]Parametros!$B$12/2)+ROUNDDOWN(S389/2,0)*([1]Parametros!$B$7+[1]Parametros!$B$9+[1]Parametros!$B$12/2+[1]Parametros!$B$12+[1]Parametros!$B$10))/S389)</f>
        <v>489.35</v>
      </c>
      <c r="V389" s="13">
        <f>S389*[1]Parametros!$B$8</f>
        <v>995</v>
      </c>
      <c r="W389" s="13">
        <f>[1]Parametros!$B$5*V389*[1]Parametros!$B$3*(U389-(V389*[1]Parametros!$B$3/(0.85*[1]Parametros!$B$2*H389))/2)/1000000</f>
        <v>177.44537938235294</v>
      </c>
      <c r="X389" s="13" t="str">
        <f t="shared" si="78"/>
        <v>CUMPLE</v>
      </c>
      <c r="Y389" s="13">
        <f>MAX(MAX(1.4/[1]Parametros!$B$3,0.25*SQRT([1]Parametros!$B$2)/[1]Parametros!$B$3)*H389*AB389,(0.85*[1]Parametros!$B$2/[1]Parametros!$B$3)*(1-SQRT(1-2*(L389*1000000/([1]Parametros!$B$5*H389*AB389^2))/(0.85*[1]Parametros!$B$2)))*H389*AB389)</f>
        <v>815.58333333333326</v>
      </c>
      <c r="Z389" s="14">
        <v>5</v>
      </c>
      <c r="AA389" s="14">
        <v>1</v>
      </c>
      <c r="AB389" s="13">
        <f>IF(AA389=1,I389-([1]Parametros!$B$7+[1]Parametros!$B$9+[1]Parametros!$B$12/2),I389-(ROUNDUP(Z389/2,0)*([1]Parametros!$B$7+[1]Parametros!$B$9+[1]Parametros!$B$12/2)+ROUNDDOWN(Z389/2,0)*([1]Parametros!$B$7+[1]Parametros!$B$9+[1]Parametros!$B$12/2+[1]Parametros!$B$12+[1]Parametros!$B$10))/Z389)</f>
        <v>489.35</v>
      </c>
      <c r="AC389" s="13">
        <f>Z389*[1]Parametros!$B$8</f>
        <v>995</v>
      </c>
      <c r="AD389" s="13">
        <f>[1]Parametros!$B$5*AC389*[1]Parametros!$B$3*(AB389-(AC389*[1]Parametros!$B$3/(0.85*[1]Parametros!$B$2*H389))/2)/1000000</f>
        <v>177.44537938235294</v>
      </c>
      <c r="AE389" s="13" t="str">
        <f t="shared" si="79"/>
        <v>CUMPLE</v>
      </c>
      <c r="AF389" s="13">
        <f>V389*1.25*[1]Parametros!$B$3*(U389-(V389*1.25*[1]Parametros!$B$3/(0.85*[1]Parametros!$B$2*H389))/2)/1000000</f>
        <v>244.15884319852941</v>
      </c>
      <c r="AG389" s="13">
        <f>AC389*1.25*[1]Parametros!$B$3*(AB389-(AC389*1.25*[1]Parametros!$B$3/(0.85*[1]Parametros!$B$2*H389))/2)/1000000</f>
        <v>244.15884319852941</v>
      </c>
      <c r="AH389" s="13">
        <f t="shared" si="80"/>
        <v>592.85720710784312</v>
      </c>
      <c r="AI389" s="13">
        <f t="shared" si="81"/>
        <v>592.85720710784312</v>
      </c>
      <c r="AJ389" s="13">
        <f>0.17*SQRT([1]Parametros!$B$2)*H389*MIN(U389,AB389)/1000</f>
        <v>220.09872869180776</v>
      </c>
      <c r="AK389" s="13">
        <f>MAX(AI389/[1]Parametros!$B$6-AJ389,0)</f>
        <v>570.37754745198311</v>
      </c>
      <c r="AL389" s="13">
        <f>0.66*SQRT([1]Parametros!$B$2)*H389*MIN(U389,AB389)/1000</f>
        <v>854.500946685842</v>
      </c>
      <c r="AM389" s="13" t="str">
        <f t="shared" si="82"/>
        <v>CUMPLE</v>
      </c>
      <c r="AN389" s="13" t="s">
        <v>64</v>
      </c>
      <c r="AO389" s="14">
        <v>4</v>
      </c>
      <c r="AP389" s="13">
        <f>ROUNDDOWN(MIN(IF(BC389+BD389=0,1000000000,AO389*BB389/(BC389+BD389)),MIN(U389,AB389)/4,8*[1]Parametros!$B$12,24*BA389,300,IF(AV389=0,1000000000,2*((H389-2*([1]Parametros!$B$7+[1]Parametros!$B$9/2))+(I389-2*([1]Parametros!$B$7+[1]Parametros!$B$9/2)))/8))/10,0)*10</f>
        <v>80</v>
      </c>
      <c r="AQ389" s="13">
        <f>ROUNDDOWN(MIN(IF(BC389+BD389=0,1000000000,AO389*BB389/(BC389+BD389)),IF(AK389&gt;0.33*SQRT([1]Parametros!$B$2)*H389*MIN(U389,AB389)/1000,MIN(U389,AB389)/4,MIN(U389,AB389)/2),600,IF(AV389=0,1000000000,2*((H389-2*([1]Parametros!$B$7+[1]Parametros!$B$9/2))+(I389-2*([1]Parametros!$B$7+[1]Parametros!$B$9/2)))/8))/10,0)*10</f>
        <v>80</v>
      </c>
      <c r="AR389" s="13">
        <f>[1]Parametros!$B$6*(AJ389+MAX(BE389-BD389,0)*[1]Parametros!$B$4*MIN(U389,AB389)/1000)</f>
        <v>602.43876339990379</v>
      </c>
      <c r="AS389" s="13" t="str">
        <f t="shared" si="83"/>
        <v>CUMPLE</v>
      </c>
      <c r="AT389" s="13">
        <f>[1]Parametros!$B$6*0.083*SQRT([1]Parametros!$B$2)*(H389*I389)^2/(2*(H389+I389))/1000000</f>
        <v>11.862178757598967</v>
      </c>
      <c r="AU389" s="13" t="str">
        <f t="shared" si="84"/>
        <v>DISEÑAR</v>
      </c>
      <c r="AV389" s="13">
        <f>IF(Q389&lt;=AT389,0,Q389*1000000/([1]Parametros!$B$6*2*0.85*(H389-2*([1]Parametros!$B$7+[1]Parametros!$B$9/2))*(I389-2*([1]Parametros!$B$7+[1]Parametros!$B$9/2))*[1]Parametros!$B$4))</f>
        <v>0.35632275603352076</v>
      </c>
      <c r="AW389" s="13">
        <f>AV389*2*((H389-2*([1]Parametros!$B$7+[1]Parametros!$B$9/2))+(I389-2*([1]Parametros!$B$7+[1]Parametros!$B$9/2)))*[1]Parametros!$B$4/[1]Parametros!$B$3</f>
        <v>616.15330973316406</v>
      </c>
      <c r="AX389" s="14">
        <v>8</v>
      </c>
      <c r="AY389" s="13" t="str">
        <f t="shared" si="85"/>
        <v>CUMPLE</v>
      </c>
      <c r="AZ389" s="13" t="str">
        <f t="shared" si="86"/>
        <v>CUMPLE</v>
      </c>
      <c r="BA389" s="14">
        <v>9.5</v>
      </c>
      <c r="BB389" s="14">
        <v>71</v>
      </c>
      <c r="BC389" s="13">
        <f>MAX(IF(AK389=0,0,AK389*1000/([1]Parametros!$B$4*MIN(U389,AB389))),MAX(0.062*SQRT([1]Parametros!$B$2)*H389/[1]Parametros!$B$4,0.35*H389/[1]Parametros!$B$4))</f>
        <v>2.7751952174263388</v>
      </c>
      <c r="BD389" s="13">
        <f t="shared" si="87"/>
        <v>0.71264551206704152</v>
      </c>
      <c r="BE389" s="13">
        <f t="shared" si="88"/>
        <v>3.55</v>
      </c>
      <c r="BF389" s="13">
        <f>SQRT((AI389*1000/(H389*MIN(U389,AB389)))^2+(Q389*1000000*2*((H389-2*([1]Parametros!$B$7+[1]Parametros!$B$9/2))+(I389-2*([1]Parametros!$B$7+[1]Parametros!$B$9/2)))/(1.7*((H389-2*([1]Parametros!$B$7+[1]Parametros!$B$9/2))*(I389-2*([1]Parametros!$B$7+[1]Parametros!$B$9/2)))^2))^2)</f>
        <v>2.6376058868404542</v>
      </c>
      <c r="BG389" s="13">
        <f>[1]Parametros!$B$6*(AJ389*1000/(H389*MIN(U389,AB389))+0.66*SQRT([1]Parametros!$B$2))</f>
        <v>3.2939603822754151</v>
      </c>
      <c r="BH389" s="13" t="str">
        <f t="shared" si="89"/>
        <v>CUMPLE</v>
      </c>
      <c r="BI389" s="13">
        <f>AX389*[1]Parametros!$B$8</f>
        <v>1592</v>
      </c>
      <c r="BJ389" s="15" t="str">
        <f t="shared" si="90"/>
        <v>CUMPLE</v>
      </c>
    </row>
    <row r="390" spans="1:62" x14ac:dyDescent="0.3">
      <c r="A390" s="33" t="s">
        <v>76</v>
      </c>
      <c r="B390" s="34">
        <v>211</v>
      </c>
      <c r="C390" s="13">
        <v>1</v>
      </c>
      <c r="D390" s="13">
        <v>2</v>
      </c>
      <c r="E390" s="13">
        <v>2</v>
      </c>
      <c r="F390" s="13">
        <v>500</v>
      </c>
      <c r="G390" s="13">
        <v>550</v>
      </c>
      <c r="H390" s="13">
        <v>500</v>
      </c>
      <c r="I390" s="13">
        <v>550</v>
      </c>
      <c r="J390" s="14">
        <v>196.5883</v>
      </c>
      <c r="K390" s="13">
        <v>211</v>
      </c>
      <c r="L390" s="14">
        <v>131.03200000000001</v>
      </c>
      <c r="M390" s="13">
        <v>211</v>
      </c>
      <c r="N390" s="14">
        <v>163.84399999999999</v>
      </c>
      <c r="O390" s="14">
        <v>611.79899999999998</v>
      </c>
      <c r="P390" s="13">
        <v>211</v>
      </c>
      <c r="Q390" s="14">
        <v>7.8640999999999996</v>
      </c>
      <c r="R390" s="13">
        <f>MAX(MAX(1.4/[1]Parametros!$B$3,0.25*SQRT([1]Parametros!$B$2)/[1]Parametros!$B$3)*H390*U390,(0.85*[1]Parametros!$B$2/[1]Parametros!$B$3)*(1-SQRT(1-2*(J390*1000000/([1]Parametros!$B$5*H390*U390^2))/(0.85*[1]Parametros!$B$2)))*H390*U390)</f>
        <v>1106.9777656319357</v>
      </c>
      <c r="S390" s="14">
        <v>6</v>
      </c>
      <c r="T390" s="14">
        <v>1</v>
      </c>
      <c r="U390" s="13">
        <f>IF(T390=1,I390-([1]Parametros!$B$7+[1]Parametros!$B$9+[1]Parametros!$B$12/2),I390-(ROUNDUP(S390/2,0)*([1]Parametros!$B$7+[1]Parametros!$B$9+[1]Parametros!$B$12/2)+ROUNDDOWN(S390/2,0)*([1]Parametros!$B$7+[1]Parametros!$B$9+[1]Parametros!$B$12/2+[1]Parametros!$B$12+[1]Parametros!$B$10))/S390)</f>
        <v>489.35</v>
      </c>
      <c r="V390" s="13">
        <f>S390*[1]Parametros!$B$8</f>
        <v>1194</v>
      </c>
      <c r="W390" s="13">
        <f>[1]Parametros!$B$5*V390*[1]Parametros!$B$3*(U390-(V390*[1]Parametros!$B$3/(0.85*[1]Parametros!$B$2*H390))/2)/1000000</f>
        <v>211.34948347058827</v>
      </c>
      <c r="X390" s="13" t="str">
        <f t="shared" si="78"/>
        <v>CUMPLE</v>
      </c>
      <c r="Y390" s="13">
        <f>MAX(MAX(1.4/[1]Parametros!$B$3,0.25*SQRT([1]Parametros!$B$2)/[1]Parametros!$B$3)*H390*AB390,(0.85*[1]Parametros!$B$2/[1]Parametros!$B$3)*(1-SQRT(1-2*(L390*1000000/([1]Parametros!$B$5*H390*AB390^2))/(0.85*[1]Parametros!$B$2)))*H390*AB390)</f>
        <v>815.58333333333326</v>
      </c>
      <c r="Z390" s="14">
        <v>5</v>
      </c>
      <c r="AA390" s="14">
        <v>1</v>
      </c>
      <c r="AB390" s="13">
        <f>IF(AA390=1,I390-([1]Parametros!$B$7+[1]Parametros!$B$9+[1]Parametros!$B$12/2),I390-(ROUNDUP(Z390/2,0)*([1]Parametros!$B$7+[1]Parametros!$B$9+[1]Parametros!$B$12/2)+ROUNDDOWN(Z390/2,0)*([1]Parametros!$B$7+[1]Parametros!$B$9+[1]Parametros!$B$12/2+[1]Parametros!$B$12+[1]Parametros!$B$10))/Z390)</f>
        <v>489.35</v>
      </c>
      <c r="AC390" s="13">
        <f>Z390*[1]Parametros!$B$8</f>
        <v>995</v>
      </c>
      <c r="AD390" s="13">
        <f>[1]Parametros!$B$5*AC390*[1]Parametros!$B$3*(AB390-(AC390*[1]Parametros!$B$3/(0.85*[1]Parametros!$B$2*H390))/2)/1000000</f>
        <v>177.44537938235294</v>
      </c>
      <c r="AE390" s="13" t="str">
        <f t="shared" si="79"/>
        <v>CUMPLE</v>
      </c>
      <c r="AF390" s="13">
        <f>V390*1.25*[1]Parametros!$B$3*(U390-(V390*1.25*[1]Parametros!$B$3/(0.85*[1]Parametros!$B$2*H390))/2)/1000000</f>
        <v>290.23892470588237</v>
      </c>
      <c r="AG390" s="13">
        <f>AC390*1.25*[1]Parametros!$B$3*(AB390-(AC390*1.25*[1]Parametros!$B$3/(0.85*[1]Parametros!$B$2*H390))/2)/1000000</f>
        <v>244.15884319852941</v>
      </c>
      <c r="AH390" s="13">
        <f t="shared" si="80"/>
        <v>431.0428839522059</v>
      </c>
      <c r="AI390" s="13">
        <f t="shared" si="81"/>
        <v>611.79899999999998</v>
      </c>
      <c r="AJ390" s="13">
        <f>0.17*SQRT([1]Parametros!$B$2)*H390*MIN(U390,AB390)/1000</f>
        <v>220.09872869180776</v>
      </c>
      <c r="AK390" s="13">
        <f>MAX(AI390/[1]Parametros!$B$6-AJ390,0)</f>
        <v>595.63327130819221</v>
      </c>
      <c r="AL390" s="13">
        <f>0.66*SQRT([1]Parametros!$B$2)*H390*MIN(U390,AB390)/1000</f>
        <v>854.500946685842</v>
      </c>
      <c r="AM390" s="13" t="str">
        <f t="shared" si="82"/>
        <v>CUMPLE</v>
      </c>
      <c r="AN390" s="13" t="s">
        <v>68</v>
      </c>
      <c r="AO390" s="14">
        <v>2</v>
      </c>
      <c r="AP390" s="13">
        <f>ROUNDDOWN(MIN(IF(BC390+BD390=0,1000000000,AO390*BB390/(BC390+BD390)),MIN(U390,AB390)/4,8*[1]Parametros!$B$12,24*BA390,300,IF(AV390=0,1000000000,2*((H390-2*([1]Parametros!$B$7+[1]Parametros!$B$9/2))+(I390-2*([1]Parametros!$B$7+[1]Parametros!$B$9/2)))/8))/10,0)*10</f>
        <v>80</v>
      </c>
      <c r="AQ390" s="13">
        <f>ROUNDDOWN(MIN(IF(BC390+BD390=0,1000000000,AO390*BB390/(BC390+BD390)),IF(AK390&gt;0.33*SQRT([1]Parametros!$B$2)*H390*MIN(U390,AB390)/1000,MIN(U390,AB390)/4,MIN(U390,AB390)/2),600,IF(AV390=0,1000000000,2*((H390-2*([1]Parametros!$B$7+[1]Parametros!$B$9/2))+(I390-2*([1]Parametros!$B$7+[1]Parametros!$B$9/2)))/8))/10,0)*10</f>
        <v>80</v>
      </c>
      <c r="AR390" s="13">
        <f>[1]Parametros!$B$6*(AJ390+MAX(BE390-BD390,0)*[1]Parametros!$B$4*MIN(U390,AB390)/1000)</f>
        <v>662.19247776885595</v>
      </c>
      <c r="AS390" s="13" t="str">
        <f t="shared" si="83"/>
        <v>CUMPLE</v>
      </c>
      <c r="AT390" s="13">
        <f>[1]Parametros!$B$6*0.083*SQRT([1]Parametros!$B$2)*(H390*I390)^2/(2*(H390+I390))/1000000</f>
        <v>11.862178757598967</v>
      </c>
      <c r="AU390" s="13" t="str">
        <f t="shared" si="84"/>
        <v>DESPRECIABLE</v>
      </c>
      <c r="AV390" s="13">
        <f>IF(Q390&lt;=AT390,0,Q390*1000000/([1]Parametros!$B$6*2*0.85*(H390-2*([1]Parametros!$B$7+[1]Parametros!$B$9/2))*(I390-2*([1]Parametros!$B$7+[1]Parametros!$B$9/2))*[1]Parametros!$B$4))</f>
        <v>0</v>
      </c>
      <c r="AW390" s="13">
        <f>AV390*2*((H390-2*([1]Parametros!$B$7+[1]Parametros!$B$9/2))+(I390-2*([1]Parametros!$B$7+[1]Parametros!$B$9/2)))*[1]Parametros!$B$4/[1]Parametros!$B$3</f>
        <v>0</v>
      </c>
      <c r="AX390" s="14">
        <v>0</v>
      </c>
      <c r="AY390" s="13" t="str">
        <f t="shared" si="85"/>
        <v>DESPRECIABLE</v>
      </c>
      <c r="AZ390" s="13" t="str">
        <f t="shared" si="86"/>
        <v>CUMPLE</v>
      </c>
      <c r="BA390" s="14">
        <v>12.7</v>
      </c>
      <c r="BB390" s="14">
        <v>129</v>
      </c>
      <c r="BC390" s="13">
        <f>MAX(IF(AK390=0,0,AK390*1000/([1]Parametros!$B$4*MIN(U390,AB390))),MAX(0.062*SQRT([1]Parametros!$B$2)*H390/[1]Parametros!$B$4,0.35*H390/[1]Parametros!$B$4))</f>
        <v>2.8980779717905296</v>
      </c>
      <c r="BD390" s="13">
        <f t="shared" si="87"/>
        <v>0</v>
      </c>
      <c r="BE390" s="13">
        <f t="shared" si="88"/>
        <v>3.2250000000000001</v>
      </c>
      <c r="BF390" s="13">
        <f>SQRT((AI390*1000/(H390*MIN(U390,AB390)))^2+(Q390*1000000*2*((H390-2*([1]Parametros!$B$7+[1]Parametros!$B$9/2))+(I390-2*([1]Parametros!$B$7+[1]Parametros!$B$9/2)))/(1.7*((H390-2*([1]Parametros!$B$7+[1]Parametros!$B$9/2))*(I390-2*([1]Parametros!$B$7+[1]Parametros!$B$9/2)))^2))^2)</f>
        <v>2.5110643230336778</v>
      </c>
      <c r="BG390" s="13">
        <f>[1]Parametros!$B$6*(AJ390*1000/(H390*MIN(U390,AB390))+0.66*SQRT([1]Parametros!$B$2))</f>
        <v>3.2939603822754151</v>
      </c>
      <c r="BH390" s="13" t="str">
        <f t="shared" si="89"/>
        <v>CUMPLE</v>
      </c>
      <c r="BI390" s="13">
        <f>AX390*[1]Parametros!$B$8</f>
        <v>0</v>
      </c>
      <c r="BJ390" s="15" t="str">
        <f t="shared" si="90"/>
        <v>CUMPLE</v>
      </c>
    </row>
    <row r="391" spans="1:62" x14ac:dyDescent="0.3">
      <c r="A391" s="33" t="s">
        <v>76</v>
      </c>
      <c r="B391" s="34">
        <v>212</v>
      </c>
      <c r="C391" s="13">
        <v>1</v>
      </c>
      <c r="D391" s="13">
        <v>3.05308</v>
      </c>
      <c r="E391" s="13">
        <v>3.05308</v>
      </c>
      <c r="F391" s="13">
        <v>500</v>
      </c>
      <c r="G391" s="13">
        <v>550</v>
      </c>
      <c r="H391" s="13">
        <v>500</v>
      </c>
      <c r="I391" s="13">
        <v>550</v>
      </c>
      <c r="J391" s="14">
        <v>181.37190000000001</v>
      </c>
      <c r="K391" s="13">
        <v>212</v>
      </c>
      <c r="L391" s="14">
        <v>118.9285</v>
      </c>
      <c r="M391" s="13">
        <v>212</v>
      </c>
      <c r="N391" s="14">
        <v>137.43100000000001</v>
      </c>
      <c r="O391" s="14">
        <v>412.13900000000001</v>
      </c>
      <c r="P391" s="13">
        <v>212</v>
      </c>
      <c r="Q391" s="14">
        <v>50.0627</v>
      </c>
      <c r="R391" s="13">
        <f>MAX(MAX(1.4/[1]Parametros!$B$3,0.25*SQRT([1]Parametros!$B$2)/[1]Parametros!$B$3)*H391*U391,(0.85*[1]Parametros!$B$2/[1]Parametros!$B$3)*(1-SQRT(1-2*(J391*1000000/([1]Parametros!$B$5*H391*U391^2))/(0.85*[1]Parametros!$B$2)))*H391*U391)</f>
        <v>1017.8888715570093</v>
      </c>
      <c r="S391" s="14">
        <v>6</v>
      </c>
      <c r="T391" s="14">
        <v>1</v>
      </c>
      <c r="U391" s="13">
        <f>IF(T391=1,I391-([1]Parametros!$B$7+[1]Parametros!$B$9+[1]Parametros!$B$12/2),I391-(ROUNDUP(S391/2,0)*([1]Parametros!$B$7+[1]Parametros!$B$9+[1]Parametros!$B$12/2)+ROUNDDOWN(S391/2,0)*([1]Parametros!$B$7+[1]Parametros!$B$9+[1]Parametros!$B$12/2+[1]Parametros!$B$12+[1]Parametros!$B$10))/S391)</f>
        <v>489.35</v>
      </c>
      <c r="V391" s="13">
        <f>S391*[1]Parametros!$B$8</f>
        <v>1194</v>
      </c>
      <c r="W391" s="13">
        <f>[1]Parametros!$B$5*V391*[1]Parametros!$B$3*(U391-(V391*[1]Parametros!$B$3/(0.85*[1]Parametros!$B$2*H391))/2)/1000000</f>
        <v>211.34948347058827</v>
      </c>
      <c r="X391" s="13" t="str">
        <f t="shared" si="78"/>
        <v>CUMPLE</v>
      </c>
      <c r="Y391" s="13">
        <f>MAX(MAX(1.4/[1]Parametros!$B$3,0.25*SQRT([1]Parametros!$B$2)/[1]Parametros!$B$3)*H391*AB391,(0.85*[1]Parametros!$B$2/[1]Parametros!$B$3)*(1-SQRT(1-2*(L391*1000000/([1]Parametros!$B$5*H391*AB391^2))/(0.85*[1]Parametros!$B$2)))*H391*AB391)</f>
        <v>815.58333333333326</v>
      </c>
      <c r="Z391" s="14">
        <v>5</v>
      </c>
      <c r="AA391" s="14">
        <v>1</v>
      </c>
      <c r="AB391" s="13">
        <f>IF(AA391=1,I391-([1]Parametros!$B$7+[1]Parametros!$B$9+[1]Parametros!$B$12/2),I391-(ROUNDUP(Z391/2,0)*([1]Parametros!$B$7+[1]Parametros!$B$9+[1]Parametros!$B$12/2)+ROUNDDOWN(Z391/2,0)*([1]Parametros!$B$7+[1]Parametros!$B$9+[1]Parametros!$B$12/2+[1]Parametros!$B$12+[1]Parametros!$B$10))/Z391)</f>
        <v>489.35</v>
      </c>
      <c r="AC391" s="13">
        <f>Z391*[1]Parametros!$B$8</f>
        <v>995</v>
      </c>
      <c r="AD391" s="13">
        <f>[1]Parametros!$B$5*AC391*[1]Parametros!$B$3*(AB391-(AC391*[1]Parametros!$B$3/(0.85*[1]Parametros!$B$2*H391))/2)/1000000</f>
        <v>177.44537938235294</v>
      </c>
      <c r="AE391" s="13" t="str">
        <f t="shared" si="79"/>
        <v>CUMPLE</v>
      </c>
      <c r="AF391" s="13">
        <f>V391*1.25*[1]Parametros!$B$3*(U391-(V391*1.25*[1]Parametros!$B$3/(0.85*[1]Parametros!$B$2*H391))/2)/1000000</f>
        <v>290.23892470588237</v>
      </c>
      <c r="AG391" s="13">
        <f>AC391*1.25*[1]Parametros!$B$3*(AB391-(AC391*1.25*[1]Parametros!$B$3/(0.85*[1]Parametros!$B$2*H391))/2)/1000000</f>
        <v>244.15884319852941</v>
      </c>
      <c r="AH391" s="13">
        <f t="shared" si="80"/>
        <v>312.46662563195588</v>
      </c>
      <c r="AI391" s="13">
        <f t="shared" si="81"/>
        <v>412.13900000000001</v>
      </c>
      <c r="AJ391" s="13">
        <f>0.17*SQRT([1]Parametros!$B$2)*H391*MIN(U391,AB391)/1000</f>
        <v>220.09872869180776</v>
      </c>
      <c r="AK391" s="13">
        <f>MAX(AI391/[1]Parametros!$B$6-AJ391,0)</f>
        <v>329.41993797485895</v>
      </c>
      <c r="AL391" s="13">
        <f>0.66*SQRT([1]Parametros!$B$2)*H391*MIN(U391,AB391)/1000</f>
        <v>854.500946685842</v>
      </c>
      <c r="AM391" s="13" t="str">
        <f t="shared" si="82"/>
        <v>CUMPLE</v>
      </c>
      <c r="AN391" s="13" t="s">
        <v>68</v>
      </c>
      <c r="AO391" s="14">
        <v>2</v>
      </c>
      <c r="AP391" s="13">
        <f>ROUNDDOWN(MIN(IF(BC391+BD391=0,1000000000,AO391*BB391/(BC391+BD391)),MIN(U391,AB391)/4,8*[1]Parametros!$B$12,24*BA391,300,IF(AV391=0,1000000000,2*((H391-2*([1]Parametros!$B$7+[1]Parametros!$B$9/2))+(I391-2*([1]Parametros!$B$7+[1]Parametros!$B$9/2)))/8))/10,0)*10</f>
        <v>90</v>
      </c>
      <c r="AQ391" s="13">
        <f>ROUNDDOWN(MIN(IF(BC391+BD391=0,1000000000,AO391*BB391/(BC391+BD391)),IF(AK391&gt;0.33*SQRT([1]Parametros!$B$2)*H391*MIN(U391,AB391)/1000,MIN(U391,AB391)/4,MIN(U391,AB391)/2),600,IF(AV391=0,1000000000,2*((H391-2*([1]Parametros!$B$7+[1]Parametros!$B$9/2))+(I391-2*([1]Parametros!$B$7+[1]Parametros!$B$9/2)))/8))/10,0)*10</f>
        <v>90</v>
      </c>
      <c r="AR391" s="13">
        <f>[1]Parametros!$B$6*(AJ391+MAX(BE391-BD391,0)*[1]Parametros!$B$4*MIN(U391,AB391)/1000)</f>
        <v>452.21826112811647</v>
      </c>
      <c r="AS391" s="13" t="str">
        <f t="shared" si="83"/>
        <v>CUMPLE</v>
      </c>
      <c r="AT391" s="13">
        <f>[1]Parametros!$B$6*0.083*SQRT([1]Parametros!$B$2)*(H391*I391)^2/(2*(H391+I391))/1000000</f>
        <v>11.862178757598967</v>
      </c>
      <c r="AU391" s="13" t="str">
        <f t="shared" si="84"/>
        <v>DISEÑAR</v>
      </c>
      <c r="AV391" s="13">
        <f>IF(Q391&lt;=AT391,0,Q391*1000000/([1]Parametros!$B$6*2*0.85*(H391-2*([1]Parametros!$B$7+[1]Parametros!$B$9/2))*(I391-2*([1]Parametros!$B$7+[1]Parametros!$B$9/2))*[1]Parametros!$B$4))</f>
        <v>0.50192540928357932</v>
      </c>
      <c r="AW391" s="13">
        <f>AV391*2*((H391-2*([1]Parametros!$B$7+[1]Parametros!$B$9/2))+(I391-2*([1]Parametros!$B$7+[1]Parametros!$B$9/2)))*[1]Parametros!$B$4/[1]Parametros!$B$3</f>
        <v>867.92941773316545</v>
      </c>
      <c r="AX391" s="14">
        <v>8</v>
      </c>
      <c r="AY391" s="13" t="str">
        <f t="shared" si="85"/>
        <v>CUMPLE</v>
      </c>
      <c r="AZ391" s="13" t="str">
        <f t="shared" si="86"/>
        <v>CUMPLE</v>
      </c>
      <c r="BA391" s="14">
        <v>12.7</v>
      </c>
      <c r="BB391" s="14">
        <v>129</v>
      </c>
      <c r="BC391" s="13">
        <f>MAX(IF(AK391=0,0,AK391*1000/([1]Parametros!$B$4*MIN(U391,AB391))),MAX(0.062*SQRT([1]Parametros!$B$2)*H391/[1]Parametros!$B$4,0.35*H391/[1]Parametros!$B$4))</f>
        <v>1.6028061421363566</v>
      </c>
      <c r="BD391" s="13">
        <f t="shared" si="87"/>
        <v>1.0038508185671586</v>
      </c>
      <c r="BE391" s="13">
        <f t="shared" si="88"/>
        <v>2.8666666666666667</v>
      </c>
      <c r="BF391" s="13">
        <f>SQRT((AI391*1000/(H391*MIN(U391,AB391)))^2+(Q391*1000000*2*((H391-2*([1]Parametros!$B$7+[1]Parametros!$B$9/2))+(I391-2*([1]Parametros!$B$7+[1]Parametros!$B$9/2)))/(1.7*((H391-2*([1]Parametros!$B$7+[1]Parametros!$B$9/2))*(I391-2*([1]Parametros!$B$7+[1]Parametros!$B$9/2)))^2))^2)</f>
        <v>2.2342515460494852</v>
      </c>
      <c r="BG391" s="13">
        <f>[1]Parametros!$B$6*(AJ391*1000/(H391*MIN(U391,AB391))+0.66*SQRT([1]Parametros!$B$2))</f>
        <v>3.2939603822754151</v>
      </c>
      <c r="BH391" s="13" t="str">
        <f t="shared" si="89"/>
        <v>CUMPLE</v>
      </c>
      <c r="BI391" s="13">
        <f>AX391*[1]Parametros!$B$8</f>
        <v>1592</v>
      </c>
      <c r="BJ391" s="15" t="str">
        <f t="shared" si="90"/>
        <v>CUMPLE</v>
      </c>
    </row>
    <row r="392" spans="1:62" x14ac:dyDescent="0.3">
      <c r="A392" s="33" t="s">
        <v>76</v>
      </c>
      <c r="B392" s="34">
        <v>213</v>
      </c>
      <c r="C392" s="13">
        <v>1</v>
      </c>
      <c r="D392" s="13">
        <v>2</v>
      </c>
      <c r="E392" s="13">
        <v>2</v>
      </c>
      <c r="F392" s="13">
        <v>500</v>
      </c>
      <c r="G392" s="13">
        <v>550</v>
      </c>
      <c r="H392" s="13">
        <v>500</v>
      </c>
      <c r="I392" s="13">
        <v>550</v>
      </c>
      <c r="J392" s="14">
        <v>178.96729999999999</v>
      </c>
      <c r="K392" s="13">
        <v>213</v>
      </c>
      <c r="L392" s="14">
        <v>133.08519999999999</v>
      </c>
      <c r="M392" s="13">
        <v>213</v>
      </c>
      <c r="N392" s="14">
        <v>165.55500000000001</v>
      </c>
      <c r="O392" s="14">
        <v>626.30700000000002</v>
      </c>
      <c r="P392" s="13">
        <v>213</v>
      </c>
      <c r="Q392" s="14">
        <v>43.271599999999999</v>
      </c>
      <c r="R392" s="13">
        <f>MAX(MAX(1.4/[1]Parametros!$B$3,0.25*SQRT([1]Parametros!$B$2)/[1]Parametros!$B$3)*H392*U392,(0.85*[1]Parametros!$B$2/[1]Parametros!$B$3)*(1-SQRT(1-2*(J392*1000000/([1]Parametros!$B$5*H392*U392^2))/(0.85*[1]Parametros!$B$2)))*H392*U392)</f>
        <v>1003.8668991529455</v>
      </c>
      <c r="S392" s="14">
        <v>6</v>
      </c>
      <c r="T392" s="14">
        <v>1</v>
      </c>
      <c r="U392" s="13">
        <f>IF(T392=1,I392-([1]Parametros!$B$7+[1]Parametros!$B$9+[1]Parametros!$B$12/2),I392-(ROUNDUP(S392/2,0)*([1]Parametros!$B$7+[1]Parametros!$B$9+[1]Parametros!$B$12/2)+ROUNDDOWN(S392/2,0)*([1]Parametros!$B$7+[1]Parametros!$B$9+[1]Parametros!$B$12/2+[1]Parametros!$B$12+[1]Parametros!$B$10))/S392)</f>
        <v>489.35</v>
      </c>
      <c r="V392" s="13">
        <f>S392*[1]Parametros!$B$8</f>
        <v>1194</v>
      </c>
      <c r="W392" s="13">
        <f>[1]Parametros!$B$5*V392*[1]Parametros!$B$3*(U392-(V392*[1]Parametros!$B$3/(0.85*[1]Parametros!$B$2*H392))/2)/1000000</f>
        <v>211.34948347058827</v>
      </c>
      <c r="X392" s="13" t="str">
        <f t="shared" si="78"/>
        <v>CUMPLE</v>
      </c>
      <c r="Y392" s="13">
        <f>MAX(MAX(1.4/[1]Parametros!$B$3,0.25*SQRT([1]Parametros!$B$2)/[1]Parametros!$B$3)*H392*AB392,(0.85*[1]Parametros!$B$2/[1]Parametros!$B$3)*(1-SQRT(1-2*(L392*1000000/([1]Parametros!$B$5*H392*AB392^2))/(0.85*[1]Parametros!$B$2)))*H392*AB392)</f>
        <v>815.58333333333326</v>
      </c>
      <c r="Z392" s="14">
        <v>5</v>
      </c>
      <c r="AA392" s="14">
        <v>1</v>
      </c>
      <c r="AB392" s="13">
        <f>IF(AA392=1,I392-([1]Parametros!$B$7+[1]Parametros!$B$9+[1]Parametros!$B$12/2),I392-(ROUNDUP(Z392/2,0)*([1]Parametros!$B$7+[1]Parametros!$B$9+[1]Parametros!$B$12/2)+ROUNDDOWN(Z392/2,0)*([1]Parametros!$B$7+[1]Parametros!$B$9+[1]Parametros!$B$12/2+[1]Parametros!$B$12+[1]Parametros!$B$10))/Z392)</f>
        <v>489.35</v>
      </c>
      <c r="AC392" s="13">
        <f>Z392*[1]Parametros!$B$8</f>
        <v>995</v>
      </c>
      <c r="AD392" s="13">
        <f>[1]Parametros!$B$5*AC392*[1]Parametros!$B$3*(AB392-(AC392*[1]Parametros!$B$3/(0.85*[1]Parametros!$B$2*H392))/2)/1000000</f>
        <v>177.44537938235294</v>
      </c>
      <c r="AE392" s="13" t="str">
        <f t="shared" si="79"/>
        <v>CUMPLE</v>
      </c>
      <c r="AF392" s="13">
        <f>V392*1.25*[1]Parametros!$B$3*(U392-(V392*1.25*[1]Parametros!$B$3/(0.85*[1]Parametros!$B$2*H392))/2)/1000000</f>
        <v>290.23892470588237</v>
      </c>
      <c r="AG392" s="13">
        <f>AC392*1.25*[1]Parametros!$B$3*(AB392-(AC392*1.25*[1]Parametros!$B$3/(0.85*[1]Parametros!$B$2*H392))/2)/1000000</f>
        <v>244.15884319852941</v>
      </c>
      <c r="AH392" s="13">
        <f t="shared" si="80"/>
        <v>432.75388395220591</v>
      </c>
      <c r="AI392" s="13">
        <f t="shared" si="81"/>
        <v>626.30700000000002</v>
      </c>
      <c r="AJ392" s="13">
        <f>0.17*SQRT([1]Parametros!$B$2)*H392*MIN(U392,AB392)/1000</f>
        <v>220.09872869180776</v>
      </c>
      <c r="AK392" s="13">
        <f>MAX(AI392/[1]Parametros!$B$6-AJ392,0)</f>
        <v>614.97727130819226</v>
      </c>
      <c r="AL392" s="13">
        <f>0.66*SQRT([1]Parametros!$B$2)*H392*MIN(U392,AB392)/1000</f>
        <v>854.500946685842</v>
      </c>
      <c r="AM392" s="13" t="str">
        <f t="shared" si="82"/>
        <v>CUMPLE</v>
      </c>
      <c r="AN392" s="13" t="s">
        <v>68</v>
      </c>
      <c r="AO392" s="14">
        <v>4</v>
      </c>
      <c r="AP392" s="13">
        <f>ROUNDDOWN(MIN(IF(BC392+BD392=0,1000000000,AO392*BB392/(BC392+BD392)),MIN(U392,AB392)/4,8*[1]Parametros!$B$12,24*BA392,300,IF(AV392=0,1000000000,2*((H392-2*([1]Parametros!$B$7+[1]Parametros!$B$9/2))+(I392-2*([1]Parametros!$B$7+[1]Parametros!$B$9/2)))/8))/10,0)*10</f>
        <v>120</v>
      </c>
      <c r="AQ392" s="13">
        <f>ROUNDDOWN(MIN(IF(BC392+BD392=0,1000000000,AO392*BB392/(BC392+BD392)),IF(AK392&gt;0.33*SQRT([1]Parametros!$B$2)*H392*MIN(U392,AB392)/1000,MIN(U392,AB392)/4,MIN(U392,AB392)/2),600,IF(AV392=0,1000000000,2*((H392-2*([1]Parametros!$B$7+[1]Parametros!$B$9/2))+(I392-2*([1]Parametros!$B$7+[1]Parametros!$B$9/2)))/8))/10,0)*10</f>
        <v>120</v>
      </c>
      <c r="AR392" s="13">
        <f>[1]Parametros!$B$6*(AJ392+MAX(BE392-BD392,0)*[1]Parametros!$B$4*MIN(U392,AB392)/1000)</f>
        <v>694.15040199625878</v>
      </c>
      <c r="AS392" s="13" t="str">
        <f t="shared" si="83"/>
        <v>CUMPLE</v>
      </c>
      <c r="AT392" s="13">
        <f>[1]Parametros!$B$6*0.083*SQRT([1]Parametros!$B$2)*(H392*I392)^2/(2*(H392+I392))/1000000</f>
        <v>11.862178757598967</v>
      </c>
      <c r="AU392" s="13" t="str">
        <f t="shared" si="84"/>
        <v>DISEÑAR</v>
      </c>
      <c r="AV392" s="13">
        <f>IF(Q392&lt;=AT392,0,Q392*1000000/([1]Parametros!$B$6*2*0.85*(H392-2*([1]Parametros!$B$7+[1]Parametros!$B$9/2))*(I392-2*([1]Parametros!$B$7+[1]Parametros!$B$9/2))*[1]Parametros!$B$4))</f>
        <v>0.43383827760698751</v>
      </c>
      <c r="AW392" s="13">
        <f>AV392*2*((H392-2*([1]Parametros!$B$7+[1]Parametros!$B$9/2))+(I392-2*([1]Parametros!$B$7+[1]Parametros!$B$9/2)))*[1]Parametros!$B$4/[1]Parametros!$B$3</f>
        <v>750.19314963800286</v>
      </c>
      <c r="AX392" s="14">
        <v>8</v>
      </c>
      <c r="AY392" s="13" t="str">
        <f t="shared" si="85"/>
        <v>CUMPLE</v>
      </c>
      <c r="AZ392" s="13" t="str">
        <f t="shared" si="86"/>
        <v>CUMPLE</v>
      </c>
      <c r="BA392" s="14">
        <v>12.7</v>
      </c>
      <c r="BB392" s="14">
        <v>129</v>
      </c>
      <c r="BC392" s="13">
        <f>MAX(IF(AK392=0,0,AK392*1000/([1]Parametros!$B$4*MIN(U392,AB392))),MAX(0.062*SQRT([1]Parametros!$B$2)*H392/[1]Parametros!$B$4,0.35*H392/[1]Parametros!$B$4))</f>
        <v>2.9921969926491037</v>
      </c>
      <c r="BD392" s="13">
        <f t="shared" si="87"/>
        <v>0.86767655521397502</v>
      </c>
      <c r="BE392" s="13">
        <f t="shared" si="88"/>
        <v>4.3</v>
      </c>
      <c r="BF392" s="13">
        <f>SQRT((AI392*1000/(H392*MIN(U392,AB392)))^2+(Q392*1000000*2*((H392-2*([1]Parametros!$B$7+[1]Parametros!$B$9/2))+(I392-2*([1]Parametros!$B$7+[1]Parametros!$B$9/2)))/(1.7*((H392-2*([1]Parametros!$B$7+[1]Parametros!$B$9/2))*(I392-2*([1]Parametros!$B$7+[1]Parametros!$B$9/2)))^2))^2)</f>
        <v>2.8569197945938702</v>
      </c>
      <c r="BG392" s="13">
        <f>[1]Parametros!$B$6*(AJ392*1000/(H392*MIN(U392,AB392))+0.66*SQRT([1]Parametros!$B$2))</f>
        <v>3.2939603822754151</v>
      </c>
      <c r="BH392" s="13" t="str">
        <f t="shared" si="89"/>
        <v>CUMPLE</v>
      </c>
      <c r="BI392" s="13">
        <f>AX392*[1]Parametros!$B$8</f>
        <v>1592</v>
      </c>
      <c r="BJ392" s="15" t="str">
        <f t="shared" si="90"/>
        <v>CUMPLE</v>
      </c>
    </row>
    <row r="393" spans="1:62" x14ac:dyDescent="0.3">
      <c r="A393" s="33" t="s">
        <v>76</v>
      </c>
      <c r="B393" s="34">
        <v>214</v>
      </c>
      <c r="C393" s="13">
        <v>1</v>
      </c>
      <c r="D393" s="13">
        <v>1.9</v>
      </c>
      <c r="E393" s="13">
        <v>1.9</v>
      </c>
      <c r="F393" s="13">
        <v>500</v>
      </c>
      <c r="G393" s="13">
        <v>550</v>
      </c>
      <c r="H393" s="13">
        <v>500</v>
      </c>
      <c r="I393" s="13">
        <v>550</v>
      </c>
      <c r="J393" s="14">
        <v>166.23349999999999</v>
      </c>
      <c r="K393" s="13">
        <v>214</v>
      </c>
      <c r="L393" s="14">
        <v>136.20339999999999</v>
      </c>
      <c r="M393" s="13">
        <v>214</v>
      </c>
      <c r="N393" s="14">
        <v>157.59800000000001</v>
      </c>
      <c r="O393" s="14">
        <v>599.55499999999995</v>
      </c>
      <c r="P393" s="13">
        <v>214</v>
      </c>
      <c r="Q393" s="14">
        <v>18.867000000000001</v>
      </c>
      <c r="R393" s="13">
        <f>MAX(MAX(1.4/[1]Parametros!$B$3,0.25*SQRT([1]Parametros!$B$2)/[1]Parametros!$B$3)*H393*U393,(0.85*[1]Parametros!$B$2/[1]Parametros!$B$3)*(1-SQRT(1-2*(J393*1000000/([1]Parametros!$B$5*H393*U393^2))/(0.85*[1]Parametros!$B$2)))*H393*U393)</f>
        <v>929.86551824008541</v>
      </c>
      <c r="S393" s="14">
        <v>5</v>
      </c>
      <c r="T393" s="14">
        <v>1</v>
      </c>
      <c r="U393" s="13">
        <f>IF(T393=1,I393-([1]Parametros!$B$7+[1]Parametros!$B$9+[1]Parametros!$B$12/2),I393-(ROUNDUP(S393/2,0)*([1]Parametros!$B$7+[1]Parametros!$B$9+[1]Parametros!$B$12/2)+ROUNDDOWN(S393/2,0)*([1]Parametros!$B$7+[1]Parametros!$B$9+[1]Parametros!$B$12/2+[1]Parametros!$B$12+[1]Parametros!$B$10))/S393)</f>
        <v>489.35</v>
      </c>
      <c r="V393" s="13">
        <f>S393*[1]Parametros!$B$8</f>
        <v>995</v>
      </c>
      <c r="W393" s="13">
        <f>[1]Parametros!$B$5*V393*[1]Parametros!$B$3*(U393-(V393*[1]Parametros!$B$3/(0.85*[1]Parametros!$B$2*H393))/2)/1000000</f>
        <v>177.44537938235294</v>
      </c>
      <c r="X393" s="13" t="str">
        <f t="shared" si="78"/>
        <v>CUMPLE</v>
      </c>
      <c r="Y393" s="13">
        <f>MAX(MAX(1.4/[1]Parametros!$B$3,0.25*SQRT([1]Parametros!$B$2)/[1]Parametros!$B$3)*H393*AB393,(0.85*[1]Parametros!$B$2/[1]Parametros!$B$3)*(1-SQRT(1-2*(L393*1000000/([1]Parametros!$B$5*H393*AB393^2))/(0.85*[1]Parametros!$B$2)))*H393*AB393)</f>
        <v>815.58333333333326</v>
      </c>
      <c r="Z393" s="14">
        <v>5</v>
      </c>
      <c r="AA393" s="14">
        <v>1</v>
      </c>
      <c r="AB393" s="13">
        <f>IF(AA393=1,I393-([1]Parametros!$B$7+[1]Parametros!$B$9+[1]Parametros!$B$12/2),I393-(ROUNDUP(Z393/2,0)*([1]Parametros!$B$7+[1]Parametros!$B$9+[1]Parametros!$B$12/2)+ROUNDDOWN(Z393/2,0)*([1]Parametros!$B$7+[1]Parametros!$B$9+[1]Parametros!$B$12/2+[1]Parametros!$B$12+[1]Parametros!$B$10))/Z393)</f>
        <v>489.35</v>
      </c>
      <c r="AC393" s="13">
        <f>Z393*[1]Parametros!$B$8</f>
        <v>995</v>
      </c>
      <c r="AD393" s="13">
        <f>[1]Parametros!$B$5*AC393*[1]Parametros!$B$3*(AB393-(AC393*[1]Parametros!$B$3/(0.85*[1]Parametros!$B$2*H393))/2)/1000000</f>
        <v>177.44537938235294</v>
      </c>
      <c r="AE393" s="13" t="str">
        <f t="shared" si="79"/>
        <v>CUMPLE</v>
      </c>
      <c r="AF393" s="13">
        <f>V393*1.25*[1]Parametros!$B$3*(U393-(V393*1.25*[1]Parametros!$B$3/(0.85*[1]Parametros!$B$2*H393))/2)/1000000</f>
        <v>244.15884319852941</v>
      </c>
      <c r="AG393" s="13">
        <f>AC393*1.25*[1]Parametros!$B$3*(AB393-(AC393*1.25*[1]Parametros!$B$3/(0.85*[1]Parametros!$B$2*H393))/2)/1000000</f>
        <v>244.15884319852941</v>
      </c>
      <c r="AH393" s="13">
        <f t="shared" si="80"/>
        <v>414.60730863003096</v>
      </c>
      <c r="AI393" s="13">
        <f t="shared" si="81"/>
        <v>599.55499999999995</v>
      </c>
      <c r="AJ393" s="13">
        <f>0.17*SQRT([1]Parametros!$B$2)*H393*MIN(U393,AB393)/1000</f>
        <v>220.09872869180776</v>
      </c>
      <c r="AK393" s="13">
        <f>MAX(AI393/[1]Parametros!$B$6-AJ393,0)</f>
        <v>579.30793797485887</v>
      </c>
      <c r="AL393" s="13">
        <f>0.66*SQRT([1]Parametros!$B$2)*H393*MIN(U393,AB393)/1000</f>
        <v>854.500946685842</v>
      </c>
      <c r="AM393" s="13" t="str">
        <f t="shared" si="82"/>
        <v>CUMPLE</v>
      </c>
      <c r="AN393" s="13" t="s">
        <v>68</v>
      </c>
      <c r="AO393" s="14">
        <v>2</v>
      </c>
      <c r="AP393" s="13">
        <f>ROUNDDOWN(MIN(IF(BC393+BD393=0,1000000000,AO393*BB393/(BC393+BD393)),MIN(U393,AB393)/4,8*[1]Parametros!$B$12,24*BA393,300,IF(AV393=0,1000000000,2*((H393-2*([1]Parametros!$B$7+[1]Parametros!$B$9/2))+(I393-2*([1]Parametros!$B$7+[1]Parametros!$B$9/2)))/8))/10,0)*10</f>
        <v>80</v>
      </c>
      <c r="AQ393" s="13">
        <f>ROUNDDOWN(MIN(IF(BC393+BD393=0,1000000000,AO393*BB393/(BC393+BD393)),IF(AK393&gt;0.33*SQRT([1]Parametros!$B$2)*H393*MIN(U393,AB393)/1000,MIN(U393,AB393)/4,MIN(U393,AB393)/2),600,IF(AV393=0,1000000000,2*((H393-2*([1]Parametros!$B$7+[1]Parametros!$B$9/2))+(I393-2*([1]Parametros!$B$7+[1]Parametros!$B$9/2)))/8))/10,0)*10</f>
        <v>80</v>
      </c>
      <c r="AR393" s="13">
        <f>[1]Parametros!$B$6*(AJ393+MAX(BE393-BD393,0)*[1]Parametros!$B$4*MIN(U393,AB393)/1000)</f>
        <v>603.87645391642525</v>
      </c>
      <c r="AS393" s="13" t="str">
        <f t="shared" si="83"/>
        <v>CUMPLE</v>
      </c>
      <c r="AT393" s="13">
        <f>[1]Parametros!$B$6*0.083*SQRT([1]Parametros!$B$2)*(H393*I393)^2/(2*(H393+I393))/1000000</f>
        <v>11.862178757598967</v>
      </c>
      <c r="AU393" s="13" t="str">
        <f t="shared" si="84"/>
        <v>DISEÑAR</v>
      </c>
      <c r="AV393" s="13">
        <f>IF(Q393&lt;=AT393,0,Q393*1000000/([1]Parametros!$B$6*2*0.85*(H393-2*([1]Parametros!$B$7+[1]Parametros!$B$9/2))*(I393-2*([1]Parametros!$B$7+[1]Parametros!$B$9/2))*[1]Parametros!$B$4))</f>
        <v>0.18915932814157629</v>
      </c>
      <c r="AW393" s="13">
        <f>AV393*2*((H393-2*([1]Parametros!$B$7+[1]Parametros!$B$9/2))+(I393-2*([1]Parametros!$B$7+[1]Parametros!$B$9/2)))*[1]Parametros!$B$4/[1]Parametros!$B$3</f>
        <v>327.09431022241375</v>
      </c>
      <c r="AX393" s="14">
        <v>8</v>
      </c>
      <c r="AY393" s="13" t="str">
        <f t="shared" si="85"/>
        <v>CUMPLE</v>
      </c>
      <c r="AZ393" s="13" t="str">
        <f t="shared" si="86"/>
        <v>CUMPLE</v>
      </c>
      <c r="BA393" s="14">
        <v>12.7</v>
      </c>
      <c r="BB393" s="14">
        <v>129</v>
      </c>
      <c r="BC393" s="13">
        <f>MAX(IF(AK393=0,0,AK393*1000/([1]Parametros!$B$4*MIN(U393,AB393))),MAX(0.062*SQRT([1]Parametros!$B$2)*H393/[1]Parametros!$B$4,0.35*H393/[1]Parametros!$B$4))</f>
        <v>2.8186463967014501</v>
      </c>
      <c r="BD393" s="13">
        <f t="shared" si="87"/>
        <v>0.37831865628315259</v>
      </c>
      <c r="BE393" s="13">
        <f t="shared" si="88"/>
        <v>3.2250000000000001</v>
      </c>
      <c r="BF393" s="13">
        <f>SQRT((AI393*1000/(H393*MIN(U393,AB393)))^2+(Q393*1000000*2*((H393-2*([1]Parametros!$B$7+[1]Parametros!$B$9/2))+(I393-2*([1]Parametros!$B$7+[1]Parametros!$B$9/2)))/(1.7*((H393-2*([1]Parametros!$B$7+[1]Parametros!$B$9/2))*(I393-2*([1]Parametros!$B$7+[1]Parametros!$B$9/2)))^2))^2)</f>
        <v>2.5120784290597786</v>
      </c>
      <c r="BG393" s="13">
        <f>[1]Parametros!$B$6*(AJ393*1000/(H393*MIN(U393,AB393))+0.66*SQRT([1]Parametros!$B$2))</f>
        <v>3.2939603822754151</v>
      </c>
      <c r="BH393" s="13" t="str">
        <f t="shared" si="89"/>
        <v>CUMPLE</v>
      </c>
      <c r="BI393" s="13">
        <f>AX393*[1]Parametros!$B$8</f>
        <v>1592</v>
      </c>
      <c r="BJ393" s="15" t="str">
        <f t="shared" si="90"/>
        <v>CUMPLE</v>
      </c>
    </row>
    <row r="394" spans="1:62" x14ac:dyDescent="0.3">
      <c r="A394" s="33" t="s">
        <v>76</v>
      </c>
      <c r="B394" s="34">
        <v>215</v>
      </c>
      <c r="C394" s="13">
        <v>1</v>
      </c>
      <c r="D394" s="13">
        <v>3.57612</v>
      </c>
      <c r="E394" s="13">
        <v>3.57612</v>
      </c>
      <c r="F394" s="13">
        <v>500</v>
      </c>
      <c r="G394" s="13">
        <v>550</v>
      </c>
      <c r="H394" s="13">
        <v>500</v>
      </c>
      <c r="I394" s="13">
        <v>550</v>
      </c>
      <c r="J394" s="14">
        <v>175.8407</v>
      </c>
      <c r="K394" s="13">
        <v>215</v>
      </c>
      <c r="L394" s="14">
        <v>111.2527</v>
      </c>
      <c r="M394" s="13">
        <v>215</v>
      </c>
      <c r="N394" s="14">
        <v>129.072</v>
      </c>
      <c r="O394" s="14">
        <v>381.642</v>
      </c>
      <c r="P394" s="13">
        <v>215</v>
      </c>
      <c r="Q394" s="14">
        <v>4.4260999999999999</v>
      </c>
      <c r="R394" s="13">
        <f>MAX(MAX(1.4/[1]Parametros!$B$3,0.25*SQRT([1]Parametros!$B$2)/[1]Parametros!$B$3)*H394*U394,(0.85*[1]Parametros!$B$2/[1]Parametros!$B$3)*(1-SQRT(1-2*(J394*1000000/([1]Parametros!$B$5*H394*U394^2))/(0.85*[1]Parametros!$B$2)))*H394*U394)</f>
        <v>985.6575494589157</v>
      </c>
      <c r="S394" s="14">
        <v>5</v>
      </c>
      <c r="T394" s="14">
        <v>1</v>
      </c>
      <c r="U394" s="13">
        <f>IF(T394=1,I394-([1]Parametros!$B$7+[1]Parametros!$B$9+[1]Parametros!$B$12/2),I394-(ROUNDUP(S394/2,0)*([1]Parametros!$B$7+[1]Parametros!$B$9+[1]Parametros!$B$12/2)+ROUNDDOWN(S394/2,0)*([1]Parametros!$B$7+[1]Parametros!$B$9+[1]Parametros!$B$12/2+[1]Parametros!$B$12+[1]Parametros!$B$10))/S394)</f>
        <v>489.35</v>
      </c>
      <c r="V394" s="13">
        <f>S394*[1]Parametros!$B$8</f>
        <v>995</v>
      </c>
      <c r="W394" s="13">
        <f>[1]Parametros!$B$5*V394*[1]Parametros!$B$3*(U394-(V394*[1]Parametros!$B$3/(0.85*[1]Parametros!$B$2*H394))/2)/1000000</f>
        <v>177.44537938235294</v>
      </c>
      <c r="X394" s="13" t="str">
        <f t="shared" si="78"/>
        <v>CUMPLE</v>
      </c>
      <c r="Y394" s="13">
        <f>MAX(MAX(1.4/[1]Parametros!$B$3,0.25*SQRT([1]Parametros!$B$2)/[1]Parametros!$B$3)*H394*AB394,(0.85*[1]Parametros!$B$2/[1]Parametros!$B$3)*(1-SQRT(1-2*(L394*1000000/([1]Parametros!$B$5*H394*AB394^2))/(0.85*[1]Parametros!$B$2)))*H394*AB394)</f>
        <v>815.58333333333326</v>
      </c>
      <c r="Z394" s="14">
        <v>5</v>
      </c>
      <c r="AA394" s="14">
        <v>1</v>
      </c>
      <c r="AB394" s="13">
        <f>IF(AA394=1,I394-([1]Parametros!$B$7+[1]Parametros!$B$9+[1]Parametros!$B$12/2),I394-(ROUNDUP(Z394/2,0)*([1]Parametros!$B$7+[1]Parametros!$B$9+[1]Parametros!$B$12/2)+ROUNDDOWN(Z394/2,0)*([1]Parametros!$B$7+[1]Parametros!$B$9+[1]Parametros!$B$12/2+[1]Parametros!$B$12+[1]Parametros!$B$10))/Z394)</f>
        <v>489.35</v>
      </c>
      <c r="AC394" s="13">
        <f>Z394*[1]Parametros!$B$8</f>
        <v>995</v>
      </c>
      <c r="AD394" s="13">
        <f>[1]Parametros!$B$5*AC394*[1]Parametros!$B$3*(AB394-(AC394*[1]Parametros!$B$3/(0.85*[1]Parametros!$B$2*H394))/2)/1000000</f>
        <v>177.44537938235294</v>
      </c>
      <c r="AE394" s="13" t="str">
        <f t="shared" si="79"/>
        <v>CUMPLE</v>
      </c>
      <c r="AF394" s="13">
        <f>V394*1.25*[1]Parametros!$B$3*(U394-(V394*1.25*[1]Parametros!$B$3/(0.85*[1]Parametros!$B$2*H394))/2)/1000000</f>
        <v>244.15884319852941</v>
      </c>
      <c r="AG394" s="13">
        <f>AC394*1.25*[1]Parametros!$B$3*(AB394-(AC394*1.25*[1]Parametros!$B$3/(0.85*[1]Parametros!$B$2*H394))/2)/1000000</f>
        <v>244.15884319852941</v>
      </c>
      <c r="AH394" s="13">
        <f t="shared" si="80"/>
        <v>265.62158066201886</v>
      </c>
      <c r="AI394" s="13">
        <f t="shared" si="81"/>
        <v>381.642</v>
      </c>
      <c r="AJ394" s="13">
        <f>0.17*SQRT([1]Parametros!$B$2)*H394*MIN(U394,AB394)/1000</f>
        <v>220.09872869180776</v>
      </c>
      <c r="AK394" s="13">
        <f>MAX(AI394/[1]Parametros!$B$6-AJ394,0)</f>
        <v>288.75727130819223</v>
      </c>
      <c r="AL394" s="13">
        <f>0.66*SQRT([1]Parametros!$B$2)*H394*MIN(U394,AB394)/1000</f>
        <v>854.500946685842</v>
      </c>
      <c r="AM394" s="13" t="str">
        <f t="shared" si="82"/>
        <v>CUMPLE</v>
      </c>
      <c r="AN394" s="13" t="s">
        <v>64</v>
      </c>
      <c r="AO394" s="14">
        <v>2</v>
      </c>
      <c r="AP394" s="13">
        <f>ROUNDDOWN(MIN(IF(BC394+BD394=0,1000000000,AO394*BB394/(BC394+BD394)),MIN(U394,AB394)/4,8*[1]Parametros!$B$12,24*BA394,300,IF(AV394=0,1000000000,2*((H394-2*([1]Parametros!$B$7+[1]Parametros!$B$9/2))+(I394-2*([1]Parametros!$B$7+[1]Parametros!$B$9/2)))/8))/10,0)*10</f>
        <v>100</v>
      </c>
      <c r="AQ394" s="13">
        <f>ROUNDDOWN(MIN(IF(BC394+BD394=0,1000000000,AO394*BB394/(BC394+BD394)),IF(AK394&gt;0.33*SQRT([1]Parametros!$B$2)*H394*MIN(U394,AB394)/1000,MIN(U394,AB394)/4,MIN(U394,AB394)/2),600,IF(AV394=0,1000000000,2*((H394-2*([1]Parametros!$B$7+[1]Parametros!$B$9/2))+(I394-2*([1]Parametros!$B$7+[1]Parametros!$B$9/2)))/8))/10,0)*10</f>
        <v>100</v>
      </c>
      <c r="AR394" s="13">
        <f>[1]Parametros!$B$6*(AJ394+MAX(BE394-BD394,0)*[1]Parametros!$B$4*MIN(U394,AB394)/1000)</f>
        <v>383.96030151885583</v>
      </c>
      <c r="AS394" s="13" t="str">
        <f t="shared" si="83"/>
        <v>CUMPLE</v>
      </c>
      <c r="AT394" s="13">
        <f>[1]Parametros!$B$6*0.083*SQRT([1]Parametros!$B$2)*(H394*I394)^2/(2*(H394+I394))/1000000</f>
        <v>11.862178757598967</v>
      </c>
      <c r="AU394" s="13" t="str">
        <f t="shared" si="84"/>
        <v>DESPRECIABLE</v>
      </c>
      <c r="AV394" s="13">
        <f>IF(Q394&lt;=AT394,0,Q394*1000000/([1]Parametros!$B$6*2*0.85*(H394-2*([1]Parametros!$B$7+[1]Parametros!$B$9/2))*(I394-2*([1]Parametros!$B$7+[1]Parametros!$B$9/2))*[1]Parametros!$B$4))</f>
        <v>0</v>
      </c>
      <c r="AW394" s="13">
        <f>AV394*2*((H394-2*([1]Parametros!$B$7+[1]Parametros!$B$9/2))+(I394-2*([1]Parametros!$B$7+[1]Parametros!$B$9/2)))*[1]Parametros!$B$4/[1]Parametros!$B$3</f>
        <v>0</v>
      </c>
      <c r="AX394" s="14">
        <v>0</v>
      </c>
      <c r="AY394" s="13" t="str">
        <f t="shared" si="85"/>
        <v>DESPRECIABLE</v>
      </c>
      <c r="AZ394" s="13" t="str">
        <f t="shared" si="86"/>
        <v>CUMPLE</v>
      </c>
      <c r="BA394" s="14">
        <v>9.5</v>
      </c>
      <c r="BB394" s="14">
        <v>71</v>
      </c>
      <c r="BC394" s="13">
        <f>MAX(IF(AK394=0,0,AK394*1000/([1]Parametros!$B$4*MIN(U394,AB394))),MAX(0.062*SQRT([1]Parametros!$B$2)*H394/[1]Parametros!$B$4,0.35*H394/[1]Parametros!$B$4))</f>
        <v>1.4049602792245897</v>
      </c>
      <c r="BD394" s="13">
        <f t="shared" si="87"/>
        <v>0</v>
      </c>
      <c r="BE394" s="13">
        <f t="shared" si="88"/>
        <v>1.42</v>
      </c>
      <c r="BF394" s="13">
        <f>SQRT((AI394*1000/(H394*MIN(U394,AB394)))^2+(Q394*1000000*2*((H394-2*([1]Parametros!$B$7+[1]Parametros!$B$9/2))+(I394-2*([1]Parametros!$B$7+[1]Parametros!$B$9/2)))/(1.7*((H394-2*([1]Parametros!$B$7+[1]Parametros!$B$9/2))*(I394-2*([1]Parametros!$B$7+[1]Parametros!$B$9/2)))^2))^2)</f>
        <v>1.5651807866526268</v>
      </c>
      <c r="BG394" s="13">
        <f>[1]Parametros!$B$6*(AJ394*1000/(H394*MIN(U394,AB394))+0.66*SQRT([1]Parametros!$B$2))</f>
        <v>3.2939603822754151</v>
      </c>
      <c r="BH394" s="13" t="str">
        <f t="shared" si="89"/>
        <v>CUMPLE</v>
      </c>
      <c r="BI394" s="13">
        <f>AX394*[1]Parametros!$B$8</f>
        <v>0</v>
      </c>
      <c r="BJ394" s="15" t="str">
        <f t="shared" si="90"/>
        <v>CUMPLE</v>
      </c>
    </row>
    <row r="395" spans="1:62" x14ac:dyDescent="0.3">
      <c r="A395" s="33" t="s">
        <v>76</v>
      </c>
      <c r="B395" s="34">
        <v>216</v>
      </c>
      <c r="C395" s="13">
        <v>1</v>
      </c>
      <c r="D395" s="13">
        <v>2.1</v>
      </c>
      <c r="E395" s="13">
        <v>2.1</v>
      </c>
      <c r="F395" s="13">
        <v>500</v>
      </c>
      <c r="G395" s="13">
        <v>550</v>
      </c>
      <c r="H395" s="13">
        <v>500</v>
      </c>
      <c r="I395" s="13">
        <v>550</v>
      </c>
      <c r="J395" s="14">
        <v>206.46510000000001</v>
      </c>
      <c r="K395" s="13">
        <v>216</v>
      </c>
      <c r="L395" s="14">
        <v>169.422</v>
      </c>
      <c r="M395" s="13">
        <v>216</v>
      </c>
      <c r="N395" s="14">
        <v>180.79499999999999</v>
      </c>
      <c r="O395" s="14">
        <v>619.52099999999996</v>
      </c>
      <c r="P395" s="13">
        <v>216</v>
      </c>
      <c r="Q395" s="14">
        <v>71.824799999999996</v>
      </c>
      <c r="R395" s="13">
        <f>MAX(MAX(1.4/[1]Parametros!$B$3,0.25*SQRT([1]Parametros!$B$2)/[1]Parametros!$B$3)*H395*U395,(0.85*[1]Parametros!$B$2/[1]Parametros!$B$3)*(1-SQRT(1-2*(J395*1000000/([1]Parametros!$B$5*H395*U395^2))/(0.85*[1]Parametros!$B$2)))*H395*U395)</f>
        <v>1165.1388744156191</v>
      </c>
      <c r="S395" s="14">
        <v>6</v>
      </c>
      <c r="T395" s="14">
        <v>1</v>
      </c>
      <c r="U395" s="13">
        <f>IF(T395=1,I395-([1]Parametros!$B$7+[1]Parametros!$B$9+[1]Parametros!$B$12/2),I395-(ROUNDUP(S395/2,0)*([1]Parametros!$B$7+[1]Parametros!$B$9+[1]Parametros!$B$12/2)+ROUNDDOWN(S395/2,0)*([1]Parametros!$B$7+[1]Parametros!$B$9+[1]Parametros!$B$12/2+[1]Parametros!$B$12+[1]Parametros!$B$10))/S395)</f>
        <v>489.35</v>
      </c>
      <c r="V395" s="13">
        <f>S395*[1]Parametros!$B$8</f>
        <v>1194</v>
      </c>
      <c r="W395" s="13">
        <f>[1]Parametros!$B$5*V395*[1]Parametros!$B$3*(U395-(V395*[1]Parametros!$B$3/(0.85*[1]Parametros!$B$2*H395))/2)/1000000</f>
        <v>211.34948347058827</v>
      </c>
      <c r="X395" s="13" t="str">
        <f t="shared" si="78"/>
        <v>CUMPLE</v>
      </c>
      <c r="Y395" s="13">
        <f>MAX(MAX(1.4/[1]Parametros!$B$3,0.25*SQRT([1]Parametros!$B$2)/[1]Parametros!$B$3)*H395*AB395,(0.85*[1]Parametros!$B$2/[1]Parametros!$B$3)*(1-SQRT(1-2*(L395*1000000/([1]Parametros!$B$5*H395*AB395^2))/(0.85*[1]Parametros!$B$2)))*H395*AB395)</f>
        <v>948.3554220763973</v>
      </c>
      <c r="Z395" s="14">
        <v>5</v>
      </c>
      <c r="AA395" s="14">
        <v>1</v>
      </c>
      <c r="AB395" s="13">
        <f>IF(AA395=1,I395-([1]Parametros!$B$7+[1]Parametros!$B$9+[1]Parametros!$B$12/2),I395-(ROUNDUP(Z395/2,0)*([1]Parametros!$B$7+[1]Parametros!$B$9+[1]Parametros!$B$12/2)+ROUNDDOWN(Z395/2,0)*([1]Parametros!$B$7+[1]Parametros!$B$9+[1]Parametros!$B$12/2+[1]Parametros!$B$12+[1]Parametros!$B$10))/Z395)</f>
        <v>489.35</v>
      </c>
      <c r="AC395" s="13">
        <f>Z395*[1]Parametros!$B$8</f>
        <v>995</v>
      </c>
      <c r="AD395" s="13">
        <f>[1]Parametros!$B$5*AC395*[1]Parametros!$B$3*(AB395-(AC395*[1]Parametros!$B$3/(0.85*[1]Parametros!$B$2*H395))/2)/1000000</f>
        <v>177.44537938235294</v>
      </c>
      <c r="AE395" s="13" t="str">
        <f t="shared" si="79"/>
        <v>CUMPLE</v>
      </c>
      <c r="AF395" s="13">
        <f>V395*1.25*[1]Parametros!$B$3*(U395-(V395*1.25*[1]Parametros!$B$3/(0.85*[1]Parametros!$B$2*H395))/2)/1000000</f>
        <v>290.23892470588237</v>
      </c>
      <c r="AG395" s="13">
        <f>AC395*1.25*[1]Parametros!$B$3*(AB395-(AC395*1.25*[1]Parametros!$B$3/(0.85*[1]Parametros!$B$2*H395))/2)/1000000</f>
        <v>244.15884319852941</v>
      </c>
      <c r="AH395" s="13">
        <f t="shared" si="80"/>
        <v>435.27012757352941</v>
      </c>
      <c r="AI395" s="13">
        <f t="shared" si="81"/>
        <v>619.52099999999996</v>
      </c>
      <c r="AJ395" s="13">
        <f>0.17*SQRT([1]Parametros!$B$2)*H395*MIN(U395,AB395)/1000</f>
        <v>220.09872869180776</v>
      </c>
      <c r="AK395" s="13">
        <f>MAX(AI395/[1]Parametros!$B$6-AJ395,0)</f>
        <v>605.92927130819214</v>
      </c>
      <c r="AL395" s="13">
        <f>0.66*SQRT([1]Parametros!$B$2)*H395*MIN(U395,AB395)/1000</f>
        <v>854.500946685842</v>
      </c>
      <c r="AM395" s="13" t="str">
        <f t="shared" si="82"/>
        <v>CUMPLE</v>
      </c>
      <c r="AN395" s="13" t="s">
        <v>68</v>
      </c>
      <c r="AO395" s="14">
        <v>4</v>
      </c>
      <c r="AP395" s="13">
        <f>ROUNDDOWN(MIN(IF(BC395+BD395=0,1000000000,AO395*BB395/(BC395+BD395)),MIN(U395,AB395)/4,8*[1]Parametros!$B$12,24*BA395,300,IF(AV395=0,1000000000,2*((H395-2*([1]Parametros!$B$7+[1]Parametros!$B$9/2))+(I395-2*([1]Parametros!$B$7+[1]Parametros!$B$9/2)))/8))/10,0)*10</f>
        <v>110</v>
      </c>
      <c r="AQ395" s="13">
        <f>ROUNDDOWN(MIN(IF(BC395+BD395=0,1000000000,AO395*BB395/(BC395+BD395)),IF(AK395&gt;0.33*SQRT([1]Parametros!$B$2)*H395*MIN(U395,AB395)/1000,MIN(U395,AB395)/4,MIN(U395,AB395)/2),600,IF(AV395=0,1000000000,2*((H395-2*([1]Parametros!$B$7+[1]Parametros!$B$9/2))+(I395-2*([1]Parametros!$B$7+[1]Parametros!$B$9/2)))/8))/10,0)*10</f>
        <v>110</v>
      </c>
      <c r="AR395" s="13">
        <f>[1]Parametros!$B$6*(AJ395+MAX(BE395-BD395,0)*[1]Parametros!$B$4*MIN(U395,AB395)/1000)</f>
        <v>666.15207515154952</v>
      </c>
      <c r="AS395" s="13" t="str">
        <f t="shared" si="83"/>
        <v>CUMPLE</v>
      </c>
      <c r="AT395" s="13">
        <f>[1]Parametros!$B$6*0.083*SQRT([1]Parametros!$B$2)*(H395*I395)^2/(2*(H395+I395))/1000000</f>
        <v>11.862178757598967</v>
      </c>
      <c r="AU395" s="13" t="str">
        <f t="shared" si="84"/>
        <v>DISEÑAR</v>
      </c>
      <c r="AV395" s="13">
        <f>IF(Q395&lt;=AT395,0,Q395*1000000/([1]Parametros!$B$6*2*0.85*(H395-2*([1]Parametros!$B$7+[1]Parametros!$B$9/2))*(I395-2*([1]Parametros!$B$7+[1]Parametros!$B$9/2))*[1]Parametros!$B$4))</f>
        <v>0.72011082376122804</v>
      </c>
      <c r="AW395" s="13">
        <f>AV395*2*((H395-2*([1]Parametros!$B$7+[1]Parametros!$B$9/2))+(I395-2*([1]Parametros!$B$7+[1]Parametros!$B$9/2)))*[1]Parametros!$B$4/[1]Parametros!$B$3</f>
        <v>1245.2156364479156</v>
      </c>
      <c r="AX395" s="14">
        <v>8</v>
      </c>
      <c r="AY395" s="13" t="str">
        <f t="shared" si="85"/>
        <v>CUMPLE</v>
      </c>
      <c r="AZ395" s="13" t="str">
        <f t="shared" si="86"/>
        <v>CUMPLE</v>
      </c>
      <c r="BA395" s="14">
        <v>12.7</v>
      </c>
      <c r="BB395" s="14">
        <v>129</v>
      </c>
      <c r="BC395" s="13">
        <f>MAX(IF(AK395=0,0,AK395*1000/([1]Parametros!$B$4*MIN(U395,AB395))),MAX(0.062*SQRT([1]Parametros!$B$2)*H395/[1]Parametros!$B$4,0.35*H395/[1]Parametros!$B$4))</f>
        <v>2.9481735796668671</v>
      </c>
      <c r="BD395" s="13">
        <f t="shared" si="87"/>
        <v>1.4402216475224561</v>
      </c>
      <c r="BE395" s="13">
        <f t="shared" si="88"/>
        <v>4.6909090909090905</v>
      </c>
      <c r="BF395" s="13">
        <f>SQRT((AI395*1000/(H395*MIN(U395,AB395)))^2+(Q395*1000000*2*((H395-2*([1]Parametros!$B$7+[1]Parametros!$B$9/2))+(I395-2*([1]Parametros!$B$7+[1]Parametros!$B$9/2)))/(1.7*((H395-2*([1]Parametros!$B$7+[1]Parametros!$B$9/2))*(I395-2*([1]Parametros!$B$7+[1]Parametros!$B$9/2)))^2))^2)</f>
        <v>3.2933198357128051</v>
      </c>
      <c r="BG395" s="13">
        <f>[1]Parametros!$B$6*(AJ395*1000/(H395*MIN(U395,AB395))+0.66*SQRT([1]Parametros!$B$2))</f>
        <v>3.2939603822754151</v>
      </c>
      <c r="BH395" s="13" t="str">
        <f t="shared" si="89"/>
        <v>CUMPLE</v>
      </c>
      <c r="BI395" s="13">
        <f>AX395*[1]Parametros!$B$8</f>
        <v>1592</v>
      </c>
      <c r="BJ395" s="15" t="str">
        <f t="shared" si="90"/>
        <v>CUMPLE</v>
      </c>
    </row>
    <row r="396" spans="1:62" x14ac:dyDescent="0.3">
      <c r="A396" s="33" t="s">
        <v>76</v>
      </c>
      <c r="B396" s="34">
        <v>217</v>
      </c>
      <c r="C396" s="13">
        <v>1</v>
      </c>
      <c r="D396" s="13">
        <v>2.2000000000000002</v>
      </c>
      <c r="E396" s="13">
        <v>2.2000000000000002</v>
      </c>
      <c r="F396" s="13">
        <v>500</v>
      </c>
      <c r="G396" s="13">
        <v>550</v>
      </c>
      <c r="H396" s="13">
        <v>500</v>
      </c>
      <c r="I396" s="13">
        <v>550</v>
      </c>
      <c r="J396" s="14">
        <v>206.327</v>
      </c>
      <c r="K396" s="13">
        <v>217</v>
      </c>
      <c r="L396" s="14">
        <v>166.9272</v>
      </c>
      <c r="M396" s="13">
        <v>217</v>
      </c>
      <c r="N396" s="14">
        <v>176.422</v>
      </c>
      <c r="O396" s="14">
        <v>598.20100000000002</v>
      </c>
      <c r="P396" s="13">
        <v>217</v>
      </c>
      <c r="Q396" s="14">
        <v>69.409499999999994</v>
      </c>
      <c r="R396" s="13">
        <f>MAX(MAX(1.4/[1]Parametros!$B$3,0.25*SQRT([1]Parametros!$B$2)/[1]Parametros!$B$3)*H396*U396,(0.85*[1]Parametros!$B$2/[1]Parametros!$B$3)*(1-SQRT(1-2*(J396*1000000/([1]Parametros!$B$5*H396*U396^2))/(0.85*[1]Parametros!$B$2)))*H396*U396)</f>
        <v>1164.3238145820681</v>
      </c>
      <c r="S396" s="14">
        <v>6</v>
      </c>
      <c r="T396" s="14">
        <v>1</v>
      </c>
      <c r="U396" s="13">
        <f>IF(T396=1,I396-([1]Parametros!$B$7+[1]Parametros!$B$9+[1]Parametros!$B$12/2),I396-(ROUNDUP(S396/2,0)*([1]Parametros!$B$7+[1]Parametros!$B$9+[1]Parametros!$B$12/2)+ROUNDDOWN(S396/2,0)*([1]Parametros!$B$7+[1]Parametros!$B$9+[1]Parametros!$B$12/2+[1]Parametros!$B$12+[1]Parametros!$B$10))/S396)</f>
        <v>489.35</v>
      </c>
      <c r="V396" s="13">
        <f>S396*[1]Parametros!$B$8</f>
        <v>1194</v>
      </c>
      <c r="W396" s="13">
        <f>[1]Parametros!$B$5*V396*[1]Parametros!$B$3*(U396-(V396*[1]Parametros!$B$3/(0.85*[1]Parametros!$B$2*H396))/2)/1000000</f>
        <v>211.34948347058827</v>
      </c>
      <c r="X396" s="13" t="str">
        <f t="shared" si="78"/>
        <v>CUMPLE</v>
      </c>
      <c r="Y396" s="13">
        <f>MAX(MAX(1.4/[1]Parametros!$B$3,0.25*SQRT([1]Parametros!$B$2)/[1]Parametros!$B$3)*H396*AB396,(0.85*[1]Parametros!$B$2/[1]Parametros!$B$3)*(1-SQRT(1-2*(L396*1000000/([1]Parametros!$B$5*H396*AB396^2))/(0.85*[1]Parametros!$B$2)))*H396*AB396)</f>
        <v>933.88598905819765</v>
      </c>
      <c r="Z396" s="14">
        <v>5</v>
      </c>
      <c r="AA396" s="14">
        <v>1</v>
      </c>
      <c r="AB396" s="13">
        <f>IF(AA396=1,I396-([1]Parametros!$B$7+[1]Parametros!$B$9+[1]Parametros!$B$12/2),I396-(ROUNDUP(Z396/2,0)*([1]Parametros!$B$7+[1]Parametros!$B$9+[1]Parametros!$B$12/2)+ROUNDDOWN(Z396/2,0)*([1]Parametros!$B$7+[1]Parametros!$B$9+[1]Parametros!$B$12/2+[1]Parametros!$B$12+[1]Parametros!$B$10))/Z396)</f>
        <v>489.35</v>
      </c>
      <c r="AC396" s="13">
        <f>Z396*[1]Parametros!$B$8</f>
        <v>995</v>
      </c>
      <c r="AD396" s="13">
        <f>[1]Parametros!$B$5*AC396*[1]Parametros!$B$3*(AB396-(AC396*[1]Parametros!$B$3/(0.85*[1]Parametros!$B$2*H396))/2)/1000000</f>
        <v>177.44537938235294</v>
      </c>
      <c r="AE396" s="13" t="str">
        <f t="shared" si="79"/>
        <v>CUMPLE</v>
      </c>
      <c r="AF396" s="13">
        <f>V396*1.25*[1]Parametros!$B$3*(U396-(V396*1.25*[1]Parametros!$B$3/(0.85*[1]Parametros!$B$2*H396))/2)/1000000</f>
        <v>290.23892470588237</v>
      </c>
      <c r="AG396" s="13">
        <f>AC396*1.25*[1]Parametros!$B$3*(AB396-(AC396*1.25*[1]Parametros!$B$3/(0.85*[1]Parametros!$B$2*H396))/2)/1000000</f>
        <v>244.15884319852941</v>
      </c>
      <c r="AH396" s="13">
        <f t="shared" si="80"/>
        <v>419.33007632018717</v>
      </c>
      <c r="AI396" s="13">
        <f t="shared" si="81"/>
        <v>598.20100000000002</v>
      </c>
      <c r="AJ396" s="13">
        <f>0.17*SQRT([1]Parametros!$B$2)*H396*MIN(U396,AB396)/1000</f>
        <v>220.09872869180776</v>
      </c>
      <c r="AK396" s="13">
        <f>MAX(AI396/[1]Parametros!$B$6-AJ396,0)</f>
        <v>577.50260464152564</v>
      </c>
      <c r="AL396" s="13">
        <f>0.66*SQRT([1]Parametros!$B$2)*H396*MIN(U396,AB396)/1000</f>
        <v>854.500946685842</v>
      </c>
      <c r="AM396" s="13" t="str">
        <f t="shared" si="82"/>
        <v>CUMPLE</v>
      </c>
      <c r="AN396" s="13" t="s">
        <v>68</v>
      </c>
      <c r="AO396" s="14">
        <v>4</v>
      </c>
      <c r="AP396" s="13">
        <f>ROUNDDOWN(MIN(IF(BC396+BD396=0,1000000000,AO396*BB396/(BC396+BD396)),MIN(U396,AB396)/4,8*[1]Parametros!$B$12,24*BA396,300,IF(AV396=0,1000000000,2*((H396-2*([1]Parametros!$B$7+[1]Parametros!$B$9/2))+(I396-2*([1]Parametros!$B$7+[1]Parametros!$B$9/2)))/8))/10,0)*10</f>
        <v>120</v>
      </c>
      <c r="AQ396" s="13">
        <f>ROUNDDOWN(MIN(IF(BC396+BD396=0,1000000000,AO396*BB396/(BC396+BD396)),IF(AK396&gt;0.33*SQRT([1]Parametros!$B$2)*H396*MIN(U396,AB396)/1000,MIN(U396,AB396)/4,MIN(U396,AB396)/2),600,IF(AV396=0,1000000000,2*((H396-2*([1]Parametros!$B$7+[1]Parametros!$B$9/2))+(I396-2*([1]Parametros!$B$7+[1]Parametros!$B$9/2)))/8))/10,0)*10</f>
        <v>120</v>
      </c>
      <c r="AR396" s="13">
        <f>[1]Parametros!$B$6*(AJ396+MAX(BE396-BD396,0)*[1]Parametros!$B$4*MIN(U396,AB396)/1000)</f>
        <v>613.36074811103879</v>
      </c>
      <c r="AS396" s="13" t="str">
        <f t="shared" si="83"/>
        <v>CUMPLE</v>
      </c>
      <c r="AT396" s="13">
        <f>[1]Parametros!$B$6*0.083*SQRT([1]Parametros!$B$2)*(H396*I396)^2/(2*(H396+I396))/1000000</f>
        <v>11.862178757598967</v>
      </c>
      <c r="AU396" s="13" t="str">
        <f t="shared" si="84"/>
        <v>DISEÑAR</v>
      </c>
      <c r="AV396" s="13">
        <f>IF(Q396&lt;=AT396,0,Q396*1000000/([1]Parametros!$B$6*2*0.85*(H396-2*([1]Parametros!$B$7+[1]Parametros!$B$9/2))*(I396-2*([1]Parametros!$B$7+[1]Parametros!$B$9/2))*[1]Parametros!$B$4))</f>
        <v>0.69589518135595163</v>
      </c>
      <c r="AW396" s="13">
        <f>AV396*2*((H396-2*([1]Parametros!$B$7+[1]Parametros!$B$9/2))+(I396-2*([1]Parametros!$B$7+[1]Parametros!$B$9/2)))*[1]Parametros!$B$4/[1]Parametros!$B$3</f>
        <v>1203.3419476007116</v>
      </c>
      <c r="AX396" s="14">
        <v>8</v>
      </c>
      <c r="AY396" s="13" t="str">
        <f t="shared" si="85"/>
        <v>CUMPLE</v>
      </c>
      <c r="AZ396" s="13" t="str">
        <f t="shared" si="86"/>
        <v>CUMPLE</v>
      </c>
      <c r="BA396" s="14">
        <v>12.7</v>
      </c>
      <c r="BB396" s="14">
        <v>129</v>
      </c>
      <c r="BC396" s="13">
        <f>MAX(IF(AK396=0,0,AK396*1000/([1]Parametros!$B$4*MIN(U396,AB396))),MAX(0.062*SQRT([1]Parametros!$B$2)*H396/[1]Parametros!$B$4,0.35*H396/[1]Parametros!$B$4))</f>
        <v>2.809862473745667</v>
      </c>
      <c r="BD396" s="13">
        <f t="shared" si="87"/>
        <v>1.3917903627119033</v>
      </c>
      <c r="BE396" s="13">
        <f t="shared" si="88"/>
        <v>4.3</v>
      </c>
      <c r="BF396" s="13">
        <f>SQRT((AI396*1000/(H396*MIN(U396,AB396)))^2+(Q396*1000000*2*((H396-2*([1]Parametros!$B$7+[1]Parametros!$B$9/2))+(I396-2*([1]Parametros!$B$7+[1]Parametros!$B$9/2)))/(1.7*((H396-2*([1]Parametros!$B$7+[1]Parametros!$B$9/2))*(I396-2*([1]Parametros!$B$7+[1]Parametros!$B$9/2)))^2))^2)</f>
        <v>3.181043296802875</v>
      </c>
      <c r="BG396" s="13">
        <f>[1]Parametros!$B$6*(AJ396*1000/(H396*MIN(U396,AB396))+0.66*SQRT([1]Parametros!$B$2))</f>
        <v>3.2939603822754151</v>
      </c>
      <c r="BH396" s="13" t="str">
        <f t="shared" si="89"/>
        <v>CUMPLE</v>
      </c>
      <c r="BI396" s="13">
        <f>AX396*[1]Parametros!$B$8</f>
        <v>1592</v>
      </c>
      <c r="BJ396" s="15" t="str">
        <f t="shared" si="90"/>
        <v>CUMPLE</v>
      </c>
    </row>
    <row r="397" spans="1:62" x14ac:dyDescent="0.3">
      <c r="A397" s="33" t="s">
        <v>76</v>
      </c>
      <c r="B397" s="34">
        <v>218</v>
      </c>
      <c r="C397" s="13">
        <v>1</v>
      </c>
      <c r="D397" s="13">
        <v>3.57612</v>
      </c>
      <c r="E397" s="13">
        <v>3.57612</v>
      </c>
      <c r="F397" s="13">
        <v>500</v>
      </c>
      <c r="G397" s="13">
        <v>550</v>
      </c>
      <c r="H397" s="13">
        <v>500</v>
      </c>
      <c r="I397" s="13">
        <v>550</v>
      </c>
      <c r="J397" s="14">
        <v>175.8014</v>
      </c>
      <c r="K397" s="13">
        <v>218</v>
      </c>
      <c r="L397" s="14">
        <v>111.024</v>
      </c>
      <c r="M397" s="13">
        <v>218</v>
      </c>
      <c r="N397" s="14">
        <v>129.01</v>
      </c>
      <c r="O397" s="14">
        <v>381.12400000000002</v>
      </c>
      <c r="P397" s="13">
        <v>218</v>
      </c>
      <c r="Q397" s="14">
        <v>4.3895999999999997</v>
      </c>
      <c r="R397" s="13">
        <f>MAX(MAX(1.4/[1]Parametros!$B$3,0.25*SQRT([1]Parametros!$B$2)/[1]Parametros!$B$3)*H397*U397,(0.85*[1]Parametros!$B$2/[1]Parametros!$B$3)*(1-SQRT(1-2*(J397*1000000/([1]Parametros!$B$5*H397*U397^2))/(0.85*[1]Parametros!$B$2)))*H397*U397)</f>
        <v>985.42882970006838</v>
      </c>
      <c r="S397" s="14">
        <v>5</v>
      </c>
      <c r="T397" s="14">
        <v>1</v>
      </c>
      <c r="U397" s="13">
        <f>IF(T397=1,I397-([1]Parametros!$B$7+[1]Parametros!$B$9+[1]Parametros!$B$12/2),I397-(ROUNDUP(S397/2,0)*([1]Parametros!$B$7+[1]Parametros!$B$9+[1]Parametros!$B$12/2)+ROUNDDOWN(S397/2,0)*([1]Parametros!$B$7+[1]Parametros!$B$9+[1]Parametros!$B$12/2+[1]Parametros!$B$12+[1]Parametros!$B$10))/S397)</f>
        <v>489.35</v>
      </c>
      <c r="V397" s="13">
        <f>S397*[1]Parametros!$B$8</f>
        <v>995</v>
      </c>
      <c r="W397" s="13">
        <f>[1]Parametros!$B$5*V397*[1]Parametros!$B$3*(U397-(V397*[1]Parametros!$B$3/(0.85*[1]Parametros!$B$2*H397))/2)/1000000</f>
        <v>177.44537938235294</v>
      </c>
      <c r="X397" s="13" t="str">
        <f t="shared" si="78"/>
        <v>CUMPLE</v>
      </c>
      <c r="Y397" s="13">
        <f>MAX(MAX(1.4/[1]Parametros!$B$3,0.25*SQRT([1]Parametros!$B$2)/[1]Parametros!$B$3)*H397*AB397,(0.85*[1]Parametros!$B$2/[1]Parametros!$B$3)*(1-SQRT(1-2*(L397*1000000/([1]Parametros!$B$5*H397*AB397^2))/(0.85*[1]Parametros!$B$2)))*H397*AB397)</f>
        <v>815.58333333333326</v>
      </c>
      <c r="Z397" s="14">
        <v>5</v>
      </c>
      <c r="AA397" s="14">
        <v>1</v>
      </c>
      <c r="AB397" s="13">
        <f>IF(AA397=1,I397-([1]Parametros!$B$7+[1]Parametros!$B$9+[1]Parametros!$B$12/2),I397-(ROUNDUP(Z397/2,0)*([1]Parametros!$B$7+[1]Parametros!$B$9+[1]Parametros!$B$12/2)+ROUNDDOWN(Z397/2,0)*([1]Parametros!$B$7+[1]Parametros!$B$9+[1]Parametros!$B$12/2+[1]Parametros!$B$12+[1]Parametros!$B$10))/Z397)</f>
        <v>489.35</v>
      </c>
      <c r="AC397" s="13">
        <f>Z397*[1]Parametros!$B$8</f>
        <v>995</v>
      </c>
      <c r="AD397" s="13">
        <f>[1]Parametros!$B$5*AC397*[1]Parametros!$B$3*(AB397-(AC397*[1]Parametros!$B$3/(0.85*[1]Parametros!$B$2*H397))/2)/1000000</f>
        <v>177.44537938235294</v>
      </c>
      <c r="AE397" s="13" t="str">
        <f t="shared" si="79"/>
        <v>CUMPLE</v>
      </c>
      <c r="AF397" s="13">
        <f>V397*1.25*[1]Parametros!$B$3*(U397-(V397*1.25*[1]Parametros!$B$3/(0.85*[1]Parametros!$B$2*H397))/2)/1000000</f>
        <v>244.15884319852941</v>
      </c>
      <c r="AG397" s="13">
        <f>AC397*1.25*[1]Parametros!$B$3*(AB397-(AC397*1.25*[1]Parametros!$B$3/(0.85*[1]Parametros!$B$2*H397))/2)/1000000</f>
        <v>244.15884319852941</v>
      </c>
      <c r="AH397" s="13">
        <f t="shared" si="80"/>
        <v>265.55958066201885</v>
      </c>
      <c r="AI397" s="13">
        <f t="shared" si="81"/>
        <v>381.12400000000002</v>
      </c>
      <c r="AJ397" s="13">
        <f>0.17*SQRT([1]Parametros!$B$2)*H397*MIN(U397,AB397)/1000</f>
        <v>220.09872869180776</v>
      </c>
      <c r="AK397" s="13">
        <f>MAX(AI397/[1]Parametros!$B$6-AJ397,0)</f>
        <v>288.0666046415256</v>
      </c>
      <c r="AL397" s="13">
        <f>0.66*SQRT([1]Parametros!$B$2)*H397*MIN(U397,AB397)/1000</f>
        <v>854.500946685842</v>
      </c>
      <c r="AM397" s="13" t="str">
        <f t="shared" si="82"/>
        <v>CUMPLE</v>
      </c>
      <c r="AN397" s="13" t="s">
        <v>64</v>
      </c>
      <c r="AO397" s="14">
        <v>2</v>
      </c>
      <c r="AP397" s="13">
        <f>ROUNDDOWN(MIN(IF(BC397+BD397=0,1000000000,AO397*BB397/(BC397+BD397)),MIN(U397,AB397)/4,8*[1]Parametros!$B$12,24*BA397,300,IF(AV397=0,1000000000,2*((H397-2*([1]Parametros!$B$7+[1]Parametros!$B$9/2))+(I397-2*([1]Parametros!$B$7+[1]Parametros!$B$9/2)))/8))/10,0)*10</f>
        <v>100</v>
      </c>
      <c r="AQ397" s="13">
        <f>ROUNDDOWN(MIN(IF(BC397+BD397=0,1000000000,AO397*BB397/(BC397+BD397)),IF(AK397&gt;0.33*SQRT([1]Parametros!$B$2)*H397*MIN(U397,AB397)/1000,MIN(U397,AB397)/4,MIN(U397,AB397)/2),600,IF(AV397=0,1000000000,2*((H397-2*([1]Parametros!$B$7+[1]Parametros!$B$9/2))+(I397-2*([1]Parametros!$B$7+[1]Parametros!$B$9/2)))/8))/10,0)*10</f>
        <v>100</v>
      </c>
      <c r="AR397" s="13">
        <f>[1]Parametros!$B$6*(AJ397+MAX(BE397-BD397,0)*[1]Parametros!$B$4*MIN(U397,AB397)/1000)</f>
        <v>383.96030151885583</v>
      </c>
      <c r="AS397" s="13" t="str">
        <f t="shared" si="83"/>
        <v>CUMPLE</v>
      </c>
      <c r="AT397" s="13">
        <f>[1]Parametros!$B$6*0.083*SQRT([1]Parametros!$B$2)*(H397*I397)^2/(2*(H397+I397))/1000000</f>
        <v>11.862178757598967</v>
      </c>
      <c r="AU397" s="13" t="str">
        <f t="shared" si="84"/>
        <v>DESPRECIABLE</v>
      </c>
      <c r="AV397" s="13">
        <f>IF(Q397&lt;=AT397,0,Q397*1000000/([1]Parametros!$B$6*2*0.85*(H397-2*([1]Parametros!$B$7+[1]Parametros!$B$9/2))*(I397-2*([1]Parametros!$B$7+[1]Parametros!$B$9/2))*[1]Parametros!$B$4))</f>
        <v>0</v>
      </c>
      <c r="AW397" s="13">
        <f>AV397*2*((H397-2*([1]Parametros!$B$7+[1]Parametros!$B$9/2))+(I397-2*([1]Parametros!$B$7+[1]Parametros!$B$9/2)))*[1]Parametros!$B$4/[1]Parametros!$B$3</f>
        <v>0</v>
      </c>
      <c r="AX397" s="14">
        <v>0</v>
      </c>
      <c r="AY397" s="13" t="str">
        <f t="shared" si="85"/>
        <v>DESPRECIABLE</v>
      </c>
      <c r="AZ397" s="13" t="str">
        <f t="shared" si="86"/>
        <v>CUMPLE</v>
      </c>
      <c r="BA397" s="14">
        <v>9.5</v>
      </c>
      <c r="BB397" s="14">
        <v>71</v>
      </c>
      <c r="BC397" s="13">
        <f>MAX(IF(AK397=0,0,AK397*1000/([1]Parametros!$B$4*MIN(U397,AB397))),MAX(0.062*SQRT([1]Parametros!$B$2)*H397/[1]Parametros!$B$4,0.35*H397/[1]Parametros!$B$4))</f>
        <v>1.4015998123921705</v>
      </c>
      <c r="BD397" s="13">
        <f t="shared" si="87"/>
        <v>0</v>
      </c>
      <c r="BE397" s="13">
        <f t="shared" si="88"/>
        <v>1.42</v>
      </c>
      <c r="BF397" s="13">
        <f>SQRT((AI397*1000/(H397*MIN(U397,AB397)))^2+(Q397*1000000*2*((H397-2*([1]Parametros!$B$7+[1]Parametros!$B$9/2))+(I397-2*([1]Parametros!$B$7+[1]Parametros!$B$9/2)))/(1.7*((H397-2*([1]Parametros!$B$7+[1]Parametros!$B$9/2))*(I397-2*([1]Parametros!$B$7+[1]Parametros!$B$9/2)))^2))^2)</f>
        <v>1.5629825041716197</v>
      </c>
      <c r="BG397" s="13">
        <f>[1]Parametros!$B$6*(AJ397*1000/(H397*MIN(U397,AB397))+0.66*SQRT([1]Parametros!$B$2))</f>
        <v>3.2939603822754151</v>
      </c>
      <c r="BH397" s="13" t="str">
        <f t="shared" si="89"/>
        <v>CUMPLE</v>
      </c>
      <c r="BI397" s="13">
        <f>AX397*[1]Parametros!$B$8</f>
        <v>0</v>
      </c>
      <c r="BJ397" s="15" t="str">
        <f t="shared" si="90"/>
        <v>CUMPLE</v>
      </c>
    </row>
    <row r="398" spans="1:62" x14ac:dyDescent="0.3">
      <c r="A398" s="33" t="s">
        <v>76</v>
      </c>
      <c r="B398" s="34">
        <v>219</v>
      </c>
      <c r="C398" s="13">
        <v>1</v>
      </c>
      <c r="D398" s="13">
        <v>1.9</v>
      </c>
      <c r="E398" s="13">
        <v>1.9</v>
      </c>
      <c r="F398" s="13">
        <v>500</v>
      </c>
      <c r="G398" s="13">
        <v>550</v>
      </c>
      <c r="H398" s="13">
        <v>500</v>
      </c>
      <c r="I398" s="13">
        <v>550</v>
      </c>
      <c r="J398" s="14">
        <v>166.15729999999999</v>
      </c>
      <c r="K398" s="13">
        <v>219</v>
      </c>
      <c r="L398" s="14">
        <v>136.15350000000001</v>
      </c>
      <c r="M398" s="13">
        <v>219</v>
      </c>
      <c r="N398" s="14">
        <v>157.53</v>
      </c>
      <c r="O398" s="14">
        <v>599.47699999999998</v>
      </c>
      <c r="P398" s="13">
        <v>219</v>
      </c>
      <c r="Q398" s="14">
        <v>18.851199999999999</v>
      </c>
      <c r="R398" s="13">
        <f>MAX(MAX(1.4/[1]Parametros!$B$3,0.25*SQRT([1]Parametros!$B$2)/[1]Parametros!$B$3)*H398*U398,(0.85*[1]Parametros!$B$2/[1]Parametros!$B$3)*(1-SQRT(1-2*(J398*1000000/([1]Parametros!$B$5*H398*U398^2))/(0.85*[1]Parametros!$B$2)))*H398*U398)</f>
        <v>929.42396275951796</v>
      </c>
      <c r="S398" s="14">
        <v>5</v>
      </c>
      <c r="T398" s="14">
        <v>1</v>
      </c>
      <c r="U398" s="13">
        <f>IF(T398=1,I398-([1]Parametros!$B$7+[1]Parametros!$B$9+[1]Parametros!$B$12/2),I398-(ROUNDUP(S398/2,0)*([1]Parametros!$B$7+[1]Parametros!$B$9+[1]Parametros!$B$12/2)+ROUNDDOWN(S398/2,0)*([1]Parametros!$B$7+[1]Parametros!$B$9+[1]Parametros!$B$12/2+[1]Parametros!$B$12+[1]Parametros!$B$10))/S398)</f>
        <v>489.35</v>
      </c>
      <c r="V398" s="13">
        <f>S398*[1]Parametros!$B$8</f>
        <v>995</v>
      </c>
      <c r="W398" s="13">
        <f>[1]Parametros!$B$5*V398*[1]Parametros!$B$3*(U398-(V398*[1]Parametros!$B$3/(0.85*[1]Parametros!$B$2*H398))/2)/1000000</f>
        <v>177.44537938235294</v>
      </c>
      <c r="X398" s="13" t="str">
        <f t="shared" si="78"/>
        <v>CUMPLE</v>
      </c>
      <c r="Y398" s="13">
        <f>MAX(MAX(1.4/[1]Parametros!$B$3,0.25*SQRT([1]Parametros!$B$2)/[1]Parametros!$B$3)*H398*AB398,(0.85*[1]Parametros!$B$2/[1]Parametros!$B$3)*(1-SQRT(1-2*(L398*1000000/([1]Parametros!$B$5*H398*AB398^2))/(0.85*[1]Parametros!$B$2)))*H398*AB398)</f>
        <v>815.58333333333326</v>
      </c>
      <c r="Z398" s="14">
        <v>5</v>
      </c>
      <c r="AA398" s="14">
        <v>1</v>
      </c>
      <c r="AB398" s="13">
        <f>IF(AA398=1,I398-([1]Parametros!$B$7+[1]Parametros!$B$9+[1]Parametros!$B$12/2),I398-(ROUNDUP(Z398/2,0)*([1]Parametros!$B$7+[1]Parametros!$B$9+[1]Parametros!$B$12/2)+ROUNDDOWN(Z398/2,0)*([1]Parametros!$B$7+[1]Parametros!$B$9+[1]Parametros!$B$12/2+[1]Parametros!$B$12+[1]Parametros!$B$10))/Z398)</f>
        <v>489.35</v>
      </c>
      <c r="AC398" s="13">
        <f>Z398*[1]Parametros!$B$8</f>
        <v>995</v>
      </c>
      <c r="AD398" s="13">
        <f>[1]Parametros!$B$5*AC398*[1]Parametros!$B$3*(AB398-(AC398*[1]Parametros!$B$3/(0.85*[1]Parametros!$B$2*H398))/2)/1000000</f>
        <v>177.44537938235294</v>
      </c>
      <c r="AE398" s="13" t="str">
        <f t="shared" si="79"/>
        <v>CUMPLE</v>
      </c>
      <c r="AF398" s="13">
        <f>V398*1.25*[1]Parametros!$B$3*(U398-(V398*1.25*[1]Parametros!$B$3/(0.85*[1]Parametros!$B$2*H398))/2)/1000000</f>
        <v>244.15884319852941</v>
      </c>
      <c r="AG398" s="13">
        <f>AC398*1.25*[1]Parametros!$B$3*(AB398-(AC398*1.25*[1]Parametros!$B$3/(0.85*[1]Parametros!$B$2*H398))/2)/1000000</f>
        <v>244.15884319852941</v>
      </c>
      <c r="AH398" s="13">
        <f t="shared" si="80"/>
        <v>414.53930863003097</v>
      </c>
      <c r="AI398" s="13">
        <f t="shared" si="81"/>
        <v>599.47699999999998</v>
      </c>
      <c r="AJ398" s="13">
        <f>0.17*SQRT([1]Parametros!$B$2)*H398*MIN(U398,AB398)/1000</f>
        <v>220.09872869180776</v>
      </c>
      <c r="AK398" s="13">
        <f>MAX(AI398/[1]Parametros!$B$6-AJ398,0)</f>
        <v>579.20393797485883</v>
      </c>
      <c r="AL398" s="13">
        <f>0.66*SQRT([1]Parametros!$B$2)*H398*MIN(U398,AB398)/1000</f>
        <v>854.500946685842</v>
      </c>
      <c r="AM398" s="13" t="str">
        <f t="shared" si="82"/>
        <v>CUMPLE</v>
      </c>
      <c r="AN398" s="13" t="s">
        <v>68</v>
      </c>
      <c r="AO398" s="14">
        <v>2</v>
      </c>
      <c r="AP398" s="13">
        <f>ROUNDDOWN(MIN(IF(BC398+BD398=0,1000000000,AO398*BB398/(BC398+BD398)),MIN(U398,AB398)/4,8*[1]Parametros!$B$12,24*BA398,300,IF(AV398=0,1000000000,2*((H398-2*([1]Parametros!$B$7+[1]Parametros!$B$9/2))+(I398-2*([1]Parametros!$B$7+[1]Parametros!$B$9/2)))/8))/10,0)*10</f>
        <v>80</v>
      </c>
      <c r="AQ398" s="13">
        <f>ROUNDDOWN(MIN(IF(BC398+BD398=0,1000000000,AO398*BB398/(BC398+BD398)),IF(AK398&gt;0.33*SQRT([1]Parametros!$B$2)*H398*MIN(U398,AB398)/1000,MIN(U398,AB398)/4,MIN(U398,AB398)/2),600,IF(AV398=0,1000000000,2*((H398-2*([1]Parametros!$B$7+[1]Parametros!$B$9/2))+(I398-2*([1]Parametros!$B$7+[1]Parametros!$B$9/2)))/8))/10,0)*10</f>
        <v>80</v>
      </c>
      <c r="AR398" s="13">
        <f>[1]Parametros!$B$6*(AJ398+MAX(BE398-BD398,0)*[1]Parametros!$B$4*MIN(U398,AB398)/1000)</f>
        <v>603.9252901477746</v>
      </c>
      <c r="AS398" s="13" t="str">
        <f t="shared" si="83"/>
        <v>CUMPLE</v>
      </c>
      <c r="AT398" s="13">
        <f>[1]Parametros!$B$6*0.083*SQRT([1]Parametros!$B$2)*(H398*I398)^2/(2*(H398+I398))/1000000</f>
        <v>11.862178757598967</v>
      </c>
      <c r="AU398" s="13" t="str">
        <f t="shared" si="84"/>
        <v>DISEÑAR</v>
      </c>
      <c r="AV398" s="13">
        <f>IF(Q398&lt;=AT398,0,Q398*1000000/([1]Parametros!$B$6*2*0.85*(H398-2*([1]Parametros!$B$7+[1]Parametros!$B$9/2))*(I398-2*([1]Parametros!$B$7+[1]Parametros!$B$9/2))*[1]Parametros!$B$4))</f>
        <v>0.18900091835811114</v>
      </c>
      <c r="AW398" s="13">
        <f>AV398*2*((H398-2*([1]Parametros!$B$7+[1]Parametros!$B$9/2))+(I398-2*([1]Parametros!$B$7+[1]Parametros!$B$9/2)))*[1]Parametros!$B$4/[1]Parametros!$B$3</f>
        <v>326.82038802484578</v>
      </c>
      <c r="AX398" s="14">
        <v>8</v>
      </c>
      <c r="AY398" s="13" t="str">
        <f t="shared" si="85"/>
        <v>CUMPLE</v>
      </c>
      <c r="AZ398" s="13" t="str">
        <f t="shared" si="86"/>
        <v>CUMPLE</v>
      </c>
      <c r="BA398" s="14">
        <v>12.7</v>
      </c>
      <c r="BB398" s="14">
        <v>129</v>
      </c>
      <c r="BC398" s="13">
        <f>MAX(IF(AK398=0,0,AK398*1000/([1]Parametros!$B$4*MIN(U398,AB398))),MAX(0.062*SQRT([1]Parametros!$B$2)*H398/[1]Parametros!$B$4,0.35*H398/[1]Parametros!$B$4))</f>
        <v>2.8181403804602745</v>
      </c>
      <c r="BD398" s="13">
        <f t="shared" si="87"/>
        <v>0.37800183671622228</v>
      </c>
      <c r="BE398" s="13">
        <f t="shared" si="88"/>
        <v>3.2250000000000001</v>
      </c>
      <c r="BF398" s="13">
        <f>SQRT((AI398*1000/(H398*MIN(U398,AB398)))^2+(Q398*1000000*2*((H398-2*([1]Parametros!$B$7+[1]Parametros!$B$9/2))+(I398-2*([1]Parametros!$B$7+[1]Parametros!$B$9/2)))/(1.7*((H398-2*([1]Parametros!$B$7+[1]Parametros!$B$9/2))*(I398-2*([1]Parametros!$B$7+[1]Parametros!$B$9/2)))^2))^2)</f>
        <v>2.5116654799264611</v>
      </c>
      <c r="BG398" s="13">
        <f>[1]Parametros!$B$6*(AJ398*1000/(H398*MIN(U398,AB398))+0.66*SQRT([1]Parametros!$B$2))</f>
        <v>3.2939603822754151</v>
      </c>
      <c r="BH398" s="13" t="str">
        <f t="shared" si="89"/>
        <v>CUMPLE</v>
      </c>
      <c r="BI398" s="13">
        <f>AX398*[1]Parametros!$B$8</f>
        <v>1592</v>
      </c>
      <c r="BJ398" s="15" t="str">
        <f t="shared" si="90"/>
        <v>CUMPLE</v>
      </c>
    </row>
    <row r="399" spans="1:62" x14ac:dyDescent="0.3">
      <c r="A399" s="33" t="s">
        <v>76</v>
      </c>
      <c r="B399" s="34">
        <v>220</v>
      </c>
      <c r="C399" s="13">
        <v>1</v>
      </c>
      <c r="D399" s="13">
        <v>2</v>
      </c>
      <c r="E399" s="13">
        <v>2</v>
      </c>
      <c r="F399" s="13">
        <v>500</v>
      </c>
      <c r="G399" s="13">
        <v>550</v>
      </c>
      <c r="H399" s="13">
        <v>500</v>
      </c>
      <c r="I399" s="13">
        <v>550</v>
      </c>
      <c r="J399" s="14">
        <v>178.87549999999999</v>
      </c>
      <c r="K399" s="13">
        <v>220</v>
      </c>
      <c r="L399" s="14">
        <v>133.14769999999999</v>
      </c>
      <c r="M399" s="13">
        <v>220</v>
      </c>
      <c r="N399" s="14">
        <v>165.60300000000001</v>
      </c>
      <c r="O399" s="14">
        <v>626.4</v>
      </c>
      <c r="P399" s="13">
        <v>220</v>
      </c>
      <c r="Q399" s="14">
        <v>43.315300000000001</v>
      </c>
      <c r="R399" s="13">
        <f>MAX(MAX(1.4/[1]Parametros!$B$3,0.25*SQRT([1]Parametros!$B$2)/[1]Parametros!$B$3)*H399*U399,(0.85*[1]Parametros!$B$2/[1]Parametros!$B$3)*(1-SQRT(1-2*(J399*1000000/([1]Parametros!$B$5*H399*U399^2))/(0.85*[1]Parametros!$B$2)))*H399*U399)</f>
        <v>1003.3318876735813</v>
      </c>
      <c r="S399" s="14">
        <v>6</v>
      </c>
      <c r="T399" s="14">
        <v>1</v>
      </c>
      <c r="U399" s="13">
        <f>IF(T399=1,I399-([1]Parametros!$B$7+[1]Parametros!$B$9+[1]Parametros!$B$12/2),I399-(ROUNDUP(S399/2,0)*([1]Parametros!$B$7+[1]Parametros!$B$9+[1]Parametros!$B$12/2)+ROUNDDOWN(S399/2,0)*([1]Parametros!$B$7+[1]Parametros!$B$9+[1]Parametros!$B$12/2+[1]Parametros!$B$12+[1]Parametros!$B$10))/S399)</f>
        <v>489.35</v>
      </c>
      <c r="V399" s="13">
        <f>S399*[1]Parametros!$B$8</f>
        <v>1194</v>
      </c>
      <c r="W399" s="13">
        <f>[1]Parametros!$B$5*V399*[1]Parametros!$B$3*(U399-(V399*[1]Parametros!$B$3/(0.85*[1]Parametros!$B$2*H399))/2)/1000000</f>
        <v>211.34948347058827</v>
      </c>
      <c r="X399" s="13" t="str">
        <f t="shared" si="78"/>
        <v>CUMPLE</v>
      </c>
      <c r="Y399" s="13">
        <f>MAX(MAX(1.4/[1]Parametros!$B$3,0.25*SQRT([1]Parametros!$B$2)/[1]Parametros!$B$3)*H399*AB399,(0.85*[1]Parametros!$B$2/[1]Parametros!$B$3)*(1-SQRT(1-2*(L399*1000000/([1]Parametros!$B$5*H399*AB399^2))/(0.85*[1]Parametros!$B$2)))*H399*AB399)</f>
        <v>815.58333333333326</v>
      </c>
      <c r="Z399" s="14">
        <v>5</v>
      </c>
      <c r="AA399" s="14">
        <v>1</v>
      </c>
      <c r="AB399" s="13">
        <f>IF(AA399=1,I399-([1]Parametros!$B$7+[1]Parametros!$B$9+[1]Parametros!$B$12/2),I399-(ROUNDUP(Z399/2,0)*([1]Parametros!$B$7+[1]Parametros!$B$9+[1]Parametros!$B$12/2)+ROUNDDOWN(Z399/2,0)*([1]Parametros!$B$7+[1]Parametros!$B$9+[1]Parametros!$B$12/2+[1]Parametros!$B$12+[1]Parametros!$B$10))/Z399)</f>
        <v>489.35</v>
      </c>
      <c r="AC399" s="13">
        <f>Z399*[1]Parametros!$B$8</f>
        <v>995</v>
      </c>
      <c r="AD399" s="13">
        <f>[1]Parametros!$B$5*AC399*[1]Parametros!$B$3*(AB399-(AC399*[1]Parametros!$B$3/(0.85*[1]Parametros!$B$2*H399))/2)/1000000</f>
        <v>177.44537938235294</v>
      </c>
      <c r="AE399" s="13" t="str">
        <f t="shared" si="79"/>
        <v>CUMPLE</v>
      </c>
      <c r="AF399" s="13">
        <f>V399*1.25*[1]Parametros!$B$3*(U399-(V399*1.25*[1]Parametros!$B$3/(0.85*[1]Parametros!$B$2*H399))/2)/1000000</f>
        <v>290.23892470588237</v>
      </c>
      <c r="AG399" s="13">
        <f>AC399*1.25*[1]Parametros!$B$3*(AB399-(AC399*1.25*[1]Parametros!$B$3/(0.85*[1]Parametros!$B$2*H399))/2)/1000000</f>
        <v>244.15884319852941</v>
      </c>
      <c r="AH399" s="13">
        <f t="shared" si="80"/>
        <v>432.80188395220591</v>
      </c>
      <c r="AI399" s="13">
        <f t="shared" si="81"/>
        <v>626.4</v>
      </c>
      <c r="AJ399" s="13">
        <f>0.17*SQRT([1]Parametros!$B$2)*H399*MIN(U399,AB399)/1000</f>
        <v>220.09872869180776</v>
      </c>
      <c r="AK399" s="13">
        <f>MAX(AI399/[1]Parametros!$B$6-AJ399,0)</f>
        <v>615.10127130819217</v>
      </c>
      <c r="AL399" s="13">
        <f>0.66*SQRT([1]Parametros!$B$2)*H399*MIN(U399,AB399)/1000</f>
        <v>854.500946685842</v>
      </c>
      <c r="AM399" s="13" t="str">
        <f t="shared" si="82"/>
        <v>CUMPLE</v>
      </c>
      <c r="AN399" s="13" t="s">
        <v>68</v>
      </c>
      <c r="AO399" s="14">
        <v>4</v>
      </c>
      <c r="AP399" s="13">
        <f>ROUNDDOWN(MIN(IF(BC399+BD399=0,1000000000,AO399*BB399/(BC399+BD399)),MIN(U399,AB399)/4,8*[1]Parametros!$B$12,24*BA399,300,IF(AV399=0,1000000000,2*((H399-2*([1]Parametros!$B$7+[1]Parametros!$B$9/2))+(I399-2*([1]Parametros!$B$7+[1]Parametros!$B$9/2)))/8))/10,0)*10</f>
        <v>120</v>
      </c>
      <c r="AQ399" s="13">
        <f>ROUNDDOWN(MIN(IF(BC399+BD399=0,1000000000,AO399*BB399/(BC399+BD399)),IF(AK399&gt;0.33*SQRT([1]Parametros!$B$2)*H399*MIN(U399,AB399)/1000,MIN(U399,AB399)/4,MIN(U399,AB399)/2),600,IF(AV399=0,1000000000,2*((H399-2*([1]Parametros!$B$7+[1]Parametros!$B$9/2))+(I399-2*([1]Parametros!$B$7+[1]Parametros!$B$9/2)))/8))/10,0)*10</f>
        <v>120</v>
      </c>
      <c r="AR399" s="13">
        <f>[1]Parametros!$B$6*(AJ399+MAX(BE399-BD399,0)*[1]Parametros!$B$4*MIN(U399,AB399)/1000)</f>
        <v>694.01532963486852</v>
      </c>
      <c r="AS399" s="13" t="str">
        <f t="shared" si="83"/>
        <v>CUMPLE</v>
      </c>
      <c r="AT399" s="13">
        <f>[1]Parametros!$B$6*0.083*SQRT([1]Parametros!$B$2)*(H399*I399)^2/(2*(H399+I399))/1000000</f>
        <v>11.862178757598967</v>
      </c>
      <c r="AU399" s="13" t="str">
        <f t="shared" si="84"/>
        <v>DISEÑAR</v>
      </c>
      <c r="AV399" s="13">
        <f>IF(Q399&lt;=AT399,0,Q399*1000000/([1]Parametros!$B$6*2*0.85*(H399-2*([1]Parametros!$B$7+[1]Parametros!$B$9/2))*(I399-2*([1]Parametros!$B$7+[1]Parametros!$B$9/2))*[1]Parametros!$B$4))</f>
        <v>0.43427641099543224</v>
      </c>
      <c r="AW399" s="13">
        <f>AV399*2*((H399-2*([1]Parametros!$B$7+[1]Parametros!$B$9/2))+(I399-2*([1]Parametros!$B$7+[1]Parametros!$B$9/2)))*[1]Parametros!$B$4/[1]Parametros!$B$3</f>
        <v>750.95076989330141</v>
      </c>
      <c r="AX399" s="14">
        <v>8</v>
      </c>
      <c r="AY399" s="13" t="str">
        <f t="shared" si="85"/>
        <v>CUMPLE</v>
      </c>
      <c r="AZ399" s="13" t="str">
        <f t="shared" si="86"/>
        <v>CUMPLE</v>
      </c>
      <c r="BA399" s="14">
        <v>12.7</v>
      </c>
      <c r="BB399" s="14">
        <v>129</v>
      </c>
      <c r="BC399" s="13">
        <f>MAX(IF(AK399=0,0,AK399*1000/([1]Parametros!$B$4*MIN(U399,AB399))),MAX(0.062*SQRT([1]Parametros!$B$2)*H399/[1]Parametros!$B$4,0.35*H399/[1]Parametros!$B$4))</f>
        <v>2.9928003197058888</v>
      </c>
      <c r="BD399" s="13">
        <f t="shared" si="87"/>
        <v>0.86855282199086448</v>
      </c>
      <c r="BE399" s="13">
        <f t="shared" si="88"/>
        <v>4.3</v>
      </c>
      <c r="BF399" s="13">
        <f>SQRT((AI399*1000/(H399*MIN(U399,AB399)))^2+(Q399*1000000*2*((H399-2*([1]Parametros!$B$7+[1]Parametros!$B$9/2))+(I399-2*([1]Parametros!$B$7+[1]Parametros!$B$9/2)))/(1.7*((H399-2*([1]Parametros!$B$7+[1]Parametros!$B$9/2))*(I399-2*([1]Parametros!$B$7+[1]Parametros!$B$9/2)))^2))^2)</f>
        <v>2.857829527389808</v>
      </c>
      <c r="BG399" s="13">
        <f>[1]Parametros!$B$6*(AJ399*1000/(H399*MIN(U399,AB399))+0.66*SQRT([1]Parametros!$B$2))</f>
        <v>3.2939603822754151</v>
      </c>
      <c r="BH399" s="13" t="str">
        <f t="shared" si="89"/>
        <v>CUMPLE</v>
      </c>
      <c r="BI399" s="13">
        <f>AX399*[1]Parametros!$B$8</f>
        <v>1592</v>
      </c>
      <c r="BJ399" s="15" t="str">
        <f t="shared" si="90"/>
        <v>CUMPLE</v>
      </c>
    </row>
    <row r="400" spans="1:62" x14ac:dyDescent="0.3">
      <c r="A400" s="33" t="s">
        <v>76</v>
      </c>
      <c r="B400" s="34">
        <v>221</v>
      </c>
      <c r="C400" s="13">
        <v>1</v>
      </c>
      <c r="D400" s="13">
        <v>3.05308</v>
      </c>
      <c r="E400" s="13">
        <v>3.05308</v>
      </c>
      <c r="F400" s="13">
        <v>500</v>
      </c>
      <c r="G400" s="13">
        <v>550</v>
      </c>
      <c r="H400" s="13">
        <v>500</v>
      </c>
      <c r="I400" s="13">
        <v>550</v>
      </c>
      <c r="J400" s="14">
        <v>181.3648</v>
      </c>
      <c r="K400" s="13">
        <v>221</v>
      </c>
      <c r="L400" s="14">
        <v>118.9572</v>
      </c>
      <c r="M400" s="13">
        <v>221</v>
      </c>
      <c r="N400" s="14">
        <v>137.20599999999999</v>
      </c>
      <c r="O400" s="14">
        <v>412.00099999999998</v>
      </c>
      <c r="P400" s="13">
        <v>221</v>
      </c>
      <c r="Q400" s="14">
        <v>50.057299999999998</v>
      </c>
      <c r="R400" s="13">
        <f>MAX(MAX(1.4/[1]Parametros!$B$3,0.25*SQRT([1]Parametros!$B$2)/[1]Parametros!$B$3)*H400*U400,(0.85*[1]Parametros!$B$2/[1]Parametros!$B$3)*(1-SQRT(1-2*(J400*1000000/([1]Parametros!$B$5*H400*U400^2))/(0.85*[1]Parametros!$B$2)))*H400*U400)</f>
        <v>1017.8474467154556</v>
      </c>
      <c r="S400" s="14">
        <v>6</v>
      </c>
      <c r="T400" s="14">
        <v>1</v>
      </c>
      <c r="U400" s="13">
        <f>IF(T400=1,I400-([1]Parametros!$B$7+[1]Parametros!$B$9+[1]Parametros!$B$12/2),I400-(ROUNDUP(S400/2,0)*([1]Parametros!$B$7+[1]Parametros!$B$9+[1]Parametros!$B$12/2)+ROUNDDOWN(S400/2,0)*([1]Parametros!$B$7+[1]Parametros!$B$9+[1]Parametros!$B$12/2+[1]Parametros!$B$12+[1]Parametros!$B$10))/S400)</f>
        <v>489.35</v>
      </c>
      <c r="V400" s="13">
        <f>S400*[1]Parametros!$B$8</f>
        <v>1194</v>
      </c>
      <c r="W400" s="13">
        <f>[1]Parametros!$B$5*V400*[1]Parametros!$B$3*(U400-(V400*[1]Parametros!$B$3/(0.85*[1]Parametros!$B$2*H400))/2)/1000000</f>
        <v>211.34948347058827</v>
      </c>
      <c r="X400" s="13" t="str">
        <f t="shared" si="78"/>
        <v>CUMPLE</v>
      </c>
      <c r="Y400" s="13">
        <f>MAX(MAX(1.4/[1]Parametros!$B$3,0.25*SQRT([1]Parametros!$B$2)/[1]Parametros!$B$3)*H400*AB400,(0.85*[1]Parametros!$B$2/[1]Parametros!$B$3)*(1-SQRT(1-2*(L400*1000000/([1]Parametros!$B$5*H400*AB400^2))/(0.85*[1]Parametros!$B$2)))*H400*AB400)</f>
        <v>815.58333333333326</v>
      </c>
      <c r="Z400" s="14">
        <v>5</v>
      </c>
      <c r="AA400" s="14">
        <v>1</v>
      </c>
      <c r="AB400" s="13">
        <f>IF(AA400=1,I400-([1]Parametros!$B$7+[1]Parametros!$B$9+[1]Parametros!$B$12/2),I400-(ROUNDUP(Z400/2,0)*([1]Parametros!$B$7+[1]Parametros!$B$9+[1]Parametros!$B$12/2)+ROUNDDOWN(Z400/2,0)*([1]Parametros!$B$7+[1]Parametros!$B$9+[1]Parametros!$B$12/2+[1]Parametros!$B$12+[1]Parametros!$B$10))/Z400)</f>
        <v>489.35</v>
      </c>
      <c r="AC400" s="13">
        <f>Z400*[1]Parametros!$B$8</f>
        <v>995</v>
      </c>
      <c r="AD400" s="13">
        <f>[1]Parametros!$B$5*AC400*[1]Parametros!$B$3*(AB400-(AC400*[1]Parametros!$B$3/(0.85*[1]Parametros!$B$2*H400))/2)/1000000</f>
        <v>177.44537938235294</v>
      </c>
      <c r="AE400" s="13" t="str">
        <f t="shared" si="79"/>
        <v>CUMPLE</v>
      </c>
      <c r="AF400" s="13">
        <f>V400*1.25*[1]Parametros!$B$3*(U400-(V400*1.25*[1]Parametros!$B$3/(0.85*[1]Parametros!$B$2*H400))/2)/1000000</f>
        <v>290.23892470588237</v>
      </c>
      <c r="AG400" s="13">
        <f>AC400*1.25*[1]Parametros!$B$3*(AB400-(AC400*1.25*[1]Parametros!$B$3/(0.85*[1]Parametros!$B$2*H400))/2)/1000000</f>
        <v>244.15884319852941</v>
      </c>
      <c r="AH400" s="13">
        <f t="shared" si="80"/>
        <v>312.24162563195586</v>
      </c>
      <c r="AI400" s="13">
        <f t="shared" si="81"/>
        <v>412.00099999999998</v>
      </c>
      <c r="AJ400" s="13">
        <f>0.17*SQRT([1]Parametros!$B$2)*H400*MIN(U400,AB400)/1000</f>
        <v>220.09872869180776</v>
      </c>
      <c r="AK400" s="13">
        <f>MAX(AI400/[1]Parametros!$B$6-AJ400,0)</f>
        <v>329.23593797485887</v>
      </c>
      <c r="AL400" s="13">
        <f>0.66*SQRT([1]Parametros!$B$2)*H400*MIN(U400,AB400)/1000</f>
        <v>854.500946685842</v>
      </c>
      <c r="AM400" s="13" t="str">
        <f t="shared" si="82"/>
        <v>CUMPLE</v>
      </c>
      <c r="AN400" s="13" t="s">
        <v>68</v>
      </c>
      <c r="AO400" s="14">
        <v>2</v>
      </c>
      <c r="AP400" s="13">
        <f>ROUNDDOWN(MIN(IF(BC400+BD400=0,1000000000,AO400*BB400/(BC400+BD400)),MIN(U400,AB400)/4,8*[1]Parametros!$B$12,24*BA400,300,IF(AV400=0,1000000000,2*((H400-2*([1]Parametros!$B$7+[1]Parametros!$B$9/2))+(I400-2*([1]Parametros!$B$7+[1]Parametros!$B$9/2)))/8))/10,0)*10</f>
        <v>90</v>
      </c>
      <c r="AQ400" s="13">
        <f>ROUNDDOWN(MIN(IF(BC400+BD400=0,1000000000,AO400*BB400/(BC400+BD400)),IF(AK400&gt;0.33*SQRT([1]Parametros!$B$2)*H400*MIN(U400,AB400)/1000,MIN(U400,AB400)/4,MIN(U400,AB400)/2),600,IF(AV400=0,1000000000,2*((H400-2*([1]Parametros!$B$7+[1]Parametros!$B$9/2))+(I400-2*([1]Parametros!$B$7+[1]Parametros!$B$9/2)))/8))/10,0)*10</f>
        <v>90</v>
      </c>
      <c r="AR400" s="13">
        <f>[1]Parametros!$B$6*(AJ400+MAX(BE400-BD400,0)*[1]Parametros!$B$4*MIN(U400,AB400)/1000)</f>
        <v>452.23495199199544</v>
      </c>
      <c r="AS400" s="13" t="str">
        <f t="shared" si="83"/>
        <v>CUMPLE</v>
      </c>
      <c r="AT400" s="13">
        <f>[1]Parametros!$B$6*0.083*SQRT([1]Parametros!$B$2)*(H400*I400)^2/(2*(H400+I400))/1000000</f>
        <v>11.862178757598967</v>
      </c>
      <c r="AU400" s="13" t="str">
        <f t="shared" si="84"/>
        <v>DISEÑAR</v>
      </c>
      <c r="AV400" s="13">
        <f>IF(Q400&lt;=AT400,0,Q400*1000000/([1]Parametros!$B$6*2*0.85*(H400-2*([1]Parametros!$B$7+[1]Parametros!$B$9/2))*(I400-2*([1]Parametros!$B$7+[1]Parametros!$B$9/2))*[1]Parametros!$B$4))</f>
        <v>0.50187126923100267</v>
      </c>
      <c r="AW400" s="13">
        <f>AV400*2*((H400-2*([1]Parametros!$B$7+[1]Parametros!$B$9/2))+(I400-2*([1]Parametros!$B$7+[1]Parametros!$B$9/2)))*[1]Parametros!$B$4/[1]Parametros!$B$3</f>
        <v>867.83579875424982</v>
      </c>
      <c r="AX400" s="14">
        <v>8</v>
      </c>
      <c r="AY400" s="13" t="str">
        <f t="shared" si="85"/>
        <v>CUMPLE</v>
      </c>
      <c r="AZ400" s="13" t="str">
        <f t="shared" si="86"/>
        <v>CUMPLE</v>
      </c>
      <c r="BA400" s="14">
        <v>12.7</v>
      </c>
      <c r="BB400" s="14">
        <v>129</v>
      </c>
      <c r="BC400" s="13">
        <f>MAX(IF(AK400=0,0,AK400*1000/([1]Parametros!$B$4*MIN(U400,AB400))),MAX(0.062*SQRT([1]Parametros!$B$2)*H400/[1]Parametros!$B$4,0.35*H400/[1]Parametros!$B$4))</f>
        <v>1.6019108826327386</v>
      </c>
      <c r="BD400" s="13">
        <f t="shared" si="87"/>
        <v>1.0037425384620053</v>
      </c>
      <c r="BE400" s="13">
        <f t="shared" si="88"/>
        <v>2.8666666666666667</v>
      </c>
      <c r="BF400" s="13">
        <f>SQRT((AI400*1000/(H400*MIN(U400,AB400)))^2+(Q400*1000000*2*((H400-2*([1]Parametros!$B$7+[1]Parametros!$B$9/2))+(I400-2*([1]Parametros!$B$7+[1]Parametros!$B$9/2)))/(1.7*((H400-2*([1]Parametros!$B$7+[1]Parametros!$B$9/2))*(I400-2*([1]Parametros!$B$7+[1]Parametros!$B$9/2)))^2))^2)</f>
        <v>2.2337223248398081</v>
      </c>
      <c r="BG400" s="13">
        <f>[1]Parametros!$B$6*(AJ400*1000/(H400*MIN(U400,AB400))+0.66*SQRT([1]Parametros!$B$2))</f>
        <v>3.2939603822754151</v>
      </c>
      <c r="BH400" s="13" t="str">
        <f t="shared" si="89"/>
        <v>CUMPLE</v>
      </c>
      <c r="BI400" s="13">
        <f>AX400*[1]Parametros!$B$8</f>
        <v>1592</v>
      </c>
      <c r="BJ400" s="15" t="str">
        <f t="shared" si="90"/>
        <v>CUMPLE</v>
      </c>
    </row>
    <row r="401" spans="1:62" x14ac:dyDescent="0.3">
      <c r="A401" s="33" t="s">
        <v>76</v>
      </c>
      <c r="B401" s="34">
        <v>222</v>
      </c>
      <c r="C401" s="13">
        <v>1</v>
      </c>
      <c r="D401" s="13">
        <v>2</v>
      </c>
      <c r="E401" s="13">
        <v>2</v>
      </c>
      <c r="F401" s="13">
        <v>500</v>
      </c>
      <c r="G401" s="13">
        <v>550</v>
      </c>
      <c r="H401" s="13">
        <v>500</v>
      </c>
      <c r="I401" s="13">
        <v>550</v>
      </c>
      <c r="J401" s="14">
        <v>196.47020000000001</v>
      </c>
      <c r="K401" s="13">
        <v>222</v>
      </c>
      <c r="L401" s="14">
        <v>131.09819999999999</v>
      </c>
      <c r="M401" s="13">
        <v>222</v>
      </c>
      <c r="N401" s="14">
        <v>163.75899999999999</v>
      </c>
      <c r="O401" s="14">
        <v>611.71</v>
      </c>
      <c r="P401" s="13">
        <v>222</v>
      </c>
      <c r="Q401" s="14">
        <v>7.8670999999999998</v>
      </c>
      <c r="R401" s="13">
        <f>MAX(MAX(1.4/[1]Parametros!$B$3,0.25*SQRT([1]Parametros!$B$2)/[1]Parametros!$B$3)*H401*U401,(0.85*[1]Parametros!$B$2/[1]Parametros!$B$3)*(1-SQRT(1-2*(J401*1000000/([1]Parametros!$B$5*H401*U401^2))/(0.85*[1]Parametros!$B$2)))*H401*U401)</f>
        <v>1106.2839190689372</v>
      </c>
      <c r="S401" s="14">
        <v>6</v>
      </c>
      <c r="T401" s="14">
        <v>1</v>
      </c>
      <c r="U401" s="13">
        <f>IF(T401=1,I401-([1]Parametros!$B$7+[1]Parametros!$B$9+[1]Parametros!$B$12/2),I401-(ROUNDUP(S401/2,0)*([1]Parametros!$B$7+[1]Parametros!$B$9+[1]Parametros!$B$12/2)+ROUNDDOWN(S401/2,0)*([1]Parametros!$B$7+[1]Parametros!$B$9+[1]Parametros!$B$12/2+[1]Parametros!$B$12+[1]Parametros!$B$10))/S401)</f>
        <v>489.35</v>
      </c>
      <c r="V401" s="13">
        <f>S401*[1]Parametros!$B$8</f>
        <v>1194</v>
      </c>
      <c r="W401" s="13">
        <f>[1]Parametros!$B$5*V401*[1]Parametros!$B$3*(U401-(V401*[1]Parametros!$B$3/(0.85*[1]Parametros!$B$2*H401))/2)/1000000</f>
        <v>211.34948347058827</v>
      </c>
      <c r="X401" s="13" t="str">
        <f t="shared" si="78"/>
        <v>CUMPLE</v>
      </c>
      <c r="Y401" s="13">
        <f>MAX(MAX(1.4/[1]Parametros!$B$3,0.25*SQRT([1]Parametros!$B$2)/[1]Parametros!$B$3)*H401*AB401,(0.85*[1]Parametros!$B$2/[1]Parametros!$B$3)*(1-SQRT(1-2*(L401*1000000/([1]Parametros!$B$5*H401*AB401^2))/(0.85*[1]Parametros!$B$2)))*H401*AB401)</f>
        <v>815.58333333333326</v>
      </c>
      <c r="Z401" s="14">
        <v>5</v>
      </c>
      <c r="AA401" s="14">
        <v>1</v>
      </c>
      <c r="AB401" s="13">
        <f>IF(AA401=1,I401-([1]Parametros!$B$7+[1]Parametros!$B$9+[1]Parametros!$B$12/2),I401-(ROUNDUP(Z401/2,0)*([1]Parametros!$B$7+[1]Parametros!$B$9+[1]Parametros!$B$12/2)+ROUNDDOWN(Z401/2,0)*([1]Parametros!$B$7+[1]Parametros!$B$9+[1]Parametros!$B$12/2+[1]Parametros!$B$12+[1]Parametros!$B$10))/Z401)</f>
        <v>489.35</v>
      </c>
      <c r="AC401" s="13">
        <f>Z401*[1]Parametros!$B$8</f>
        <v>995</v>
      </c>
      <c r="AD401" s="13">
        <f>[1]Parametros!$B$5*AC401*[1]Parametros!$B$3*(AB401-(AC401*[1]Parametros!$B$3/(0.85*[1]Parametros!$B$2*H401))/2)/1000000</f>
        <v>177.44537938235294</v>
      </c>
      <c r="AE401" s="13" t="str">
        <f t="shared" si="79"/>
        <v>CUMPLE</v>
      </c>
      <c r="AF401" s="13">
        <f>V401*1.25*[1]Parametros!$B$3*(U401-(V401*1.25*[1]Parametros!$B$3/(0.85*[1]Parametros!$B$2*H401))/2)/1000000</f>
        <v>290.23892470588237</v>
      </c>
      <c r="AG401" s="13">
        <f>AC401*1.25*[1]Parametros!$B$3*(AB401-(AC401*1.25*[1]Parametros!$B$3/(0.85*[1]Parametros!$B$2*H401))/2)/1000000</f>
        <v>244.15884319852941</v>
      </c>
      <c r="AH401" s="13">
        <f t="shared" si="80"/>
        <v>430.95788395220586</v>
      </c>
      <c r="AI401" s="13">
        <f t="shared" si="81"/>
        <v>611.71</v>
      </c>
      <c r="AJ401" s="13">
        <f>0.17*SQRT([1]Parametros!$B$2)*H401*MIN(U401,AB401)/1000</f>
        <v>220.09872869180776</v>
      </c>
      <c r="AK401" s="13">
        <f>MAX(AI401/[1]Parametros!$B$6-AJ401,0)</f>
        <v>595.51460464152558</v>
      </c>
      <c r="AL401" s="13">
        <f>0.66*SQRT([1]Parametros!$B$2)*H401*MIN(U401,AB401)/1000</f>
        <v>854.500946685842</v>
      </c>
      <c r="AM401" s="13" t="str">
        <f t="shared" si="82"/>
        <v>CUMPLE</v>
      </c>
      <c r="AN401" s="13" t="s">
        <v>68</v>
      </c>
      <c r="AO401" s="14">
        <v>2</v>
      </c>
      <c r="AP401" s="13">
        <f>ROUNDDOWN(MIN(IF(BC401+BD401=0,1000000000,AO401*BB401/(BC401+BD401)),MIN(U401,AB401)/4,8*[1]Parametros!$B$12,24*BA401,300,IF(AV401=0,1000000000,2*((H401-2*([1]Parametros!$B$7+[1]Parametros!$B$9/2))+(I401-2*([1]Parametros!$B$7+[1]Parametros!$B$9/2)))/8))/10,0)*10</f>
        <v>80</v>
      </c>
      <c r="AQ401" s="13">
        <f>ROUNDDOWN(MIN(IF(BC401+BD401=0,1000000000,AO401*BB401/(BC401+BD401)),IF(AK401&gt;0.33*SQRT([1]Parametros!$B$2)*H401*MIN(U401,AB401)/1000,MIN(U401,AB401)/4,MIN(U401,AB401)/2),600,IF(AV401=0,1000000000,2*((H401-2*([1]Parametros!$B$7+[1]Parametros!$B$9/2))+(I401-2*([1]Parametros!$B$7+[1]Parametros!$B$9/2)))/8))/10,0)*10</f>
        <v>80</v>
      </c>
      <c r="AR401" s="13">
        <f>[1]Parametros!$B$6*(AJ401+MAX(BE401-BD401,0)*[1]Parametros!$B$4*MIN(U401,AB401)/1000)</f>
        <v>662.19247776885595</v>
      </c>
      <c r="AS401" s="13" t="str">
        <f t="shared" si="83"/>
        <v>CUMPLE</v>
      </c>
      <c r="AT401" s="13">
        <f>[1]Parametros!$B$6*0.083*SQRT([1]Parametros!$B$2)*(H401*I401)^2/(2*(H401+I401))/1000000</f>
        <v>11.862178757598967</v>
      </c>
      <c r="AU401" s="13" t="str">
        <f t="shared" si="84"/>
        <v>DESPRECIABLE</v>
      </c>
      <c r="AV401" s="13">
        <f>IF(Q401&lt;=AT401,0,Q401*1000000/([1]Parametros!$B$6*2*0.85*(H401-2*([1]Parametros!$B$7+[1]Parametros!$B$9/2))*(I401-2*([1]Parametros!$B$7+[1]Parametros!$B$9/2))*[1]Parametros!$B$4))</f>
        <v>0</v>
      </c>
      <c r="AW401" s="13">
        <f>AV401*2*((H401-2*([1]Parametros!$B$7+[1]Parametros!$B$9/2))+(I401-2*([1]Parametros!$B$7+[1]Parametros!$B$9/2)))*[1]Parametros!$B$4/[1]Parametros!$B$3</f>
        <v>0</v>
      </c>
      <c r="AX401" s="14">
        <v>0</v>
      </c>
      <c r="AY401" s="13" t="str">
        <f t="shared" si="85"/>
        <v>DESPRECIABLE</v>
      </c>
      <c r="AZ401" s="13" t="str">
        <f t="shared" si="86"/>
        <v>CUMPLE</v>
      </c>
      <c r="BA401" s="14">
        <v>12.7</v>
      </c>
      <c r="BB401" s="14">
        <v>129</v>
      </c>
      <c r="BC401" s="13">
        <f>MAX(IF(AK401=0,0,AK401*1000/([1]Parametros!$B$4*MIN(U401,AB401))),MAX(0.062*SQRT([1]Parametros!$B$2)*H401/[1]Parametros!$B$4,0.35*H401/[1]Parametros!$B$4))</f>
        <v>2.8975005942845735</v>
      </c>
      <c r="BD401" s="13">
        <f t="shared" si="87"/>
        <v>0</v>
      </c>
      <c r="BE401" s="13">
        <f t="shared" si="88"/>
        <v>3.2250000000000001</v>
      </c>
      <c r="BF401" s="13">
        <f>SQRT((AI401*1000/(H401*MIN(U401,AB401)))^2+(Q401*1000000*2*((H401-2*([1]Parametros!$B$7+[1]Parametros!$B$9/2))+(I401-2*([1]Parametros!$B$7+[1]Parametros!$B$9/2)))/(1.7*((H401-2*([1]Parametros!$B$7+[1]Parametros!$B$9/2))*(I401-2*([1]Parametros!$B$7+[1]Parametros!$B$9/2)))^2))^2)</f>
        <v>2.5107101917244106</v>
      </c>
      <c r="BG401" s="13">
        <f>[1]Parametros!$B$6*(AJ401*1000/(H401*MIN(U401,AB401))+0.66*SQRT([1]Parametros!$B$2))</f>
        <v>3.2939603822754151</v>
      </c>
      <c r="BH401" s="13" t="str">
        <f t="shared" si="89"/>
        <v>CUMPLE</v>
      </c>
      <c r="BI401" s="13">
        <f>AX401*[1]Parametros!$B$8</f>
        <v>0</v>
      </c>
      <c r="BJ401" s="15" t="str">
        <f t="shared" si="90"/>
        <v>CUMPLE</v>
      </c>
    </row>
    <row r="402" spans="1:62" x14ac:dyDescent="0.3">
      <c r="A402" s="33" t="s">
        <v>76</v>
      </c>
      <c r="B402" s="34">
        <v>233</v>
      </c>
      <c r="C402" s="13">
        <v>1</v>
      </c>
      <c r="D402" s="13">
        <v>2</v>
      </c>
      <c r="E402" s="13">
        <v>2</v>
      </c>
      <c r="F402" s="13">
        <v>500</v>
      </c>
      <c r="G402" s="13">
        <v>550</v>
      </c>
      <c r="H402" s="13">
        <v>500</v>
      </c>
      <c r="I402" s="13">
        <v>550</v>
      </c>
      <c r="J402" s="14">
        <v>196.59360000000001</v>
      </c>
      <c r="K402" s="13">
        <v>233</v>
      </c>
      <c r="L402" s="14">
        <v>131.0284</v>
      </c>
      <c r="M402" s="13">
        <v>233</v>
      </c>
      <c r="N402" s="14">
        <v>163.84399999999999</v>
      </c>
      <c r="O402" s="14">
        <v>611.79899999999998</v>
      </c>
      <c r="P402" s="13">
        <v>233</v>
      </c>
      <c r="Q402" s="14">
        <v>7.8650000000000002</v>
      </c>
      <c r="R402" s="13">
        <f>MAX(MAX(1.4/[1]Parametros!$B$3,0.25*SQRT([1]Parametros!$B$2)/[1]Parametros!$B$3)*H402*U402,(0.85*[1]Parametros!$B$2/[1]Parametros!$B$3)*(1-SQRT(1-2*(J402*1000000/([1]Parametros!$B$5*H402*U402^2))/(0.85*[1]Parametros!$B$2)))*H402*U402)</f>
        <v>1107.0089044233828</v>
      </c>
      <c r="S402" s="14">
        <v>6</v>
      </c>
      <c r="T402" s="14">
        <v>1</v>
      </c>
      <c r="U402" s="13">
        <f>IF(T402=1,I402-([1]Parametros!$B$7+[1]Parametros!$B$9+[1]Parametros!$B$12/2),I402-(ROUNDUP(S402/2,0)*([1]Parametros!$B$7+[1]Parametros!$B$9+[1]Parametros!$B$12/2)+ROUNDDOWN(S402/2,0)*([1]Parametros!$B$7+[1]Parametros!$B$9+[1]Parametros!$B$12/2+[1]Parametros!$B$12+[1]Parametros!$B$10))/S402)</f>
        <v>489.35</v>
      </c>
      <c r="V402" s="13">
        <f>S402*[1]Parametros!$B$8</f>
        <v>1194</v>
      </c>
      <c r="W402" s="13">
        <f>[1]Parametros!$B$5*V402*[1]Parametros!$B$3*(U402-(V402*[1]Parametros!$B$3/(0.85*[1]Parametros!$B$2*H402))/2)/1000000</f>
        <v>211.34948347058827</v>
      </c>
      <c r="X402" s="13" t="str">
        <f t="shared" si="78"/>
        <v>CUMPLE</v>
      </c>
      <c r="Y402" s="13">
        <f>MAX(MAX(1.4/[1]Parametros!$B$3,0.25*SQRT([1]Parametros!$B$2)/[1]Parametros!$B$3)*H402*AB402,(0.85*[1]Parametros!$B$2/[1]Parametros!$B$3)*(1-SQRT(1-2*(L402*1000000/([1]Parametros!$B$5*H402*AB402^2))/(0.85*[1]Parametros!$B$2)))*H402*AB402)</f>
        <v>815.58333333333326</v>
      </c>
      <c r="Z402" s="14">
        <v>5</v>
      </c>
      <c r="AA402" s="14">
        <v>1</v>
      </c>
      <c r="AB402" s="13">
        <f>IF(AA402=1,I402-([1]Parametros!$B$7+[1]Parametros!$B$9+[1]Parametros!$B$12/2),I402-(ROUNDUP(Z402/2,0)*([1]Parametros!$B$7+[1]Parametros!$B$9+[1]Parametros!$B$12/2)+ROUNDDOWN(Z402/2,0)*([1]Parametros!$B$7+[1]Parametros!$B$9+[1]Parametros!$B$12/2+[1]Parametros!$B$12+[1]Parametros!$B$10))/Z402)</f>
        <v>489.35</v>
      </c>
      <c r="AC402" s="13">
        <f>Z402*[1]Parametros!$B$8</f>
        <v>995</v>
      </c>
      <c r="AD402" s="13">
        <f>[1]Parametros!$B$5*AC402*[1]Parametros!$B$3*(AB402-(AC402*[1]Parametros!$B$3/(0.85*[1]Parametros!$B$2*H402))/2)/1000000</f>
        <v>177.44537938235294</v>
      </c>
      <c r="AE402" s="13" t="str">
        <f t="shared" si="79"/>
        <v>CUMPLE</v>
      </c>
      <c r="AF402" s="13">
        <f>V402*1.25*[1]Parametros!$B$3*(U402-(V402*1.25*[1]Parametros!$B$3/(0.85*[1]Parametros!$B$2*H402))/2)/1000000</f>
        <v>290.23892470588237</v>
      </c>
      <c r="AG402" s="13">
        <f>AC402*1.25*[1]Parametros!$B$3*(AB402-(AC402*1.25*[1]Parametros!$B$3/(0.85*[1]Parametros!$B$2*H402))/2)/1000000</f>
        <v>244.15884319852941</v>
      </c>
      <c r="AH402" s="13">
        <f t="shared" si="80"/>
        <v>431.0428839522059</v>
      </c>
      <c r="AI402" s="13">
        <f t="shared" si="81"/>
        <v>611.79899999999998</v>
      </c>
      <c r="AJ402" s="13">
        <f>0.17*SQRT([1]Parametros!$B$2)*H402*MIN(U402,AB402)/1000</f>
        <v>220.09872869180776</v>
      </c>
      <c r="AK402" s="13">
        <f>MAX(AI402/[1]Parametros!$B$6-AJ402,0)</f>
        <v>595.63327130819221</v>
      </c>
      <c r="AL402" s="13">
        <f>0.66*SQRT([1]Parametros!$B$2)*H402*MIN(U402,AB402)/1000</f>
        <v>854.500946685842</v>
      </c>
      <c r="AM402" s="13" t="str">
        <f t="shared" si="82"/>
        <v>CUMPLE</v>
      </c>
      <c r="AN402" s="13" t="s">
        <v>68</v>
      </c>
      <c r="AO402" s="14">
        <v>2</v>
      </c>
      <c r="AP402" s="13">
        <f>ROUNDDOWN(MIN(IF(BC402+BD402=0,1000000000,AO402*BB402/(BC402+BD402)),MIN(U402,AB402)/4,8*[1]Parametros!$B$12,24*BA402,300,IF(AV402=0,1000000000,2*((H402-2*([1]Parametros!$B$7+[1]Parametros!$B$9/2))+(I402-2*([1]Parametros!$B$7+[1]Parametros!$B$9/2)))/8))/10,0)*10</f>
        <v>80</v>
      </c>
      <c r="AQ402" s="13">
        <f>ROUNDDOWN(MIN(IF(BC402+BD402=0,1000000000,AO402*BB402/(BC402+BD402)),IF(AK402&gt;0.33*SQRT([1]Parametros!$B$2)*H402*MIN(U402,AB402)/1000,MIN(U402,AB402)/4,MIN(U402,AB402)/2),600,IF(AV402=0,1000000000,2*((H402-2*([1]Parametros!$B$7+[1]Parametros!$B$9/2))+(I402-2*([1]Parametros!$B$7+[1]Parametros!$B$9/2)))/8))/10,0)*10</f>
        <v>80</v>
      </c>
      <c r="AR402" s="13">
        <f>[1]Parametros!$B$6*(AJ402+MAX(BE402-BD402,0)*[1]Parametros!$B$4*MIN(U402,AB402)/1000)</f>
        <v>662.19247776885595</v>
      </c>
      <c r="AS402" s="13" t="str">
        <f t="shared" si="83"/>
        <v>CUMPLE</v>
      </c>
      <c r="AT402" s="13">
        <f>[1]Parametros!$B$6*0.083*SQRT([1]Parametros!$B$2)*(H402*I402)^2/(2*(H402+I402))/1000000</f>
        <v>11.862178757598967</v>
      </c>
      <c r="AU402" s="13" t="str">
        <f t="shared" si="84"/>
        <v>DESPRECIABLE</v>
      </c>
      <c r="AV402" s="13">
        <f>IF(Q402&lt;=AT402,0,Q402*1000000/([1]Parametros!$B$6*2*0.85*(H402-2*([1]Parametros!$B$7+[1]Parametros!$B$9/2))*(I402-2*([1]Parametros!$B$7+[1]Parametros!$B$9/2))*[1]Parametros!$B$4))</f>
        <v>0</v>
      </c>
      <c r="AW402" s="13">
        <f>AV402*2*((H402-2*([1]Parametros!$B$7+[1]Parametros!$B$9/2))+(I402-2*([1]Parametros!$B$7+[1]Parametros!$B$9/2)))*[1]Parametros!$B$4/[1]Parametros!$B$3</f>
        <v>0</v>
      </c>
      <c r="AX402" s="14">
        <v>0</v>
      </c>
      <c r="AY402" s="13" t="str">
        <f t="shared" si="85"/>
        <v>DESPRECIABLE</v>
      </c>
      <c r="AZ402" s="13" t="str">
        <f t="shared" si="86"/>
        <v>CUMPLE</v>
      </c>
      <c r="BA402" s="14">
        <v>12.7</v>
      </c>
      <c r="BB402" s="14">
        <v>129</v>
      </c>
      <c r="BC402" s="13">
        <f>MAX(IF(AK402=0,0,AK402*1000/([1]Parametros!$B$4*MIN(U402,AB402))),MAX(0.062*SQRT([1]Parametros!$B$2)*H402/[1]Parametros!$B$4,0.35*H402/[1]Parametros!$B$4))</f>
        <v>2.8980779717905296</v>
      </c>
      <c r="BD402" s="13">
        <f t="shared" si="87"/>
        <v>0</v>
      </c>
      <c r="BE402" s="13">
        <f t="shared" si="88"/>
        <v>3.2250000000000001</v>
      </c>
      <c r="BF402" s="13">
        <f>SQRT((AI402*1000/(H402*MIN(U402,AB402)))^2+(Q402*1000000*2*((H402-2*([1]Parametros!$B$7+[1]Parametros!$B$9/2))+(I402-2*([1]Parametros!$B$7+[1]Parametros!$B$9/2)))/(1.7*((H402-2*([1]Parametros!$B$7+[1]Parametros!$B$9/2))*(I402-2*([1]Parametros!$B$7+[1]Parametros!$B$9/2)))^2))^2)</f>
        <v>2.5110667462294645</v>
      </c>
      <c r="BG402" s="13">
        <f>[1]Parametros!$B$6*(AJ402*1000/(H402*MIN(U402,AB402))+0.66*SQRT([1]Parametros!$B$2))</f>
        <v>3.2939603822754151</v>
      </c>
      <c r="BH402" s="13" t="str">
        <f t="shared" si="89"/>
        <v>CUMPLE</v>
      </c>
      <c r="BI402" s="13">
        <f>AX402*[1]Parametros!$B$8</f>
        <v>0</v>
      </c>
      <c r="BJ402" s="15" t="str">
        <f t="shared" si="90"/>
        <v>CUMPLE</v>
      </c>
    </row>
    <row r="403" spans="1:62" x14ac:dyDescent="0.3">
      <c r="A403" s="33" t="s">
        <v>76</v>
      </c>
      <c r="B403" s="34">
        <v>234</v>
      </c>
      <c r="C403" s="13">
        <v>1</v>
      </c>
      <c r="D403" s="13">
        <v>3.05308</v>
      </c>
      <c r="E403" s="13">
        <v>3.05308</v>
      </c>
      <c r="F403" s="13">
        <v>500</v>
      </c>
      <c r="G403" s="13">
        <v>550</v>
      </c>
      <c r="H403" s="13">
        <v>500</v>
      </c>
      <c r="I403" s="13">
        <v>550</v>
      </c>
      <c r="J403" s="14">
        <v>181.25069999999999</v>
      </c>
      <c r="K403" s="13">
        <v>234</v>
      </c>
      <c r="L403" s="14">
        <v>118.8891</v>
      </c>
      <c r="M403" s="13">
        <v>234</v>
      </c>
      <c r="N403" s="14">
        <v>137.15</v>
      </c>
      <c r="O403" s="14">
        <v>411.94</v>
      </c>
      <c r="P403" s="13">
        <v>234</v>
      </c>
      <c r="Q403" s="14">
        <v>50.057600000000001</v>
      </c>
      <c r="R403" s="13">
        <f>MAX(MAX(1.4/[1]Parametros!$B$3,0.25*SQRT([1]Parametros!$B$2)/[1]Parametros!$B$3)*H403*U403,(0.85*[1]Parametros!$B$2/[1]Parametros!$B$3)*(1-SQRT(1-2*(J403*1000000/([1]Parametros!$B$5*H403*U403^2))/(0.85*[1]Parametros!$B$2)))*H403*U403)</f>
        <v>1017.1817503287119</v>
      </c>
      <c r="S403" s="14">
        <v>6</v>
      </c>
      <c r="T403" s="14">
        <v>1</v>
      </c>
      <c r="U403" s="13">
        <f>IF(T403=1,I403-([1]Parametros!$B$7+[1]Parametros!$B$9+[1]Parametros!$B$12/2),I403-(ROUNDUP(S403/2,0)*([1]Parametros!$B$7+[1]Parametros!$B$9+[1]Parametros!$B$12/2)+ROUNDDOWN(S403/2,0)*([1]Parametros!$B$7+[1]Parametros!$B$9+[1]Parametros!$B$12/2+[1]Parametros!$B$12+[1]Parametros!$B$10))/S403)</f>
        <v>489.35</v>
      </c>
      <c r="V403" s="13">
        <f>S403*[1]Parametros!$B$8</f>
        <v>1194</v>
      </c>
      <c r="W403" s="13">
        <f>[1]Parametros!$B$5*V403*[1]Parametros!$B$3*(U403-(V403*[1]Parametros!$B$3/(0.85*[1]Parametros!$B$2*H403))/2)/1000000</f>
        <v>211.34948347058827</v>
      </c>
      <c r="X403" s="13" t="str">
        <f t="shared" si="78"/>
        <v>CUMPLE</v>
      </c>
      <c r="Y403" s="13">
        <f>MAX(MAX(1.4/[1]Parametros!$B$3,0.25*SQRT([1]Parametros!$B$2)/[1]Parametros!$B$3)*H403*AB403,(0.85*[1]Parametros!$B$2/[1]Parametros!$B$3)*(1-SQRT(1-2*(L403*1000000/([1]Parametros!$B$5*H403*AB403^2))/(0.85*[1]Parametros!$B$2)))*H403*AB403)</f>
        <v>815.58333333333326</v>
      </c>
      <c r="Z403" s="14">
        <v>5</v>
      </c>
      <c r="AA403" s="14">
        <v>1</v>
      </c>
      <c r="AB403" s="13">
        <f>IF(AA403=1,I403-([1]Parametros!$B$7+[1]Parametros!$B$9+[1]Parametros!$B$12/2),I403-(ROUNDUP(Z403/2,0)*([1]Parametros!$B$7+[1]Parametros!$B$9+[1]Parametros!$B$12/2)+ROUNDDOWN(Z403/2,0)*([1]Parametros!$B$7+[1]Parametros!$B$9+[1]Parametros!$B$12/2+[1]Parametros!$B$12+[1]Parametros!$B$10))/Z403)</f>
        <v>489.35</v>
      </c>
      <c r="AC403" s="13">
        <f>Z403*[1]Parametros!$B$8</f>
        <v>995</v>
      </c>
      <c r="AD403" s="13">
        <f>[1]Parametros!$B$5*AC403*[1]Parametros!$B$3*(AB403-(AC403*[1]Parametros!$B$3/(0.85*[1]Parametros!$B$2*H403))/2)/1000000</f>
        <v>177.44537938235294</v>
      </c>
      <c r="AE403" s="13" t="str">
        <f t="shared" si="79"/>
        <v>CUMPLE</v>
      </c>
      <c r="AF403" s="13">
        <f>V403*1.25*[1]Parametros!$B$3*(U403-(V403*1.25*[1]Parametros!$B$3/(0.85*[1]Parametros!$B$2*H403))/2)/1000000</f>
        <v>290.23892470588237</v>
      </c>
      <c r="AG403" s="13">
        <f>AC403*1.25*[1]Parametros!$B$3*(AB403-(AC403*1.25*[1]Parametros!$B$3/(0.85*[1]Parametros!$B$2*H403))/2)/1000000</f>
        <v>244.15884319852941</v>
      </c>
      <c r="AH403" s="13">
        <f t="shared" si="80"/>
        <v>312.18562563195587</v>
      </c>
      <c r="AI403" s="13">
        <f t="shared" si="81"/>
        <v>411.94</v>
      </c>
      <c r="AJ403" s="13">
        <f>0.17*SQRT([1]Parametros!$B$2)*H403*MIN(U403,AB403)/1000</f>
        <v>220.09872869180776</v>
      </c>
      <c r="AK403" s="13">
        <f>MAX(AI403/[1]Parametros!$B$6-AJ403,0)</f>
        <v>329.15460464152557</v>
      </c>
      <c r="AL403" s="13">
        <f>0.66*SQRT([1]Parametros!$B$2)*H403*MIN(U403,AB403)/1000</f>
        <v>854.500946685842</v>
      </c>
      <c r="AM403" s="13" t="str">
        <f t="shared" si="82"/>
        <v>CUMPLE</v>
      </c>
      <c r="AN403" s="13" t="s">
        <v>68</v>
      </c>
      <c r="AO403" s="14">
        <v>2</v>
      </c>
      <c r="AP403" s="13">
        <f>ROUNDDOWN(MIN(IF(BC403+BD403=0,1000000000,AO403*BB403/(BC403+BD403)),MIN(U403,AB403)/4,8*[1]Parametros!$B$12,24*BA403,300,IF(AV403=0,1000000000,2*((H403-2*([1]Parametros!$B$7+[1]Parametros!$B$9/2))+(I403-2*([1]Parametros!$B$7+[1]Parametros!$B$9/2)))/8))/10,0)*10</f>
        <v>90</v>
      </c>
      <c r="AQ403" s="13">
        <f>ROUNDDOWN(MIN(IF(BC403+BD403=0,1000000000,AO403*BB403/(BC403+BD403)),IF(AK403&gt;0.33*SQRT([1]Parametros!$B$2)*H403*MIN(U403,AB403)/1000,MIN(U403,AB403)/4,MIN(U403,AB403)/2),600,IF(AV403=0,1000000000,2*((H403-2*([1]Parametros!$B$7+[1]Parametros!$B$9/2))+(I403-2*([1]Parametros!$B$7+[1]Parametros!$B$9/2)))/8))/10,0)*10</f>
        <v>90</v>
      </c>
      <c r="AR403" s="13">
        <f>[1]Parametros!$B$6*(AJ403+MAX(BE403-BD403,0)*[1]Parametros!$B$4*MIN(U403,AB403)/1000)</f>
        <v>452.23402472177986</v>
      </c>
      <c r="AS403" s="13" t="str">
        <f t="shared" si="83"/>
        <v>CUMPLE</v>
      </c>
      <c r="AT403" s="13">
        <f>[1]Parametros!$B$6*0.083*SQRT([1]Parametros!$B$2)*(H403*I403)^2/(2*(H403+I403))/1000000</f>
        <v>11.862178757598967</v>
      </c>
      <c r="AU403" s="13" t="str">
        <f t="shared" si="84"/>
        <v>DISEÑAR</v>
      </c>
      <c r="AV403" s="13">
        <f>IF(Q403&lt;=AT403,0,Q403*1000000/([1]Parametros!$B$6*2*0.85*(H403-2*([1]Parametros!$B$7+[1]Parametros!$B$9/2))*(I403-2*([1]Parametros!$B$7+[1]Parametros!$B$9/2))*[1]Parametros!$B$4))</f>
        <v>0.5018742770117014</v>
      </c>
      <c r="AW403" s="13">
        <f>AV403*2*((H403-2*([1]Parametros!$B$7+[1]Parametros!$B$9/2))+(I403-2*([1]Parametros!$B$7+[1]Parametros!$B$9/2)))*[1]Parametros!$B$4/[1]Parametros!$B$3</f>
        <v>867.84099980863402</v>
      </c>
      <c r="AX403" s="14">
        <v>8</v>
      </c>
      <c r="AY403" s="13" t="str">
        <f t="shared" si="85"/>
        <v>CUMPLE</v>
      </c>
      <c r="AZ403" s="13" t="str">
        <f t="shared" si="86"/>
        <v>CUMPLE</v>
      </c>
      <c r="BA403" s="14">
        <v>12.7</v>
      </c>
      <c r="BB403" s="14">
        <v>129</v>
      </c>
      <c r="BC403" s="13">
        <f>MAX(IF(AK403=0,0,AK403*1000/([1]Parametros!$B$4*MIN(U403,AB403))),MAX(0.062*SQRT([1]Parametros!$B$2)*H403/[1]Parametros!$B$4,0.35*H403/[1]Parametros!$B$4))</f>
        <v>1.6015151519825888</v>
      </c>
      <c r="BD403" s="13">
        <f t="shared" si="87"/>
        <v>1.0037485540234028</v>
      </c>
      <c r="BE403" s="13">
        <f t="shared" si="88"/>
        <v>2.8666666666666667</v>
      </c>
      <c r="BF403" s="13">
        <f>SQRT((AI403*1000/(H403*MIN(U403,AB403)))^2+(Q403*1000000*2*((H403-2*([1]Parametros!$B$7+[1]Parametros!$B$9/2))+(I403-2*([1]Parametros!$B$7+[1]Parametros!$B$9/2)))/(1.7*((H403-2*([1]Parametros!$B$7+[1]Parametros!$B$9/2))*(I403-2*([1]Parametros!$B$7+[1]Parametros!$B$9/2)))^2))^2)</f>
        <v>2.2335401706168394</v>
      </c>
      <c r="BG403" s="13">
        <f>[1]Parametros!$B$6*(AJ403*1000/(H403*MIN(U403,AB403))+0.66*SQRT([1]Parametros!$B$2))</f>
        <v>3.2939603822754151</v>
      </c>
      <c r="BH403" s="13" t="str">
        <f t="shared" si="89"/>
        <v>CUMPLE</v>
      </c>
      <c r="BI403" s="13">
        <f>AX403*[1]Parametros!$B$8</f>
        <v>1592</v>
      </c>
      <c r="BJ403" s="15" t="str">
        <f t="shared" si="90"/>
        <v>CUMPLE</v>
      </c>
    </row>
    <row r="404" spans="1:62" x14ac:dyDescent="0.3">
      <c r="A404" s="33" t="s">
        <v>76</v>
      </c>
      <c r="B404" s="34">
        <v>235</v>
      </c>
      <c r="C404" s="13">
        <v>1</v>
      </c>
      <c r="D404" s="13">
        <v>2</v>
      </c>
      <c r="E404" s="13">
        <v>2</v>
      </c>
      <c r="F404" s="13">
        <v>500</v>
      </c>
      <c r="G404" s="13">
        <v>550</v>
      </c>
      <c r="H404" s="13">
        <v>500</v>
      </c>
      <c r="I404" s="13">
        <v>550</v>
      </c>
      <c r="J404" s="14">
        <v>178.99850000000001</v>
      </c>
      <c r="K404" s="13">
        <v>235</v>
      </c>
      <c r="L404" s="14">
        <v>133.0762</v>
      </c>
      <c r="M404" s="13">
        <v>235</v>
      </c>
      <c r="N404" s="14">
        <v>165.697</v>
      </c>
      <c r="O404" s="14">
        <v>626.49099999999999</v>
      </c>
      <c r="P404" s="13">
        <v>235</v>
      </c>
      <c r="Q404" s="14">
        <v>43.319600000000001</v>
      </c>
      <c r="R404" s="13">
        <f>MAX(MAX(1.4/[1]Parametros!$B$3,0.25*SQRT([1]Parametros!$B$2)/[1]Parametros!$B$3)*H404*U404,(0.85*[1]Parametros!$B$2/[1]Parametros!$B$3)*(1-SQRT(1-2*(J404*1000000/([1]Parametros!$B$5*H404*U404^2))/(0.85*[1]Parametros!$B$2)))*H404*U404)</f>
        <v>1004.0487381873662</v>
      </c>
      <c r="S404" s="14">
        <v>6</v>
      </c>
      <c r="T404" s="14">
        <v>1</v>
      </c>
      <c r="U404" s="13">
        <f>IF(T404=1,I404-([1]Parametros!$B$7+[1]Parametros!$B$9+[1]Parametros!$B$12/2),I404-(ROUNDUP(S404/2,0)*([1]Parametros!$B$7+[1]Parametros!$B$9+[1]Parametros!$B$12/2)+ROUNDDOWN(S404/2,0)*([1]Parametros!$B$7+[1]Parametros!$B$9+[1]Parametros!$B$12/2+[1]Parametros!$B$12+[1]Parametros!$B$10))/S404)</f>
        <v>489.35</v>
      </c>
      <c r="V404" s="13">
        <f>S404*[1]Parametros!$B$8</f>
        <v>1194</v>
      </c>
      <c r="W404" s="13">
        <f>[1]Parametros!$B$5*V404*[1]Parametros!$B$3*(U404-(V404*[1]Parametros!$B$3/(0.85*[1]Parametros!$B$2*H404))/2)/1000000</f>
        <v>211.34948347058827</v>
      </c>
      <c r="X404" s="13" t="str">
        <f t="shared" si="78"/>
        <v>CUMPLE</v>
      </c>
      <c r="Y404" s="13">
        <f>MAX(MAX(1.4/[1]Parametros!$B$3,0.25*SQRT([1]Parametros!$B$2)/[1]Parametros!$B$3)*H404*AB404,(0.85*[1]Parametros!$B$2/[1]Parametros!$B$3)*(1-SQRT(1-2*(L404*1000000/([1]Parametros!$B$5*H404*AB404^2))/(0.85*[1]Parametros!$B$2)))*H404*AB404)</f>
        <v>815.58333333333326</v>
      </c>
      <c r="Z404" s="14">
        <v>5</v>
      </c>
      <c r="AA404" s="14">
        <v>1</v>
      </c>
      <c r="AB404" s="13">
        <f>IF(AA404=1,I404-([1]Parametros!$B$7+[1]Parametros!$B$9+[1]Parametros!$B$12/2),I404-(ROUNDUP(Z404/2,0)*([1]Parametros!$B$7+[1]Parametros!$B$9+[1]Parametros!$B$12/2)+ROUNDDOWN(Z404/2,0)*([1]Parametros!$B$7+[1]Parametros!$B$9+[1]Parametros!$B$12/2+[1]Parametros!$B$12+[1]Parametros!$B$10))/Z404)</f>
        <v>489.35</v>
      </c>
      <c r="AC404" s="13">
        <f>Z404*[1]Parametros!$B$8</f>
        <v>995</v>
      </c>
      <c r="AD404" s="13">
        <f>[1]Parametros!$B$5*AC404*[1]Parametros!$B$3*(AB404-(AC404*[1]Parametros!$B$3/(0.85*[1]Parametros!$B$2*H404))/2)/1000000</f>
        <v>177.44537938235294</v>
      </c>
      <c r="AE404" s="13" t="str">
        <f t="shared" si="79"/>
        <v>CUMPLE</v>
      </c>
      <c r="AF404" s="13">
        <f>V404*1.25*[1]Parametros!$B$3*(U404-(V404*1.25*[1]Parametros!$B$3/(0.85*[1]Parametros!$B$2*H404))/2)/1000000</f>
        <v>290.23892470588237</v>
      </c>
      <c r="AG404" s="13">
        <f>AC404*1.25*[1]Parametros!$B$3*(AB404-(AC404*1.25*[1]Parametros!$B$3/(0.85*[1]Parametros!$B$2*H404))/2)/1000000</f>
        <v>244.15884319852941</v>
      </c>
      <c r="AH404" s="13">
        <f t="shared" si="80"/>
        <v>432.89588395220591</v>
      </c>
      <c r="AI404" s="13">
        <f t="shared" si="81"/>
        <v>626.49099999999999</v>
      </c>
      <c r="AJ404" s="13">
        <f>0.17*SQRT([1]Parametros!$B$2)*H404*MIN(U404,AB404)/1000</f>
        <v>220.09872869180776</v>
      </c>
      <c r="AK404" s="13">
        <f>MAX(AI404/[1]Parametros!$B$6-AJ404,0)</f>
        <v>615.22260464152555</v>
      </c>
      <c r="AL404" s="13">
        <f>0.66*SQRT([1]Parametros!$B$2)*H404*MIN(U404,AB404)/1000</f>
        <v>854.500946685842</v>
      </c>
      <c r="AM404" s="13" t="str">
        <f t="shared" si="82"/>
        <v>CUMPLE</v>
      </c>
      <c r="AN404" s="13" t="s">
        <v>68</v>
      </c>
      <c r="AO404" s="14">
        <v>4</v>
      </c>
      <c r="AP404" s="13">
        <f>ROUNDDOWN(MIN(IF(BC404+BD404=0,1000000000,AO404*BB404/(BC404+BD404)),MIN(U404,AB404)/4,8*[1]Parametros!$B$12,24*BA404,300,IF(AV404=0,1000000000,2*((H404-2*([1]Parametros!$B$7+[1]Parametros!$B$9/2))+(I404-2*([1]Parametros!$B$7+[1]Parametros!$B$9/2)))/8))/10,0)*10</f>
        <v>120</v>
      </c>
      <c r="AQ404" s="13">
        <f>ROUNDDOWN(MIN(IF(BC404+BD404=0,1000000000,AO404*BB404/(BC404+BD404)),IF(AK404&gt;0.33*SQRT([1]Parametros!$B$2)*H404*MIN(U404,AB404)/1000,MIN(U404,AB404)/4,MIN(U404,AB404)/2),600,IF(AV404=0,1000000000,2*((H404-2*([1]Parametros!$B$7+[1]Parametros!$B$9/2))+(I404-2*([1]Parametros!$B$7+[1]Parametros!$B$9/2)))/8))/10,0)*10</f>
        <v>120</v>
      </c>
      <c r="AR404" s="13">
        <f>[1]Parametros!$B$6*(AJ404+MAX(BE404-BD404,0)*[1]Parametros!$B$4*MIN(U404,AB404)/1000)</f>
        <v>694.00203876177966</v>
      </c>
      <c r="AS404" s="13" t="str">
        <f t="shared" si="83"/>
        <v>CUMPLE</v>
      </c>
      <c r="AT404" s="13">
        <f>[1]Parametros!$B$6*0.083*SQRT([1]Parametros!$B$2)*(H404*I404)^2/(2*(H404+I404))/1000000</f>
        <v>11.862178757598967</v>
      </c>
      <c r="AU404" s="13" t="str">
        <f t="shared" si="84"/>
        <v>DISEÑAR</v>
      </c>
      <c r="AV404" s="13">
        <f>IF(Q404&lt;=AT404,0,Q404*1000000/([1]Parametros!$B$6*2*0.85*(H404-2*([1]Parametros!$B$7+[1]Parametros!$B$9/2))*(I404-2*([1]Parametros!$B$7+[1]Parametros!$B$9/2))*[1]Parametros!$B$4))</f>
        <v>0.43431952251878031</v>
      </c>
      <c r="AW404" s="13">
        <f>AV404*2*((H404-2*([1]Parametros!$B$7+[1]Parametros!$B$9/2))+(I404-2*([1]Parametros!$B$7+[1]Parametros!$B$9/2)))*[1]Parametros!$B$4/[1]Parametros!$B$3</f>
        <v>751.02531833947489</v>
      </c>
      <c r="AX404" s="14">
        <v>8</v>
      </c>
      <c r="AY404" s="13" t="str">
        <f t="shared" si="85"/>
        <v>CUMPLE</v>
      </c>
      <c r="AZ404" s="13" t="str">
        <f t="shared" si="86"/>
        <v>CUMPLE</v>
      </c>
      <c r="BA404" s="14">
        <v>12.7</v>
      </c>
      <c r="BB404" s="14">
        <v>129</v>
      </c>
      <c r="BC404" s="13">
        <f>MAX(IF(AK404=0,0,AK404*1000/([1]Parametros!$B$4*MIN(U404,AB404))),MAX(0.062*SQRT([1]Parametros!$B$2)*H404/[1]Parametros!$B$4,0.35*H404/[1]Parametros!$B$4))</f>
        <v>2.9933906719872598</v>
      </c>
      <c r="BD404" s="13">
        <f t="shared" si="87"/>
        <v>0.86863904503756062</v>
      </c>
      <c r="BE404" s="13">
        <f t="shared" si="88"/>
        <v>4.3</v>
      </c>
      <c r="BF404" s="13">
        <f>SQRT((AI404*1000/(H404*MIN(U404,AB404)))^2+(Q404*1000000*2*((H404-2*([1]Parametros!$B$7+[1]Parametros!$B$9/2))+(I404-2*([1]Parametros!$B$7+[1]Parametros!$B$9/2)))/(1.7*((H404-2*([1]Parametros!$B$7+[1]Parametros!$B$9/2))*(I404-2*([1]Parametros!$B$7+[1]Parametros!$B$9/2)))^2))^2)</f>
        <v>2.8582187346826227</v>
      </c>
      <c r="BG404" s="13">
        <f>[1]Parametros!$B$6*(AJ404*1000/(H404*MIN(U404,AB404))+0.66*SQRT([1]Parametros!$B$2))</f>
        <v>3.2939603822754151</v>
      </c>
      <c r="BH404" s="13" t="str">
        <f t="shared" si="89"/>
        <v>CUMPLE</v>
      </c>
      <c r="BI404" s="13">
        <f>AX404*[1]Parametros!$B$8</f>
        <v>1592</v>
      </c>
      <c r="BJ404" s="15" t="str">
        <f t="shared" si="90"/>
        <v>CUMPLE</v>
      </c>
    </row>
    <row r="405" spans="1:62" x14ac:dyDescent="0.3">
      <c r="A405" s="33" t="s">
        <v>76</v>
      </c>
      <c r="B405" s="34">
        <v>236</v>
      </c>
      <c r="C405" s="13">
        <v>1</v>
      </c>
      <c r="D405" s="13">
        <v>1.9</v>
      </c>
      <c r="E405" s="13">
        <v>1.9</v>
      </c>
      <c r="F405" s="13">
        <v>500</v>
      </c>
      <c r="G405" s="13">
        <v>550</v>
      </c>
      <c r="H405" s="13">
        <v>500</v>
      </c>
      <c r="I405" s="13">
        <v>550</v>
      </c>
      <c r="J405" s="14">
        <v>166.26949999999999</v>
      </c>
      <c r="K405" s="13">
        <v>236</v>
      </c>
      <c r="L405" s="14">
        <v>136.21799999999999</v>
      </c>
      <c r="M405" s="13">
        <v>236</v>
      </c>
      <c r="N405" s="14">
        <v>157.62299999999999</v>
      </c>
      <c r="O405" s="14">
        <v>599.58000000000004</v>
      </c>
      <c r="P405" s="13">
        <v>236</v>
      </c>
      <c r="Q405" s="14">
        <v>18.865300000000001</v>
      </c>
      <c r="R405" s="13">
        <f>MAX(MAX(1.4/[1]Parametros!$B$3,0.25*SQRT([1]Parametros!$B$2)/[1]Parametros!$B$3)*H405*U405,(0.85*[1]Parametros!$B$2/[1]Parametros!$B$3)*(1-SQRT(1-2*(J405*1000000/([1]Parametros!$B$5*H405*U405^2))/(0.85*[1]Parametros!$B$2)))*H405*U405)</f>
        <v>930.07413237136188</v>
      </c>
      <c r="S405" s="14">
        <v>5</v>
      </c>
      <c r="T405" s="14">
        <v>1</v>
      </c>
      <c r="U405" s="13">
        <f>IF(T405=1,I405-([1]Parametros!$B$7+[1]Parametros!$B$9+[1]Parametros!$B$12/2),I405-(ROUNDUP(S405/2,0)*([1]Parametros!$B$7+[1]Parametros!$B$9+[1]Parametros!$B$12/2)+ROUNDDOWN(S405/2,0)*([1]Parametros!$B$7+[1]Parametros!$B$9+[1]Parametros!$B$12/2+[1]Parametros!$B$12+[1]Parametros!$B$10))/S405)</f>
        <v>489.35</v>
      </c>
      <c r="V405" s="13">
        <f>S405*[1]Parametros!$B$8</f>
        <v>995</v>
      </c>
      <c r="W405" s="13">
        <f>[1]Parametros!$B$5*V405*[1]Parametros!$B$3*(U405-(V405*[1]Parametros!$B$3/(0.85*[1]Parametros!$B$2*H405))/2)/1000000</f>
        <v>177.44537938235294</v>
      </c>
      <c r="X405" s="13" t="str">
        <f t="shared" si="78"/>
        <v>CUMPLE</v>
      </c>
      <c r="Y405" s="13">
        <f>MAX(MAX(1.4/[1]Parametros!$B$3,0.25*SQRT([1]Parametros!$B$2)/[1]Parametros!$B$3)*H405*AB405,(0.85*[1]Parametros!$B$2/[1]Parametros!$B$3)*(1-SQRT(1-2*(L405*1000000/([1]Parametros!$B$5*H405*AB405^2))/(0.85*[1]Parametros!$B$2)))*H405*AB405)</f>
        <v>815.58333333333326</v>
      </c>
      <c r="Z405" s="14">
        <v>5</v>
      </c>
      <c r="AA405" s="14">
        <v>1</v>
      </c>
      <c r="AB405" s="13">
        <f>IF(AA405=1,I405-([1]Parametros!$B$7+[1]Parametros!$B$9+[1]Parametros!$B$12/2),I405-(ROUNDUP(Z405/2,0)*([1]Parametros!$B$7+[1]Parametros!$B$9+[1]Parametros!$B$12/2)+ROUNDDOWN(Z405/2,0)*([1]Parametros!$B$7+[1]Parametros!$B$9+[1]Parametros!$B$12/2+[1]Parametros!$B$12+[1]Parametros!$B$10))/Z405)</f>
        <v>489.35</v>
      </c>
      <c r="AC405" s="13">
        <f>Z405*[1]Parametros!$B$8</f>
        <v>995</v>
      </c>
      <c r="AD405" s="13">
        <f>[1]Parametros!$B$5*AC405*[1]Parametros!$B$3*(AB405-(AC405*[1]Parametros!$B$3/(0.85*[1]Parametros!$B$2*H405))/2)/1000000</f>
        <v>177.44537938235294</v>
      </c>
      <c r="AE405" s="13" t="str">
        <f t="shared" si="79"/>
        <v>CUMPLE</v>
      </c>
      <c r="AF405" s="13">
        <f>V405*1.25*[1]Parametros!$B$3*(U405-(V405*1.25*[1]Parametros!$B$3/(0.85*[1]Parametros!$B$2*H405))/2)/1000000</f>
        <v>244.15884319852941</v>
      </c>
      <c r="AG405" s="13">
        <f>AC405*1.25*[1]Parametros!$B$3*(AB405-(AC405*1.25*[1]Parametros!$B$3/(0.85*[1]Parametros!$B$2*H405))/2)/1000000</f>
        <v>244.15884319852941</v>
      </c>
      <c r="AH405" s="13">
        <f t="shared" si="80"/>
        <v>414.63230863003093</v>
      </c>
      <c r="AI405" s="13">
        <f t="shared" si="81"/>
        <v>599.58000000000004</v>
      </c>
      <c r="AJ405" s="13">
        <f>0.17*SQRT([1]Parametros!$B$2)*H405*MIN(U405,AB405)/1000</f>
        <v>220.09872869180776</v>
      </c>
      <c r="AK405" s="13">
        <f>MAX(AI405/[1]Parametros!$B$6-AJ405,0)</f>
        <v>579.34127130819229</v>
      </c>
      <c r="AL405" s="13">
        <f>0.66*SQRT([1]Parametros!$B$2)*H405*MIN(U405,AB405)/1000</f>
        <v>854.500946685842</v>
      </c>
      <c r="AM405" s="13" t="str">
        <f t="shared" si="82"/>
        <v>CUMPLE</v>
      </c>
      <c r="AN405" s="13" t="s">
        <v>68</v>
      </c>
      <c r="AO405" s="14">
        <v>2</v>
      </c>
      <c r="AP405" s="13">
        <f>ROUNDDOWN(MIN(IF(BC405+BD405=0,1000000000,AO405*BB405/(BC405+BD405)),MIN(U405,AB405)/4,8*[1]Parametros!$B$12,24*BA405,300,IF(AV405=0,1000000000,2*((H405-2*([1]Parametros!$B$7+[1]Parametros!$B$9/2))+(I405-2*([1]Parametros!$B$7+[1]Parametros!$B$9/2)))/8))/10,0)*10</f>
        <v>80</v>
      </c>
      <c r="AQ405" s="13">
        <f>ROUNDDOWN(MIN(IF(BC405+BD405=0,1000000000,AO405*BB405/(BC405+BD405)),IF(AK405&gt;0.33*SQRT([1]Parametros!$B$2)*H405*MIN(U405,AB405)/1000,MIN(U405,AB405)/4,MIN(U405,AB405)/2),600,IF(AV405=0,1000000000,2*((H405-2*([1]Parametros!$B$7+[1]Parametros!$B$9/2))+(I405-2*([1]Parametros!$B$7+[1]Parametros!$B$9/2)))/8))/10,0)*10</f>
        <v>80</v>
      </c>
      <c r="AR405" s="13">
        <f>[1]Parametros!$B$6*(AJ405+MAX(BE405-BD405,0)*[1]Parametros!$B$4*MIN(U405,AB405)/1000)</f>
        <v>603.88170844764636</v>
      </c>
      <c r="AS405" s="13" t="str">
        <f t="shared" si="83"/>
        <v>CUMPLE</v>
      </c>
      <c r="AT405" s="13">
        <f>[1]Parametros!$B$6*0.083*SQRT([1]Parametros!$B$2)*(H405*I405)^2/(2*(H405+I405))/1000000</f>
        <v>11.862178757598967</v>
      </c>
      <c r="AU405" s="13" t="str">
        <f t="shared" si="84"/>
        <v>DISEÑAR</v>
      </c>
      <c r="AV405" s="13">
        <f>IF(Q405&lt;=AT405,0,Q405*1000000/([1]Parametros!$B$6*2*0.85*(H405-2*([1]Parametros!$B$7+[1]Parametros!$B$9/2))*(I405-2*([1]Parametros!$B$7+[1]Parametros!$B$9/2))*[1]Parametros!$B$4))</f>
        <v>0.18914228405095029</v>
      </c>
      <c r="AW405" s="13">
        <f>AV405*2*((H405-2*([1]Parametros!$B$7+[1]Parametros!$B$9/2))+(I405-2*([1]Parametros!$B$7+[1]Parametros!$B$9/2)))*[1]Parametros!$B$4/[1]Parametros!$B$3</f>
        <v>327.06483758090326</v>
      </c>
      <c r="AX405" s="14">
        <v>8</v>
      </c>
      <c r="AY405" s="13" t="str">
        <f t="shared" si="85"/>
        <v>CUMPLE</v>
      </c>
      <c r="AZ405" s="13" t="str">
        <f t="shared" si="86"/>
        <v>CUMPLE</v>
      </c>
      <c r="BA405" s="14">
        <v>12.7</v>
      </c>
      <c r="BB405" s="14">
        <v>129</v>
      </c>
      <c r="BC405" s="13">
        <f>MAX(IF(AK405=0,0,AK405*1000/([1]Parametros!$B$4*MIN(U405,AB405))),MAX(0.062*SQRT([1]Parametros!$B$2)*H405/[1]Parametros!$B$4,0.35*H405/[1]Parametros!$B$4))</f>
        <v>2.8188085813941344</v>
      </c>
      <c r="BD405" s="13">
        <f t="shared" si="87"/>
        <v>0.37828456810190059</v>
      </c>
      <c r="BE405" s="13">
        <f t="shared" si="88"/>
        <v>3.2250000000000001</v>
      </c>
      <c r="BF405" s="13">
        <f>SQRT((AI405*1000/(H405*MIN(U405,AB405)))^2+(Q405*1000000*2*((H405-2*([1]Parametros!$B$7+[1]Parametros!$B$9/2))+(I405-2*([1]Parametros!$B$7+[1]Parametros!$B$9/2)))/(1.7*((H405-2*([1]Parametros!$B$7+[1]Parametros!$B$9/2))*(I405-2*([1]Parametros!$B$7+[1]Parametros!$B$9/2)))^2))^2)</f>
        <v>2.5121671221570843</v>
      </c>
      <c r="BG405" s="13">
        <f>[1]Parametros!$B$6*(AJ405*1000/(H405*MIN(U405,AB405))+0.66*SQRT([1]Parametros!$B$2))</f>
        <v>3.2939603822754151</v>
      </c>
      <c r="BH405" s="13" t="str">
        <f t="shared" si="89"/>
        <v>CUMPLE</v>
      </c>
      <c r="BI405" s="13">
        <f>AX405*[1]Parametros!$B$8</f>
        <v>1592</v>
      </c>
      <c r="BJ405" s="15" t="str">
        <f t="shared" si="90"/>
        <v>CUMPLE</v>
      </c>
    </row>
    <row r="406" spans="1:62" x14ac:dyDescent="0.3">
      <c r="A406" s="33" t="s">
        <v>76</v>
      </c>
      <c r="B406" s="34">
        <v>237</v>
      </c>
      <c r="C406" s="13">
        <v>1</v>
      </c>
      <c r="D406" s="13">
        <v>3.57612</v>
      </c>
      <c r="E406" s="13">
        <v>3.57612</v>
      </c>
      <c r="F406" s="13">
        <v>500</v>
      </c>
      <c r="G406" s="13">
        <v>550</v>
      </c>
      <c r="H406" s="13">
        <v>500</v>
      </c>
      <c r="I406" s="13">
        <v>550</v>
      </c>
      <c r="J406" s="14">
        <v>175.84710000000001</v>
      </c>
      <c r="K406" s="13">
        <v>237</v>
      </c>
      <c r="L406" s="14">
        <v>111.2574</v>
      </c>
      <c r="M406" s="13">
        <v>237</v>
      </c>
      <c r="N406" s="14">
        <v>129.07599999999999</v>
      </c>
      <c r="O406" s="14">
        <v>381.64499999999998</v>
      </c>
      <c r="P406" s="13">
        <v>237</v>
      </c>
      <c r="Q406" s="14">
        <v>4.4249999999999998</v>
      </c>
      <c r="R406" s="13">
        <f>MAX(MAX(1.4/[1]Parametros!$B$3,0.25*SQRT([1]Parametros!$B$2)/[1]Parametros!$B$3)*H406*U406,(0.85*[1]Parametros!$B$2/[1]Parametros!$B$3)*(1-SQRT(1-2*(J406*1000000/([1]Parametros!$B$5*H406*U406^2))/(0.85*[1]Parametros!$B$2)))*H406*U406)</f>
        <v>985.69479682713427</v>
      </c>
      <c r="S406" s="14">
        <v>5</v>
      </c>
      <c r="T406" s="14">
        <v>1</v>
      </c>
      <c r="U406" s="13">
        <f>IF(T406=1,I406-([1]Parametros!$B$7+[1]Parametros!$B$9+[1]Parametros!$B$12/2),I406-(ROUNDUP(S406/2,0)*([1]Parametros!$B$7+[1]Parametros!$B$9+[1]Parametros!$B$12/2)+ROUNDDOWN(S406/2,0)*([1]Parametros!$B$7+[1]Parametros!$B$9+[1]Parametros!$B$12/2+[1]Parametros!$B$12+[1]Parametros!$B$10))/S406)</f>
        <v>489.35</v>
      </c>
      <c r="V406" s="13">
        <f>S406*[1]Parametros!$B$8</f>
        <v>995</v>
      </c>
      <c r="W406" s="13">
        <f>[1]Parametros!$B$5*V406*[1]Parametros!$B$3*(U406-(V406*[1]Parametros!$B$3/(0.85*[1]Parametros!$B$2*H406))/2)/1000000</f>
        <v>177.44537938235294</v>
      </c>
      <c r="X406" s="13" t="str">
        <f t="shared" si="78"/>
        <v>CUMPLE</v>
      </c>
      <c r="Y406" s="13">
        <f>MAX(MAX(1.4/[1]Parametros!$B$3,0.25*SQRT([1]Parametros!$B$2)/[1]Parametros!$B$3)*H406*AB406,(0.85*[1]Parametros!$B$2/[1]Parametros!$B$3)*(1-SQRT(1-2*(L406*1000000/([1]Parametros!$B$5*H406*AB406^2))/(0.85*[1]Parametros!$B$2)))*H406*AB406)</f>
        <v>815.58333333333326</v>
      </c>
      <c r="Z406" s="14">
        <v>5</v>
      </c>
      <c r="AA406" s="14">
        <v>1</v>
      </c>
      <c r="AB406" s="13">
        <f>IF(AA406=1,I406-([1]Parametros!$B$7+[1]Parametros!$B$9+[1]Parametros!$B$12/2),I406-(ROUNDUP(Z406/2,0)*([1]Parametros!$B$7+[1]Parametros!$B$9+[1]Parametros!$B$12/2)+ROUNDDOWN(Z406/2,0)*([1]Parametros!$B$7+[1]Parametros!$B$9+[1]Parametros!$B$12/2+[1]Parametros!$B$12+[1]Parametros!$B$10))/Z406)</f>
        <v>489.35</v>
      </c>
      <c r="AC406" s="13">
        <f>Z406*[1]Parametros!$B$8</f>
        <v>995</v>
      </c>
      <c r="AD406" s="13">
        <f>[1]Parametros!$B$5*AC406*[1]Parametros!$B$3*(AB406-(AC406*[1]Parametros!$B$3/(0.85*[1]Parametros!$B$2*H406))/2)/1000000</f>
        <v>177.44537938235294</v>
      </c>
      <c r="AE406" s="13" t="str">
        <f t="shared" si="79"/>
        <v>CUMPLE</v>
      </c>
      <c r="AF406" s="13">
        <f>V406*1.25*[1]Parametros!$B$3*(U406-(V406*1.25*[1]Parametros!$B$3/(0.85*[1]Parametros!$B$2*H406))/2)/1000000</f>
        <v>244.15884319852941</v>
      </c>
      <c r="AG406" s="13">
        <f>AC406*1.25*[1]Parametros!$B$3*(AB406-(AC406*1.25*[1]Parametros!$B$3/(0.85*[1]Parametros!$B$2*H406))/2)/1000000</f>
        <v>244.15884319852941</v>
      </c>
      <c r="AH406" s="13">
        <f t="shared" si="80"/>
        <v>265.62558066201882</v>
      </c>
      <c r="AI406" s="13">
        <f t="shared" si="81"/>
        <v>381.64499999999998</v>
      </c>
      <c r="AJ406" s="13">
        <f>0.17*SQRT([1]Parametros!$B$2)*H406*MIN(U406,AB406)/1000</f>
        <v>220.09872869180776</v>
      </c>
      <c r="AK406" s="13">
        <f>MAX(AI406/[1]Parametros!$B$6-AJ406,0)</f>
        <v>288.76127130819219</v>
      </c>
      <c r="AL406" s="13">
        <f>0.66*SQRT([1]Parametros!$B$2)*H406*MIN(U406,AB406)/1000</f>
        <v>854.500946685842</v>
      </c>
      <c r="AM406" s="13" t="str">
        <f t="shared" si="82"/>
        <v>CUMPLE</v>
      </c>
      <c r="AN406" s="13" t="s">
        <v>64</v>
      </c>
      <c r="AO406" s="14">
        <v>2</v>
      </c>
      <c r="AP406" s="13">
        <f>ROUNDDOWN(MIN(IF(BC406+BD406=0,1000000000,AO406*BB406/(BC406+BD406)),MIN(U406,AB406)/4,8*[1]Parametros!$B$12,24*BA406,300,IF(AV406=0,1000000000,2*((H406-2*([1]Parametros!$B$7+[1]Parametros!$B$9/2))+(I406-2*([1]Parametros!$B$7+[1]Parametros!$B$9/2)))/8))/10,0)*10</f>
        <v>100</v>
      </c>
      <c r="AQ406" s="13">
        <f>ROUNDDOWN(MIN(IF(BC406+BD406=0,1000000000,AO406*BB406/(BC406+BD406)),IF(AK406&gt;0.33*SQRT([1]Parametros!$B$2)*H406*MIN(U406,AB406)/1000,MIN(U406,AB406)/4,MIN(U406,AB406)/2),600,IF(AV406=0,1000000000,2*((H406-2*([1]Parametros!$B$7+[1]Parametros!$B$9/2))+(I406-2*([1]Parametros!$B$7+[1]Parametros!$B$9/2)))/8))/10,0)*10</f>
        <v>100</v>
      </c>
      <c r="AR406" s="13">
        <f>[1]Parametros!$B$6*(AJ406+MAX(BE406-BD406,0)*[1]Parametros!$B$4*MIN(U406,AB406)/1000)</f>
        <v>383.96030151885583</v>
      </c>
      <c r="AS406" s="13" t="str">
        <f t="shared" si="83"/>
        <v>CUMPLE</v>
      </c>
      <c r="AT406" s="13">
        <f>[1]Parametros!$B$6*0.083*SQRT([1]Parametros!$B$2)*(H406*I406)^2/(2*(H406+I406))/1000000</f>
        <v>11.862178757598967</v>
      </c>
      <c r="AU406" s="13" t="str">
        <f t="shared" si="84"/>
        <v>DESPRECIABLE</v>
      </c>
      <c r="AV406" s="13">
        <f>IF(Q406&lt;=AT406,0,Q406*1000000/([1]Parametros!$B$6*2*0.85*(H406-2*([1]Parametros!$B$7+[1]Parametros!$B$9/2))*(I406-2*([1]Parametros!$B$7+[1]Parametros!$B$9/2))*[1]Parametros!$B$4))</f>
        <v>0</v>
      </c>
      <c r="AW406" s="13">
        <f>AV406*2*((H406-2*([1]Parametros!$B$7+[1]Parametros!$B$9/2))+(I406-2*([1]Parametros!$B$7+[1]Parametros!$B$9/2)))*[1]Parametros!$B$4/[1]Parametros!$B$3</f>
        <v>0</v>
      </c>
      <c r="AX406" s="14">
        <v>0</v>
      </c>
      <c r="AY406" s="13" t="str">
        <f t="shared" si="85"/>
        <v>DESPRECIABLE</v>
      </c>
      <c r="AZ406" s="13" t="str">
        <f t="shared" si="86"/>
        <v>CUMPLE</v>
      </c>
      <c r="BA406" s="14">
        <v>9.5</v>
      </c>
      <c r="BB406" s="14">
        <v>71</v>
      </c>
      <c r="BC406" s="13">
        <f>MAX(IF(AK406=0,0,AK406*1000/([1]Parametros!$B$4*MIN(U406,AB406))),MAX(0.062*SQRT([1]Parametros!$B$2)*H406/[1]Parametros!$B$4,0.35*H406/[1]Parametros!$B$4))</f>
        <v>1.4049797413877114</v>
      </c>
      <c r="BD406" s="13">
        <f t="shared" si="87"/>
        <v>0</v>
      </c>
      <c r="BE406" s="13">
        <f t="shared" si="88"/>
        <v>1.42</v>
      </c>
      <c r="BF406" s="13">
        <f>SQRT((AI406*1000/(H406*MIN(U406,AB406)))^2+(Q406*1000000*2*((H406-2*([1]Parametros!$B$7+[1]Parametros!$B$9/2))+(I406-2*([1]Parametros!$B$7+[1]Parametros!$B$9/2)))/(1.7*((H406-2*([1]Parametros!$B$7+[1]Parametros!$B$9/2))*(I406-2*([1]Parametros!$B$7+[1]Parametros!$B$9/2)))^2))^2)</f>
        <v>1.5651903318371803</v>
      </c>
      <c r="BG406" s="13">
        <f>[1]Parametros!$B$6*(AJ406*1000/(H406*MIN(U406,AB406))+0.66*SQRT([1]Parametros!$B$2))</f>
        <v>3.2939603822754151</v>
      </c>
      <c r="BH406" s="13" t="str">
        <f t="shared" si="89"/>
        <v>CUMPLE</v>
      </c>
      <c r="BI406" s="13">
        <f>AX406*[1]Parametros!$B$8</f>
        <v>0</v>
      </c>
      <c r="BJ406" s="15" t="str">
        <f t="shared" si="90"/>
        <v>CUMPLE</v>
      </c>
    </row>
    <row r="407" spans="1:62" x14ac:dyDescent="0.3">
      <c r="A407" s="33" t="s">
        <v>76</v>
      </c>
      <c r="B407" s="34">
        <v>238</v>
      </c>
      <c r="C407" s="13">
        <v>1</v>
      </c>
      <c r="D407" s="13">
        <v>2.1</v>
      </c>
      <c r="E407" s="13">
        <v>2.1</v>
      </c>
      <c r="F407" s="13">
        <v>500</v>
      </c>
      <c r="G407" s="13">
        <v>550</v>
      </c>
      <c r="H407" s="13">
        <v>500</v>
      </c>
      <c r="I407" s="13">
        <v>550</v>
      </c>
      <c r="J407" s="14">
        <v>206.45699999999999</v>
      </c>
      <c r="K407" s="13">
        <v>238</v>
      </c>
      <c r="L407" s="14">
        <v>169.4135</v>
      </c>
      <c r="M407" s="13">
        <v>238</v>
      </c>
      <c r="N407" s="14">
        <v>180.78800000000001</v>
      </c>
      <c r="O407" s="14">
        <v>619.51499999999999</v>
      </c>
      <c r="P407" s="13">
        <v>238</v>
      </c>
      <c r="Q407" s="14">
        <v>71.825199999999995</v>
      </c>
      <c r="R407" s="13">
        <f>MAX(MAX(1.4/[1]Parametros!$B$3,0.25*SQRT([1]Parametros!$B$2)/[1]Parametros!$B$3)*H407*U407,(0.85*[1]Parametros!$B$2/[1]Parametros!$B$3)*(1-SQRT(1-2*(J407*1000000/([1]Parametros!$B$5*H407*U407^2))/(0.85*[1]Parametros!$B$2)))*H407*U407)</f>
        <v>1165.0910671449467</v>
      </c>
      <c r="S407" s="14">
        <v>6</v>
      </c>
      <c r="T407" s="14">
        <v>1</v>
      </c>
      <c r="U407" s="13">
        <f>IF(T407=1,I407-([1]Parametros!$B$7+[1]Parametros!$B$9+[1]Parametros!$B$12/2),I407-(ROUNDUP(S407/2,0)*([1]Parametros!$B$7+[1]Parametros!$B$9+[1]Parametros!$B$12/2)+ROUNDDOWN(S407/2,0)*([1]Parametros!$B$7+[1]Parametros!$B$9+[1]Parametros!$B$12/2+[1]Parametros!$B$12+[1]Parametros!$B$10))/S407)</f>
        <v>489.35</v>
      </c>
      <c r="V407" s="13">
        <f>S407*[1]Parametros!$B$8</f>
        <v>1194</v>
      </c>
      <c r="W407" s="13">
        <f>[1]Parametros!$B$5*V407*[1]Parametros!$B$3*(U407-(V407*[1]Parametros!$B$3/(0.85*[1]Parametros!$B$2*H407))/2)/1000000</f>
        <v>211.34948347058827</v>
      </c>
      <c r="X407" s="13" t="str">
        <f t="shared" si="78"/>
        <v>CUMPLE</v>
      </c>
      <c r="Y407" s="13">
        <f>MAX(MAX(1.4/[1]Parametros!$B$3,0.25*SQRT([1]Parametros!$B$2)/[1]Parametros!$B$3)*H407*AB407,(0.85*[1]Parametros!$B$2/[1]Parametros!$B$3)*(1-SQRT(1-2*(L407*1000000/([1]Parametros!$B$5*H407*AB407^2))/(0.85*[1]Parametros!$B$2)))*H407*AB407)</f>
        <v>948.30609594447628</v>
      </c>
      <c r="Z407" s="14">
        <v>5</v>
      </c>
      <c r="AA407" s="14">
        <v>1</v>
      </c>
      <c r="AB407" s="13">
        <f>IF(AA407=1,I407-([1]Parametros!$B$7+[1]Parametros!$B$9+[1]Parametros!$B$12/2),I407-(ROUNDUP(Z407/2,0)*([1]Parametros!$B$7+[1]Parametros!$B$9+[1]Parametros!$B$12/2)+ROUNDDOWN(Z407/2,0)*([1]Parametros!$B$7+[1]Parametros!$B$9+[1]Parametros!$B$12/2+[1]Parametros!$B$12+[1]Parametros!$B$10))/Z407)</f>
        <v>489.35</v>
      </c>
      <c r="AC407" s="13">
        <f>Z407*[1]Parametros!$B$8</f>
        <v>995</v>
      </c>
      <c r="AD407" s="13">
        <f>[1]Parametros!$B$5*AC407*[1]Parametros!$B$3*(AB407-(AC407*[1]Parametros!$B$3/(0.85*[1]Parametros!$B$2*H407))/2)/1000000</f>
        <v>177.44537938235294</v>
      </c>
      <c r="AE407" s="13" t="str">
        <f t="shared" si="79"/>
        <v>CUMPLE</v>
      </c>
      <c r="AF407" s="13">
        <f>V407*1.25*[1]Parametros!$B$3*(U407-(V407*1.25*[1]Parametros!$B$3/(0.85*[1]Parametros!$B$2*H407))/2)/1000000</f>
        <v>290.23892470588237</v>
      </c>
      <c r="AG407" s="13">
        <f>AC407*1.25*[1]Parametros!$B$3*(AB407-(AC407*1.25*[1]Parametros!$B$3/(0.85*[1]Parametros!$B$2*H407))/2)/1000000</f>
        <v>244.15884319852941</v>
      </c>
      <c r="AH407" s="13">
        <f t="shared" si="80"/>
        <v>435.26312757352946</v>
      </c>
      <c r="AI407" s="13">
        <f t="shared" si="81"/>
        <v>619.51499999999999</v>
      </c>
      <c r="AJ407" s="13">
        <f>0.17*SQRT([1]Parametros!$B$2)*H407*MIN(U407,AB407)/1000</f>
        <v>220.09872869180776</v>
      </c>
      <c r="AK407" s="13">
        <f>MAX(AI407/[1]Parametros!$B$6-AJ407,0)</f>
        <v>605.92127130819222</v>
      </c>
      <c r="AL407" s="13">
        <f>0.66*SQRT([1]Parametros!$B$2)*H407*MIN(U407,AB407)/1000</f>
        <v>854.500946685842</v>
      </c>
      <c r="AM407" s="13" t="str">
        <f t="shared" si="82"/>
        <v>CUMPLE</v>
      </c>
      <c r="AN407" s="13" t="s">
        <v>68</v>
      </c>
      <c r="AO407" s="14">
        <v>4</v>
      </c>
      <c r="AP407" s="13">
        <f>ROUNDDOWN(MIN(IF(BC407+BD407=0,1000000000,AO407*BB407/(BC407+BD407)),MIN(U407,AB407)/4,8*[1]Parametros!$B$12,24*BA407,300,IF(AV407=0,1000000000,2*((H407-2*([1]Parametros!$B$7+[1]Parametros!$B$9/2))+(I407-2*([1]Parametros!$B$7+[1]Parametros!$B$9/2)))/8))/10,0)*10</f>
        <v>110</v>
      </c>
      <c r="AQ407" s="13">
        <f>ROUNDDOWN(MIN(IF(BC407+BD407=0,1000000000,AO407*BB407/(BC407+BD407)),IF(AK407&gt;0.33*SQRT([1]Parametros!$B$2)*H407*MIN(U407,AB407)/1000,MIN(U407,AB407)/4,MIN(U407,AB407)/2),600,IF(AV407=0,1000000000,2*((H407-2*([1]Parametros!$B$7+[1]Parametros!$B$9/2))+(I407-2*([1]Parametros!$B$7+[1]Parametros!$B$9/2)))/8))/10,0)*10</f>
        <v>110</v>
      </c>
      <c r="AR407" s="13">
        <f>[1]Parametros!$B$6*(AJ407+MAX(BE407-BD407,0)*[1]Parametros!$B$4*MIN(U407,AB407)/1000)</f>
        <v>666.15083879126212</v>
      </c>
      <c r="AS407" s="13" t="str">
        <f t="shared" si="83"/>
        <v>CUMPLE</v>
      </c>
      <c r="AT407" s="13">
        <f>[1]Parametros!$B$6*0.083*SQRT([1]Parametros!$B$2)*(H407*I407)^2/(2*(H407+I407))/1000000</f>
        <v>11.862178757598967</v>
      </c>
      <c r="AU407" s="13" t="str">
        <f t="shared" si="84"/>
        <v>DISEÑAR</v>
      </c>
      <c r="AV407" s="13">
        <f>IF(Q407&lt;=AT407,0,Q407*1000000/([1]Parametros!$B$6*2*0.85*(H407-2*([1]Parametros!$B$7+[1]Parametros!$B$9/2))*(I407-2*([1]Parametros!$B$7+[1]Parametros!$B$9/2))*[1]Parametros!$B$4))</f>
        <v>0.72011483413549293</v>
      </c>
      <c r="AW407" s="13">
        <f>AV407*2*((H407-2*([1]Parametros!$B$7+[1]Parametros!$B$9/2))+(I407-2*([1]Parametros!$B$7+[1]Parametros!$B$9/2)))*[1]Parametros!$B$4/[1]Parametros!$B$3</f>
        <v>1245.2225711870944</v>
      </c>
      <c r="AX407" s="14">
        <v>8</v>
      </c>
      <c r="AY407" s="13" t="str">
        <f t="shared" si="85"/>
        <v>CUMPLE</v>
      </c>
      <c r="AZ407" s="13" t="str">
        <f t="shared" si="86"/>
        <v>CUMPLE</v>
      </c>
      <c r="BA407" s="14">
        <v>12.7</v>
      </c>
      <c r="BB407" s="14">
        <v>129</v>
      </c>
      <c r="BC407" s="13">
        <f>MAX(IF(AK407=0,0,AK407*1000/([1]Parametros!$B$4*MIN(U407,AB407))),MAX(0.062*SQRT([1]Parametros!$B$2)*H407/[1]Parametros!$B$4,0.35*H407/[1]Parametros!$B$4))</f>
        <v>2.9481346553406227</v>
      </c>
      <c r="BD407" s="13">
        <f t="shared" si="87"/>
        <v>1.4402296682709859</v>
      </c>
      <c r="BE407" s="13">
        <f t="shared" si="88"/>
        <v>4.6909090909090905</v>
      </c>
      <c r="BF407" s="13">
        <f>SQRT((AI407*1000/(H407*MIN(U407,AB407)))^2+(Q407*1000000*2*((H407-2*([1]Parametros!$B$7+[1]Parametros!$B$9/2))+(I407-2*([1]Parametros!$B$7+[1]Parametros!$B$9/2)))/(1.7*((H407-2*([1]Parametros!$B$7+[1]Parametros!$B$9/2))*(I407-2*([1]Parametros!$B$7+[1]Parametros!$B$9/2)))^2))^2)</f>
        <v>3.2933084816819114</v>
      </c>
      <c r="BG407" s="13">
        <f>[1]Parametros!$B$6*(AJ407*1000/(H407*MIN(U407,AB407))+0.66*SQRT([1]Parametros!$B$2))</f>
        <v>3.2939603822754151</v>
      </c>
      <c r="BH407" s="13" t="str">
        <f t="shared" si="89"/>
        <v>CUMPLE</v>
      </c>
      <c r="BI407" s="13">
        <f>AX407*[1]Parametros!$B$8</f>
        <v>1592</v>
      </c>
      <c r="BJ407" s="15" t="str">
        <f t="shared" si="90"/>
        <v>CUMPLE</v>
      </c>
    </row>
    <row r="408" spans="1:62" x14ac:dyDescent="0.3">
      <c r="A408" s="33" t="s">
        <v>76</v>
      </c>
      <c r="B408" s="34">
        <v>239</v>
      </c>
      <c r="C408" s="13">
        <v>1</v>
      </c>
      <c r="D408" s="13">
        <v>2.2000000000000002</v>
      </c>
      <c r="E408" s="13">
        <v>2.2000000000000002</v>
      </c>
      <c r="F408" s="13">
        <v>500</v>
      </c>
      <c r="G408" s="13">
        <v>550</v>
      </c>
      <c r="H408" s="13">
        <v>500</v>
      </c>
      <c r="I408" s="13">
        <v>550</v>
      </c>
      <c r="J408" s="14">
        <v>206.33539999999999</v>
      </c>
      <c r="K408" s="13">
        <v>239</v>
      </c>
      <c r="L408" s="14">
        <v>166.9359</v>
      </c>
      <c r="M408" s="13">
        <v>239</v>
      </c>
      <c r="N408" s="14">
        <v>176.428</v>
      </c>
      <c r="O408" s="14">
        <v>598.20699999999999</v>
      </c>
      <c r="P408" s="13">
        <v>239</v>
      </c>
      <c r="Q408" s="14">
        <v>69.4084</v>
      </c>
      <c r="R408" s="13">
        <f>MAX(MAX(1.4/[1]Parametros!$B$3,0.25*SQRT([1]Parametros!$B$2)/[1]Parametros!$B$3)*H408*U408,(0.85*[1]Parametros!$B$2/[1]Parametros!$B$3)*(1-SQRT(1-2*(J408*1000000/([1]Parametros!$B$5*H408*U408^2))/(0.85*[1]Parametros!$B$2)))*H408*U408)</f>
        <v>1164.3733895007979</v>
      </c>
      <c r="S408" s="14">
        <v>6</v>
      </c>
      <c r="T408" s="14">
        <v>1</v>
      </c>
      <c r="U408" s="13">
        <f>IF(T408=1,I408-([1]Parametros!$B$7+[1]Parametros!$B$9+[1]Parametros!$B$12/2),I408-(ROUNDUP(S408/2,0)*([1]Parametros!$B$7+[1]Parametros!$B$9+[1]Parametros!$B$12/2)+ROUNDDOWN(S408/2,0)*([1]Parametros!$B$7+[1]Parametros!$B$9+[1]Parametros!$B$12/2+[1]Parametros!$B$12+[1]Parametros!$B$10))/S408)</f>
        <v>489.35</v>
      </c>
      <c r="V408" s="13">
        <f>S408*[1]Parametros!$B$8</f>
        <v>1194</v>
      </c>
      <c r="W408" s="13">
        <f>[1]Parametros!$B$5*V408*[1]Parametros!$B$3*(U408-(V408*[1]Parametros!$B$3/(0.85*[1]Parametros!$B$2*H408))/2)/1000000</f>
        <v>211.34948347058827</v>
      </c>
      <c r="X408" s="13" t="str">
        <f t="shared" si="78"/>
        <v>CUMPLE</v>
      </c>
      <c r="Y408" s="13">
        <f>MAX(MAX(1.4/[1]Parametros!$B$3,0.25*SQRT([1]Parametros!$B$2)/[1]Parametros!$B$3)*H408*AB408,(0.85*[1]Parametros!$B$2/[1]Parametros!$B$3)*(1-SQRT(1-2*(L408*1000000/([1]Parametros!$B$5*H408*AB408^2))/(0.85*[1]Parametros!$B$2)))*H408*AB408)</f>
        <v>933.93641950647373</v>
      </c>
      <c r="Z408" s="14">
        <v>5</v>
      </c>
      <c r="AA408" s="14">
        <v>1</v>
      </c>
      <c r="AB408" s="13">
        <f>IF(AA408=1,I408-([1]Parametros!$B$7+[1]Parametros!$B$9+[1]Parametros!$B$12/2),I408-(ROUNDUP(Z408/2,0)*([1]Parametros!$B$7+[1]Parametros!$B$9+[1]Parametros!$B$12/2)+ROUNDDOWN(Z408/2,0)*([1]Parametros!$B$7+[1]Parametros!$B$9+[1]Parametros!$B$12/2+[1]Parametros!$B$12+[1]Parametros!$B$10))/Z408)</f>
        <v>489.35</v>
      </c>
      <c r="AC408" s="13">
        <f>Z408*[1]Parametros!$B$8</f>
        <v>995</v>
      </c>
      <c r="AD408" s="13">
        <f>[1]Parametros!$B$5*AC408*[1]Parametros!$B$3*(AB408-(AC408*[1]Parametros!$B$3/(0.85*[1]Parametros!$B$2*H408))/2)/1000000</f>
        <v>177.44537938235294</v>
      </c>
      <c r="AE408" s="13" t="str">
        <f t="shared" si="79"/>
        <v>CUMPLE</v>
      </c>
      <c r="AF408" s="13">
        <f>V408*1.25*[1]Parametros!$B$3*(U408-(V408*1.25*[1]Parametros!$B$3/(0.85*[1]Parametros!$B$2*H408))/2)/1000000</f>
        <v>290.23892470588237</v>
      </c>
      <c r="AG408" s="13">
        <f>AC408*1.25*[1]Parametros!$B$3*(AB408-(AC408*1.25*[1]Parametros!$B$3/(0.85*[1]Parametros!$B$2*H408))/2)/1000000</f>
        <v>244.15884319852941</v>
      </c>
      <c r="AH408" s="13">
        <f t="shared" si="80"/>
        <v>419.3360763201872</v>
      </c>
      <c r="AI408" s="13">
        <f t="shared" si="81"/>
        <v>598.20699999999999</v>
      </c>
      <c r="AJ408" s="13">
        <f>0.17*SQRT([1]Parametros!$B$2)*H408*MIN(U408,AB408)/1000</f>
        <v>220.09872869180776</v>
      </c>
      <c r="AK408" s="13">
        <f>MAX(AI408/[1]Parametros!$B$6-AJ408,0)</f>
        <v>577.51060464152556</v>
      </c>
      <c r="AL408" s="13">
        <f>0.66*SQRT([1]Parametros!$B$2)*H408*MIN(U408,AB408)/1000</f>
        <v>854.500946685842</v>
      </c>
      <c r="AM408" s="13" t="str">
        <f t="shared" si="82"/>
        <v>CUMPLE</v>
      </c>
      <c r="AN408" s="13" t="s">
        <v>68</v>
      </c>
      <c r="AO408" s="14">
        <v>4</v>
      </c>
      <c r="AP408" s="13">
        <f>ROUNDDOWN(MIN(IF(BC408+BD408=0,1000000000,AO408*BB408/(BC408+BD408)),MIN(U408,AB408)/4,8*[1]Parametros!$B$12,24*BA408,300,IF(AV408=0,1000000000,2*((H408-2*([1]Parametros!$B$7+[1]Parametros!$B$9/2))+(I408-2*([1]Parametros!$B$7+[1]Parametros!$B$9/2)))/8))/10,0)*10</f>
        <v>120</v>
      </c>
      <c r="AQ408" s="13">
        <f>ROUNDDOWN(MIN(IF(BC408+BD408=0,1000000000,AO408*BB408/(BC408+BD408)),IF(AK408&gt;0.33*SQRT([1]Parametros!$B$2)*H408*MIN(U408,AB408)/1000,MIN(U408,AB408)/4,MIN(U408,AB408)/2),600,IF(AV408=0,1000000000,2*((H408-2*([1]Parametros!$B$7+[1]Parametros!$B$9/2))+(I408-2*([1]Parametros!$B$7+[1]Parametros!$B$9/2)))/8))/10,0)*10</f>
        <v>120</v>
      </c>
      <c r="AR408" s="13">
        <f>[1]Parametros!$B$6*(AJ408+MAX(BE408-BD408,0)*[1]Parametros!$B$4*MIN(U408,AB408)/1000)</f>
        <v>613.36414810182885</v>
      </c>
      <c r="AS408" s="13" t="str">
        <f t="shared" si="83"/>
        <v>CUMPLE</v>
      </c>
      <c r="AT408" s="13">
        <f>[1]Parametros!$B$6*0.083*SQRT([1]Parametros!$B$2)*(H408*I408)^2/(2*(H408+I408))/1000000</f>
        <v>11.862178757598967</v>
      </c>
      <c r="AU408" s="13" t="str">
        <f t="shared" si="84"/>
        <v>DISEÑAR</v>
      </c>
      <c r="AV408" s="13">
        <f>IF(Q408&lt;=AT408,0,Q408*1000000/([1]Parametros!$B$6*2*0.85*(H408-2*([1]Parametros!$B$7+[1]Parametros!$B$9/2))*(I408-2*([1]Parametros!$B$7+[1]Parametros!$B$9/2))*[1]Parametros!$B$4))</f>
        <v>0.69588415282672311</v>
      </c>
      <c r="AW408" s="13">
        <f>AV408*2*((H408-2*([1]Parametros!$B$7+[1]Parametros!$B$9/2))+(I408-2*([1]Parametros!$B$7+[1]Parametros!$B$9/2)))*[1]Parametros!$B$4/[1]Parametros!$B$3</f>
        <v>1203.3228770679696</v>
      </c>
      <c r="AX408" s="14">
        <v>8</v>
      </c>
      <c r="AY408" s="13" t="str">
        <f t="shared" si="85"/>
        <v>CUMPLE</v>
      </c>
      <c r="AZ408" s="13" t="str">
        <f t="shared" si="86"/>
        <v>CUMPLE</v>
      </c>
      <c r="BA408" s="14">
        <v>12.7</v>
      </c>
      <c r="BB408" s="14">
        <v>129</v>
      </c>
      <c r="BC408" s="13">
        <f>MAX(IF(AK408=0,0,AK408*1000/([1]Parametros!$B$4*MIN(U408,AB408))),MAX(0.062*SQRT([1]Parametros!$B$2)*H408/[1]Parametros!$B$4,0.35*H408/[1]Parametros!$B$4))</f>
        <v>2.8099013980719105</v>
      </c>
      <c r="BD408" s="13">
        <f t="shared" si="87"/>
        <v>1.3917683056534462</v>
      </c>
      <c r="BE408" s="13">
        <f t="shared" si="88"/>
        <v>4.3</v>
      </c>
      <c r="BF408" s="13">
        <f>SQRT((AI408*1000/(H408*MIN(U408,AB408)))^2+(Q408*1000000*2*((H408-2*([1]Parametros!$B$7+[1]Parametros!$B$9/2))+(I408-2*([1]Parametros!$B$7+[1]Parametros!$B$9/2)))/(1.7*((H408-2*([1]Parametros!$B$7+[1]Parametros!$B$9/2))*(I408-2*([1]Parametros!$B$7+[1]Parametros!$B$9/2)))^2))^2)</f>
        <v>3.1810415109147128</v>
      </c>
      <c r="BG408" s="13">
        <f>[1]Parametros!$B$6*(AJ408*1000/(H408*MIN(U408,AB408))+0.66*SQRT([1]Parametros!$B$2))</f>
        <v>3.2939603822754151</v>
      </c>
      <c r="BH408" s="13" t="str">
        <f t="shared" si="89"/>
        <v>CUMPLE</v>
      </c>
      <c r="BI408" s="13">
        <f>AX408*[1]Parametros!$B$8</f>
        <v>1592</v>
      </c>
      <c r="BJ408" s="15" t="str">
        <f t="shared" si="90"/>
        <v>CUMPLE</v>
      </c>
    </row>
    <row r="409" spans="1:62" x14ac:dyDescent="0.3">
      <c r="A409" s="33" t="s">
        <v>76</v>
      </c>
      <c r="B409" s="34">
        <v>240</v>
      </c>
      <c r="C409" s="13">
        <v>1</v>
      </c>
      <c r="D409" s="13">
        <v>3.57612</v>
      </c>
      <c r="E409" s="13">
        <v>3.57612</v>
      </c>
      <c r="F409" s="13">
        <v>500</v>
      </c>
      <c r="G409" s="13">
        <v>550</v>
      </c>
      <c r="H409" s="13">
        <v>500</v>
      </c>
      <c r="I409" s="13">
        <v>550</v>
      </c>
      <c r="J409" s="14">
        <v>175.79390000000001</v>
      </c>
      <c r="K409" s="13">
        <v>240</v>
      </c>
      <c r="L409" s="14">
        <v>111.01900000000001</v>
      </c>
      <c r="M409" s="13">
        <v>240</v>
      </c>
      <c r="N409" s="14">
        <v>129.006</v>
      </c>
      <c r="O409" s="14">
        <v>381.12</v>
      </c>
      <c r="P409" s="13">
        <v>240</v>
      </c>
      <c r="Q409" s="14">
        <v>4.3903999999999996</v>
      </c>
      <c r="R409" s="13">
        <f>MAX(MAX(1.4/[1]Parametros!$B$3,0.25*SQRT([1]Parametros!$B$2)/[1]Parametros!$B$3)*H409*U409,(0.85*[1]Parametros!$B$2/[1]Parametros!$B$3)*(1-SQRT(1-2*(J409*1000000/([1]Parametros!$B$5*H409*U409^2))/(0.85*[1]Parametros!$B$2)))*H409*U409)</f>
        <v>985.38518135265713</v>
      </c>
      <c r="S409" s="14">
        <v>5</v>
      </c>
      <c r="T409" s="14">
        <v>1</v>
      </c>
      <c r="U409" s="13">
        <f>IF(T409=1,I409-([1]Parametros!$B$7+[1]Parametros!$B$9+[1]Parametros!$B$12/2),I409-(ROUNDUP(S409/2,0)*([1]Parametros!$B$7+[1]Parametros!$B$9+[1]Parametros!$B$12/2)+ROUNDDOWN(S409/2,0)*([1]Parametros!$B$7+[1]Parametros!$B$9+[1]Parametros!$B$12/2+[1]Parametros!$B$12+[1]Parametros!$B$10))/S409)</f>
        <v>489.35</v>
      </c>
      <c r="V409" s="13">
        <f>S409*[1]Parametros!$B$8</f>
        <v>995</v>
      </c>
      <c r="W409" s="13">
        <f>[1]Parametros!$B$5*V409*[1]Parametros!$B$3*(U409-(V409*[1]Parametros!$B$3/(0.85*[1]Parametros!$B$2*H409))/2)/1000000</f>
        <v>177.44537938235294</v>
      </c>
      <c r="X409" s="13" t="str">
        <f t="shared" si="78"/>
        <v>CUMPLE</v>
      </c>
      <c r="Y409" s="13">
        <f>MAX(MAX(1.4/[1]Parametros!$B$3,0.25*SQRT([1]Parametros!$B$2)/[1]Parametros!$B$3)*H409*AB409,(0.85*[1]Parametros!$B$2/[1]Parametros!$B$3)*(1-SQRT(1-2*(L409*1000000/([1]Parametros!$B$5*H409*AB409^2))/(0.85*[1]Parametros!$B$2)))*H409*AB409)</f>
        <v>815.58333333333326</v>
      </c>
      <c r="Z409" s="14">
        <v>5</v>
      </c>
      <c r="AA409" s="14">
        <v>1</v>
      </c>
      <c r="AB409" s="13">
        <f>IF(AA409=1,I409-([1]Parametros!$B$7+[1]Parametros!$B$9+[1]Parametros!$B$12/2),I409-(ROUNDUP(Z409/2,0)*([1]Parametros!$B$7+[1]Parametros!$B$9+[1]Parametros!$B$12/2)+ROUNDDOWN(Z409/2,0)*([1]Parametros!$B$7+[1]Parametros!$B$9+[1]Parametros!$B$12/2+[1]Parametros!$B$12+[1]Parametros!$B$10))/Z409)</f>
        <v>489.35</v>
      </c>
      <c r="AC409" s="13">
        <f>Z409*[1]Parametros!$B$8</f>
        <v>995</v>
      </c>
      <c r="AD409" s="13">
        <f>[1]Parametros!$B$5*AC409*[1]Parametros!$B$3*(AB409-(AC409*[1]Parametros!$B$3/(0.85*[1]Parametros!$B$2*H409))/2)/1000000</f>
        <v>177.44537938235294</v>
      </c>
      <c r="AE409" s="13" t="str">
        <f t="shared" si="79"/>
        <v>CUMPLE</v>
      </c>
      <c r="AF409" s="13">
        <f>V409*1.25*[1]Parametros!$B$3*(U409-(V409*1.25*[1]Parametros!$B$3/(0.85*[1]Parametros!$B$2*H409))/2)/1000000</f>
        <v>244.15884319852941</v>
      </c>
      <c r="AG409" s="13">
        <f>AC409*1.25*[1]Parametros!$B$3*(AB409-(AC409*1.25*[1]Parametros!$B$3/(0.85*[1]Parametros!$B$2*H409))/2)/1000000</f>
        <v>244.15884319852941</v>
      </c>
      <c r="AH409" s="13">
        <f t="shared" si="80"/>
        <v>265.55558066201888</v>
      </c>
      <c r="AI409" s="13">
        <f t="shared" si="81"/>
        <v>381.12</v>
      </c>
      <c r="AJ409" s="13">
        <f>0.17*SQRT([1]Parametros!$B$2)*H409*MIN(U409,AB409)/1000</f>
        <v>220.09872869180776</v>
      </c>
      <c r="AK409" s="13">
        <f>MAX(AI409/[1]Parametros!$B$6-AJ409,0)</f>
        <v>288.06127130819226</v>
      </c>
      <c r="AL409" s="13">
        <f>0.66*SQRT([1]Parametros!$B$2)*H409*MIN(U409,AB409)/1000</f>
        <v>854.500946685842</v>
      </c>
      <c r="AM409" s="13" t="str">
        <f t="shared" si="82"/>
        <v>CUMPLE</v>
      </c>
      <c r="AN409" s="13" t="s">
        <v>64</v>
      </c>
      <c r="AO409" s="14">
        <v>2</v>
      </c>
      <c r="AP409" s="13">
        <f>ROUNDDOWN(MIN(IF(BC409+BD409=0,1000000000,AO409*BB409/(BC409+BD409)),MIN(U409,AB409)/4,8*[1]Parametros!$B$12,24*BA409,300,IF(AV409=0,1000000000,2*((H409-2*([1]Parametros!$B$7+[1]Parametros!$B$9/2))+(I409-2*([1]Parametros!$B$7+[1]Parametros!$B$9/2)))/8))/10,0)*10</f>
        <v>100</v>
      </c>
      <c r="AQ409" s="13">
        <f>ROUNDDOWN(MIN(IF(BC409+BD409=0,1000000000,AO409*BB409/(BC409+BD409)),IF(AK409&gt;0.33*SQRT([1]Parametros!$B$2)*H409*MIN(U409,AB409)/1000,MIN(U409,AB409)/4,MIN(U409,AB409)/2),600,IF(AV409=0,1000000000,2*((H409-2*([1]Parametros!$B$7+[1]Parametros!$B$9/2))+(I409-2*([1]Parametros!$B$7+[1]Parametros!$B$9/2)))/8))/10,0)*10</f>
        <v>100</v>
      </c>
      <c r="AR409" s="13">
        <f>[1]Parametros!$B$6*(AJ409+MAX(BE409-BD409,0)*[1]Parametros!$B$4*MIN(U409,AB409)/1000)</f>
        <v>383.96030151885583</v>
      </c>
      <c r="AS409" s="13" t="str">
        <f t="shared" si="83"/>
        <v>CUMPLE</v>
      </c>
      <c r="AT409" s="13">
        <f>[1]Parametros!$B$6*0.083*SQRT([1]Parametros!$B$2)*(H409*I409)^2/(2*(H409+I409))/1000000</f>
        <v>11.862178757598967</v>
      </c>
      <c r="AU409" s="13" t="str">
        <f t="shared" si="84"/>
        <v>DESPRECIABLE</v>
      </c>
      <c r="AV409" s="13">
        <f>IF(Q409&lt;=AT409,0,Q409*1000000/([1]Parametros!$B$6*2*0.85*(H409-2*([1]Parametros!$B$7+[1]Parametros!$B$9/2))*(I409-2*([1]Parametros!$B$7+[1]Parametros!$B$9/2))*[1]Parametros!$B$4))</f>
        <v>0</v>
      </c>
      <c r="AW409" s="13">
        <f>AV409*2*((H409-2*([1]Parametros!$B$7+[1]Parametros!$B$9/2))+(I409-2*([1]Parametros!$B$7+[1]Parametros!$B$9/2)))*[1]Parametros!$B$4/[1]Parametros!$B$3</f>
        <v>0</v>
      </c>
      <c r="AX409" s="14">
        <v>0</v>
      </c>
      <c r="AY409" s="13" t="str">
        <f t="shared" si="85"/>
        <v>DESPRECIABLE</v>
      </c>
      <c r="AZ409" s="13" t="str">
        <f t="shared" si="86"/>
        <v>CUMPLE</v>
      </c>
      <c r="BA409" s="14">
        <v>9.5</v>
      </c>
      <c r="BB409" s="14">
        <v>71</v>
      </c>
      <c r="BC409" s="13">
        <f>MAX(IF(AK409=0,0,AK409*1000/([1]Parametros!$B$4*MIN(U409,AB409))),MAX(0.062*SQRT([1]Parametros!$B$2)*H409/[1]Parametros!$B$4,0.35*H409/[1]Parametros!$B$4))</f>
        <v>1.401573862841341</v>
      </c>
      <c r="BD409" s="13">
        <f t="shared" si="87"/>
        <v>0</v>
      </c>
      <c r="BE409" s="13">
        <f t="shared" si="88"/>
        <v>1.42</v>
      </c>
      <c r="BF409" s="13">
        <f>SQRT((AI409*1000/(H409*MIN(U409,AB409)))^2+(Q409*1000000*2*((H409-2*([1]Parametros!$B$7+[1]Parametros!$B$9/2))+(I409-2*([1]Parametros!$B$7+[1]Parametros!$B$9/2)))/(1.7*((H409-2*([1]Parametros!$B$7+[1]Parametros!$B$9/2))*(I409-2*([1]Parametros!$B$7+[1]Parametros!$B$9/2)))^2))^2)</f>
        <v>1.5629681431536449</v>
      </c>
      <c r="BG409" s="13">
        <f>[1]Parametros!$B$6*(AJ409*1000/(H409*MIN(U409,AB409))+0.66*SQRT([1]Parametros!$B$2))</f>
        <v>3.2939603822754151</v>
      </c>
      <c r="BH409" s="13" t="str">
        <f t="shared" si="89"/>
        <v>CUMPLE</v>
      </c>
      <c r="BI409" s="13">
        <f>AX409*[1]Parametros!$B$8</f>
        <v>0</v>
      </c>
      <c r="BJ409" s="15" t="str">
        <f t="shared" si="90"/>
        <v>CUMPLE</v>
      </c>
    </row>
    <row r="410" spans="1:62" x14ac:dyDescent="0.3">
      <c r="A410" s="33" t="s">
        <v>76</v>
      </c>
      <c r="B410" s="34">
        <v>241</v>
      </c>
      <c r="C410" s="13">
        <v>1</v>
      </c>
      <c r="D410" s="13">
        <v>1.9</v>
      </c>
      <c r="E410" s="13">
        <v>1.9</v>
      </c>
      <c r="F410" s="13">
        <v>500</v>
      </c>
      <c r="G410" s="13">
        <v>550</v>
      </c>
      <c r="H410" s="13">
        <v>500</v>
      </c>
      <c r="I410" s="13">
        <v>550</v>
      </c>
      <c r="J410" s="14">
        <v>166.12649999999999</v>
      </c>
      <c r="K410" s="13">
        <v>241</v>
      </c>
      <c r="L410" s="14">
        <v>136.14320000000001</v>
      </c>
      <c r="M410" s="13">
        <v>241</v>
      </c>
      <c r="N410" s="14">
        <v>157.511</v>
      </c>
      <c r="O410" s="14">
        <v>599.45799999999997</v>
      </c>
      <c r="P410" s="13">
        <v>241</v>
      </c>
      <c r="Q410" s="14">
        <v>18.850000000000001</v>
      </c>
      <c r="R410" s="13">
        <f>MAX(MAX(1.4/[1]Parametros!$B$3,0.25*SQRT([1]Parametros!$B$2)/[1]Parametros!$B$3)*H410*U410,(0.85*[1]Parametros!$B$2/[1]Parametros!$B$3)*(1-SQRT(1-2*(J410*1000000/([1]Parametros!$B$5*H410*U410^2))/(0.85*[1]Parametros!$B$2)))*H410*U410)</f>
        <v>929.24549054342265</v>
      </c>
      <c r="S410" s="14">
        <v>5</v>
      </c>
      <c r="T410" s="14">
        <v>1</v>
      </c>
      <c r="U410" s="13">
        <f>IF(T410=1,I410-([1]Parametros!$B$7+[1]Parametros!$B$9+[1]Parametros!$B$12/2),I410-(ROUNDUP(S410/2,0)*([1]Parametros!$B$7+[1]Parametros!$B$9+[1]Parametros!$B$12/2)+ROUNDDOWN(S410/2,0)*([1]Parametros!$B$7+[1]Parametros!$B$9+[1]Parametros!$B$12/2+[1]Parametros!$B$12+[1]Parametros!$B$10))/S410)</f>
        <v>489.35</v>
      </c>
      <c r="V410" s="13">
        <f>S410*[1]Parametros!$B$8</f>
        <v>995</v>
      </c>
      <c r="W410" s="13">
        <f>[1]Parametros!$B$5*V410*[1]Parametros!$B$3*(U410-(V410*[1]Parametros!$B$3/(0.85*[1]Parametros!$B$2*H410))/2)/1000000</f>
        <v>177.44537938235294</v>
      </c>
      <c r="X410" s="13" t="str">
        <f t="shared" si="78"/>
        <v>CUMPLE</v>
      </c>
      <c r="Y410" s="13">
        <f>MAX(MAX(1.4/[1]Parametros!$B$3,0.25*SQRT([1]Parametros!$B$2)/[1]Parametros!$B$3)*H410*AB410,(0.85*[1]Parametros!$B$2/[1]Parametros!$B$3)*(1-SQRT(1-2*(L410*1000000/([1]Parametros!$B$5*H410*AB410^2))/(0.85*[1]Parametros!$B$2)))*H410*AB410)</f>
        <v>815.58333333333326</v>
      </c>
      <c r="Z410" s="14">
        <v>5</v>
      </c>
      <c r="AA410" s="14">
        <v>1</v>
      </c>
      <c r="AB410" s="13">
        <f>IF(AA410=1,I410-([1]Parametros!$B$7+[1]Parametros!$B$9+[1]Parametros!$B$12/2),I410-(ROUNDUP(Z410/2,0)*([1]Parametros!$B$7+[1]Parametros!$B$9+[1]Parametros!$B$12/2)+ROUNDDOWN(Z410/2,0)*([1]Parametros!$B$7+[1]Parametros!$B$9+[1]Parametros!$B$12/2+[1]Parametros!$B$12+[1]Parametros!$B$10))/Z410)</f>
        <v>489.35</v>
      </c>
      <c r="AC410" s="13">
        <f>Z410*[1]Parametros!$B$8</f>
        <v>995</v>
      </c>
      <c r="AD410" s="13">
        <f>[1]Parametros!$B$5*AC410*[1]Parametros!$B$3*(AB410-(AC410*[1]Parametros!$B$3/(0.85*[1]Parametros!$B$2*H410))/2)/1000000</f>
        <v>177.44537938235294</v>
      </c>
      <c r="AE410" s="13" t="str">
        <f t="shared" si="79"/>
        <v>CUMPLE</v>
      </c>
      <c r="AF410" s="13">
        <f>V410*1.25*[1]Parametros!$B$3*(U410-(V410*1.25*[1]Parametros!$B$3/(0.85*[1]Parametros!$B$2*H410))/2)/1000000</f>
        <v>244.15884319852941</v>
      </c>
      <c r="AG410" s="13">
        <f>AC410*1.25*[1]Parametros!$B$3*(AB410-(AC410*1.25*[1]Parametros!$B$3/(0.85*[1]Parametros!$B$2*H410))/2)/1000000</f>
        <v>244.15884319852941</v>
      </c>
      <c r="AH410" s="13">
        <f t="shared" si="80"/>
        <v>414.52030863003097</v>
      </c>
      <c r="AI410" s="13">
        <f t="shared" si="81"/>
        <v>599.45799999999997</v>
      </c>
      <c r="AJ410" s="13">
        <f>0.17*SQRT([1]Parametros!$B$2)*H410*MIN(U410,AB410)/1000</f>
        <v>220.09872869180776</v>
      </c>
      <c r="AK410" s="13">
        <f>MAX(AI410/[1]Parametros!$B$6-AJ410,0)</f>
        <v>579.17860464152557</v>
      </c>
      <c r="AL410" s="13">
        <f>0.66*SQRT([1]Parametros!$B$2)*H410*MIN(U410,AB410)/1000</f>
        <v>854.500946685842</v>
      </c>
      <c r="AM410" s="13" t="str">
        <f t="shared" si="82"/>
        <v>CUMPLE</v>
      </c>
      <c r="AN410" s="13" t="s">
        <v>68</v>
      </c>
      <c r="AO410" s="14">
        <v>2</v>
      </c>
      <c r="AP410" s="13">
        <f>ROUNDDOWN(MIN(IF(BC410+BD410=0,1000000000,AO410*BB410/(BC410+BD410)),MIN(U410,AB410)/4,8*[1]Parametros!$B$12,24*BA410,300,IF(AV410=0,1000000000,2*((H410-2*([1]Parametros!$B$7+[1]Parametros!$B$9/2))+(I410-2*([1]Parametros!$B$7+[1]Parametros!$B$9/2)))/8))/10,0)*10</f>
        <v>80</v>
      </c>
      <c r="AQ410" s="13">
        <f>ROUNDDOWN(MIN(IF(BC410+BD410=0,1000000000,AO410*BB410/(BC410+BD410)),IF(AK410&gt;0.33*SQRT([1]Parametros!$B$2)*H410*MIN(U410,AB410)/1000,MIN(U410,AB410)/4,MIN(U410,AB410)/2),600,IF(AV410=0,1000000000,2*((H410-2*([1]Parametros!$B$7+[1]Parametros!$B$9/2))+(I410-2*([1]Parametros!$B$7+[1]Parametros!$B$9/2)))/8))/10,0)*10</f>
        <v>80</v>
      </c>
      <c r="AR410" s="13">
        <f>[1]Parametros!$B$6*(AJ410+MAX(BE410-BD410,0)*[1]Parametros!$B$4*MIN(U410,AB410)/1000)</f>
        <v>603.9289992286366</v>
      </c>
      <c r="AS410" s="13" t="str">
        <f t="shared" si="83"/>
        <v>CUMPLE</v>
      </c>
      <c r="AT410" s="13">
        <f>[1]Parametros!$B$6*0.083*SQRT([1]Parametros!$B$2)*(H410*I410)^2/(2*(H410+I410))/1000000</f>
        <v>11.862178757598967</v>
      </c>
      <c r="AU410" s="13" t="str">
        <f t="shared" si="84"/>
        <v>DISEÑAR</v>
      </c>
      <c r="AV410" s="13">
        <f>IF(Q410&lt;=AT410,0,Q410*1000000/([1]Parametros!$B$6*2*0.85*(H410-2*([1]Parametros!$B$7+[1]Parametros!$B$9/2))*(I410-2*([1]Parametros!$B$7+[1]Parametros!$B$9/2))*[1]Parametros!$B$4))</f>
        <v>0.18898888723531632</v>
      </c>
      <c r="AW410" s="13">
        <f>AV410*2*((H410-2*([1]Parametros!$B$7+[1]Parametros!$B$9/2))+(I410-2*([1]Parametros!$B$7+[1]Parametros!$B$9/2)))*[1]Parametros!$B$4/[1]Parametros!$B$3</f>
        <v>326.79958380730898</v>
      </c>
      <c r="AX410" s="14">
        <v>8</v>
      </c>
      <c r="AY410" s="13" t="str">
        <f t="shared" si="85"/>
        <v>CUMPLE</v>
      </c>
      <c r="AZ410" s="13" t="str">
        <f t="shared" si="86"/>
        <v>CUMPLE</v>
      </c>
      <c r="BA410" s="14">
        <v>12.7</v>
      </c>
      <c r="BB410" s="14">
        <v>129</v>
      </c>
      <c r="BC410" s="13">
        <f>MAX(IF(AK410=0,0,AK410*1000/([1]Parametros!$B$4*MIN(U410,AB410))),MAX(0.062*SQRT([1]Parametros!$B$2)*H410/[1]Parametros!$B$4,0.35*H410/[1]Parametros!$B$4))</f>
        <v>2.8180171200938346</v>
      </c>
      <c r="BD410" s="13">
        <f t="shared" si="87"/>
        <v>0.37797777447063263</v>
      </c>
      <c r="BE410" s="13">
        <f t="shared" si="88"/>
        <v>3.2250000000000001</v>
      </c>
      <c r="BF410" s="13">
        <f>SQRT((AI410*1000/(H410*MIN(U410,AB410)))^2+(Q410*1000000*2*((H410-2*([1]Parametros!$B$7+[1]Parametros!$B$9/2))+(I410-2*([1]Parametros!$B$7+[1]Parametros!$B$9/2)))/(1.7*((H410-2*([1]Parametros!$B$7+[1]Parametros!$B$9/2))*(I410-2*([1]Parametros!$B$7+[1]Parametros!$B$9/2)))^2))^2)</f>
        <v>2.5115819869178662</v>
      </c>
      <c r="BG410" s="13">
        <f>[1]Parametros!$B$6*(AJ410*1000/(H410*MIN(U410,AB410))+0.66*SQRT([1]Parametros!$B$2))</f>
        <v>3.2939603822754151</v>
      </c>
      <c r="BH410" s="13" t="str">
        <f t="shared" si="89"/>
        <v>CUMPLE</v>
      </c>
      <c r="BI410" s="13">
        <f>AX410*[1]Parametros!$B$8</f>
        <v>1592</v>
      </c>
      <c r="BJ410" s="15" t="str">
        <f t="shared" si="90"/>
        <v>CUMPLE</v>
      </c>
    </row>
    <row r="411" spans="1:62" x14ac:dyDescent="0.3">
      <c r="A411" s="33" t="s">
        <v>76</v>
      </c>
      <c r="B411" s="34">
        <v>242</v>
      </c>
      <c r="C411" s="13">
        <v>1</v>
      </c>
      <c r="D411" s="13">
        <v>2</v>
      </c>
      <c r="E411" s="13">
        <v>2</v>
      </c>
      <c r="F411" s="13">
        <v>500</v>
      </c>
      <c r="G411" s="13">
        <v>550</v>
      </c>
      <c r="H411" s="13">
        <v>500</v>
      </c>
      <c r="I411" s="13">
        <v>550</v>
      </c>
      <c r="J411" s="14">
        <v>178.95820000000001</v>
      </c>
      <c r="K411" s="13">
        <v>242</v>
      </c>
      <c r="L411" s="14">
        <v>133.1027</v>
      </c>
      <c r="M411" s="13">
        <v>242</v>
      </c>
      <c r="N411" s="14">
        <v>165.66399999999999</v>
      </c>
      <c r="O411" s="14">
        <v>626.46400000000006</v>
      </c>
      <c r="P411" s="13">
        <v>242</v>
      </c>
      <c r="Q411" s="14">
        <v>43.3127</v>
      </c>
      <c r="R411" s="13">
        <f>MAX(MAX(1.4/[1]Parametros!$B$3,0.25*SQRT([1]Parametros!$B$2)/[1]Parametros!$B$3)*H411*U411,(0.85*[1]Parametros!$B$2/[1]Parametros!$B$3)*(1-SQRT(1-2*(J411*1000000/([1]Parametros!$B$5*H411*U411^2))/(0.85*[1]Parametros!$B$2)))*H411*U411)</f>
        <v>1003.8138632521946</v>
      </c>
      <c r="S411" s="14">
        <v>6</v>
      </c>
      <c r="T411" s="14">
        <v>1</v>
      </c>
      <c r="U411" s="13">
        <f>IF(T411=1,I411-([1]Parametros!$B$7+[1]Parametros!$B$9+[1]Parametros!$B$12/2),I411-(ROUNDUP(S411/2,0)*([1]Parametros!$B$7+[1]Parametros!$B$9+[1]Parametros!$B$12/2)+ROUNDDOWN(S411/2,0)*([1]Parametros!$B$7+[1]Parametros!$B$9+[1]Parametros!$B$12/2+[1]Parametros!$B$12+[1]Parametros!$B$10))/S411)</f>
        <v>489.35</v>
      </c>
      <c r="V411" s="13">
        <f>S411*[1]Parametros!$B$8</f>
        <v>1194</v>
      </c>
      <c r="W411" s="13">
        <f>[1]Parametros!$B$5*V411*[1]Parametros!$B$3*(U411-(V411*[1]Parametros!$B$3/(0.85*[1]Parametros!$B$2*H411))/2)/1000000</f>
        <v>211.34948347058827</v>
      </c>
      <c r="X411" s="13" t="str">
        <f t="shared" si="78"/>
        <v>CUMPLE</v>
      </c>
      <c r="Y411" s="13">
        <f>MAX(MAX(1.4/[1]Parametros!$B$3,0.25*SQRT([1]Parametros!$B$2)/[1]Parametros!$B$3)*H411*AB411,(0.85*[1]Parametros!$B$2/[1]Parametros!$B$3)*(1-SQRT(1-2*(L411*1000000/([1]Parametros!$B$5*H411*AB411^2))/(0.85*[1]Parametros!$B$2)))*H411*AB411)</f>
        <v>815.58333333333326</v>
      </c>
      <c r="Z411" s="14">
        <v>5</v>
      </c>
      <c r="AA411" s="14">
        <v>1</v>
      </c>
      <c r="AB411" s="13">
        <f>IF(AA411=1,I411-([1]Parametros!$B$7+[1]Parametros!$B$9+[1]Parametros!$B$12/2),I411-(ROUNDUP(Z411/2,0)*([1]Parametros!$B$7+[1]Parametros!$B$9+[1]Parametros!$B$12/2)+ROUNDDOWN(Z411/2,0)*([1]Parametros!$B$7+[1]Parametros!$B$9+[1]Parametros!$B$12/2+[1]Parametros!$B$12+[1]Parametros!$B$10))/Z411)</f>
        <v>489.35</v>
      </c>
      <c r="AC411" s="13">
        <f>Z411*[1]Parametros!$B$8</f>
        <v>995</v>
      </c>
      <c r="AD411" s="13">
        <f>[1]Parametros!$B$5*AC411*[1]Parametros!$B$3*(AB411-(AC411*[1]Parametros!$B$3/(0.85*[1]Parametros!$B$2*H411))/2)/1000000</f>
        <v>177.44537938235294</v>
      </c>
      <c r="AE411" s="13" t="str">
        <f t="shared" si="79"/>
        <v>CUMPLE</v>
      </c>
      <c r="AF411" s="13">
        <f>V411*1.25*[1]Parametros!$B$3*(U411-(V411*1.25*[1]Parametros!$B$3/(0.85*[1]Parametros!$B$2*H411))/2)/1000000</f>
        <v>290.23892470588237</v>
      </c>
      <c r="AG411" s="13">
        <f>AC411*1.25*[1]Parametros!$B$3*(AB411-(AC411*1.25*[1]Parametros!$B$3/(0.85*[1]Parametros!$B$2*H411))/2)/1000000</f>
        <v>244.15884319852941</v>
      </c>
      <c r="AH411" s="13">
        <f t="shared" si="80"/>
        <v>432.86288395220589</v>
      </c>
      <c r="AI411" s="13">
        <f t="shared" si="81"/>
        <v>626.46400000000006</v>
      </c>
      <c r="AJ411" s="13">
        <f>0.17*SQRT([1]Parametros!$B$2)*H411*MIN(U411,AB411)/1000</f>
        <v>220.09872869180776</v>
      </c>
      <c r="AK411" s="13">
        <f>MAX(AI411/[1]Parametros!$B$6-AJ411,0)</f>
        <v>615.18660464152561</v>
      </c>
      <c r="AL411" s="13">
        <f>0.66*SQRT([1]Parametros!$B$2)*H411*MIN(U411,AB411)/1000</f>
        <v>854.500946685842</v>
      </c>
      <c r="AM411" s="13" t="str">
        <f t="shared" si="82"/>
        <v>CUMPLE</v>
      </c>
      <c r="AN411" s="13" t="s">
        <v>68</v>
      </c>
      <c r="AO411" s="14">
        <v>4</v>
      </c>
      <c r="AP411" s="13">
        <f>ROUNDDOWN(MIN(IF(BC411+BD411=0,1000000000,AO411*BB411/(BC411+BD411)),MIN(U411,AB411)/4,8*[1]Parametros!$B$12,24*BA411,300,IF(AV411=0,1000000000,2*((H411-2*([1]Parametros!$B$7+[1]Parametros!$B$9/2))+(I411-2*([1]Parametros!$B$7+[1]Parametros!$B$9/2)))/8))/10,0)*10</f>
        <v>120</v>
      </c>
      <c r="AQ411" s="13">
        <f>ROUNDDOWN(MIN(IF(BC411+BD411=0,1000000000,AO411*BB411/(BC411+BD411)),IF(AK411&gt;0.33*SQRT([1]Parametros!$B$2)*H411*MIN(U411,AB411)/1000,MIN(U411,AB411)/4,MIN(U411,AB411)/2),600,IF(AV411=0,1000000000,2*((H411-2*([1]Parametros!$B$7+[1]Parametros!$B$9/2))+(I411-2*([1]Parametros!$B$7+[1]Parametros!$B$9/2)))/8))/10,0)*10</f>
        <v>120</v>
      </c>
      <c r="AR411" s="13">
        <f>[1]Parametros!$B$6*(AJ411+MAX(BE411-BD411,0)*[1]Parametros!$B$4*MIN(U411,AB411)/1000)</f>
        <v>694.02336597673616</v>
      </c>
      <c r="AS411" s="13" t="str">
        <f t="shared" si="83"/>
        <v>CUMPLE</v>
      </c>
      <c r="AT411" s="13">
        <f>[1]Parametros!$B$6*0.083*SQRT([1]Parametros!$B$2)*(H411*I411)^2/(2*(H411+I411))/1000000</f>
        <v>11.862178757598967</v>
      </c>
      <c r="AU411" s="13" t="str">
        <f t="shared" si="84"/>
        <v>DISEÑAR</v>
      </c>
      <c r="AV411" s="13">
        <f>IF(Q411&lt;=AT411,0,Q411*1000000/([1]Parametros!$B$6*2*0.85*(H411-2*([1]Parametros!$B$7+[1]Parametros!$B$9/2))*(I411-2*([1]Parametros!$B$7+[1]Parametros!$B$9/2))*[1]Parametros!$B$4))</f>
        <v>0.43425034356271008</v>
      </c>
      <c r="AW411" s="13">
        <f>AV411*2*((H411-2*([1]Parametros!$B$7+[1]Parametros!$B$9/2))+(I411-2*([1]Parametros!$B$7+[1]Parametros!$B$9/2)))*[1]Parametros!$B$4/[1]Parametros!$B$3</f>
        <v>750.90569408863814</v>
      </c>
      <c r="AX411" s="14">
        <v>8</v>
      </c>
      <c r="AY411" s="13" t="str">
        <f t="shared" si="85"/>
        <v>CUMPLE</v>
      </c>
      <c r="AZ411" s="13" t="str">
        <f t="shared" si="86"/>
        <v>CUMPLE</v>
      </c>
      <c r="BA411" s="14">
        <v>12.7</v>
      </c>
      <c r="BB411" s="14">
        <v>129</v>
      </c>
      <c r="BC411" s="13">
        <f>MAX(IF(AK411=0,0,AK411*1000/([1]Parametros!$B$4*MIN(U411,AB411))),MAX(0.062*SQRT([1]Parametros!$B$2)*H411/[1]Parametros!$B$4,0.35*H411/[1]Parametros!$B$4))</f>
        <v>2.9932155125191611</v>
      </c>
      <c r="BD411" s="13">
        <f t="shared" si="87"/>
        <v>0.86850068712542017</v>
      </c>
      <c r="BE411" s="13">
        <f t="shared" si="88"/>
        <v>4.3</v>
      </c>
      <c r="BF411" s="13">
        <f>SQRT((AI411*1000/(H411*MIN(U411,AB411)))^2+(Q411*1000000*2*((H411-2*([1]Parametros!$B$7+[1]Parametros!$B$9/2))+(I411-2*([1]Parametros!$B$7+[1]Parametros!$B$9/2)))/(1.7*((H411-2*([1]Parametros!$B$7+[1]Parametros!$B$9/2))*(I411-2*([1]Parametros!$B$7+[1]Parametros!$B$9/2)))^2))^2)</f>
        <v>2.8580299797646944</v>
      </c>
      <c r="BG411" s="13">
        <f>[1]Parametros!$B$6*(AJ411*1000/(H411*MIN(U411,AB411))+0.66*SQRT([1]Parametros!$B$2))</f>
        <v>3.2939603822754151</v>
      </c>
      <c r="BH411" s="13" t="str">
        <f t="shared" si="89"/>
        <v>CUMPLE</v>
      </c>
      <c r="BI411" s="13">
        <f>AX411*[1]Parametros!$B$8</f>
        <v>1592</v>
      </c>
      <c r="BJ411" s="15" t="str">
        <f t="shared" si="90"/>
        <v>CUMPLE</v>
      </c>
    </row>
    <row r="412" spans="1:62" x14ac:dyDescent="0.3">
      <c r="A412" s="33" t="s">
        <v>76</v>
      </c>
      <c r="B412" s="34">
        <v>243</v>
      </c>
      <c r="C412" s="13">
        <v>1</v>
      </c>
      <c r="D412" s="13">
        <v>3.05308</v>
      </c>
      <c r="E412" s="13">
        <v>3.05308</v>
      </c>
      <c r="F412" s="13">
        <v>500</v>
      </c>
      <c r="G412" s="13">
        <v>550</v>
      </c>
      <c r="H412" s="13">
        <v>500</v>
      </c>
      <c r="I412" s="13">
        <v>550</v>
      </c>
      <c r="J412" s="14">
        <v>181.4265</v>
      </c>
      <c r="K412" s="13">
        <v>243</v>
      </c>
      <c r="L412" s="14">
        <v>118.98699999999999</v>
      </c>
      <c r="M412" s="13">
        <v>243</v>
      </c>
      <c r="N412" s="14">
        <v>137.23599999999999</v>
      </c>
      <c r="O412" s="14">
        <v>412.03399999999999</v>
      </c>
      <c r="P412" s="13">
        <v>243</v>
      </c>
      <c r="Q412" s="14">
        <v>50.067999999999998</v>
      </c>
      <c r="R412" s="13">
        <f>MAX(MAX(1.4/[1]Parametros!$B$3,0.25*SQRT([1]Parametros!$B$2)/[1]Parametros!$B$3)*H412*U412,(0.85*[1]Parametros!$B$2/[1]Parametros!$B$3)*(1-SQRT(1-2*(J412*1000000/([1]Parametros!$B$5*H412*U412^2))/(0.85*[1]Parametros!$B$2)))*H412*U412)</f>
        <v>1018.2074388863891</v>
      </c>
      <c r="S412" s="14">
        <v>6</v>
      </c>
      <c r="T412" s="14">
        <v>1</v>
      </c>
      <c r="U412" s="13">
        <f>IF(T412=1,I412-([1]Parametros!$B$7+[1]Parametros!$B$9+[1]Parametros!$B$12/2),I412-(ROUNDUP(S412/2,0)*([1]Parametros!$B$7+[1]Parametros!$B$9+[1]Parametros!$B$12/2)+ROUNDDOWN(S412/2,0)*([1]Parametros!$B$7+[1]Parametros!$B$9+[1]Parametros!$B$12/2+[1]Parametros!$B$12+[1]Parametros!$B$10))/S412)</f>
        <v>489.35</v>
      </c>
      <c r="V412" s="13">
        <f>S412*[1]Parametros!$B$8</f>
        <v>1194</v>
      </c>
      <c r="W412" s="13">
        <f>[1]Parametros!$B$5*V412*[1]Parametros!$B$3*(U412-(V412*[1]Parametros!$B$3/(0.85*[1]Parametros!$B$2*H412))/2)/1000000</f>
        <v>211.34948347058827</v>
      </c>
      <c r="X412" s="13" t="str">
        <f t="shared" si="78"/>
        <v>CUMPLE</v>
      </c>
      <c r="Y412" s="13">
        <f>MAX(MAX(1.4/[1]Parametros!$B$3,0.25*SQRT([1]Parametros!$B$2)/[1]Parametros!$B$3)*H412*AB412,(0.85*[1]Parametros!$B$2/[1]Parametros!$B$3)*(1-SQRT(1-2*(L412*1000000/([1]Parametros!$B$5*H412*AB412^2))/(0.85*[1]Parametros!$B$2)))*H412*AB412)</f>
        <v>815.58333333333326</v>
      </c>
      <c r="Z412" s="14">
        <v>5</v>
      </c>
      <c r="AA412" s="14">
        <v>1</v>
      </c>
      <c r="AB412" s="13">
        <f>IF(AA412=1,I412-([1]Parametros!$B$7+[1]Parametros!$B$9+[1]Parametros!$B$12/2),I412-(ROUNDUP(Z412/2,0)*([1]Parametros!$B$7+[1]Parametros!$B$9+[1]Parametros!$B$12/2)+ROUNDDOWN(Z412/2,0)*([1]Parametros!$B$7+[1]Parametros!$B$9+[1]Parametros!$B$12/2+[1]Parametros!$B$12+[1]Parametros!$B$10))/Z412)</f>
        <v>489.35</v>
      </c>
      <c r="AC412" s="13">
        <f>Z412*[1]Parametros!$B$8</f>
        <v>995</v>
      </c>
      <c r="AD412" s="13">
        <f>[1]Parametros!$B$5*AC412*[1]Parametros!$B$3*(AB412-(AC412*[1]Parametros!$B$3/(0.85*[1]Parametros!$B$2*H412))/2)/1000000</f>
        <v>177.44537938235294</v>
      </c>
      <c r="AE412" s="13" t="str">
        <f t="shared" si="79"/>
        <v>CUMPLE</v>
      </c>
      <c r="AF412" s="13">
        <f>V412*1.25*[1]Parametros!$B$3*(U412-(V412*1.25*[1]Parametros!$B$3/(0.85*[1]Parametros!$B$2*H412))/2)/1000000</f>
        <v>290.23892470588237</v>
      </c>
      <c r="AG412" s="13">
        <f>AC412*1.25*[1]Parametros!$B$3*(AB412-(AC412*1.25*[1]Parametros!$B$3/(0.85*[1]Parametros!$B$2*H412))/2)/1000000</f>
        <v>244.15884319852941</v>
      </c>
      <c r="AH412" s="13">
        <f t="shared" si="80"/>
        <v>312.27162563195589</v>
      </c>
      <c r="AI412" s="13">
        <f t="shared" si="81"/>
        <v>412.03399999999999</v>
      </c>
      <c r="AJ412" s="13">
        <f>0.17*SQRT([1]Parametros!$B$2)*H412*MIN(U412,AB412)/1000</f>
        <v>220.09872869180776</v>
      </c>
      <c r="AK412" s="13">
        <f>MAX(AI412/[1]Parametros!$B$6-AJ412,0)</f>
        <v>329.27993797485885</v>
      </c>
      <c r="AL412" s="13">
        <f>0.66*SQRT([1]Parametros!$B$2)*H412*MIN(U412,AB412)/1000</f>
        <v>854.500946685842</v>
      </c>
      <c r="AM412" s="13" t="str">
        <f t="shared" si="82"/>
        <v>CUMPLE</v>
      </c>
      <c r="AN412" s="13" t="s">
        <v>68</v>
      </c>
      <c r="AO412" s="14">
        <v>2</v>
      </c>
      <c r="AP412" s="13">
        <f>ROUNDDOWN(MIN(IF(BC412+BD412=0,1000000000,AO412*BB412/(BC412+BD412)),MIN(U412,AB412)/4,8*[1]Parametros!$B$12,24*BA412,300,IF(AV412=0,1000000000,2*((H412-2*([1]Parametros!$B$7+[1]Parametros!$B$9/2))+(I412-2*([1]Parametros!$B$7+[1]Parametros!$B$9/2)))/8))/10,0)*10</f>
        <v>90</v>
      </c>
      <c r="AQ412" s="13">
        <f>ROUNDDOWN(MIN(IF(BC412+BD412=0,1000000000,AO412*BB412/(BC412+BD412)),IF(AK412&gt;0.33*SQRT([1]Parametros!$B$2)*H412*MIN(U412,AB412)/1000,MIN(U412,AB412)/4,MIN(U412,AB412)/2),600,IF(AV412=0,1000000000,2*((H412-2*([1]Parametros!$B$7+[1]Parametros!$B$9/2))+(I412-2*([1]Parametros!$B$7+[1]Parametros!$B$9/2)))/8))/10,0)*10</f>
        <v>90</v>
      </c>
      <c r="AR412" s="13">
        <f>[1]Parametros!$B$6*(AJ412+MAX(BE412-BD412,0)*[1]Parametros!$B$4*MIN(U412,AB412)/1000)</f>
        <v>452.20187935430943</v>
      </c>
      <c r="AS412" s="13" t="str">
        <f t="shared" si="83"/>
        <v>CUMPLE</v>
      </c>
      <c r="AT412" s="13">
        <f>[1]Parametros!$B$6*0.083*SQRT([1]Parametros!$B$2)*(H412*I412)^2/(2*(H412+I412))/1000000</f>
        <v>11.862178757598967</v>
      </c>
      <c r="AU412" s="13" t="str">
        <f t="shared" si="84"/>
        <v>DISEÑAR</v>
      </c>
      <c r="AV412" s="13">
        <f>IF(Q412&lt;=AT412,0,Q412*1000000/([1]Parametros!$B$6*2*0.85*(H412-2*([1]Parametros!$B$7+[1]Parametros!$B$9/2))*(I412-2*([1]Parametros!$B$7+[1]Parametros!$B$9/2))*[1]Parametros!$B$4))</f>
        <v>0.50197854674258979</v>
      </c>
      <c r="AW412" s="13">
        <f>AV412*2*((H412-2*([1]Parametros!$B$7+[1]Parametros!$B$9/2))+(I412-2*([1]Parametros!$B$7+[1]Parametros!$B$9/2)))*[1]Parametros!$B$4/[1]Parametros!$B$3</f>
        <v>868.02130302728631</v>
      </c>
      <c r="AX412" s="14">
        <v>8</v>
      </c>
      <c r="AY412" s="13" t="str">
        <f t="shared" si="85"/>
        <v>CUMPLE</v>
      </c>
      <c r="AZ412" s="13" t="str">
        <f t="shared" si="86"/>
        <v>CUMPLE</v>
      </c>
      <c r="BA412" s="14">
        <v>12.7</v>
      </c>
      <c r="BB412" s="14">
        <v>129</v>
      </c>
      <c r="BC412" s="13">
        <f>MAX(IF(AK412=0,0,AK412*1000/([1]Parametros!$B$4*MIN(U412,AB412))),MAX(0.062*SQRT([1]Parametros!$B$2)*H412/[1]Parametros!$B$4,0.35*H412/[1]Parametros!$B$4))</f>
        <v>1.6021249664270818</v>
      </c>
      <c r="BD412" s="13">
        <f t="shared" si="87"/>
        <v>1.0039570934851796</v>
      </c>
      <c r="BE412" s="13">
        <f t="shared" si="88"/>
        <v>2.8666666666666667</v>
      </c>
      <c r="BF412" s="13">
        <f>SQRT((AI412*1000/(H412*MIN(U412,AB412)))^2+(Q412*1000000*2*((H412-2*([1]Parametros!$B$7+[1]Parametros!$B$9/2))+(I412-2*([1]Parametros!$B$7+[1]Parametros!$B$9/2)))/(1.7*((H412-2*([1]Parametros!$B$7+[1]Parametros!$B$9/2))*(I412-2*([1]Parametros!$B$7+[1]Parametros!$B$9/2)))^2))^2)</f>
        <v>2.2340301375205862</v>
      </c>
      <c r="BG412" s="13">
        <f>[1]Parametros!$B$6*(AJ412*1000/(H412*MIN(U412,AB412))+0.66*SQRT([1]Parametros!$B$2))</f>
        <v>3.2939603822754151</v>
      </c>
      <c r="BH412" s="13" t="str">
        <f t="shared" si="89"/>
        <v>CUMPLE</v>
      </c>
      <c r="BI412" s="13">
        <f>AX412*[1]Parametros!$B$8</f>
        <v>1592</v>
      </c>
      <c r="BJ412" s="15" t="str">
        <f t="shared" si="90"/>
        <v>CUMPLE</v>
      </c>
    </row>
    <row r="413" spans="1:62" x14ac:dyDescent="0.3">
      <c r="A413" s="33" t="s">
        <v>76</v>
      </c>
      <c r="B413" s="34">
        <v>244</v>
      </c>
      <c r="C413" s="13">
        <v>1</v>
      </c>
      <c r="D413" s="13">
        <v>2</v>
      </c>
      <c r="E413" s="13">
        <v>2</v>
      </c>
      <c r="F413" s="13">
        <v>500</v>
      </c>
      <c r="G413" s="13">
        <v>550</v>
      </c>
      <c r="H413" s="13">
        <v>500</v>
      </c>
      <c r="I413" s="13">
        <v>550</v>
      </c>
      <c r="J413" s="14">
        <v>196.4607</v>
      </c>
      <c r="K413" s="13">
        <v>244</v>
      </c>
      <c r="L413" s="14">
        <v>131.10149999999999</v>
      </c>
      <c r="M413" s="13">
        <v>244</v>
      </c>
      <c r="N413" s="14">
        <v>163.755</v>
      </c>
      <c r="O413" s="14">
        <v>611.70699999999999</v>
      </c>
      <c r="P413" s="13">
        <v>244</v>
      </c>
      <c r="Q413" s="14">
        <v>7.8677000000000001</v>
      </c>
      <c r="R413" s="13">
        <f>MAX(MAX(1.4/[1]Parametros!$B$3,0.25*SQRT([1]Parametros!$B$2)/[1]Parametros!$B$3)*H413*U413,(0.85*[1]Parametros!$B$2/[1]Parametros!$B$3)*(1-SQRT(1-2*(J413*1000000/([1]Parametros!$B$5*H413*U413^2))/(0.85*[1]Parametros!$B$2)))*H413*U413)</f>
        <v>1106.2281074796097</v>
      </c>
      <c r="S413" s="14">
        <v>6</v>
      </c>
      <c r="T413" s="14">
        <v>1</v>
      </c>
      <c r="U413" s="13">
        <f>IF(T413=1,I413-([1]Parametros!$B$7+[1]Parametros!$B$9+[1]Parametros!$B$12/2),I413-(ROUNDUP(S413/2,0)*([1]Parametros!$B$7+[1]Parametros!$B$9+[1]Parametros!$B$12/2)+ROUNDDOWN(S413/2,0)*([1]Parametros!$B$7+[1]Parametros!$B$9+[1]Parametros!$B$12/2+[1]Parametros!$B$12+[1]Parametros!$B$10))/S413)</f>
        <v>489.35</v>
      </c>
      <c r="V413" s="13">
        <f>S413*[1]Parametros!$B$8</f>
        <v>1194</v>
      </c>
      <c r="W413" s="13">
        <f>[1]Parametros!$B$5*V413*[1]Parametros!$B$3*(U413-(V413*[1]Parametros!$B$3/(0.85*[1]Parametros!$B$2*H413))/2)/1000000</f>
        <v>211.34948347058827</v>
      </c>
      <c r="X413" s="13" t="str">
        <f t="shared" si="78"/>
        <v>CUMPLE</v>
      </c>
      <c r="Y413" s="13">
        <f>MAX(MAX(1.4/[1]Parametros!$B$3,0.25*SQRT([1]Parametros!$B$2)/[1]Parametros!$B$3)*H413*AB413,(0.85*[1]Parametros!$B$2/[1]Parametros!$B$3)*(1-SQRT(1-2*(L413*1000000/([1]Parametros!$B$5*H413*AB413^2))/(0.85*[1]Parametros!$B$2)))*H413*AB413)</f>
        <v>815.58333333333326</v>
      </c>
      <c r="Z413" s="14">
        <v>5</v>
      </c>
      <c r="AA413" s="14">
        <v>1</v>
      </c>
      <c r="AB413" s="13">
        <f>IF(AA413=1,I413-([1]Parametros!$B$7+[1]Parametros!$B$9+[1]Parametros!$B$12/2),I413-(ROUNDUP(Z413/2,0)*([1]Parametros!$B$7+[1]Parametros!$B$9+[1]Parametros!$B$12/2)+ROUNDDOWN(Z413/2,0)*([1]Parametros!$B$7+[1]Parametros!$B$9+[1]Parametros!$B$12/2+[1]Parametros!$B$12+[1]Parametros!$B$10))/Z413)</f>
        <v>489.35</v>
      </c>
      <c r="AC413" s="13">
        <f>Z413*[1]Parametros!$B$8</f>
        <v>995</v>
      </c>
      <c r="AD413" s="13">
        <f>[1]Parametros!$B$5*AC413*[1]Parametros!$B$3*(AB413-(AC413*[1]Parametros!$B$3/(0.85*[1]Parametros!$B$2*H413))/2)/1000000</f>
        <v>177.44537938235294</v>
      </c>
      <c r="AE413" s="13" t="str">
        <f t="shared" si="79"/>
        <v>CUMPLE</v>
      </c>
      <c r="AF413" s="13">
        <f>V413*1.25*[1]Parametros!$B$3*(U413-(V413*1.25*[1]Parametros!$B$3/(0.85*[1]Parametros!$B$2*H413))/2)/1000000</f>
        <v>290.23892470588237</v>
      </c>
      <c r="AG413" s="13">
        <f>AC413*1.25*[1]Parametros!$B$3*(AB413-(AC413*1.25*[1]Parametros!$B$3/(0.85*[1]Parametros!$B$2*H413))/2)/1000000</f>
        <v>244.15884319852941</v>
      </c>
      <c r="AH413" s="13">
        <f t="shared" si="80"/>
        <v>430.9538839522059</v>
      </c>
      <c r="AI413" s="13">
        <f t="shared" si="81"/>
        <v>611.70699999999999</v>
      </c>
      <c r="AJ413" s="13">
        <f>0.17*SQRT([1]Parametros!$B$2)*H413*MIN(U413,AB413)/1000</f>
        <v>220.09872869180776</v>
      </c>
      <c r="AK413" s="13">
        <f>MAX(AI413/[1]Parametros!$B$6-AJ413,0)</f>
        <v>595.51060464152556</v>
      </c>
      <c r="AL413" s="13">
        <f>0.66*SQRT([1]Parametros!$B$2)*H413*MIN(U413,AB413)/1000</f>
        <v>854.500946685842</v>
      </c>
      <c r="AM413" s="13" t="str">
        <f t="shared" si="82"/>
        <v>CUMPLE</v>
      </c>
      <c r="AN413" s="13" t="s">
        <v>68</v>
      </c>
      <c r="AO413" s="14">
        <v>2</v>
      </c>
      <c r="AP413" s="13">
        <f>ROUNDDOWN(MIN(IF(BC413+BD413=0,1000000000,AO413*BB413/(BC413+BD413)),MIN(U413,AB413)/4,8*[1]Parametros!$B$12,24*BA413,300,IF(AV413=0,1000000000,2*((H413-2*([1]Parametros!$B$7+[1]Parametros!$B$9/2))+(I413-2*([1]Parametros!$B$7+[1]Parametros!$B$9/2)))/8))/10,0)*10</f>
        <v>80</v>
      </c>
      <c r="AQ413" s="13">
        <f>ROUNDDOWN(MIN(IF(BC413+BD413=0,1000000000,AO413*BB413/(BC413+BD413)),IF(AK413&gt;0.33*SQRT([1]Parametros!$B$2)*H413*MIN(U413,AB413)/1000,MIN(U413,AB413)/4,MIN(U413,AB413)/2),600,IF(AV413=0,1000000000,2*((H413-2*([1]Parametros!$B$7+[1]Parametros!$B$9/2))+(I413-2*([1]Parametros!$B$7+[1]Parametros!$B$9/2)))/8))/10,0)*10</f>
        <v>80</v>
      </c>
      <c r="AR413" s="13">
        <f>[1]Parametros!$B$6*(AJ413+MAX(BE413-BD413,0)*[1]Parametros!$B$4*MIN(U413,AB413)/1000)</f>
        <v>662.19247776885595</v>
      </c>
      <c r="AS413" s="13" t="str">
        <f t="shared" si="83"/>
        <v>CUMPLE</v>
      </c>
      <c r="AT413" s="13">
        <f>[1]Parametros!$B$6*0.083*SQRT([1]Parametros!$B$2)*(H413*I413)^2/(2*(H413+I413))/1000000</f>
        <v>11.862178757598967</v>
      </c>
      <c r="AU413" s="13" t="str">
        <f t="shared" si="84"/>
        <v>DESPRECIABLE</v>
      </c>
      <c r="AV413" s="13">
        <f>IF(Q413&lt;=AT413,0,Q413*1000000/([1]Parametros!$B$6*2*0.85*(H413-2*([1]Parametros!$B$7+[1]Parametros!$B$9/2))*(I413-2*([1]Parametros!$B$7+[1]Parametros!$B$9/2))*[1]Parametros!$B$4))</f>
        <v>0</v>
      </c>
      <c r="AW413" s="13">
        <f>AV413*2*((H413-2*([1]Parametros!$B$7+[1]Parametros!$B$9/2))+(I413-2*([1]Parametros!$B$7+[1]Parametros!$B$9/2)))*[1]Parametros!$B$4/[1]Parametros!$B$3</f>
        <v>0</v>
      </c>
      <c r="AX413" s="14">
        <v>0</v>
      </c>
      <c r="AY413" s="13" t="str">
        <f t="shared" si="85"/>
        <v>DESPRECIABLE</v>
      </c>
      <c r="AZ413" s="13" t="str">
        <f t="shared" si="86"/>
        <v>CUMPLE</v>
      </c>
      <c r="BA413" s="14">
        <v>12.7</v>
      </c>
      <c r="BB413" s="14">
        <v>129</v>
      </c>
      <c r="BC413" s="13">
        <f>MAX(IF(AK413=0,0,AK413*1000/([1]Parametros!$B$4*MIN(U413,AB413))),MAX(0.062*SQRT([1]Parametros!$B$2)*H413/[1]Parametros!$B$4,0.35*H413/[1]Parametros!$B$4))</f>
        <v>2.8974811321214515</v>
      </c>
      <c r="BD413" s="13">
        <f t="shared" si="87"/>
        <v>0</v>
      </c>
      <c r="BE413" s="13">
        <f t="shared" si="88"/>
        <v>3.2250000000000001</v>
      </c>
      <c r="BF413" s="13">
        <f>SQRT((AI413*1000/(H413*MIN(U413,AB413)))^2+(Q413*1000000*2*((H413-2*([1]Parametros!$B$7+[1]Parametros!$B$9/2))+(I413-2*([1]Parametros!$B$7+[1]Parametros!$B$9/2)))/(1.7*((H413-2*([1]Parametros!$B$7+[1]Parametros!$B$9/2))*(I413-2*([1]Parametros!$B$7+[1]Parametros!$B$9/2)))^2))^2)</f>
        <v>2.5106995987018395</v>
      </c>
      <c r="BG413" s="13">
        <f>[1]Parametros!$B$6*(AJ413*1000/(H413*MIN(U413,AB413))+0.66*SQRT([1]Parametros!$B$2))</f>
        <v>3.2939603822754151</v>
      </c>
      <c r="BH413" s="13" t="str">
        <f t="shared" si="89"/>
        <v>CUMPLE</v>
      </c>
      <c r="BI413" s="13">
        <f>AX413*[1]Parametros!$B$8</f>
        <v>0</v>
      </c>
      <c r="BJ413" s="15" t="str">
        <f t="shared" si="90"/>
        <v>CUMPLE</v>
      </c>
    </row>
    <row r="414" spans="1:62" x14ac:dyDescent="0.3">
      <c r="A414" s="33" t="s">
        <v>76</v>
      </c>
      <c r="B414" s="34">
        <v>769</v>
      </c>
      <c r="C414" s="13">
        <v>1</v>
      </c>
      <c r="D414" s="13">
        <v>2</v>
      </c>
      <c r="E414" s="13">
        <v>2</v>
      </c>
      <c r="F414" s="13">
        <v>500</v>
      </c>
      <c r="G414" s="13">
        <v>550</v>
      </c>
      <c r="H414" s="13">
        <v>500</v>
      </c>
      <c r="I414" s="13">
        <v>550</v>
      </c>
      <c r="J414" s="14">
        <v>156.60140000000001</v>
      </c>
      <c r="K414" s="13">
        <v>769</v>
      </c>
      <c r="L414" s="14">
        <v>91.101500000000001</v>
      </c>
      <c r="M414" s="13">
        <v>769</v>
      </c>
      <c r="N414" s="14">
        <v>134.11099999999999</v>
      </c>
      <c r="O414" s="14">
        <v>450.26299999999998</v>
      </c>
      <c r="P414" s="13">
        <v>769</v>
      </c>
      <c r="Q414" s="14">
        <v>6.2533000000000003</v>
      </c>
      <c r="R414" s="13">
        <f>MAX(MAX(1.4/[1]Parametros!$B$3,0.25*SQRT([1]Parametros!$B$2)/[1]Parametros!$B$3)*H414*U414,(0.85*[1]Parametros!$B$2/[1]Parametros!$B$3)*(1-SQRT(1-2*(J414*1000000/([1]Parametros!$B$5*H414*U414^2))/(0.85*[1]Parametros!$B$2)))*H414*U414)</f>
        <v>874.16942792487714</v>
      </c>
      <c r="S414" s="14">
        <v>5</v>
      </c>
      <c r="T414" s="14">
        <v>1</v>
      </c>
      <c r="U414" s="13">
        <f>IF(T414=1,I414-([1]Parametros!$B$7+[1]Parametros!$B$9+[1]Parametros!$B$12/2),I414-(ROUNDUP(S414/2,0)*([1]Parametros!$B$7+[1]Parametros!$B$9+[1]Parametros!$B$12/2)+ROUNDDOWN(S414/2,0)*([1]Parametros!$B$7+[1]Parametros!$B$9+[1]Parametros!$B$12/2+[1]Parametros!$B$12+[1]Parametros!$B$10))/S414)</f>
        <v>489.35</v>
      </c>
      <c r="V414" s="13">
        <f>S414*[1]Parametros!$B$8</f>
        <v>995</v>
      </c>
      <c r="W414" s="13">
        <f>[1]Parametros!$B$5*V414*[1]Parametros!$B$3*(U414-(V414*[1]Parametros!$B$3/(0.85*[1]Parametros!$B$2*H414))/2)/1000000</f>
        <v>177.44537938235294</v>
      </c>
      <c r="X414" s="13" t="str">
        <f t="shared" si="78"/>
        <v>CUMPLE</v>
      </c>
      <c r="Y414" s="13">
        <f>MAX(MAX(1.4/[1]Parametros!$B$3,0.25*SQRT([1]Parametros!$B$2)/[1]Parametros!$B$3)*H414*AB414,(0.85*[1]Parametros!$B$2/[1]Parametros!$B$3)*(1-SQRT(1-2*(L414*1000000/([1]Parametros!$B$5*H414*AB414^2))/(0.85*[1]Parametros!$B$2)))*H414*AB414)</f>
        <v>815.58333333333326</v>
      </c>
      <c r="Z414" s="14">
        <v>5</v>
      </c>
      <c r="AA414" s="14">
        <v>1</v>
      </c>
      <c r="AB414" s="13">
        <f>IF(AA414=1,I414-([1]Parametros!$B$7+[1]Parametros!$B$9+[1]Parametros!$B$12/2),I414-(ROUNDUP(Z414/2,0)*([1]Parametros!$B$7+[1]Parametros!$B$9+[1]Parametros!$B$12/2)+ROUNDDOWN(Z414/2,0)*([1]Parametros!$B$7+[1]Parametros!$B$9+[1]Parametros!$B$12/2+[1]Parametros!$B$12+[1]Parametros!$B$10))/Z414)</f>
        <v>489.35</v>
      </c>
      <c r="AC414" s="13">
        <f>Z414*[1]Parametros!$B$8</f>
        <v>995</v>
      </c>
      <c r="AD414" s="13">
        <f>[1]Parametros!$B$5*AC414*[1]Parametros!$B$3*(AB414-(AC414*[1]Parametros!$B$3/(0.85*[1]Parametros!$B$2*H414))/2)/1000000</f>
        <v>177.44537938235294</v>
      </c>
      <c r="AE414" s="13" t="str">
        <f t="shared" si="79"/>
        <v>CUMPLE</v>
      </c>
      <c r="AF414" s="13">
        <f>V414*1.25*[1]Parametros!$B$3*(U414-(V414*1.25*[1]Parametros!$B$3/(0.85*[1]Parametros!$B$2*H414))/2)/1000000</f>
        <v>244.15884319852941</v>
      </c>
      <c r="AG414" s="13">
        <f>AC414*1.25*[1]Parametros!$B$3*(AB414-(AC414*1.25*[1]Parametros!$B$3/(0.85*[1]Parametros!$B$2*H414))/2)/1000000</f>
        <v>244.15884319852941</v>
      </c>
      <c r="AH414" s="13">
        <f t="shared" si="80"/>
        <v>378.26984319852943</v>
      </c>
      <c r="AI414" s="13">
        <f t="shared" si="81"/>
        <v>450.26299999999998</v>
      </c>
      <c r="AJ414" s="13">
        <f>0.17*SQRT([1]Parametros!$B$2)*H414*MIN(U414,AB414)/1000</f>
        <v>220.09872869180776</v>
      </c>
      <c r="AK414" s="13">
        <f>MAX(AI414/[1]Parametros!$B$6-AJ414,0)</f>
        <v>380.25193797485883</v>
      </c>
      <c r="AL414" s="13">
        <f>0.66*SQRT([1]Parametros!$B$2)*H414*MIN(U414,AB414)/1000</f>
        <v>854.500946685842</v>
      </c>
      <c r="AM414" s="13" t="str">
        <f t="shared" si="82"/>
        <v>CUMPLE</v>
      </c>
      <c r="AN414" s="13" t="s">
        <v>68</v>
      </c>
      <c r="AO414" s="14">
        <v>2</v>
      </c>
      <c r="AP414" s="13">
        <f>ROUNDDOWN(MIN(IF(BC414+BD414=0,1000000000,AO414*BB414/(BC414+BD414)),MIN(U414,AB414)/4,8*[1]Parametros!$B$12,24*BA414,300,IF(AV414=0,1000000000,2*((H414-2*([1]Parametros!$B$7+[1]Parametros!$B$9/2))+(I414-2*([1]Parametros!$B$7+[1]Parametros!$B$9/2)))/8))/10,0)*10</f>
        <v>120</v>
      </c>
      <c r="AQ414" s="13">
        <f>ROUNDDOWN(MIN(IF(BC414+BD414=0,1000000000,AO414*BB414/(BC414+BD414)),IF(AK414&gt;0.33*SQRT([1]Parametros!$B$2)*H414*MIN(U414,AB414)/1000,MIN(U414,AB414)/4,MIN(U414,AB414)/2),600,IF(AV414=0,1000000000,2*((H414-2*([1]Parametros!$B$7+[1]Parametros!$B$9/2))+(I414-2*([1]Parametros!$B$7+[1]Parametros!$B$9/2)))/8))/10,0)*10</f>
        <v>130</v>
      </c>
      <c r="AR414" s="13">
        <f>[1]Parametros!$B$6*(AJ414+MAX(BE414-BD414,0)*[1]Parametros!$B$4*MIN(U414,AB414)/1000)</f>
        <v>496.48633401885581</v>
      </c>
      <c r="AS414" s="13" t="str">
        <f t="shared" si="83"/>
        <v>CUMPLE</v>
      </c>
      <c r="AT414" s="13">
        <f>[1]Parametros!$B$6*0.083*SQRT([1]Parametros!$B$2)*(H414*I414)^2/(2*(H414+I414))/1000000</f>
        <v>11.862178757598967</v>
      </c>
      <c r="AU414" s="13" t="str">
        <f t="shared" si="84"/>
        <v>DESPRECIABLE</v>
      </c>
      <c r="AV414" s="13">
        <f>IF(Q414&lt;=AT414,0,Q414*1000000/([1]Parametros!$B$6*2*0.85*(H414-2*([1]Parametros!$B$7+[1]Parametros!$B$9/2))*(I414-2*([1]Parametros!$B$7+[1]Parametros!$B$9/2))*[1]Parametros!$B$4))</f>
        <v>0</v>
      </c>
      <c r="AW414" s="13">
        <f>AV414*2*((H414-2*([1]Parametros!$B$7+[1]Parametros!$B$9/2))+(I414-2*([1]Parametros!$B$7+[1]Parametros!$B$9/2)))*[1]Parametros!$B$4/[1]Parametros!$B$3</f>
        <v>0</v>
      </c>
      <c r="AX414" s="14">
        <v>0</v>
      </c>
      <c r="AY414" s="13" t="str">
        <f t="shared" si="85"/>
        <v>DESPRECIABLE</v>
      </c>
      <c r="AZ414" s="13" t="str">
        <f t="shared" si="86"/>
        <v>CUMPLE</v>
      </c>
      <c r="BA414" s="14">
        <v>12.7</v>
      </c>
      <c r="BB414" s="14">
        <v>129</v>
      </c>
      <c r="BC414" s="13">
        <f>MAX(IF(AK414=0,0,AK414*1000/([1]Parametros!$B$4*MIN(U414,AB414))),MAX(0.062*SQRT([1]Parametros!$B$2)*H414/[1]Parametros!$B$4,0.35*H414/[1]Parametros!$B$4))</f>
        <v>1.8501313110922597</v>
      </c>
      <c r="BD414" s="13">
        <f t="shared" si="87"/>
        <v>0</v>
      </c>
      <c r="BE414" s="13">
        <f t="shared" si="88"/>
        <v>2.15</v>
      </c>
      <c r="BF414" s="13">
        <f>SQRT((AI414*1000/(H414*MIN(U414,AB414)))^2+(Q414*1000000*2*((H414-2*([1]Parametros!$B$7+[1]Parametros!$B$9/2))+(I414-2*([1]Parametros!$B$7+[1]Parametros!$B$9/2)))/(1.7*((H414-2*([1]Parametros!$B$7+[1]Parametros!$B$9/2))*(I414-2*([1]Parametros!$B$7+[1]Parametros!$B$9/2)))^2))^2)</f>
        <v>1.8493603569575781</v>
      </c>
      <c r="BG414" s="13">
        <f>[1]Parametros!$B$6*(AJ414*1000/(H414*MIN(U414,AB414))+0.66*SQRT([1]Parametros!$B$2))</f>
        <v>3.2939603822754151</v>
      </c>
      <c r="BH414" s="13" t="str">
        <f t="shared" si="89"/>
        <v>CUMPLE</v>
      </c>
      <c r="BI414" s="13">
        <f>AX414*[1]Parametros!$B$8</f>
        <v>0</v>
      </c>
      <c r="BJ414" s="15" t="str">
        <f t="shared" si="90"/>
        <v>CUMPLE</v>
      </c>
    </row>
    <row r="415" spans="1:62" x14ac:dyDescent="0.3">
      <c r="A415" s="33" t="s">
        <v>76</v>
      </c>
      <c r="B415" s="34">
        <v>770</v>
      </c>
      <c r="C415" s="13">
        <v>1</v>
      </c>
      <c r="D415" s="13">
        <v>3.05308</v>
      </c>
      <c r="E415" s="13">
        <v>3.05308</v>
      </c>
      <c r="F415" s="13">
        <v>500</v>
      </c>
      <c r="G415" s="13">
        <v>550</v>
      </c>
      <c r="H415" s="13">
        <v>500</v>
      </c>
      <c r="I415" s="13">
        <v>550</v>
      </c>
      <c r="J415" s="14">
        <v>158.3271</v>
      </c>
      <c r="K415" s="13">
        <v>770</v>
      </c>
      <c r="L415" s="14">
        <v>96.602400000000003</v>
      </c>
      <c r="M415" s="13">
        <v>770</v>
      </c>
      <c r="N415" s="14">
        <v>126.642</v>
      </c>
      <c r="O415" s="14">
        <v>347.76100000000002</v>
      </c>
      <c r="P415" s="13">
        <v>770</v>
      </c>
      <c r="Q415" s="14">
        <v>43.326599999999999</v>
      </c>
      <c r="R415" s="13">
        <f>MAX(MAX(1.4/[1]Parametros!$B$3,0.25*SQRT([1]Parametros!$B$2)/[1]Parametros!$B$3)*H415*U415,(0.85*[1]Parametros!$B$2/[1]Parametros!$B$3)*(1-SQRT(1-2*(J415*1000000/([1]Parametros!$B$5*H415*U415^2))/(0.85*[1]Parametros!$B$2)))*H415*U415)</f>
        <v>884.13044244249761</v>
      </c>
      <c r="S415" s="14">
        <v>5</v>
      </c>
      <c r="T415" s="14">
        <v>1</v>
      </c>
      <c r="U415" s="13">
        <f>IF(T415=1,I415-([1]Parametros!$B$7+[1]Parametros!$B$9+[1]Parametros!$B$12/2),I415-(ROUNDUP(S415/2,0)*([1]Parametros!$B$7+[1]Parametros!$B$9+[1]Parametros!$B$12/2)+ROUNDDOWN(S415/2,0)*([1]Parametros!$B$7+[1]Parametros!$B$9+[1]Parametros!$B$12/2+[1]Parametros!$B$12+[1]Parametros!$B$10))/S415)</f>
        <v>489.35</v>
      </c>
      <c r="V415" s="13">
        <f>S415*[1]Parametros!$B$8</f>
        <v>995</v>
      </c>
      <c r="W415" s="13">
        <f>[1]Parametros!$B$5*V415*[1]Parametros!$B$3*(U415-(V415*[1]Parametros!$B$3/(0.85*[1]Parametros!$B$2*H415))/2)/1000000</f>
        <v>177.44537938235294</v>
      </c>
      <c r="X415" s="13" t="str">
        <f t="shared" si="78"/>
        <v>CUMPLE</v>
      </c>
      <c r="Y415" s="13">
        <f>MAX(MAX(1.4/[1]Parametros!$B$3,0.25*SQRT([1]Parametros!$B$2)/[1]Parametros!$B$3)*H415*AB415,(0.85*[1]Parametros!$B$2/[1]Parametros!$B$3)*(1-SQRT(1-2*(L415*1000000/([1]Parametros!$B$5*H415*AB415^2))/(0.85*[1]Parametros!$B$2)))*H415*AB415)</f>
        <v>815.58333333333326</v>
      </c>
      <c r="Z415" s="14">
        <v>5</v>
      </c>
      <c r="AA415" s="14">
        <v>1</v>
      </c>
      <c r="AB415" s="13">
        <f>IF(AA415=1,I415-([1]Parametros!$B$7+[1]Parametros!$B$9+[1]Parametros!$B$12/2),I415-(ROUNDUP(Z415/2,0)*([1]Parametros!$B$7+[1]Parametros!$B$9+[1]Parametros!$B$12/2)+ROUNDDOWN(Z415/2,0)*([1]Parametros!$B$7+[1]Parametros!$B$9+[1]Parametros!$B$12/2+[1]Parametros!$B$12+[1]Parametros!$B$10))/Z415)</f>
        <v>489.35</v>
      </c>
      <c r="AC415" s="13">
        <f>Z415*[1]Parametros!$B$8</f>
        <v>995</v>
      </c>
      <c r="AD415" s="13">
        <f>[1]Parametros!$B$5*AC415*[1]Parametros!$B$3*(AB415-(AC415*[1]Parametros!$B$3/(0.85*[1]Parametros!$B$2*H415))/2)/1000000</f>
        <v>177.44537938235294</v>
      </c>
      <c r="AE415" s="13" t="str">
        <f t="shared" si="79"/>
        <v>CUMPLE</v>
      </c>
      <c r="AF415" s="13">
        <f>V415*1.25*[1]Parametros!$B$3*(U415-(V415*1.25*[1]Parametros!$B$3/(0.85*[1]Parametros!$B$2*H415))/2)/1000000</f>
        <v>244.15884319852941</v>
      </c>
      <c r="AG415" s="13">
        <f>AC415*1.25*[1]Parametros!$B$3*(AB415-(AC415*1.25*[1]Parametros!$B$3/(0.85*[1]Parametros!$B$2*H415))/2)/1000000</f>
        <v>244.15884319852941</v>
      </c>
      <c r="AH415" s="13">
        <f t="shared" si="80"/>
        <v>286.5846436244903</v>
      </c>
      <c r="AI415" s="13">
        <f t="shared" si="81"/>
        <v>347.76100000000002</v>
      </c>
      <c r="AJ415" s="13">
        <f>0.17*SQRT([1]Parametros!$B$2)*H415*MIN(U415,AB415)/1000</f>
        <v>220.09872869180776</v>
      </c>
      <c r="AK415" s="13">
        <f>MAX(AI415/[1]Parametros!$B$6-AJ415,0)</f>
        <v>243.58260464152562</v>
      </c>
      <c r="AL415" s="13">
        <f>0.66*SQRT([1]Parametros!$B$2)*H415*MIN(U415,AB415)/1000</f>
        <v>854.500946685842</v>
      </c>
      <c r="AM415" s="13" t="str">
        <f t="shared" si="82"/>
        <v>CUMPLE</v>
      </c>
      <c r="AN415" s="13" t="s">
        <v>68</v>
      </c>
      <c r="AO415" s="14">
        <v>2</v>
      </c>
      <c r="AP415" s="13">
        <f>ROUNDDOWN(MIN(IF(BC415+BD415=0,1000000000,AO415*BB415/(BC415+BD415)),MIN(U415,AB415)/4,8*[1]Parametros!$B$12,24*BA415,300,IF(AV415=0,1000000000,2*((H415-2*([1]Parametros!$B$7+[1]Parametros!$B$9/2))+(I415-2*([1]Parametros!$B$7+[1]Parametros!$B$9/2)))/8))/10,0)*10</f>
        <v>120</v>
      </c>
      <c r="AQ415" s="13">
        <f>ROUNDDOWN(MIN(IF(BC415+BD415=0,1000000000,AO415*BB415/(BC415+BD415)),IF(AK415&gt;0.33*SQRT([1]Parametros!$B$2)*H415*MIN(U415,AB415)/1000,MIN(U415,AB415)/4,MIN(U415,AB415)/2),600,IF(AV415=0,1000000000,2*((H415-2*([1]Parametros!$B$7+[1]Parametros!$B$9/2))+(I415-2*([1]Parametros!$B$7+[1]Parametros!$B$9/2)))/8))/10,0)*10</f>
        <v>120</v>
      </c>
      <c r="AR415" s="13">
        <f>[1]Parametros!$B$6*(AJ415+MAX(BE415-BD415,0)*[1]Parametros!$B$4*MIN(U415,AB415)/1000)</f>
        <v>362.56811495675157</v>
      </c>
      <c r="AS415" s="13" t="str">
        <f t="shared" si="83"/>
        <v>CUMPLE</v>
      </c>
      <c r="AT415" s="13">
        <f>[1]Parametros!$B$6*0.083*SQRT([1]Parametros!$B$2)*(H415*I415)^2/(2*(H415+I415))/1000000</f>
        <v>11.862178757598967</v>
      </c>
      <c r="AU415" s="13" t="str">
        <f t="shared" si="84"/>
        <v>DISEÑAR</v>
      </c>
      <c r="AV415" s="13">
        <f>IF(Q415&lt;=AT415,0,Q415*1000000/([1]Parametros!$B$6*2*0.85*(H415-2*([1]Parametros!$B$7+[1]Parametros!$B$9/2))*(I415-2*([1]Parametros!$B$7+[1]Parametros!$B$9/2))*[1]Parametros!$B$4))</f>
        <v>0.43438970406841682</v>
      </c>
      <c r="AW415" s="13">
        <f>AV415*2*((H415-2*([1]Parametros!$B$7+[1]Parametros!$B$9/2))+(I415-2*([1]Parametros!$B$7+[1]Parametros!$B$9/2)))*[1]Parametros!$B$4/[1]Parametros!$B$3</f>
        <v>751.14667627510642</v>
      </c>
      <c r="AX415" s="14">
        <v>8</v>
      </c>
      <c r="AY415" s="13" t="str">
        <f t="shared" si="85"/>
        <v>CUMPLE</v>
      </c>
      <c r="AZ415" s="13" t="str">
        <f t="shared" si="86"/>
        <v>CUMPLE</v>
      </c>
      <c r="BA415" s="14">
        <v>12.7</v>
      </c>
      <c r="BB415" s="14">
        <v>129</v>
      </c>
      <c r="BC415" s="13">
        <f>MAX(IF(AK415=0,0,AK415*1000/([1]Parametros!$B$4*MIN(U415,AB415))),MAX(0.062*SQRT([1]Parametros!$B$2)*H415/[1]Parametros!$B$4,0.35*H415/[1]Parametros!$B$4))</f>
        <v>1.1851610963110717</v>
      </c>
      <c r="BD415" s="13">
        <f t="shared" si="87"/>
        <v>0.86877940813683363</v>
      </c>
      <c r="BE415" s="13">
        <f t="shared" si="88"/>
        <v>2.15</v>
      </c>
      <c r="BF415" s="13">
        <f>SQRT((AI415*1000/(H415*MIN(U415,AB415)))^2+(Q415*1000000*2*((H415-2*([1]Parametros!$B$7+[1]Parametros!$B$9/2))+(I415-2*([1]Parametros!$B$7+[1]Parametros!$B$9/2)))/(1.7*((H415-2*([1]Parametros!$B$7+[1]Parametros!$B$9/2))*(I415-2*([1]Parametros!$B$7+[1]Parametros!$B$9/2)))^2))^2)</f>
        <v>1.9062808548702717</v>
      </c>
      <c r="BG415" s="13">
        <f>[1]Parametros!$B$6*(AJ415*1000/(H415*MIN(U415,AB415))+0.66*SQRT([1]Parametros!$B$2))</f>
        <v>3.2939603822754151</v>
      </c>
      <c r="BH415" s="13" t="str">
        <f t="shared" si="89"/>
        <v>CUMPLE</v>
      </c>
      <c r="BI415" s="13">
        <f>AX415*[1]Parametros!$B$8</f>
        <v>1592</v>
      </c>
      <c r="BJ415" s="15" t="str">
        <f t="shared" si="90"/>
        <v>CUMPLE</v>
      </c>
    </row>
    <row r="416" spans="1:62" x14ac:dyDescent="0.3">
      <c r="A416" s="33" t="s">
        <v>76</v>
      </c>
      <c r="B416" s="34">
        <v>771</v>
      </c>
      <c r="C416" s="13">
        <v>1</v>
      </c>
      <c r="D416" s="13">
        <v>2</v>
      </c>
      <c r="E416" s="13">
        <v>2</v>
      </c>
      <c r="F416" s="13">
        <v>500</v>
      </c>
      <c r="G416" s="13">
        <v>550</v>
      </c>
      <c r="H416" s="13">
        <v>500</v>
      </c>
      <c r="I416" s="13">
        <v>550</v>
      </c>
      <c r="J416" s="14">
        <v>142.9718</v>
      </c>
      <c r="K416" s="13">
        <v>771</v>
      </c>
      <c r="L416" s="14">
        <v>97.851299999999995</v>
      </c>
      <c r="M416" s="13">
        <v>771</v>
      </c>
      <c r="N416" s="14">
        <v>138.68199999999999</v>
      </c>
      <c r="O416" s="14">
        <v>493.97899999999998</v>
      </c>
      <c r="P416" s="13">
        <v>771</v>
      </c>
      <c r="Q416" s="14">
        <v>37.077100000000002</v>
      </c>
      <c r="R416" s="13">
        <f>MAX(MAX(1.4/[1]Parametros!$B$3,0.25*SQRT([1]Parametros!$B$2)/[1]Parametros!$B$3)*H416*U416,(0.85*[1]Parametros!$B$2/[1]Parametros!$B$3)*(1-SQRT(1-2*(J416*1000000/([1]Parametros!$B$5*H416*U416^2))/(0.85*[1]Parametros!$B$2)))*H416*U416)</f>
        <v>815.58333333333326</v>
      </c>
      <c r="S416" s="14">
        <v>5</v>
      </c>
      <c r="T416" s="14">
        <v>1</v>
      </c>
      <c r="U416" s="13">
        <f>IF(T416=1,I416-([1]Parametros!$B$7+[1]Parametros!$B$9+[1]Parametros!$B$12/2),I416-(ROUNDUP(S416/2,0)*([1]Parametros!$B$7+[1]Parametros!$B$9+[1]Parametros!$B$12/2)+ROUNDDOWN(S416/2,0)*([1]Parametros!$B$7+[1]Parametros!$B$9+[1]Parametros!$B$12/2+[1]Parametros!$B$12+[1]Parametros!$B$10))/S416)</f>
        <v>489.35</v>
      </c>
      <c r="V416" s="13">
        <f>S416*[1]Parametros!$B$8</f>
        <v>995</v>
      </c>
      <c r="W416" s="13">
        <f>[1]Parametros!$B$5*V416*[1]Parametros!$B$3*(U416-(V416*[1]Parametros!$B$3/(0.85*[1]Parametros!$B$2*H416))/2)/1000000</f>
        <v>177.44537938235294</v>
      </c>
      <c r="X416" s="13" t="str">
        <f t="shared" si="78"/>
        <v>CUMPLE</v>
      </c>
      <c r="Y416" s="13">
        <f>MAX(MAX(1.4/[1]Parametros!$B$3,0.25*SQRT([1]Parametros!$B$2)/[1]Parametros!$B$3)*H416*AB416,(0.85*[1]Parametros!$B$2/[1]Parametros!$B$3)*(1-SQRT(1-2*(L416*1000000/([1]Parametros!$B$5*H416*AB416^2))/(0.85*[1]Parametros!$B$2)))*H416*AB416)</f>
        <v>815.58333333333326</v>
      </c>
      <c r="Z416" s="14">
        <v>5</v>
      </c>
      <c r="AA416" s="14">
        <v>1</v>
      </c>
      <c r="AB416" s="13">
        <f>IF(AA416=1,I416-([1]Parametros!$B$7+[1]Parametros!$B$9+[1]Parametros!$B$12/2),I416-(ROUNDUP(Z416/2,0)*([1]Parametros!$B$7+[1]Parametros!$B$9+[1]Parametros!$B$12/2)+ROUNDDOWN(Z416/2,0)*([1]Parametros!$B$7+[1]Parametros!$B$9+[1]Parametros!$B$12/2+[1]Parametros!$B$12+[1]Parametros!$B$10))/Z416)</f>
        <v>489.35</v>
      </c>
      <c r="AC416" s="13">
        <f>Z416*[1]Parametros!$B$8</f>
        <v>995</v>
      </c>
      <c r="AD416" s="13">
        <f>[1]Parametros!$B$5*AC416*[1]Parametros!$B$3*(AB416-(AC416*[1]Parametros!$B$3/(0.85*[1]Parametros!$B$2*H416))/2)/1000000</f>
        <v>177.44537938235294</v>
      </c>
      <c r="AE416" s="13" t="str">
        <f t="shared" si="79"/>
        <v>CUMPLE</v>
      </c>
      <c r="AF416" s="13">
        <f>V416*1.25*[1]Parametros!$B$3*(U416-(V416*1.25*[1]Parametros!$B$3/(0.85*[1]Parametros!$B$2*H416))/2)/1000000</f>
        <v>244.15884319852941</v>
      </c>
      <c r="AG416" s="13">
        <f>AC416*1.25*[1]Parametros!$B$3*(AB416-(AC416*1.25*[1]Parametros!$B$3/(0.85*[1]Parametros!$B$2*H416))/2)/1000000</f>
        <v>244.15884319852941</v>
      </c>
      <c r="AH416" s="13">
        <f t="shared" si="80"/>
        <v>382.8408431985294</v>
      </c>
      <c r="AI416" s="13">
        <f t="shared" si="81"/>
        <v>493.97899999999998</v>
      </c>
      <c r="AJ416" s="13">
        <f>0.17*SQRT([1]Parametros!$B$2)*H416*MIN(U416,AB416)/1000</f>
        <v>220.09872869180776</v>
      </c>
      <c r="AK416" s="13">
        <f>MAX(AI416/[1]Parametros!$B$6-AJ416,0)</f>
        <v>438.53993797485884</v>
      </c>
      <c r="AL416" s="13">
        <f>0.66*SQRT([1]Parametros!$B$2)*H416*MIN(U416,AB416)/1000</f>
        <v>854.500946685842</v>
      </c>
      <c r="AM416" s="13" t="str">
        <f t="shared" si="82"/>
        <v>CUMPLE</v>
      </c>
      <c r="AN416" s="13" t="s">
        <v>68</v>
      </c>
      <c r="AO416" s="14">
        <v>2</v>
      </c>
      <c r="AP416" s="13">
        <f>ROUNDDOWN(MIN(IF(BC416+BD416=0,1000000000,AO416*BB416/(BC416+BD416)),MIN(U416,AB416)/4,8*[1]Parametros!$B$12,24*BA416,300,IF(AV416=0,1000000000,2*((H416-2*([1]Parametros!$B$7+[1]Parametros!$B$9/2))+(I416-2*([1]Parametros!$B$7+[1]Parametros!$B$9/2)))/8))/10,0)*10</f>
        <v>80</v>
      </c>
      <c r="AQ416" s="13">
        <f>ROUNDDOWN(MIN(IF(BC416+BD416=0,1000000000,AO416*BB416/(BC416+BD416)),IF(AK416&gt;0.33*SQRT([1]Parametros!$B$2)*H416*MIN(U416,AB416)/1000,MIN(U416,AB416)/4,MIN(U416,AB416)/2),600,IF(AV416=0,1000000000,2*((H416-2*([1]Parametros!$B$7+[1]Parametros!$B$9/2))+(I416-2*([1]Parametros!$B$7+[1]Parametros!$B$9/2)))/8))/10,0)*10</f>
        <v>80</v>
      </c>
      <c r="AR416" s="13">
        <f>[1]Parametros!$B$6*(AJ416+MAX(BE416-BD416,0)*[1]Parametros!$B$4*MIN(U416,AB416)/1000)</f>
        <v>547.59084274585507</v>
      </c>
      <c r="AS416" s="13" t="str">
        <f t="shared" si="83"/>
        <v>CUMPLE</v>
      </c>
      <c r="AT416" s="13">
        <f>[1]Parametros!$B$6*0.083*SQRT([1]Parametros!$B$2)*(H416*I416)^2/(2*(H416+I416))/1000000</f>
        <v>11.862178757598967</v>
      </c>
      <c r="AU416" s="13" t="str">
        <f t="shared" si="84"/>
        <v>DISEÑAR</v>
      </c>
      <c r="AV416" s="13">
        <f>IF(Q416&lt;=AT416,0,Q416*1000000/([1]Parametros!$B$6*2*0.85*(H416-2*([1]Parametros!$B$7+[1]Parametros!$B$9/2))*(I416-2*([1]Parametros!$B$7+[1]Parametros!$B$9/2))*[1]Parametros!$B$4))</f>
        <v>0.3717326191465542</v>
      </c>
      <c r="AW416" s="13">
        <f>AV416*2*((H416-2*([1]Parametros!$B$7+[1]Parametros!$B$9/2))+(I416-2*([1]Parametros!$B$7+[1]Parametros!$B$9/2)))*[1]Parametros!$B$4/[1]Parametros!$B$3</f>
        <v>642.80004502822158</v>
      </c>
      <c r="AX416" s="14">
        <v>8</v>
      </c>
      <c r="AY416" s="13" t="str">
        <f t="shared" si="85"/>
        <v>CUMPLE</v>
      </c>
      <c r="AZ416" s="13" t="str">
        <f t="shared" si="86"/>
        <v>CUMPLE</v>
      </c>
      <c r="BA416" s="14">
        <v>12.7</v>
      </c>
      <c r="BB416" s="14">
        <v>129</v>
      </c>
      <c r="BC416" s="13">
        <f>MAX(IF(AK416=0,0,AK416*1000/([1]Parametros!$B$4*MIN(U416,AB416))),MAX(0.062*SQRT([1]Parametros!$B$2)*H416/[1]Parametros!$B$4,0.35*H416/[1]Parametros!$B$4))</f>
        <v>2.1337339521077952</v>
      </c>
      <c r="BD416" s="13">
        <f t="shared" si="87"/>
        <v>0.7434652382931084</v>
      </c>
      <c r="BE416" s="13">
        <f t="shared" si="88"/>
        <v>3.2250000000000001</v>
      </c>
      <c r="BF416" s="13">
        <f>SQRT((AI416*1000/(H416*MIN(U416,AB416)))^2+(Q416*1000000*2*((H416-2*([1]Parametros!$B$7+[1]Parametros!$B$9/2))+(I416-2*([1]Parametros!$B$7+[1]Parametros!$B$9/2)))/(1.7*((H416-2*([1]Parametros!$B$7+[1]Parametros!$B$9/2))*(I416-2*([1]Parametros!$B$7+[1]Parametros!$B$9/2)))^2))^2)</f>
        <v>2.2929953237292202</v>
      </c>
      <c r="BG416" s="13">
        <f>[1]Parametros!$B$6*(AJ416*1000/(H416*MIN(U416,AB416))+0.66*SQRT([1]Parametros!$B$2))</f>
        <v>3.2939603822754151</v>
      </c>
      <c r="BH416" s="13" t="str">
        <f t="shared" si="89"/>
        <v>CUMPLE</v>
      </c>
      <c r="BI416" s="13">
        <f>AX416*[1]Parametros!$B$8</f>
        <v>1592</v>
      </c>
      <c r="BJ416" s="15" t="str">
        <f t="shared" si="90"/>
        <v>CUMPLE</v>
      </c>
    </row>
    <row r="417" spans="1:62" x14ac:dyDescent="0.3">
      <c r="A417" s="33" t="s">
        <v>76</v>
      </c>
      <c r="B417" s="34">
        <v>772</v>
      </c>
      <c r="C417" s="13">
        <v>1</v>
      </c>
      <c r="D417" s="13">
        <v>1.9</v>
      </c>
      <c r="E417" s="13">
        <v>1.9</v>
      </c>
      <c r="F417" s="13">
        <v>500</v>
      </c>
      <c r="G417" s="13">
        <v>550</v>
      </c>
      <c r="H417" s="13">
        <v>500</v>
      </c>
      <c r="I417" s="13">
        <v>550</v>
      </c>
      <c r="J417" s="14">
        <v>134.61009999999999</v>
      </c>
      <c r="K417" s="13">
        <v>772</v>
      </c>
      <c r="L417" s="14">
        <v>100.1712</v>
      </c>
      <c r="M417" s="13">
        <v>772</v>
      </c>
      <c r="N417" s="14">
        <v>130.76400000000001</v>
      </c>
      <c r="O417" s="14">
        <v>454.214</v>
      </c>
      <c r="P417" s="13">
        <v>772</v>
      </c>
      <c r="Q417" s="14">
        <v>16.048100000000002</v>
      </c>
      <c r="R417" s="13">
        <f>MAX(MAX(1.4/[1]Parametros!$B$3,0.25*SQRT([1]Parametros!$B$2)/[1]Parametros!$B$3)*H417*U417,(0.85*[1]Parametros!$B$2/[1]Parametros!$B$3)*(1-SQRT(1-2*(J417*1000000/([1]Parametros!$B$5*H417*U417^2))/(0.85*[1]Parametros!$B$2)))*H417*U417)</f>
        <v>815.58333333333326</v>
      </c>
      <c r="S417" s="14">
        <v>5</v>
      </c>
      <c r="T417" s="14">
        <v>1</v>
      </c>
      <c r="U417" s="13">
        <f>IF(T417=1,I417-([1]Parametros!$B$7+[1]Parametros!$B$9+[1]Parametros!$B$12/2),I417-(ROUNDUP(S417/2,0)*([1]Parametros!$B$7+[1]Parametros!$B$9+[1]Parametros!$B$12/2)+ROUNDDOWN(S417/2,0)*([1]Parametros!$B$7+[1]Parametros!$B$9+[1]Parametros!$B$12/2+[1]Parametros!$B$12+[1]Parametros!$B$10))/S417)</f>
        <v>489.35</v>
      </c>
      <c r="V417" s="13">
        <f>S417*[1]Parametros!$B$8</f>
        <v>995</v>
      </c>
      <c r="W417" s="13">
        <f>[1]Parametros!$B$5*V417*[1]Parametros!$B$3*(U417-(V417*[1]Parametros!$B$3/(0.85*[1]Parametros!$B$2*H417))/2)/1000000</f>
        <v>177.44537938235294</v>
      </c>
      <c r="X417" s="13" t="str">
        <f t="shared" si="78"/>
        <v>CUMPLE</v>
      </c>
      <c r="Y417" s="13">
        <f>MAX(MAX(1.4/[1]Parametros!$B$3,0.25*SQRT([1]Parametros!$B$2)/[1]Parametros!$B$3)*H417*AB417,(0.85*[1]Parametros!$B$2/[1]Parametros!$B$3)*(1-SQRT(1-2*(L417*1000000/([1]Parametros!$B$5*H417*AB417^2))/(0.85*[1]Parametros!$B$2)))*H417*AB417)</f>
        <v>815.58333333333326</v>
      </c>
      <c r="Z417" s="14">
        <v>5</v>
      </c>
      <c r="AA417" s="14">
        <v>1</v>
      </c>
      <c r="AB417" s="13">
        <f>IF(AA417=1,I417-([1]Parametros!$B$7+[1]Parametros!$B$9+[1]Parametros!$B$12/2),I417-(ROUNDUP(Z417/2,0)*([1]Parametros!$B$7+[1]Parametros!$B$9+[1]Parametros!$B$12/2)+ROUNDDOWN(Z417/2,0)*([1]Parametros!$B$7+[1]Parametros!$B$9+[1]Parametros!$B$12/2+[1]Parametros!$B$12+[1]Parametros!$B$10))/Z417)</f>
        <v>489.35</v>
      </c>
      <c r="AC417" s="13">
        <f>Z417*[1]Parametros!$B$8</f>
        <v>995</v>
      </c>
      <c r="AD417" s="13">
        <f>[1]Parametros!$B$5*AC417*[1]Parametros!$B$3*(AB417-(AC417*[1]Parametros!$B$3/(0.85*[1]Parametros!$B$2*H417))/2)/1000000</f>
        <v>177.44537938235294</v>
      </c>
      <c r="AE417" s="13" t="str">
        <f t="shared" si="79"/>
        <v>CUMPLE</v>
      </c>
      <c r="AF417" s="13">
        <f>V417*1.25*[1]Parametros!$B$3*(U417-(V417*1.25*[1]Parametros!$B$3/(0.85*[1]Parametros!$B$2*H417))/2)/1000000</f>
        <v>244.15884319852941</v>
      </c>
      <c r="AG417" s="13">
        <f>AC417*1.25*[1]Parametros!$B$3*(AB417-(AC417*1.25*[1]Parametros!$B$3/(0.85*[1]Parametros!$B$2*H417))/2)/1000000</f>
        <v>244.15884319852941</v>
      </c>
      <c r="AH417" s="13">
        <f t="shared" si="80"/>
        <v>387.77330863003095</v>
      </c>
      <c r="AI417" s="13">
        <f t="shared" si="81"/>
        <v>454.214</v>
      </c>
      <c r="AJ417" s="13">
        <f>0.17*SQRT([1]Parametros!$B$2)*H417*MIN(U417,AB417)/1000</f>
        <v>220.09872869180776</v>
      </c>
      <c r="AK417" s="13">
        <f>MAX(AI417/[1]Parametros!$B$6-AJ417,0)</f>
        <v>385.51993797485886</v>
      </c>
      <c r="AL417" s="13">
        <f>0.66*SQRT([1]Parametros!$B$2)*H417*MIN(U417,AB417)/1000</f>
        <v>854.500946685842</v>
      </c>
      <c r="AM417" s="13" t="str">
        <f t="shared" si="82"/>
        <v>CUMPLE</v>
      </c>
      <c r="AN417" s="13" t="s">
        <v>68</v>
      </c>
      <c r="AO417" s="14">
        <v>2</v>
      </c>
      <c r="AP417" s="13">
        <f>ROUNDDOWN(MIN(IF(BC417+BD417=0,1000000000,AO417*BB417/(BC417+BD417)),MIN(U417,AB417)/4,8*[1]Parametros!$B$12,24*BA417,300,IF(AV417=0,1000000000,2*((H417-2*([1]Parametros!$B$7+[1]Parametros!$B$9/2))+(I417-2*([1]Parametros!$B$7+[1]Parametros!$B$9/2)))/8))/10,0)*10</f>
        <v>110</v>
      </c>
      <c r="AQ417" s="13">
        <f>ROUNDDOWN(MIN(IF(BC417+BD417=0,1000000000,AO417*BB417/(BC417+BD417)),IF(AK417&gt;0.33*SQRT([1]Parametros!$B$2)*H417*MIN(U417,AB417)/1000,MIN(U417,AB417)/4,MIN(U417,AB417)/2),600,IF(AV417=0,1000000000,2*((H417-2*([1]Parametros!$B$7+[1]Parametros!$B$9/2))+(I417-2*([1]Parametros!$B$7+[1]Parametros!$B$9/2)))/8))/10,0)*10</f>
        <v>110</v>
      </c>
      <c r="AR417" s="13">
        <f>[1]Parametros!$B$6*(AJ417+MAX(BE417-BD417,0)*[1]Parametros!$B$4*MIN(U417,AB417)/1000)</f>
        <v>477.01163997400784</v>
      </c>
      <c r="AS417" s="13" t="str">
        <f t="shared" si="83"/>
        <v>CUMPLE</v>
      </c>
      <c r="AT417" s="13">
        <f>[1]Parametros!$B$6*0.083*SQRT([1]Parametros!$B$2)*(H417*I417)^2/(2*(H417+I417))/1000000</f>
        <v>11.862178757598967</v>
      </c>
      <c r="AU417" s="13" t="str">
        <f t="shared" si="84"/>
        <v>DISEÑAR</v>
      </c>
      <c r="AV417" s="13">
        <f>IF(Q417&lt;=AT417,0,Q417*1000000/([1]Parametros!$B$6*2*0.85*(H417-2*([1]Parametros!$B$7+[1]Parametros!$B$9/2))*(I417-2*([1]Parametros!$B$7+[1]Parametros!$B$9/2))*[1]Parametros!$B$4))</f>
        <v>0.16089721810297508</v>
      </c>
      <c r="AW417" s="13">
        <f>AV417*2*((H417-2*([1]Parametros!$B$7+[1]Parametros!$B$9/2))+(I417-2*([1]Parametros!$B$7+[1]Parametros!$B$9/2)))*[1]Parametros!$B$4/[1]Parametros!$B$3</f>
        <v>278.22346954366452</v>
      </c>
      <c r="AX417" s="14">
        <v>8</v>
      </c>
      <c r="AY417" s="13" t="str">
        <f t="shared" si="85"/>
        <v>CUMPLE</v>
      </c>
      <c r="AZ417" s="13" t="str">
        <f t="shared" si="86"/>
        <v>CUMPLE</v>
      </c>
      <c r="BA417" s="14">
        <v>12.7</v>
      </c>
      <c r="BB417" s="14">
        <v>129</v>
      </c>
      <c r="BC417" s="13">
        <f>MAX(IF(AK417=0,0,AK417*1000/([1]Parametros!$B$4*MIN(U417,AB417))),MAX(0.062*SQRT([1]Parametros!$B$2)*H417/[1]Parametros!$B$4,0.35*H417/[1]Parametros!$B$4))</f>
        <v>1.875762979924092</v>
      </c>
      <c r="BD417" s="13">
        <f t="shared" si="87"/>
        <v>0.32179443620595016</v>
      </c>
      <c r="BE417" s="13">
        <f t="shared" si="88"/>
        <v>2.3454545454545452</v>
      </c>
      <c r="BF417" s="13">
        <f>SQRT((AI417*1000/(H417*MIN(U417,AB417)))^2+(Q417*1000000*2*((H417-2*([1]Parametros!$B$7+[1]Parametros!$B$9/2))+(I417-2*([1]Parametros!$B$7+[1]Parametros!$B$9/2)))/(1.7*((H417-2*([1]Parametros!$B$7+[1]Parametros!$B$9/2))*(I417-2*([1]Parametros!$B$7+[1]Parametros!$B$9/2)))^2))^2)</f>
        <v>1.9151006989932213</v>
      </c>
      <c r="BG417" s="13">
        <f>[1]Parametros!$B$6*(AJ417*1000/(H417*MIN(U417,AB417))+0.66*SQRT([1]Parametros!$B$2))</f>
        <v>3.2939603822754151</v>
      </c>
      <c r="BH417" s="13" t="str">
        <f t="shared" si="89"/>
        <v>CUMPLE</v>
      </c>
      <c r="BI417" s="13">
        <f>AX417*[1]Parametros!$B$8</f>
        <v>1592</v>
      </c>
      <c r="BJ417" s="15" t="str">
        <f t="shared" si="90"/>
        <v>CUMPLE</v>
      </c>
    </row>
    <row r="418" spans="1:62" x14ac:dyDescent="0.3">
      <c r="A418" s="33" t="s">
        <v>76</v>
      </c>
      <c r="B418" s="34">
        <v>773</v>
      </c>
      <c r="C418" s="13">
        <v>1</v>
      </c>
      <c r="D418" s="13">
        <v>3.57612</v>
      </c>
      <c r="E418" s="13">
        <v>3.57612</v>
      </c>
      <c r="F418" s="13">
        <v>500</v>
      </c>
      <c r="G418" s="13">
        <v>550</v>
      </c>
      <c r="H418" s="13">
        <v>500</v>
      </c>
      <c r="I418" s="13">
        <v>550</v>
      </c>
      <c r="J418" s="14">
        <v>153.05950000000001</v>
      </c>
      <c r="K418" s="13">
        <v>773</v>
      </c>
      <c r="L418" s="14">
        <v>88.236400000000003</v>
      </c>
      <c r="M418" s="13">
        <v>773</v>
      </c>
      <c r="N418" s="14">
        <v>118.381</v>
      </c>
      <c r="O418" s="14">
        <v>325.81799999999998</v>
      </c>
      <c r="P418" s="13">
        <v>773</v>
      </c>
      <c r="Q418" s="14">
        <v>5.6254999999999997</v>
      </c>
      <c r="R418" s="13">
        <f>MAX(MAX(1.4/[1]Parametros!$B$3,0.25*SQRT([1]Parametros!$B$2)/[1]Parametros!$B$3)*H418*U418,(0.85*[1]Parametros!$B$2/[1]Parametros!$B$3)*(1-SQRT(1-2*(J418*1000000/([1]Parametros!$B$5*H418*U418^2))/(0.85*[1]Parametros!$B$2)))*H418*U418)</f>
        <v>853.74890646863196</v>
      </c>
      <c r="S418" s="14">
        <v>5</v>
      </c>
      <c r="T418" s="14">
        <v>1</v>
      </c>
      <c r="U418" s="13">
        <f>IF(T418=1,I418-([1]Parametros!$B$7+[1]Parametros!$B$9+[1]Parametros!$B$12/2),I418-(ROUNDUP(S418/2,0)*([1]Parametros!$B$7+[1]Parametros!$B$9+[1]Parametros!$B$12/2)+ROUNDDOWN(S418/2,0)*([1]Parametros!$B$7+[1]Parametros!$B$9+[1]Parametros!$B$12/2+[1]Parametros!$B$12+[1]Parametros!$B$10))/S418)</f>
        <v>489.35</v>
      </c>
      <c r="V418" s="13">
        <f>S418*[1]Parametros!$B$8</f>
        <v>995</v>
      </c>
      <c r="W418" s="13">
        <f>[1]Parametros!$B$5*V418*[1]Parametros!$B$3*(U418-(V418*[1]Parametros!$B$3/(0.85*[1]Parametros!$B$2*H418))/2)/1000000</f>
        <v>177.44537938235294</v>
      </c>
      <c r="X418" s="13" t="str">
        <f t="shared" si="78"/>
        <v>CUMPLE</v>
      </c>
      <c r="Y418" s="13">
        <f>MAX(MAX(1.4/[1]Parametros!$B$3,0.25*SQRT([1]Parametros!$B$2)/[1]Parametros!$B$3)*H418*AB418,(0.85*[1]Parametros!$B$2/[1]Parametros!$B$3)*(1-SQRT(1-2*(L418*1000000/([1]Parametros!$B$5*H418*AB418^2))/(0.85*[1]Parametros!$B$2)))*H418*AB418)</f>
        <v>815.58333333333326</v>
      </c>
      <c r="Z418" s="14">
        <v>5</v>
      </c>
      <c r="AA418" s="14">
        <v>1</v>
      </c>
      <c r="AB418" s="13">
        <f>IF(AA418=1,I418-([1]Parametros!$B$7+[1]Parametros!$B$9+[1]Parametros!$B$12/2),I418-(ROUNDUP(Z418/2,0)*([1]Parametros!$B$7+[1]Parametros!$B$9+[1]Parametros!$B$12/2)+ROUNDDOWN(Z418/2,0)*([1]Parametros!$B$7+[1]Parametros!$B$9+[1]Parametros!$B$12/2+[1]Parametros!$B$12+[1]Parametros!$B$10))/Z418)</f>
        <v>489.35</v>
      </c>
      <c r="AC418" s="13">
        <f>Z418*[1]Parametros!$B$8</f>
        <v>995</v>
      </c>
      <c r="AD418" s="13">
        <f>[1]Parametros!$B$5*AC418*[1]Parametros!$B$3*(AB418-(AC418*[1]Parametros!$B$3/(0.85*[1]Parametros!$B$2*H418))/2)/1000000</f>
        <v>177.44537938235294</v>
      </c>
      <c r="AE418" s="13" t="str">
        <f t="shared" si="79"/>
        <v>CUMPLE</v>
      </c>
      <c r="AF418" s="13">
        <f>V418*1.25*[1]Parametros!$B$3*(U418-(V418*1.25*[1]Parametros!$B$3/(0.85*[1]Parametros!$B$2*H418))/2)/1000000</f>
        <v>244.15884319852941</v>
      </c>
      <c r="AG418" s="13">
        <f>AC418*1.25*[1]Parametros!$B$3*(AB418-(AC418*1.25*[1]Parametros!$B$3/(0.85*[1]Parametros!$B$2*H418))/2)/1000000</f>
        <v>244.15884319852941</v>
      </c>
      <c r="AH418" s="13">
        <f t="shared" si="80"/>
        <v>254.93058066201885</v>
      </c>
      <c r="AI418" s="13">
        <f t="shared" si="81"/>
        <v>325.81799999999998</v>
      </c>
      <c r="AJ418" s="13">
        <f>0.17*SQRT([1]Parametros!$B$2)*H418*MIN(U418,AB418)/1000</f>
        <v>220.09872869180776</v>
      </c>
      <c r="AK418" s="13">
        <f>MAX(AI418/[1]Parametros!$B$6-AJ418,0)</f>
        <v>214.32527130819221</v>
      </c>
      <c r="AL418" s="13">
        <f>0.66*SQRT([1]Parametros!$B$2)*H418*MIN(U418,AB418)/1000</f>
        <v>854.500946685842</v>
      </c>
      <c r="AM418" s="13" t="str">
        <f t="shared" si="82"/>
        <v>CUMPLE</v>
      </c>
      <c r="AN418" s="13" t="s">
        <v>64</v>
      </c>
      <c r="AO418" s="14">
        <v>2</v>
      </c>
      <c r="AP418" s="13">
        <f>ROUNDDOWN(MIN(IF(BC418+BD418=0,1000000000,AO418*BB418/(BC418+BD418)),MIN(U418,AB418)/4,8*[1]Parametros!$B$12,24*BA418,300,IF(AV418=0,1000000000,2*((H418-2*([1]Parametros!$B$7+[1]Parametros!$B$9/2))+(I418-2*([1]Parametros!$B$7+[1]Parametros!$B$9/2)))/8))/10,0)*10</f>
        <v>120</v>
      </c>
      <c r="AQ418" s="13">
        <f>ROUNDDOWN(MIN(IF(BC418+BD418=0,1000000000,AO418*BB418/(BC418+BD418)),IF(AK418&gt;0.33*SQRT([1]Parametros!$B$2)*H418*MIN(U418,AB418)/1000,MIN(U418,AB418)/4,MIN(U418,AB418)/2),600,IF(AV418=0,1000000000,2*((H418-2*([1]Parametros!$B$7+[1]Parametros!$B$9/2))+(I418-2*([1]Parametros!$B$7+[1]Parametros!$B$9/2)))/8))/10,0)*10</f>
        <v>130</v>
      </c>
      <c r="AR418" s="13">
        <f>[1]Parametros!$B$6*(AJ418+MAX(BE418-BD418,0)*[1]Parametros!$B$4*MIN(U418,AB418)/1000)</f>
        <v>347.47925901885583</v>
      </c>
      <c r="AS418" s="13" t="str">
        <f t="shared" si="83"/>
        <v>CUMPLE</v>
      </c>
      <c r="AT418" s="13">
        <f>[1]Parametros!$B$6*0.083*SQRT([1]Parametros!$B$2)*(H418*I418)^2/(2*(H418+I418))/1000000</f>
        <v>11.862178757598967</v>
      </c>
      <c r="AU418" s="13" t="str">
        <f t="shared" si="84"/>
        <v>DESPRECIABLE</v>
      </c>
      <c r="AV418" s="13">
        <f>IF(Q418&lt;=AT418,0,Q418*1000000/([1]Parametros!$B$6*2*0.85*(H418-2*([1]Parametros!$B$7+[1]Parametros!$B$9/2))*(I418-2*([1]Parametros!$B$7+[1]Parametros!$B$9/2))*[1]Parametros!$B$4))</f>
        <v>0</v>
      </c>
      <c r="AW418" s="13">
        <f>AV418*2*((H418-2*([1]Parametros!$B$7+[1]Parametros!$B$9/2))+(I418-2*([1]Parametros!$B$7+[1]Parametros!$B$9/2)))*[1]Parametros!$B$4/[1]Parametros!$B$3</f>
        <v>0</v>
      </c>
      <c r="AX418" s="14">
        <v>0</v>
      </c>
      <c r="AY418" s="13" t="str">
        <f t="shared" si="85"/>
        <v>DESPRECIABLE</v>
      </c>
      <c r="AZ418" s="13" t="str">
        <f t="shared" si="86"/>
        <v>CUMPLE</v>
      </c>
      <c r="BA418" s="14">
        <v>9.5</v>
      </c>
      <c r="BB418" s="14">
        <v>71</v>
      </c>
      <c r="BC418" s="13">
        <f>MAX(IF(AK418=0,0,AK418*1000/([1]Parametros!$B$4*MIN(U418,AB418))),MAX(0.062*SQRT([1]Parametros!$B$2)*H418/[1]Parametros!$B$4,0.35*H418/[1]Parametros!$B$4))</f>
        <v>1.0428083478481767</v>
      </c>
      <c r="BD418" s="13">
        <f t="shared" si="87"/>
        <v>0</v>
      </c>
      <c r="BE418" s="13">
        <f t="shared" si="88"/>
        <v>1.1833333333333333</v>
      </c>
      <c r="BF418" s="13">
        <f>SQRT((AI418*1000/(H418*MIN(U418,AB418)))^2+(Q418*1000000*2*((H418-2*([1]Parametros!$B$7+[1]Parametros!$B$9/2))+(I418-2*([1]Parametros!$B$7+[1]Parametros!$B$9/2)))/(1.7*((H418-2*([1]Parametros!$B$7+[1]Parametros!$B$9/2))*(I418-2*([1]Parametros!$B$7+[1]Parametros!$B$9/2)))^2))^2)</f>
        <v>1.3418119283021788</v>
      </c>
      <c r="BG418" s="13">
        <f>[1]Parametros!$B$6*(AJ418*1000/(H418*MIN(U418,AB418))+0.66*SQRT([1]Parametros!$B$2))</f>
        <v>3.2939603822754151</v>
      </c>
      <c r="BH418" s="13" t="str">
        <f t="shared" si="89"/>
        <v>CUMPLE</v>
      </c>
      <c r="BI418" s="13">
        <f>AX418*[1]Parametros!$B$8</f>
        <v>0</v>
      </c>
      <c r="BJ418" s="15" t="str">
        <f t="shared" si="90"/>
        <v>CUMPLE</v>
      </c>
    </row>
    <row r="419" spans="1:62" x14ac:dyDescent="0.3">
      <c r="A419" s="33" t="s">
        <v>76</v>
      </c>
      <c r="B419" s="34">
        <v>774</v>
      </c>
      <c r="C419" s="13">
        <v>1</v>
      </c>
      <c r="D419" s="13">
        <v>2.1</v>
      </c>
      <c r="E419" s="13">
        <v>2.1</v>
      </c>
      <c r="F419" s="13">
        <v>500</v>
      </c>
      <c r="G419" s="13">
        <v>550</v>
      </c>
      <c r="H419" s="13">
        <v>500</v>
      </c>
      <c r="I419" s="13">
        <v>550</v>
      </c>
      <c r="J419" s="14">
        <v>182.75810000000001</v>
      </c>
      <c r="K419" s="13">
        <v>774</v>
      </c>
      <c r="L419" s="14">
        <v>141.62639999999999</v>
      </c>
      <c r="M419" s="13">
        <v>774</v>
      </c>
      <c r="N419" s="14">
        <v>161.71899999999999</v>
      </c>
      <c r="O419" s="14">
        <v>493.63400000000001</v>
      </c>
      <c r="P419" s="13">
        <v>774</v>
      </c>
      <c r="Q419" s="14">
        <v>56.597000000000001</v>
      </c>
      <c r="R419" s="13">
        <f>MAX(MAX(1.4/[1]Parametros!$B$3,0.25*SQRT([1]Parametros!$B$2)/[1]Parametros!$B$3)*H419*U419,(0.85*[1]Parametros!$B$2/[1]Parametros!$B$3)*(1-SQRT(1-2*(J419*1000000/([1]Parametros!$B$5*H419*U419^2))/(0.85*[1]Parametros!$B$2)))*H419*U419)</f>
        <v>1025.9791947346921</v>
      </c>
      <c r="S419" s="14">
        <v>6</v>
      </c>
      <c r="T419" s="14">
        <v>1</v>
      </c>
      <c r="U419" s="13">
        <f>IF(T419=1,I419-([1]Parametros!$B$7+[1]Parametros!$B$9+[1]Parametros!$B$12/2),I419-(ROUNDUP(S419/2,0)*([1]Parametros!$B$7+[1]Parametros!$B$9+[1]Parametros!$B$12/2)+ROUNDDOWN(S419/2,0)*([1]Parametros!$B$7+[1]Parametros!$B$9+[1]Parametros!$B$12/2+[1]Parametros!$B$12+[1]Parametros!$B$10))/S419)</f>
        <v>489.35</v>
      </c>
      <c r="V419" s="13">
        <f>S419*[1]Parametros!$B$8</f>
        <v>1194</v>
      </c>
      <c r="W419" s="13">
        <f>[1]Parametros!$B$5*V419*[1]Parametros!$B$3*(U419-(V419*[1]Parametros!$B$3/(0.85*[1]Parametros!$B$2*H419))/2)/1000000</f>
        <v>211.34948347058827</v>
      </c>
      <c r="X419" s="13" t="str">
        <f t="shared" si="78"/>
        <v>CUMPLE</v>
      </c>
      <c r="Y419" s="13">
        <f>MAX(MAX(1.4/[1]Parametros!$B$3,0.25*SQRT([1]Parametros!$B$2)/[1]Parametros!$B$3)*H419*AB419,(0.85*[1]Parametros!$B$2/[1]Parametros!$B$3)*(1-SQRT(1-2*(L419*1000000/([1]Parametros!$B$5*H419*AB419^2))/(0.85*[1]Parametros!$B$2)))*H419*AB419)</f>
        <v>815.58333333333326</v>
      </c>
      <c r="Z419" s="14">
        <v>5</v>
      </c>
      <c r="AA419" s="14">
        <v>1</v>
      </c>
      <c r="AB419" s="13">
        <f>IF(AA419=1,I419-([1]Parametros!$B$7+[1]Parametros!$B$9+[1]Parametros!$B$12/2),I419-(ROUNDUP(Z419/2,0)*([1]Parametros!$B$7+[1]Parametros!$B$9+[1]Parametros!$B$12/2)+ROUNDDOWN(Z419/2,0)*([1]Parametros!$B$7+[1]Parametros!$B$9+[1]Parametros!$B$12/2+[1]Parametros!$B$12+[1]Parametros!$B$10))/Z419)</f>
        <v>489.35</v>
      </c>
      <c r="AC419" s="13">
        <f>Z419*[1]Parametros!$B$8</f>
        <v>995</v>
      </c>
      <c r="AD419" s="13">
        <f>[1]Parametros!$B$5*AC419*[1]Parametros!$B$3*(AB419-(AC419*[1]Parametros!$B$3/(0.85*[1]Parametros!$B$2*H419))/2)/1000000</f>
        <v>177.44537938235294</v>
      </c>
      <c r="AE419" s="13" t="str">
        <f t="shared" si="79"/>
        <v>CUMPLE</v>
      </c>
      <c r="AF419" s="13">
        <f>V419*1.25*[1]Parametros!$B$3*(U419-(V419*1.25*[1]Parametros!$B$3/(0.85*[1]Parametros!$B$2*H419))/2)/1000000</f>
        <v>290.23892470588237</v>
      </c>
      <c r="AG419" s="13">
        <f>AC419*1.25*[1]Parametros!$B$3*(AB419-(AC419*1.25*[1]Parametros!$B$3/(0.85*[1]Parametros!$B$2*H419))/2)/1000000</f>
        <v>244.15884319852941</v>
      </c>
      <c r="AH419" s="13">
        <f t="shared" si="80"/>
        <v>416.19412757352939</v>
      </c>
      <c r="AI419" s="13">
        <f t="shared" si="81"/>
        <v>493.63400000000001</v>
      </c>
      <c r="AJ419" s="13">
        <f>0.17*SQRT([1]Parametros!$B$2)*H419*MIN(U419,AB419)/1000</f>
        <v>220.09872869180776</v>
      </c>
      <c r="AK419" s="13">
        <f>MAX(AI419/[1]Parametros!$B$6-AJ419,0)</f>
        <v>438.07993797485892</v>
      </c>
      <c r="AL419" s="13">
        <f>0.66*SQRT([1]Parametros!$B$2)*H419*MIN(U419,AB419)/1000</f>
        <v>854.500946685842</v>
      </c>
      <c r="AM419" s="13" t="str">
        <f t="shared" si="82"/>
        <v>CUMPLE</v>
      </c>
      <c r="AN419" s="13" t="s">
        <v>64</v>
      </c>
      <c r="AO419" s="14">
        <v>4</v>
      </c>
      <c r="AP419" s="13">
        <f>ROUNDDOWN(MIN(IF(BC419+BD419=0,1000000000,AO419*BB419/(BC419+BD419)),MIN(U419,AB419)/4,8*[1]Parametros!$B$12,24*BA419,300,IF(AV419=0,1000000000,2*((H419-2*([1]Parametros!$B$7+[1]Parametros!$B$9/2))+(I419-2*([1]Parametros!$B$7+[1]Parametros!$B$9/2)))/8))/10,0)*10</f>
        <v>80</v>
      </c>
      <c r="AQ419" s="13">
        <f>ROUNDDOWN(MIN(IF(BC419+BD419=0,1000000000,AO419*BB419/(BC419+BD419)),IF(AK419&gt;0.33*SQRT([1]Parametros!$B$2)*H419*MIN(U419,AB419)/1000,MIN(U419,AB419)/4,MIN(U419,AB419)/2),600,IF(AV419=0,1000000000,2*((H419-2*([1]Parametros!$B$7+[1]Parametros!$B$9/2))+(I419-2*([1]Parametros!$B$7+[1]Parametros!$B$9/2)))/8))/10,0)*10</f>
        <v>80</v>
      </c>
      <c r="AR419" s="13">
        <f>[1]Parametros!$B$6*(AJ419+MAX(BE419-BD419,0)*[1]Parametros!$B$4*MIN(U419,AB419)/1000)</f>
        <v>537.35397606443712</v>
      </c>
      <c r="AS419" s="13" t="str">
        <f t="shared" si="83"/>
        <v>CUMPLE</v>
      </c>
      <c r="AT419" s="13">
        <f>[1]Parametros!$B$6*0.083*SQRT([1]Parametros!$B$2)*(H419*I419)^2/(2*(H419+I419))/1000000</f>
        <v>11.862178757598967</v>
      </c>
      <c r="AU419" s="13" t="str">
        <f t="shared" si="84"/>
        <v>DISEÑAR</v>
      </c>
      <c r="AV419" s="13">
        <f>IF(Q419&lt;=AT419,0,Q419*1000000/([1]Parametros!$B$6*2*0.85*(H419-2*([1]Parametros!$B$7+[1]Parametros!$B$9/2))*(I419-2*([1]Parametros!$B$7+[1]Parametros!$B$9/2))*[1]Parametros!$B$4))</f>
        <v>0.56743788068207945</v>
      </c>
      <c r="AW419" s="13">
        <f>AV419*2*((H419-2*([1]Parametros!$B$7+[1]Parametros!$B$9/2))+(I419-2*([1]Parametros!$B$7+[1]Parametros!$B$9/2)))*[1]Parametros!$B$4/[1]Parametros!$B$3</f>
        <v>981.21358327545181</v>
      </c>
      <c r="AX419" s="14">
        <v>8</v>
      </c>
      <c r="AY419" s="13" t="str">
        <f t="shared" si="85"/>
        <v>CUMPLE</v>
      </c>
      <c r="AZ419" s="13" t="str">
        <f t="shared" si="86"/>
        <v>CUMPLE</v>
      </c>
      <c r="BA419" s="14">
        <v>9.5</v>
      </c>
      <c r="BB419" s="14">
        <v>71</v>
      </c>
      <c r="BC419" s="13">
        <f>MAX(IF(AK419=0,0,AK419*1000/([1]Parametros!$B$4*MIN(U419,AB419))),MAX(0.062*SQRT([1]Parametros!$B$2)*H419/[1]Parametros!$B$4,0.35*H419/[1]Parametros!$B$4))</f>
        <v>2.1314958033487517</v>
      </c>
      <c r="BD419" s="13">
        <f t="shared" si="87"/>
        <v>1.1348757613641589</v>
      </c>
      <c r="BE419" s="13">
        <f t="shared" si="88"/>
        <v>3.55</v>
      </c>
      <c r="BF419" s="13">
        <f>SQRT((AI419*1000/(H419*MIN(U419,AB419)))^2+(Q419*1000000*2*((H419-2*([1]Parametros!$B$7+[1]Parametros!$B$9/2))+(I419-2*([1]Parametros!$B$7+[1]Parametros!$B$9/2)))/(1.7*((H419-2*([1]Parametros!$B$7+[1]Parametros!$B$9/2))*(I419-2*([1]Parametros!$B$7+[1]Parametros!$B$9/2)))^2))^2)</f>
        <v>2.6122872408819284</v>
      </c>
      <c r="BG419" s="13">
        <f>[1]Parametros!$B$6*(AJ419*1000/(H419*MIN(U419,AB419))+0.66*SQRT([1]Parametros!$B$2))</f>
        <v>3.2939603822754151</v>
      </c>
      <c r="BH419" s="13" t="str">
        <f t="shared" si="89"/>
        <v>CUMPLE</v>
      </c>
      <c r="BI419" s="13">
        <f>AX419*[1]Parametros!$B$8</f>
        <v>1592</v>
      </c>
      <c r="BJ419" s="15" t="str">
        <f t="shared" si="90"/>
        <v>CUMPLE</v>
      </c>
    </row>
    <row r="420" spans="1:62" x14ac:dyDescent="0.3">
      <c r="A420" s="33" t="s">
        <v>76</v>
      </c>
      <c r="B420" s="34">
        <v>775</v>
      </c>
      <c r="C420" s="13">
        <v>1</v>
      </c>
      <c r="D420" s="13">
        <v>2.2000000000000002</v>
      </c>
      <c r="E420" s="13">
        <v>2.2000000000000002</v>
      </c>
      <c r="F420" s="13">
        <v>500</v>
      </c>
      <c r="G420" s="13">
        <v>550</v>
      </c>
      <c r="H420" s="13">
        <v>500</v>
      </c>
      <c r="I420" s="13">
        <v>550</v>
      </c>
      <c r="J420" s="14">
        <v>183.6267</v>
      </c>
      <c r="K420" s="13">
        <v>775</v>
      </c>
      <c r="L420" s="14">
        <v>140.1191</v>
      </c>
      <c r="M420" s="13">
        <v>775</v>
      </c>
      <c r="N420" s="14">
        <v>158.74</v>
      </c>
      <c r="O420" s="14">
        <v>480.69299999999998</v>
      </c>
      <c r="P420" s="13">
        <v>775</v>
      </c>
      <c r="Q420" s="14">
        <v>54.720999999999997</v>
      </c>
      <c r="R420" s="13">
        <f>MAX(MAX(1.4/[1]Parametros!$B$3,0.25*SQRT([1]Parametros!$B$2)/[1]Parametros!$B$3)*H420*U420,(0.85*[1]Parametros!$B$2/[1]Parametros!$B$3)*(1-SQRT(1-2*(J420*1000000/([1]Parametros!$B$5*H420*U420^2))/(0.85*[1]Parametros!$B$2)))*H420*U420)</f>
        <v>1031.0512316428537</v>
      </c>
      <c r="S420" s="14">
        <v>6</v>
      </c>
      <c r="T420" s="14">
        <v>1</v>
      </c>
      <c r="U420" s="13">
        <f>IF(T420=1,I420-([1]Parametros!$B$7+[1]Parametros!$B$9+[1]Parametros!$B$12/2),I420-(ROUNDUP(S420/2,0)*([1]Parametros!$B$7+[1]Parametros!$B$9+[1]Parametros!$B$12/2)+ROUNDDOWN(S420/2,0)*([1]Parametros!$B$7+[1]Parametros!$B$9+[1]Parametros!$B$12/2+[1]Parametros!$B$12+[1]Parametros!$B$10))/S420)</f>
        <v>489.35</v>
      </c>
      <c r="V420" s="13">
        <f>S420*[1]Parametros!$B$8</f>
        <v>1194</v>
      </c>
      <c r="W420" s="13">
        <f>[1]Parametros!$B$5*V420*[1]Parametros!$B$3*(U420-(V420*[1]Parametros!$B$3/(0.85*[1]Parametros!$B$2*H420))/2)/1000000</f>
        <v>211.34948347058827</v>
      </c>
      <c r="X420" s="13" t="str">
        <f t="shared" si="78"/>
        <v>CUMPLE</v>
      </c>
      <c r="Y420" s="13">
        <f>MAX(MAX(1.4/[1]Parametros!$B$3,0.25*SQRT([1]Parametros!$B$2)/[1]Parametros!$B$3)*H420*AB420,(0.85*[1]Parametros!$B$2/[1]Parametros!$B$3)*(1-SQRT(1-2*(L420*1000000/([1]Parametros!$B$5*H420*AB420^2))/(0.85*[1]Parametros!$B$2)))*H420*AB420)</f>
        <v>815.58333333333326</v>
      </c>
      <c r="Z420" s="14">
        <v>5</v>
      </c>
      <c r="AA420" s="14">
        <v>1</v>
      </c>
      <c r="AB420" s="13">
        <f>IF(AA420=1,I420-([1]Parametros!$B$7+[1]Parametros!$B$9+[1]Parametros!$B$12/2),I420-(ROUNDUP(Z420/2,0)*([1]Parametros!$B$7+[1]Parametros!$B$9+[1]Parametros!$B$12/2)+ROUNDDOWN(Z420/2,0)*([1]Parametros!$B$7+[1]Parametros!$B$9+[1]Parametros!$B$12/2+[1]Parametros!$B$12+[1]Parametros!$B$10))/Z420)</f>
        <v>489.35</v>
      </c>
      <c r="AC420" s="13">
        <f>Z420*[1]Parametros!$B$8</f>
        <v>995</v>
      </c>
      <c r="AD420" s="13">
        <f>[1]Parametros!$B$5*AC420*[1]Parametros!$B$3*(AB420-(AC420*[1]Parametros!$B$3/(0.85*[1]Parametros!$B$2*H420))/2)/1000000</f>
        <v>177.44537938235294</v>
      </c>
      <c r="AE420" s="13" t="str">
        <f t="shared" si="79"/>
        <v>CUMPLE</v>
      </c>
      <c r="AF420" s="13">
        <f>V420*1.25*[1]Parametros!$B$3*(U420-(V420*1.25*[1]Parametros!$B$3/(0.85*[1]Parametros!$B$2*H420))/2)/1000000</f>
        <v>290.23892470588237</v>
      </c>
      <c r="AG420" s="13">
        <f>AC420*1.25*[1]Parametros!$B$3*(AB420-(AC420*1.25*[1]Parametros!$B$3/(0.85*[1]Parametros!$B$2*H420))/2)/1000000</f>
        <v>244.15884319852941</v>
      </c>
      <c r="AH420" s="13">
        <f t="shared" si="80"/>
        <v>401.64807632018722</v>
      </c>
      <c r="AI420" s="13">
        <f t="shared" si="81"/>
        <v>480.69299999999998</v>
      </c>
      <c r="AJ420" s="13">
        <f>0.17*SQRT([1]Parametros!$B$2)*H420*MIN(U420,AB420)/1000</f>
        <v>220.09872869180776</v>
      </c>
      <c r="AK420" s="13">
        <f>MAX(AI420/[1]Parametros!$B$6-AJ420,0)</f>
        <v>420.82527130819221</v>
      </c>
      <c r="AL420" s="13">
        <f>0.66*SQRT([1]Parametros!$B$2)*H420*MIN(U420,AB420)/1000</f>
        <v>854.500946685842</v>
      </c>
      <c r="AM420" s="13" t="str">
        <f t="shared" si="82"/>
        <v>CUMPLE</v>
      </c>
      <c r="AN420" s="13" t="s">
        <v>68</v>
      </c>
      <c r="AO420" s="14">
        <v>2</v>
      </c>
      <c r="AP420" s="13">
        <f>ROUNDDOWN(MIN(IF(BC420+BD420=0,1000000000,AO420*BB420/(BC420+BD420)),MIN(U420,AB420)/4,8*[1]Parametros!$B$12,24*BA420,300,IF(AV420=0,1000000000,2*((H420-2*([1]Parametros!$B$7+[1]Parametros!$B$9/2))+(I420-2*([1]Parametros!$B$7+[1]Parametros!$B$9/2)))/8))/10,0)*10</f>
        <v>80</v>
      </c>
      <c r="AQ420" s="13">
        <f>ROUNDDOWN(MIN(IF(BC420+BD420=0,1000000000,AO420*BB420/(BC420+BD420)),IF(AK420&gt;0.33*SQRT([1]Parametros!$B$2)*H420*MIN(U420,AB420)/1000,MIN(U420,AB420)/4,MIN(U420,AB420)/2),600,IF(AV420=0,1000000000,2*((H420-2*([1]Parametros!$B$7+[1]Parametros!$B$9/2))+(I420-2*([1]Parametros!$B$7+[1]Parametros!$B$9/2)))/8))/10,0)*10</f>
        <v>80</v>
      </c>
      <c r="AR420" s="13">
        <f>[1]Parametros!$B$6*(AJ420+MAX(BE420-BD420,0)*[1]Parametros!$B$4*MIN(U420,AB420)/1000)</f>
        <v>493.05529956199427</v>
      </c>
      <c r="AS420" s="13" t="str">
        <f t="shared" si="83"/>
        <v>CUMPLE</v>
      </c>
      <c r="AT420" s="13">
        <f>[1]Parametros!$B$6*0.083*SQRT([1]Parametros!$B$2)*(H420*I420)^2/(2*(H420+I420))/1000000</f>
        <v>11.862178757598967</v>
      </c>
      <c r="AU420" s="13" t="str">
        <f t="shared" si="84"/>
        <v>DISEÑAR</v>
      </c>
      <c r="AV420" s="13">
        <f>IF(Q420&lt;=AT420,0,Q420*1000000/([1]Parametros!$B$6*2*0.85*(H420-2*([1]Parametros!$B$7+[1]Parametros!$B$9/2))*(I420-2*([1]Parametros!$B$7+[1]Parametros!$B$9/2))*[1]Parametros!$B$4))</f>
        <v>0.54862922537950898</v>
      </c>
      <c r="AW420" s="13">
        <f>AV420*2*((H420-2*([1]Parametros!$B$7+[1]Parametros!$B$9/2))+(I420-2*([1]Parametros!$B$7+[1]Parametros!$B$9/2)))*[1]Parametros!$B$4/[1]Parametros!$B$3</f>
        <v>948.68965652624695</v>
      </c>
      <c r="AX420" s="14">
        <v>8</v>
      </c>
      <c r="AY420" s="13" t="str">
        <f t="shared" si="85"/>
        <v>CUMPLE</v>
      </c>
      <c r="AZ420" s="13" t="str">
        <f t="shared" si="86"/>
        <v>CUMPLE</v>
      </c>
      <c r="BA420" s="14">
        <v>12.7</v>
      </c>
      <c r="BB420" s="14">
        <v>129</v>
      </c>
      <c r="BC420" s="13">
        <f>MAX(IF(AK420=0,0,AK420*1000/([1]Parametros!$B$4*MIN(U420,AB420))),MAX(0.062*SQRT([1]Parametros!$B$2)*H420/[1]Parametros!$B$4,0.35*H420/[1]Parametros!$B$4))</f>
        <v>2.0475425190276324</v>
      </c>
      <c r="BD420" s="13">
        <f t="shared" si="87"/>
        <v>1.097258450759018</v>
      </c>
      <c r="BE420" s="13">
        <f t="shared" si="88"/>
        <v>3.2250000000000001</v>
      </c>
      <c r="BF420" s="13">
        <f>SQRT((AI420*1000/(H420*MIN(U420,AB420)))^2+(Q420*1000000*2*((H420-2*([1]Parametros!$B$7+[1]Parametros!$B$9/2))+(I420-2*([1]Parametros!$B$7+[1]Parametros!$B$9/2)))/(1.7*((H420-2*([1]Parametros!$B$7+[1]Parametros!$B$9/2))*(I420-2*([1]Parametros!$B$7+[1]Parametros!$B$9/2)))^2))^2)</f>
        <v>2.5365135953318791</v>
      </c>
      <c r="BG420" s="13">
        <f>[1]Parametros!$B$6*(AJ420*1000/(H420*MIN(U420,AB420))+0.66*SQRT([1]Parametros!$B$2))</f>
        <v>3.2939603822754151</v>
      </c>
      <c r="BH420" s="13" t="str">
        <f t="shared" si="89"/>
        <v>CUMPLE</v>
      </c>
      <c r="BI420" s="13">
        <f>AX420*[1]Parametros!$B$8</f>
        <v>1592</v>
      </c>
      <c r="BJ420" s="15" t="str">
        <f t="shared" si="90"/>
        <v>CUMPLE</v>
      </c>
    </row>
    <row r="421" spans="1:62" x14ac:dyDescent="0.3">
      <c r="A421" s="33" t="s">
        <v>76</v>
      </c>
      <c r="B421" s="34">
        <v>776</v>
      </c>
      <c r="C421" s="13">
        <v>1</v>
      </c>
      <c r="D421" s="13">
        <v>3.57612</v>
      </c>
      <c r="E421" s="13">
        <v>3.57612</v>
      </c>
      <c r="F421" s="13">
        <v>500</v>
      </c>
      <c r="G421" s="13">
        <v>550</v>
      </c>
      <c r="H421" s="13">
        <v>500</v>
      </c>
      <c r="I421" s="13">
        <v>550</v>
      </c>
      <c r="J421" s="14">
        <v>153.04769999999999</v>
      </c>
      <c r="K421" s="13">
        <v>776</v>
      </c>
      <c r="L421" s="14">
        <v>87.874300000000005</v>
      </c>
      <c r="M421" s="13">
        <v>776</v>
      </c>
      <c r="N421" s="14">
        <v>118.3</v>
      </c>
      <c r="O421" s="14">
        <v>325.03399999999999</v>
      </c>
      <c r="P421" s="13">
        <v>776</v>
      </c>
      <c r="Q421" s="14">
        <v>5.6147</v>
      </c>
      <c r="R421" s="13">
        <f>MAX(MAX(1.4/[1]Parametros!$B$3,0.25*SQRT([1]Parametros!$B$2)/[1]Parametros!$B$3)*H421*U421,(0.85*[1]Parametros!$B$2/[1]Parametros!$B$3)*(1-SQRT(1-2*(J421*1000000/([1]Parametros!$B$5*H421*U421^2))/(0.85*[1]Parametros!$B$2)))*H421*U421)</f>
        <v>853.68092814235104</v>
      </c>
      <c r="S421" s="14">
        <v>5</v>
      </c>
      <c r="T421" s="14">
        <v>1</v>
      </c>
      <c r="U421" s="13">
        <f>IF(T421=1,I421-([1]Parametros!$B$7+[1]Parametros!$B$9+[1]Parametros!$B$12/2),I421-(ROUNDUP(S421/2,0)*([1]Parametros!$B$7+[1]Parametros!$B$9+[1]Parametros!$B$12/2)+ROUNDDOWN(S421/2,0)*([1]Parametros!$B$7+[1]Parametros!$B$9+[1]Parametros!$B$12/2+[1]Parametros!$B$12+[1]Parametros!$B$10))/S421)</f>
        <v>489.35</v>
      </c>
      <c r="V421" s="13">
        <f>S421*[1]Parametros!$B$8</f>
        <v>995</v>
      </c>
      <c r="W421" s="13">
        <f>[1]Parametros!$B$5*V421*[1]Parametros!$B$3*(U421-(V421*[1]Parametros!$B$3/(0.85*[1]Parametros!$B$2*H421))/2)/1000000</f>
        <v>177.44537938235294</v>
      </c>
      <c r="X421" s="13" t="str">
        <f t="shared" si="78"/>
        <v>CUMPLE</v>
      </c>
      <c r="Y421" s="13">
        <f>MAX(MAX(1.4/[1]Parametros!$B$3,0.25*SQRT([1]Parametros!$B$2)/[1]Parametros!$B$3)*H421*AB421,(0.85*[1]Parametros!$B$2/[1]Parametros!$B$3)*(1-SQRT(1-2*(L421*1000000/([1]Parametros!$B$5*H421*AB421^2))/(0.85*[1]Parametros!$B$2)))*H421*AB421)</f>
        <v>815.58333333333326</v>
      </c>
      <c r="Z421" s="14">
        <v>5</v>
      </c>
      <c r="AA421" s="14">
        <v>1</v>
      </c>
      <c r="AB421" s="13">
        <f>IF(AA421=1,I421-([1]Parametros!$B$7+[1]Parametros!$B$9+[1]Parametros!$B$12/2),I421-(ROUNDUP(Z421/2,0)*([1]Parametros!$B$7+[1]Parametros!$B$9+[1]Parametros!$B$12/2)+ROUNDDOWN(Z421/2,0)*([1]Parametros!$B$7+[1]Parametros!$B$9+[1]Parametros!$B$12/2+[1]Parametros!$B$12+[1]Parametros!$B$10))/Z421)</f>
        <v>489.35</v>
      </c>
      <c r="AC421" s="13">
        <f>Z421*[1]Parametros!$B$8</f>
        <v>995</v>
      </c>
      <c r="AD421" s="13">
        <f>[1]Parametros!$B$5*AC421*[1]Parametros!$B$3*(AB421-(AC421*[1]Parametros!$B$3/(0.85*[1]Parametros!$B$2*H421))/2)/1000000</f>
        <v>177.44537938235294</v>
      </c>
      <c r="AE421" s="13" t="str">
        <f t="shared" si="79"/>
        <v>CUMPLE</v>
      </c>
      <c r="AF421" s="13">
        <f>V421*1.25*[1]Parametros!$B$3*(U421-(V421*1.25*[1]Parametros!$B$3/(0.85*[1]Parametros!$B$2*H421))/2)/1000000</f>
        <v>244.15884319852941</v>
      </c>
      <c r="AG421" s="13">
        <f>AC421*1.25*[1]Parametros!$B$3*(AB421-(AC421*1.25*[1]Parametros!$B$3/(0.85*[1]Parametros!$B$2*H421))/2)/1000000</f>
        <v>244.15884319852941</v>
      </c>
      <c r="AH421" s="13">
        <f t="shared" si="80"/>
        <v>254.84958066201887</v>
      </c>
      <c r="AI421" s="13">
        <f t="shared" si="81"/>
        <v>325.03399999999999</v>
      </c>
      <c r="AJ421" s="13">
        <f>0.17*SQRT([1]Parametros!$B$2)*H421*MIN(U421,AB421)/1000</f>
        <v>220.09872869180776</v>
      </c>
      <c r="AK421" s="13">
        <f>MAX(AI421/[1]Parametros!$B$6-AJ421,0)</f>
        <v>213.27993797485891</v>
      </c>
      <c r="AL421" s="13">
        <f>0.66*SQRT([1]Parametros!$B$2)*H421*MIN(U421,AB421)/1000</f>
        <v>854.500946685842</v>
      </c>
      <c r="AM421" s="13" t="str">
        <f t="shared" si="82"/>
        <v>CUMPLE</v>
      </c>
      <c r="AN421" s="13" t="s">
        <v>64</v>
      </c>
      <c r="AO421" s="14">
        <v>2</v>
      </c>
      <c r="AP421" s="13">
        <f>ROUNDDOWN(MIN(IF(BC421+BD421=0,1000000000,AO421*BB421/(BC421+BD421)),MIN(U421,AB421)/4,8*[1]Parametros!$B$12,24*BA421,300,IF(AV421=0,1000000000,2*((H421-2*([1]Parametros!$B$7+[1]Parametros!$B$9/2))+(I421-2*([1]Parametros!$B$7+[1]Parametros!$B$9/2)))/8))/10,0)*10</f>
        <v>120</v>
      </c>
      <c r="AQ421" s="13">
        <f>ROUNDDOWN(MIN(IF(BC421+BD421=0,1000000000,AO421*BB421/(BC421+BD421)),IF(AK421&gt;0.33*SQRT([1]Parametros!$B$2)*H421*MIN(U421,AB421)/1000,MIN(U421,AB421)/4,MIN(U421,AB421)/2),600,IF(AV421=0,1000000000,2*((H421-2*([1]Parametros!$B$7+[1]Parametros!$B$9/2))+(I421-2*([1]Parametros!$B$7+[1]Parametros!$B$9/2)))/8))/10,0)*10</f>
        <v>130</v>
      </c>
      <c r="AR421" s="13">
        <f>[1]Parametros!$B$6*(AJ421+MAX(BE421-BD421,0)*[1]Parametros!$B$4*MIN(U421,AB421)/1000)</f>
        <v>347.47925901885583</v>
      </c>
      <c r="AS421" s="13" t="str">
        <f t="shared" si="83"/>
        <v>CUMPLE</v>
      </c>
      <c r="AT421" s="13">
        <f>[1]Parametros!$B$6*0.083*SQRT([1]Parametros!$B$2)*(H421*I421)^2/(2*(H421+I421))/1000000</f>
        <v>11.862178757598967</v>
      </c>
      <c r="AU421" s="13" t="str">
        <f t="shared" si="84"/>
        <v>DESPRECIABLE</v>
      </c>
      <c r="AV421" s="13">
        <f>IF(Q421&lt;=AT421,0,Q421*1000000/([1]Parametros!$B$6*2*0.85*(H421-2*([1]Parametros!$B$7+[1]Parametros!$B$9/2))*(I421-2*([1]Parametros!$B$7+[1]Parametros!$B$9/2))*[1]Parametros!$B$4))</f>
        <v>0</v>
      </c>
      <c r="AW421" s="13">
        <f>AV421*2*((H421-2*([1]Parametros!$B$7+[1]Parametros!$B$9/2))+(I421-2*([1]Parametros!$B$7+[1]Parametros!$B$9/2)))*[1]Parametros!$B$4/[1]Parametros!$B$3</f>
        <v>0</v>
      </c>
      <c r="AX421" s="14">
        <v>0</v>
      </c>
      <c r="AY421" s="13" t="str">
        <f t="shared" si="85"/>
        <v>DESPRECIABLE</v>
      </c>
      <c r="AZ421" s="13" t="str">
        <f t="shared" si="86"/>
        <v>CUMPLE</v>
      </c>
      <c r="BA421" s="14">
        <v>9.5</v>
      </c>
      <c r="BB421" s="14">
        <v>71</v>
      </c>
      <c r="BC421" s="13">
        <f>MAX(IF(AK421=0,0,AK421*1000/([1]Parametros!$B$4*MIN(U421,AB421))),MAX(0.062*SQRT([1]Parametros!$B$2)*H421/[1]Parametros!$B$4,0.35*H421/[1]Parametros!$B$4))</f>
        <v>1.0377222358855962</v>
      </c>
      <c r="BD421" s="13">
        <f t="shared" si="87"/>
        <v>0</v>
      </c>
      <c r="BE421" s="13">
        <f t="shared" si="88"/>
        <v>1.1833333333333333</v>
      </c>
      <c r="BF421" s="13">
        <f>SQRT((AI421*1000/(H421*MIN(U421,AB421)))^2+(Q421*1000000*2*((H421-2*([1]Parametros!$B$7+[1]Parametros!$B$9/2))+(I421-2*([1]Parametros!$B$7+[1]Parametros!$B$9/2)))/(1.7*((H421-2*([1]Parametros!$B$7+[1]Parametros!$B$9/2))*(I421-2*([1]Parametros!$B$7+[1]Parametros!$B$9/2)))^2))^2)</f>
        <v>1.3385930561199197</v>
      </c>
      <c r="BG421" s="13">
        <f>[1]Parametros!$B$6*(AJ421*1000/(H421*MIN(U421,AB421))+0.66*SQRT([1]Parametros!$B$2))</f>
        <v>3.2939603822754151</v>
      </c>
      <c r="BH421" s="13" t="str">
        <f t="shared" si="89"/>
        <v>CUMPLE</v>
      </c>
      <c r="BI421" s="13">
        <f>AX421*[1]Parametros!$B$8</f>
        <v>0</v>
      </c>
      <c r="BJ421" s="15" t="str">
        <f t="shared" si="90"/>
        <v>CUMPLE</v>
      </c>
    </row>
    <row r="422" spans="1:62" x14ac:dyDescent="0.3">
      <c r="A422" s="33" t="s">
        <v>76</v>
      </c>
      <c r="B422" s="34">
        <v>777</v>
      </c>
      <c r="C422" s="13">
        <v>1</v>
      </c>
      <c r="D422" s="13">
        <v>1.9</v>
      </c>
      <c r="E422" s="13">
        <v>1.9</v>
      </c>
      <c r="F422" s="13">
        <v>500</v>
      </c>
      <c r="G422" s="13">
        <v>550</v>
      </c>
      <c r="H422" s="13">
        <v>500</v>
      </c>
      <c r="I422" s="13">
        <v>550</v>
      </c>
      <c r="J422" s="14">
        <v>134.5121</v>
      </c>
      <c r="K422" s="13">
        <v>777</v>
      </c>
      <c r="L422" s="14">
        <v>100.0385</v>
      </c>
      <c r="M422" s="13">
        <v>777</v>
      </c>
      <c r="N422" s="14">
        <v>130.672</v>
      </c>
      <c r="O422" s="14">
        <v>454.07600000000002</v>
      </c>
      <c r="P422" s="13">
        <v>777</v>
      </c>
      <c r="Q422" s="14">
        <v>16.025600000000001</v>
      </c>
      <c r="R422" s="13">
        <f>MAX(MAX(1.4/[1]Parametros!$B$3,0.25*SQRT([1]Parametros!$B$2)/[1]Parametros!$B$3)*H422*U422,(0.85*[1]Parametros!$B$2/[1]Parametros!$B$3)*(1-SQRT(1-2*(J422*1000000/([1]Parametros!$B$5*H422*U422^2))/(0.85*[1]Parametros!$B$2)))*H422*U422)</f>
        <v>815.58333333333326</v>
      </c>
      <c r="S422" s="14">
        <v>5</v>
      </c>
      <c r="T422" s="14">
        <v>1</v>
      </c>
      <c r="U422" s="13">
        <f>IF(T422=1,I422-([1]Parametros!$B$7+[1]Parametros!$B$9+[1]Parametros!$B$12/2),I422-(ROUNDUP(S422/2,0)*([1]Parametros!$B$7+[1]Parametros!$B$9+[1]Parametros!$B$12/2)+ROUNDDOWN(S422/2,0)*([1]Parametros!$B$7+[1]Parametros!$B$9+[1]Parametros!$B$12/2+[1]Parametros!$B$12+[1]Parametros!$B$10))/S422)</f>
        <v>489.35</v>
      </c>
      <c r="V422" s="13">
        <f>S422*[1]Parametros!$B$8</f>
        <v>995</v>
      </c>
      <c r="W422" s="13">
        <f>[1]Parametros!$B$5*V422*[1]Parametros!$B$3*(U422-(V422*[1]Parametros!$B$3/(0.85*[1]Parametros!$B$2*H422))/2)/1000000</f>
        <v>177.44537938235294</v>
      </c>
      <c r="X422" s="13" t="str">
        <f t="shared" si="78"/>
        <v>CUMPLE</v>
      </c>
      <c r="Y422" s="13">
        <f>MAX(MAX(1.4/[1]Parametros!$B$3,0.25*SQRT([1]Parametros!$B$2)/[1]Parametros!$B$3)*H422*AB422,(0.85*[1]Parametros!$B$2/[1]Parametros!$B$3)*(1-SQRT(1-2*(L422*1000000/([1]Parametros!$B$5*H422*AB422^2))/(0.85*[1]Parametros!$B$2)))*H422*AB422)</f>
        <v>815.58333333333326</v>
      </c>
      <c r="Z422" s="14">
        <v>5</v>
      </c>
      <c r="AA422" s="14">
        <v>1</v>
      </c>
      <c r="AB422" s="13">
        <f>IF(AA422=1,I422-([1]Parametros!$B$7+[1]Parametros!$B$9+[1]Parametros!$B$12/2),I422-(ROUNDUP(Z422/2,0)*([1]Parametros!$B$7+[1]Parametros!$B$9+[1]Parametros!$B$12/2)+ROUNDDOWN(Z422/2,0)*([1]Parametros!$B$7+[1]Parametros!$B$9+[1]Parametros!$B$12/2+[1]Parametros!$B$12+[1]Parametros!$B$10))/Z422)</f>
        <v>489.35</v>
      </c>
      <c r="AC422" s="13">
        <f>Z422*[1]Parametros!$B$8</f>
        <v>995</v>
      </c>
      <c r="AD422" s="13">
        <f>[1]Parametros!$B$5*AC422*[1]Parametros!$B$3*(AB422-(AC422*[1]Parametros!$B$3/(0.85*[1]Parametros!$B$2*H422))/2)/1000000</f>
        <v>177.44537938235294</v>
      </c>
      <c r="AE422" s="13" t="str">
        <f t="shared" si="79"/>
        <v>CUMPLE</v>
      </c>
      <c r="AF422" s="13">
        <f>V422*1.25*[1]Parametros!$B$3*(U422-(V422*1.25*[1]Parametros!$B$3/(0.85*[1]Parametros!$B$2*H422))/2)/1000000</f>
        <v>244.15884319852941</v>
      </c>
      <c r="AG422" s="13">
        <f>AC422*1.25*[1]Parametros!$B$3*(AB422-(AC422*1.25*[1]Parametros!$B$3/(0.85*[1]Parametros!$B$2*H422))/2)/1000000</f>
        <v>244.15884319852941</v>
      </c>
      <c r="AH422" s="13">
        <f t="shared" si="80"/>
        <v>387.68130863003091</v>
      </c>
      <c r="AI422" s="13">
        <f t="shared" si="81"/>
        <v>454.07600000000002</v>
      </c>
      <c r="AJ422" s="13">
        <f>0.17*SQRT([1]Parametros!$B$2)*H422*MIN(U422,AB422)/1000</f>
        <v>220.09872869180776</v>
      </c>
      <c r="AK422" s="13">
        <f>MAX(AI422/[1]Parametros!$B$6-AJ422,0)</f>
        <v>385.33593797485889</v>
      </c>
      <c r="AL422" s="13">
        <f>0.66*SQRT([1]Parametros!$B$2)*H422*MIN(U422,AB422)/1000</f>
        <v>854.500946685842</v>
      </c>
      <c r="AM422" s="13" t="str">
        <f t="shared" si="82"/>
        <v>CUMPLE</v>
      </c>
      <c r="AN422" s="13" t="s">
        <v>68</v>
      </c>
      <c r="AO422" s="14">
        <v>2</v>
      </c>
      <c r="AP422" s="13">
        <f>ROUNDDOWN(MIN(IF(BC422+BD422=0,1000000000,AO422*BB422/(BC422+BD422)),MIN(U422,AB422)/4,8*[1]Parametros!$B$12,24*BA422,300,IF(AV422=0,1000000000,2*((H422-2*([1]Parametros!$B$7+[1]Parametros!$B$9/2))+(I422-2*([1]Parametros!$B$7+[1]Parametros!$B$9/2)))/8))/10,0)*10</f>
        <v>110</v>
      </c>
      <c r="AQ422" s="13">
        <f>ROUNDDOWN(MIN(IF(BC422+BD422=0,1000000000,AO422*BB422/(BC422+BD422)),IF(AK422&gt;0.33*SQRT([1]Parametros!$B$2)*H422*MIN(U422,AB422)/1000,MIN(U422,AB422)/4,MIN(U422,AB422)/2),600,IF(AV422=0,1000000000,2*((H422-2*([1]Parametros!$B$7+[1]Parametros!$B$9/2))+(I422-2*([1]Parametros!$B$7+[1]Parametros!$B$9/2)))/8))/10,0)*10</f>
        <v>110</v>
      </c>
      <c r="AR422" s="13">
        <f>[1]Parametros!$B$6*(AJ422+MAX(BE422-BD422,0)*[1]Parametros!$B$4*MIN(U422,AB422)/1000)</f>
        <v>477.08118524016987</v>
      </c>
      <c r="AS422" s="13" t="str">
        <f t="shared" si="83"/>
        <v>CUMPLE</v>
      </c>
      <c r="AT422" s="13">
        <f>[1]Parametros!$B$6*0.083*SQRT([1]Parametros!$B$2)*(H422*I422)^2/(2*(H422+I422))/1000000</f>
        <v>11.862178757598967</v>
      </c>
      <c r="AU422" s="13" t="str">
        <f t="shared" si="84"/>
        <v>DISEÑAR</v>
      </c>
      <c r="AV422" s="13">
        <f>IF(Q422&lt;=AT422,0,Q422*1000000/([1]Parametros!$B$6*2*0.85*(H422-2*([1]Parametros!$B$7+[1]Parametros!$B$9/2))*(I422-2*([1]Parametros!$B$7+[1]Parametros!$B$9/2))*[1]Parametros!$B$4))</f>
        <v>0.16067163455057218</v>
      </c>
      <c r="AW422" s="13">
        <f>AV422*2*((H422-2*([1]Parametros!$B$7+[1]Parametros!$B$9/2))+(I422-2*([1]Parametros!$B$7+[1]Parametros!$B$9/2)))*[1]Parametros!$B$4/[1]Parametros!$B$3</f>
        <v>277.8333904648494</v>
      </c>
      <c r="AX422" s="14">
        <v>8</v>
      </c>
      <c r="AY422" s="13" t="str">
        <f t="shared" si="85"/>
        <v>CUMPLE</v>
      </c>
      <c r="AZ422" s="13" t="str">
        <f t="shared" si="86"/>
        <v>CUMPLE</v>
      </c>
      <c r="BA422" s="14">
        <v>12.7</v>
      </c>
      <c r="BB422" s="14">
        <v>129</v>
      </c>
      <c r="BC422" s="13">
        <f>MAX(IF(AK422=0,0,AK422*1000/([1]Parametros!$B$4*MIN(U422,AB422))),MAX(0.062*SQRT([1]Parametros!$B$2)*H422/[1]Parametros!$B$4,0.35*H422/[1]Parametros!$B$4))</f>
        <v>1.8748677204204747</v>
      </c>
      <c r="BD422" s="13">
        <f t="shared" si="87"/>
        <v>0.32134326910114436</v>
      </c>
      <c r="BE422" s="13">
        <f t="shared" si="88"/>
        <v>2.3454545454545452</v>
      </c>
      <c r="BF422" s="13">
        <f>SQRT((AI422*1000/(H422*MIN(U422,AB422)))^2+(Q422*1000000*2*((H422-2*([1]Parametros!$B$7+[1]Parametros!$B$9/2))+(I422-2*([1]Parametros!$B$7+[1]Parametros!$B$9/2)))/(1.7*((H422-2*([1]Parametros!$B$7+[1]Parametros!$B$9/2))*(I422-2*([1]Parametros!$B$7+[1]Parametros!$B$9/2)))^2))^2)</f>
        <v>1.9143919540041057</v>
      </c>
      <c r="BG422" s="13">
        <f>[1]Parametros!$B$6*(AJ422*1000/(H422*MIN(U422,AB422))+0.66*SQRT([1]Parametros!$B$2))</f>
        <v>3.2939603822754151</v>
      </c>
      <c r="BH422" s="13" t="str">
        <f t="shared" si="89"/>
        <v>CUMPLE</v>
      </c>
      <c r="BI422" s="13">
        <f>AX422*[1]Parametros!$B$8</f>
        <v>1592</v>
      </c>
      <c r="BJ422" s="15" t="str">
        <f t="shared" si="90"/>
        <v>CUMPLE</v>
      </c>
    </row>
    <row r="423" spans="1:62" x14ac:dyDescent="0.3">
      <c r="A423" s="33" t="s">
        <v>76</v>
      </c>
      <c r="B423" s="34">
        <v>778</v>
      </c>
      <c r="C423" s="13">
        <v>1</v>
      </c>
      <c r="D423" s="13">
        <v>2</v>
      </c>
      <c r="E423" s="13">
        <v>2</v>
      </c>
      <c r="F423" s="13">
        <v>500</v>
      </c>
      <c r="G423" s="13">
        <v>550</v>
      </c>
      <c r="H423" s="13">
        <v>500</v>
      </c>
      <c r="I423" s="13">
        <v>550</v>
      </c>
      <c r="J423" s="14">
        <v>142.83070000000001</v>
      </c>
      <c r="K423" s="13">
        <v>778</v>
      </c>
      <c r="L423" s="14">
        <v>97.938800000000001</v>
      </c>
      <c r="M423" s="13">
        <v>778</v>
      </c>
      <c r="N423" s="14">
        <v>138.92699999999999</v>
      </c>
      <c r="O423" s="14">
        <v>494.03300000000002</v>
      </c>
      <c r="P423" s="13">
        <v>778</v>
      </c>
      <c r="Q423" s="14">
        <v>37.117100000000001</v>
      </c>
      <c r="R423" s="13">
        <f>MAX(MAX(1.4/[1]Parametros!$B$3,0.25*SQRT([1]Parametros!$B$2)/[1]Parametros!$B$3)*H423*U423,(0.85*[1]Parametros!$B$2/[1]Parametros!$B$3)*(1-SQRT(1-2*(J423*1000000/([1]Parametros!$B$5*H423*U423^2))/(0.85*[1]Parametros!$B$2)))*H423*U423)</f>
        <v>815.58333333333326</v>
      </c>
      <c r="S423" s="14">
        <v>5</v>
      </c>
      <c r="T423" s="14">
        <v>1</v>
      </c>
      <c r="U423" s="13">
        <f>IF(T423=1,I423-([1]Parametros!$B$7+[1]Parametros!$B$9+[1]Parametros!$B$12/2),I423-(ROUNDUP(S423/2,0)*([1]Parametros!$B$7+[1]Parametros!$B$9+[1]Parametros!$B$12/2)+ROUNDDOWN(S423/2,0)*([1]Parametros!$B$7+[1]Parametros!$B$9+[1]Parametros!$B$12/2+[1]Parametros!$B$12+[1]Parametros!$B$10))/S423)</f>
        <v>489.35</v>
      </c>
      <c r="V423" s="13">
        <f>S423*[1]Parametros!$B$8</f>
        <v>995</v>
      </c>
      <c r="W423" s="13">
        <f>[1]Parametros!$B$5*V423*[1]Parametros!$B$3*(U423-(V423*[1]Parametros!$B$3/(0.85*[1]Parametros!$B$2*H423))/2)/1000000</f>
        <v>177.44537938235294</v>
      </c>
      <c r="X423" s="13" t="str">
        <f t="shared" si="78"/>
        <v>CUMPLE</v>
      </c>
      <c r="Y423" s="13">
        <f>MAX(MAX(1.4/[1]Parametros!$B$3,0.25*SQRT([1]Parametros!$B$2)/[1]Parametros!$B$3)*H423*AB423,(0.85*[1]Parametros!$B$2/[1]Parametros!$B$3)*(1-SQRT(1-2*(L423*1000000/([1]Parametros!$B$5*H423*AB423^2))/(0.85*[1]Parametros!$B$2)))*H423*AB423)</f>
        <v>815.58333333333326</v>
      </c>
      <c r="Z423" s="14">
        <v>5</v>
      </c>
      <c r="AA423" s="14">
        <v>1</v>
      </c>
      <c r="AB423" s="13">
        <f>IF(AA423=1,I423-([1]Parametros!$B$7+[1]Parametros!$B$9+[1]Parametros!$B$12/2),I423-(ROUNDUP(Z423/2,0)*([1]Parametros!$B$7+[1]Parametros!$B$9+[1]Parametros!$B$12/2)+ROUNDDOWN(Z423/2,0)*([1]Parametros!$B$7+[1]Parametros!$B$9+[1]Parametros!$B$12/2+[1]Parametros!$B$12+[1]Parametros!$B$10))/Z423)</f>
        <v>489.35</v>
      </c>
      <c r="AC423" s="13">
        <f>Z423*[1]Parametros!$B$8</f>
        <v>995</v>
      </c>
      <c r="AD423" s="13">
        <f>[1]Parametros!$B$5*AC423*[1]Parametros!$B$3*(AB423-(AC423*[1]Parametros!$B$3/(0.85*[1]Parametros!$B$2*H423))/2)/1000000</f>
        <v>177.44537938235294</v>
      </c>
      <c r="AE423" s="13" t="str">
        <f t="shared" si="79"/>
        <v>CUMPLE</v>
      </c>
      <c r="AF423" s="13">
        <f>V423*1.25*[1]Parametros!$B$3*(U423-(V423*1.25*[1]Parametros!$B$3/(0.85*[1]Parametros!$B$2*H423))/2)/1000000</f>
        <v>244.15884319852941</v>
      </c>
      <c r="AG423" s="13">
        <f>AC423*1.25*[1]Parametros!$B$3*(AB423-(AC423*1.25*[1]Parametros!$B$3/(0.85*[1]Parametros!$B$2*H423))/2)/1000000</f>
        <v>244.15884319852941</v>
      </c>
      <c r="AH423" s="13">
        <f t="shared" si="80"/>
        <v>383.0858431985294</v>
      </c>
      <c r="AI423" s="13">
        <f t="shared" si="81"/>
        <v>494.03300000000002</v>
      </c>
      <c r="AJ423" s="13">
        <f>0.17*SQRT([1]Parametros!$B$2)*H423*MIN(U423,AB423)/1000</f>
        <v>220.09872869180776</v>
      </c>
      <c r="AK423" s="13">
        <f>MAX(AI423/[1]Parametros!$B$6-AJ423,0)</f>
        <v>438.61193797485896</v>
      </c>
      <c r="AL423" s="13">
        <f>0.66*SQRT([1]Parametros!$B$2)*H423*MIN(U423,AB423)/1000</f>
        <v>854.500946685842</v>
      </c>
      <c r="AM423" s="13" t="str">
        <f t="shared" si="82"/>
        <v>CUMPLE</v>
      </c>
      <c r="AN423" s="13" t="s">
        <v>68</v>
      </c>
      <c r="AO423" s="14">
        <v>2</v>
      </c>
      <c r="AP423" s="13">
        <f>ROUNDDOWN(MIN(IF(BC423+BD423=0,1000000000,AO423*BB423/(BC423+BD423)),MIN(U423,AB423)/4,8*[1]Parametros!$B$12,24*BA423,300,IF(AV423=0,1000000000,2*((H423-2*([1]Parametros!$B$7+[1]Parametros!$B$9/2))+(I423-2*([1]Parametros!$B$7+[1]Parametros!$B$9/2)))/8))/10,0)*10</f>
        <v>80</v>
      </c>
      <c r="AQ423" s="13">
        <f>ROUNDDOWN(MIN(IF(BC423+BD423=0,1000000000,AO423*BB423/(BC423+BD423)),IF(AK423&gt;0.33*SQRT([1]Parametros!$B$2)*H423*MIN(U423,AB423)/1000,MIN(U423,AB423)/4,MIN(U423,AB423)/2),600,IF(AV423=0,1000000000,2*((H423-2*([1]Parametros!$B$7+[1]Parametros!$B$9/2))+(I423-2*([1]Parametros!$B$7+[1]Parametros!$B$9/2)))/8))/10,0)*10</f>
        <v>80</v>
      </c>
      <c r="AR423" s="13">
        <f>[1]Parametros!$B$6*(AJ423+MAX(BE423-BD423,0)*[1]Parametros!$B$4*MIN(U423,AB423)/1000)</f>
        <v>547.46720671712251</v>
      </c>
      <c r="AS423" s="13" t="str">
        <f t="shared" si="83"/>
        <v>CUMPLE</v>
      </c>
      <c r="AT423" s="13">
        <f>[1]Parametros!$B$6*0.083*SQRT([1]Parametros!$B$2)*(H423*I423)^2/(2*(H423+I423))/1000000</f>
        <v>11.862178757598967</v>
      </c>
      <c r="AU423" s="13" t="str">
        <f t="shared" si="84"/>
        <v>DISEÑAR</v>
      </c>
      <c r="AV423" s="13">
        <f>IF(Q423&lt;=AT423,0,Q423*1000000/([1]Parametros!$B$6*2*0.85*(H423-2*([1]Parametros!$B$7+[1]Parametros!$B$9/2))*(I423-2*([1]Parametros!$B$7+[1]Parametros!$B$9/2))*[1]Parametros!$B$4))</f>
        <v>0.37213365657304825</v>
      </c>
      <c r="AW423" s="13">
        <f>AV423*2*((H423-2*([1]Parametros!$B$7+[1]Parametros!$B$9/2))+(I423-2*([1]Parametros!$B$7+[1]Parametros!$B$9/2)))*[1]Parametros!$B$4/[1]Parametros!$B$3</f>
        <v>643.49351894611493</v>
      </c>
      <c r="AX423" s="14">
        <v>8</v>
      </c>
      <c r="AY423" s="13" t="str">
        <f t="shared" si="85"/>
        <v>CUMPLE</v>
      </c>
      <c r="AZ423" s="13" t="str">
        <f t="shared" si="86"/>
        <v>CUMPLE</v>
      </c>
      <c r="BA423" s="14">
        <v>12.7</v>
      </c>
      <c r="BB423" s="14">
        <v>129</v>
      </c>
      <c r="BC423" s="13">
        <f>MAX(IF(AK423=0,0,AK423*1000/([1]Parametros!$B$4*MIN(U423,AB423))),MAX(0.062*SQRT([1]Parametros!$B$2)*H423/[1]Parametros!$B$4,0.35*H423/[1]Parametros!$B$4))</f>
        <v>2.134084271043994</v>
      </c>
      <c r="BD423" s="13">
        <f t="shared" si="87"/>
        <v>0.74426731314609651</v>
      </c>
      <c r="BE423" s="13">
        <f t="shared" si="88"/>
        <v>3.2250000000000001</v>
      </c>
      <c r="BF423" s="13">
        <f>SQRT((AI423*1000/(H423*MIN(U423,AB423)))^2+(Q423*1000000*2*((H423-2*([1]Parametros!$B$7+[1]Parametros!$B$9/2))+(I423-2*([1]Parametros!$B$7+[1]Parametros!$B$9/2)))/(1.7*((H423-2*([1]Parametros!$B$7+[1]Parametros!$B$9/2))*(I423-2*([1]Parametros!$B$7+[1]Parametros!$B$9/2)))^2))^2)</f>
        <v>2.2937458554998873</v>
      </c>
      <c r="BG423" s="13">
        <f>[1]Parametros!$B$6*(AJ423*1000/(H423*MIN(U423,AB423))+0.66*SQRT([1]Parametros!$B$2))</f>
        <v>3.2939603822754151</v>
      </c>
      <c r="BH423" s="13" t="str">
        <f t="shared" si="89"/>
        <v>CUMPLE</v>
      </c>
      <c r="BI423" s="13">
        <f>AX423*[1]Parametros!$B$8</f>
        <v>1592</v>
      </c>
      <c r="BJ423" s="15" t="str">
        <f t="shared" si="90"/>
        <v>CUMPLE</v>
      </c>
    </row>
    <row r="424" spans="1:62" x14ac:dyDescent="0.3">
      <c r="A424" s="33" t="s">
        <v>76</v>
      </c>
      <c r="B424" s="34">
        <v>779</v>
      </c>
      <c r="C424" s="13">
        <v>1</v>
      </c>
      <c r="D424" s="13">
        <v>3.05308</v>
      </c>
      <c r="E424" s="13">
        <v>3.05308</v>
      </c>
      <c r="F424" s="13">
        <v>500</v>
      </c>
      <c r="G424" s="13">
        <v>550</v>
      </c>
      <c r="H424" s="13">
        <v>500</v>
      </c>
      <c r="I424" s="13">
        <v>550</v>
      </c>
      <c r="J424" s="14">
        <v>158.33160000000001</v>
      </c>
      <c r="K424" s="13">
        <v>779</v>
      </c>
      <c r="L424" s="14">
        <v>96.641599999999997</v>
      </c>
      <c r="M424" s="13">
        <v>779</v>
      </c>
      <c r="N424" s="14">
        <v>126.422</v>
      </c>
      <c r="O424" s="14">
        <v>347.637</v>
      </c>
      <c r="P424" s="13">
        <v>779</v>
      </c>
      <c r="Q424" s="14">
        <v>43.317700000000002</v>
      </c>
      <c r="R424" s="13">
        <f>MAX(MAX(1.4/[1]Parametros!$B$3,0.25*SQRT([1]Parametros!$B$2)/[1]Parametros!$B$3)*H424*U424,(0.85*[1]Parametros!$B$2/[1]Parametros!$B$3)*(1-SQRT(1-2*(J424*1000000/([1]Parametros!$B$5*H424*U424^2))/(0.85*[1]Parametros!$B$2)))*H424*U424)</f>
        <v>884.15642714936223</v>
      </c>
      <c r="S424" s="14">
        <v>5</v>
      </c>
      <c r="T424" s="14">
        <v>1</v>
      </c>
      <c r="U424" s="13">
        <f>IF(T424=1,I424-([1]Parametros!$B$7+[1]Parametros!$B$9+[1]Parametros!$B$12/2),I424-(ROUNDUP(S424/2,0)*([1]Parametros!$B$7+[1]Parametros!$B$9+[1]Parametros!$B$12/2)+ROUNDDOWN(S424/2,0)*([1]Parametros!$B$7+[1]Parametros!$B$9+[1]Parametros!$B$12/2+[1]Parametros!$B$12+[1]Parametros!$B$10))/S424)</f>
        <v>489.35</v>
      </c>
      <c r="V424" s="13">
        <f>S424*[1]Parametros!$B$8</f>
        <v>995</v>
      </c>
      <c r="W424" s="13">
        <f>[1]Parametros!$B$5*V424*[1]Parametros!$B$3*(U424-(V424*[1]Parametros!$B$3/(0.85*[1]Parametros!$B$2*H424))/2)/1000000</f>
        <v>177.44537938235294</v>
      </c>
      <c r="X424" s="13" t="str">
        <f t="shared" si="78"/>
        <v>CUMPLE</v>
      </c>
      <c r="Y424" s="13">
        <f>MAX(MAX(1.4/[1]Parametros!$B$3,0.25*SQRT([1]Parametros!$B$2)/[1]Parametros!$B$3)*H424*AB424,(0.85*[1]Parametros!$B$2/[1]Parametros!$B$3)*(1-SQRT(1-2*(L424*1000000/([1]Parametros!$B$5*H424*AB424^2))/(0.85*[1]Parametros!$B$2)))*H424*AB424)</f>
        <v>815.58333333333326</v>
      </c>
      <c r="Z424" s="14">
        <v>5</v>
      </c>
      <c r="AA424" s="14">
        <v>1</v>
      </c>
      <c r="AB424" s="13">
        <f>IF(AA424=1,I424-([1]Parametros!$B$7+[1]Parametros!$B$9+[1]Parametros!$B$12/2),I424-(ROUNDUP(Z424/2,0)*([1]Parametros!$B$7+[1]Parametros!$B$9+[1]Parametros!$B$12/2)+ROUNDDOWN(Z424/2,0)*([1]Parametros!$B$7+[1]Parametros!$B$9+[1]Parametros!$B$12/2+[1]Parametros!$B$12+[1]Parametros!$B$10))/Z424)</f>
        <v>489.35</v>
      </c>
      <c r="AC424" s="13">
        <f>Z424*[1]Parametros!$B$8</f>
        <v>995</v>
      </c>
      <c r="AD424" s="13">
        <f>[1]Parametros!$B$5*AC424*[1]Parametros!$B$3*(AB424-(AC424*[1]Parametros!$B$3/(0.85*[1]Parametros!$B$2*H424))/2)/1000000</f>
        <v>177.44537938235294</v>
      </c>
      <c r="AE424" s="13" t="str">
        <f t="shared" si="79"/>
        <v>CUMPLE</v>
      </c>
      <c r="AF424" s="13">
        <f>V424*1.25*[1]Parametros!$B$3*(U424-(V424*1.25*[1]Parametros!$B$3/(0.85*[1]Parametros!$B$2*H424))/2)/1000000</f>
        <v>244.15884319852941</v>
      </c>
      <c r="AG424" s="13">
        <f>AC424*1.25*[1]Parametros!$B$3*(AB424-(AC424*1.25*[1]Parametros!$B$3/(0.85*[1]Parametros!$B$2*H424))/2)/1000000</f>
        <v>244.15884319852941</v>
      </c>
      <c r="AH424" s="13">
        <f t="shared" si="80"/>
        <v>286.36464362449033</v>
      </c>
      <c r="AI424" s="13">
        <f t="shared" si="81"/>
        <v>347.637</v>
      </c>
      <c r="AJ424" s="13">
        <f>0.17*SQRT([1]Parametros!$B$2)*H424*MIN(U424,AB424)/1000</f>
        <v>220.09872869180776</v>
      </c>
      <c r="AK424" s="13">
        <f>MAX(AI424/[1]Parametros!$B$6-AJ424,0)</f>
        <v>243.41727130819226</v>
      </c>
      <c r="AL424" s="13">
        <f>0.66*SQRT([1]Parametros!$B$2)*H424*MIN(U424,AB424)/1000</f>
        <v>854.500946685842</v>
      </c>
      <c r="AM424" s="13" t="str">
        <f t="shared" si="82"/>
        <v>CUMPLE</v>
      </c>
      <c r="AN424" s="13" t="s">
        <v>68</v>
      </c>
      <c r="AO424" s="14">
        <v>2</v>
      </c>
      <c r="AP424" s="13">
        <f>ROUNDDOWN(MIN(IF(BC424+BD424=0,1000000000,AO424*BB424/(BC424+BD424)),MIN(U424,AB424)/4,8*[1]Parametros!$B$12,24*BA424,300,IF(AV424=0,1000000000,2*((H424-2*([1]Parametros!$B$7+[1]Parametros!$B$9/2))+(I424-2*([1]Parametros!$B$7+[1]Parametros!$B$9/2)))/8))/10,0)*10</f>
        <v>120</v>
      </c>
      <c r="AQ424" s="13">
        <f>ROUNDDOWN(MIN(IF(BC424+BD424=0,1000000000,AO424*BB424/(BC424+BD424)),IF(AK424&gt;0.33*SQRT([1]Parametros!$B$2)*H424*MIN(U424,AB424)/1000,MIN(U424,AB424)/4,MIN(U424,AB424)/2),600,IF(AV424=0,1000000000,2*((H424-2*([1]Parametros!$B$7+[1]Parametros!$B$9/2))+(I424-2*([1]Parametros!$B$7+[1]Parametros!$B$9/2)))/8))/10,0)*10</f>
        <v>120</v>
      </c>
      <c r="AR424" s="13">
        <f>[1]Parametros!$B$6*(AJ424+MAX(BE424-BD424,0)*[1]Parametros!$B$4*MIN(U424,AB424)/1000)</f>
        <v>362.5956239731446</v>
      </c>
      <c r="AS424" s="13" t="str">
        <f t="shared" si="83"/>
        <v>CUMPLE</v>
      </c>
      <c r="AT424" s="13">
        <f>[1]Parametros!$B$6*0.083*SQRT([1]Parametros!$B$2)*(H424*I424)^2/(2*(H424+I424))/1000000</f>
        <v>11.862178757598967</v>
      </c>
      <c r="AU424" s="13" t="str">
        <f t="shared" si="84"/>
        <v>DISEÑAR</v>
      </c>
      <c r="AV424" s="13">
        <f>IF(Q424&lt;=AT424,0,Q424*1000000/([1]Parametros!$B$6*2*0.85*(H424-2*([1]Parametros!$B$7+[1]Parametros!$B$9/2))*(I424-2*([1]Parametros!$B$7+[1]Parametros!$B$9/2))*[1]Parametros!$B$4))</f>
        <v>0.43430047324102189</v>
      </c>
      <c r="AW424" s="13">
        <f>AV424*2*((H424-2*([1]Parametros!$B$7+[1]Parametros!$B$9/2))+(I424-2*([1]Parametros!$B$7+[1]Parametros!$B$9/2)))*[1]Parametros!$B$4/[1]Parametros!$B$3</f>
        <v>750.99237832837503</v>
      </c>
      <c r="AX424" s="14">
        <v>8</v>
      </c>
      <c r="AY424" s="13" t="str">
        <f t="shared" si="85"/>
        <v>CUMPLE</v>
      </c>
      <c r="AZ424" s="13" t="str">
        <f t="shared" si="86"/>
        <v>CUMPLE</v>
      </c>
      <c r="BA424" s="14">
        <v>12.7</v>
      </c>
      <c r="BB424" s="14">
        <v>129</v>
      </c>
      <c r="BC424" s="13">
        <f>MAX(IF(AK424=0,0,AK424*1000/([1]Parametros!$B$4*MIN(U424,AB424))),MAX(0.062*SQRT([1]Parametros!$B$2)*H424/[1]Parametros!$B$4,0.35*H424/[1]Parametros!$B$4))</f>
        <v>1.1843566602353572</v>
      </c>
      <c r="BD424" s="13">
        <f t="shared" si="87"/>
        <v>0.86860094648204378</v>
      </c>
      <c r="BE424" s="13">
        <f t="shared" si="88"/>
        <v>2.15</v>
      </c>
      <c r="BF424" s="13">
        <f>SQRT((AI424*1000/(H424*MIN(U424,AB424)))^2+(Q424*1000000*2*((H424-2*([1]Parametros!$B$7+[1]Parametros!$B$9/2))+(I424-2*([1]Parametros!$B$7+[1]Parametros!$B$9/2)))/(1.7*((H424-2*([1]Parametros!$B$7+[1]Parametros!$B$9/2))*(I424-2*([1]Parametros!$B$7+[1]Parametros!$B$9/2)))^2))^2)</f>
        <v>1.9057291000890511</v>
      </c>
      <c r="BG424" s="13">
        <f>[1]Parametros!$B$6*(AJ424*1000/(H424*MIN(U424,AB424))+0.66*SQRT([1]Parametros!$B$2))</f>
        <v>3.2939603822754151</v>
      </c>
      <c r="BH424" s="13" t="str">
        <f t="shared" si="89"/>
        <v>CUMPLE</v>
      </c>
      <c r="BI424" s="13">
        <f>AX424*[1]Parametros!$B$8</f>
        <v>1592</v>
      </c>
      <c r="BJ424" s="15" t="str">
        <f t="shared" si="90"/>
        <v>CUMPLE</v>
      </c>
    </row>
    <row r="425" spans="1:62" x14ac:dyDescent="0.3">
      <c r="A425" s="33" t="s">
        <v>76</v>
      </c>
      <c r="B425" s="34">
        <v>780</v>
      </c>
      <c r="C425" s="13">
        <v>1</v>
      </c>
      <c r="D425" s="13">
        <v>2</v>
      </c>
      <c r="E425" s="13">
        <v>2</v>
      </c>
      <c r="F425" s="13">
        <v>500</v>
      </c>
      <c r="G425" s="13">
        <v>550</v>
      </c>
      <c r="H425" s="13">
        <v>500</v>
      </c>
      <c r="I425" s="13">
        <v>550</v>
      </c>
      <c r="J425" s="14">
        <v>156.4641</v>
      </c>
      <c r="K425" s="13">
        <v>780</v>
      </c>
      <c r="L425" s="14">
        <v>90.976699999999994</v>
      </c>
      <c r="M425" s="13">
        <v>780</v>
      </c>
      <c r="N425" s="14">
        <v>134.011</v>
      </c>
      <c r="O425" s="14">
        <v>450.15899999999999</v>
      </c>
      <c r="P425" s="13">
        <v>780</v>
      </c>
      <c r="Q425" s="14">
        <v>6.2533000000000003</v>
      </c>
      <c r="R425" s="13">
        <f>MAX(MAX(1.4/[1]Parametros!$B$3,0.25*SQRT([1]Parametros!$B$2)/[1]Parametros!$B$3)*H425*U425,(0.85*[1]Parametros!$B$2/[1]Parametros!$B$3)*(1-SQRT(1-2*(J425*1000000/([1]Parametros!$B$5*H425*U425^2))/(0.85*[1]Parametros!$B$2)))*H425*U425)</f>
        <v>873.37723851214002</v>
      </c>
      <c r="S425" s="14">
        <v>5</v>
      </c>
      <c r="T425" s="14">
        <v>1</v>
      </c>
      <c r="U425" s="13">
        <f>IF(T425=1,I425-([1]Parametros!$B$7+[1]Parametros!$B$9+[1]Parametros!$B$12/2),I425-(ROUNDUP(S425/2,0)*([1]Parametros!$B$7+[1]Parametros!$B$9+[1]Parametros!$B$12/2)+ROUNDDOWN(S425/2,0)*([1]Parametros!$B$7+[1]Parametros!$B$9+[1]Parametros!$B$12/2+[1]Parametros!$B$12+[1]Parametros!$B$10))/S425)</f>
        <v>489.35</v>
      </c>
      <c r="V425" s="13">
        <f>S425*[1]Parametros!$B$8</f>
        <v>995</v>
      </c>
      <c r="W425" s="13">
        <f>[1]Parametros!$B$5*V425*[1]Parametros!$B$3*(U425-(V425*[1]Parametros!$B$3/(0.85*[1]Parametros!$B$2*H425))/2)/1000000</f>
        <v>177.44537938235294</v>
      </c>
      <c r="X425" s="13" t="str">
        <f t="shared" si="78"/>
        <v>CUMPLE</v>
      </c>
      <c r="Y425" s="13">
        <f>MAX(MAX(1.4/[1]Parametros!$B$3,0.25*SQRT([1]Parametros!$B$2)/[1]Parametros!$B$3)*H425*AB425,(0.85*[1]Parametros!$B$2/[1]Parametros!$B$3)*(1-SQRT(1-2*(L425*1000000/([1]Parametros!$B$5*H425*AB425^2))/(0.85*[1]Parametros!$B$2)))*H425*AB425)</f>
        <v>815.58333333333326</v>
      </c>
      <c r="Z425" s="14">
        <v>5</v>
      </c>
      <c r="AA425" s="14">
        <v>1</v>
      </c>
      <c r="AB425" s="13">
        <f>IF(AA425=1,I425-([1]Parametros!$B$7+[1]Parametros!$B$9+[1]Parametros!$B$12/2),I425-(ROUNDUP(Z425/2,0)*([1]Parametros!$B$7+[1]Parametros!$B$9+[1]Parametros!$B$12/2)+ROUNDDOWN(Z425/2,0)*([1]Parametros!$B$7+[1]Parametros!$B$9+[1]Parametros!$B$12/2+[1]Parametros!$B$12+[1]Parametros!$B$10))/Z425)</f>
        <v>489.35</v>
      </c>
      <c r="AC425" s="13">
        <f>Z425*[1]Parametros!$B$8</f>
        <v>995</v>
      </c>
      <c r="AD425" s="13">
        <f>[1]Parametros!$B$5*AC425*[1]Parametros!$B$3*(AB425-(AC425*[1]Parametros!$B$3/(0.85*[1]Parametros!$B$2*H425))/2)/1000000</f>
        <v>177.44537938235294</v>
      </c>
      <c r="AE425" s="13" t="str">
        <f t="shared" si="79"/>
        <v>CUMPLE</v>
      </c>
      <c r="AF425" s="13">
        <f>V425*1.25*[1]Parametros!$B$3*(U425-(V425*1.25*[1]Parametros!$B$3/(0.85*[1]Parametros!$B$2*H425))/2)/1000000</f>
        <v>244.15884319852941</v>
      </c>
      <c r="AG425" s="13">
        <f>AC425*1.25*[1]Parametros!$B$3*(AB425-(AC425*1.25*[1]Parametros!$B$3/(0.85*[1]Parametros!$B$2*H425))/2)/1000000</f>
        <v>244.15884319852941</v>
      </c>
      <c r="AH425" s="13">
        <f t="shared" si="80"/>
        <v>378.16984319852941</v>
      </c>
      <c r="AI425" s="13">
        <f t="shared" si="81"/>
        <v>450.15899999999999</v>
      </c>
      <c r="AJ425" s="13">
        <f>0.17*SQRT([1]Parametros!$B$2)*H425*MIN(U425,AB425)/1000</f>
        <v>220.09872869180776</v>
      </c>
      <c r="AK425" s="13">
        <f>MAX(AI425/[1]Parametros!$B$6-AJ425,0)</f>
        <v>380.11327130819222</v>
      </c>
      <c r="AL425" s="13">
        <f>0.66*SQRT([1]Parametros!$B$2)*H425*MIN(U425,AB425)/1000</f>
        <v>854.500946685842</v>
      </c>
      <c r="AM425" s="13" t="str">
        <f t="shared" si="82"/>
        <v>CUMPLE</v>
      </c>
      <c r="AN425" s="13" t="s">
        <v>68</v>
      </c>
      <c r="AO425" s="14">
        <v>2</v>
      </c>
      <c r="AP425" s="13">
        <f>ROUNDDOWN(MIN(IF(BC425+BD425=0,1000000000,AO425*BB425/(BC425+BD425)),MIN(U425,AB425)/4,8*[1]Parametros!$B$12,24*BA425,300,IF(AV425=0,1000000000,2*((H425-2*([1]Parametros!$B$7+[1]Parametros!$B$9/2))+(I425-2*([1]Parametros!$B$7+[1]Parametros!$B$9/2)))/8))/10,0)*10</f>
        <v>120</v>
      </c>
      <c r="AQ425" s="13">
        <f>ROUNDDOWN(MIN(IF(BC425+BD425=0,1000000000,AO425*BB425/(BC425+BD425)),IF(AK425&gt;0.33*SQRT([1]Parametros!$B$2)*H425*MIN(U425,AB425)/1000,MIN(U425,AB425)/4,MIN(U425,AB425)/2),600,IF(AV425=0,1000000000,2*((H425-2*([1]Parametros!$B$7+[1]Parametros!$B$9/2))+(I425-2*([1]Parametros!$B$7+[1]Parametros!$B$9/2)))/8))/10,0)*10</f>
        <v>130</v>
      </c>
      <c r="AR425" s="13">
        <f>[1]Parametros!$B$6*(AJ425+MAX(BE425-BD425,0)*[1]Parametros!$B$4*MIN(U425,AB425)/1000)</f>
        <v>496.48633401885581</v>
      </c>
      <c r="AS425" s="13" t="str">
        <f t="shared" si="83"/>
        <v>CUMPLE</v>
      </c>
      <c r="AT425" s="13">
        <f>[1]Parametros!$B$6*0.083*SQRT([1]Parametros!$B$2)*(H425*I425)^2/(2*(H425+I425))/1000000</f>
        <v>11.862178757598967</v>
      </c>
      <c r="AU425" s="13" t="str">
        <f t="shared" si="84"/>
        <v>DESPRECIABLE</v>
      </c>
      <c r="AV425" s="13">
        <f>IF(Q425&lt;=AT425,0,Q425*1000000/([1]Parametros!$B$6*2*0.85*(H425-2*([1]Parametros!$B$7+[1]Parametros!$B$9/2))*(I425-2*([1]Parametros!$B$7+[1]Parametros!$B$9/2))*[1]Parametros!$B$4))</f>
        <v>0</v>
      </c>
      <c r="AW425" s="13">
        <f>AV425*2*((H425-2*([1]Parametros!$B$7+[1]Parametros!$B$9/2))+(I425-2*([1]Parametros!$B$7+[1]Parametros!$B$9/2)))*[1]Parametros!$B$4/[1]Parametros!$B$3</f>
        <v>0</v>
      </c>
      <c r="AX425" s="14">
        <v>0</v>
      </c>
      <c r="AY425" s="13" t="str">
        <f t="shared" si="85"/>
        <v>DESPRECIABLE</v>
      </c>
      <c r="AZ425" s="13" t="str">
        <f t="shared" si="86"/>
        <v>CUMPLE</v>
      </c>
      <c r="BA425" s="14">
        <v>12.7</v>
      </c>
      <c r="BB425" s="14">
        <v>129</v>
      </c>
      <c r="BC425" s="13">
        <f>MAX(IF(AK425=0,0,AK425*1000/([1]Parametros!$B$4*MIN(U425,AB425))),MAX(0.062*SQRT([1]Parametros!$B$2)*H425/[1]Parametros!$B$4,0.35*H425/[1]Parametros!$B$4))</f>
        <v>1.849456622770693</v>
      </c>
      <c r="BD425" s="13">
        <f t="shared" si="87"/>
        <v>0</v>
      </c>
      <c r="BE425" s="13">
        <f t="shared" si="88"/>
        <v>2.15</v>
      </c>
      <c r="BF425" s="13">
        <f>SQRT((AI425*1000/(H425*MIN(U425,AB425)))^2+(Q425*1000000*2*((H425-2*([1]Parametros!$B$7+[1]Parametros!$B$9/2))+(I425-2*([1]Parametros!$B$7+[1]Parametros!$B$9/2)))/(1.7*((H425-2*([1]Parametros!$B$7+[1]Parametros!$B$9/2))*(I425-2*([1]Parametros!$B$7+[1]Parametros!$B$9/2)))^2))^2)</f>
        <v>1.8489373978617094</v>
      </c>
      <c r="BG425" s="13">
        <f>[1]Parametros!$B$6*(AJ425*1000/(H425*MIN(U425,AB425))+0.66*SQRT([1]Parametros!$B$2))</f>
        <v>3.2939603822754151</v>
      </c>
      <c r="BH425" s="13" t="str">
        <f t="shared" si="89"/>
        <v>CUMPLE</v>
      </c>
      <c r="BI425" s="13">
        <f>AX425*[1]Parametros!$B$8</f>
        <v>0</v>
      </c>
      <c r="BJ425" s="15" t="str">
        <f t="shared" si="90"/>
        <v>CUMPLE</v>
      </c>
    </row>
    <row r="426" spans="1:62" x14ac:dyDescent="0.3">
      <c r="A426" s="33" t="s">
        <v>76</v>
      </c>
      <c r="B426" s="34">
        <v>791</v>
      </c>
      <c r="C426" s="13">
        <v>1</v>
      </c>
      <c r="D426" s="13">
        <v>2</v>
      </c>
      <c r="E426" s="13">
        <v>2</v>
      </c>
      <c r="F426" s="13">
        <v>500</v>
      </c>
      <c r="G426" s="13">
        <v>550</v>
      </c>
      <c r="H426" s="13">
        <v>500</v>
      </c>
      <c r="I426" s="13">
        <v>550</v>
      </c>
      <c r="J426" s="14">
        <v>156.6096</v>
      </c>
      <c r="K426" s="13">
        <v>791</v>
      </c>
      <c r="L426" s="14">
        <v>91.096699999999998</v>
      </c>
      <c r="M426" s="13">
        <v>791</v>
      </c>
      <c r="N426" s="14">
        <v>134.113</v>
      </c>
      <c r="O426" s="14">
        <v>450.26400000000001</v>
      </c>
      <c r="P426" s="13">
        <v>791</v>
      </c>
      <c r="Q426" s="14">
        <v>6.2542999999999997</v>
      </c>
      <c r="R426" s="13">
        <f>MAX(MAX(1.4/[1]Parametros!$B$3,0.25*SQRT([1]Parametros!$B$2)/[1]Parametros!$B$3)*H426*U426,(0.85*[1]Parametros!$B$2/[1]Parametros!$B$3)*(1-SQRT(1-2*(J426*1000000/([1]Parametros!$B$5*H426*U426^2))/(0.85*[1]Parametros!$B$2)))*H426*U426)</f>
        <v>874.21674156711617</v>
      </c>
      <c r="S426" s="14">
        <v>5</v>
      </c>
      <c r="T426" s="14">
        <v>1</v>
      </c>
      <c r="U426" s="13">
        <f>IF(T426=1,I426-([1]Parametros!$B$7+[1]Parametros!$B$9+[1]Parametros!$B$12/2),I426-(ROUNDUP(S426/2,0)*([1]Parametros!$B$7+[1]Parametros!$B$9+[1]Parametros!$B$12/2)+ROUNDDOWN(S426/2,0)*([1]Parametros!$B$7+[1]Parametros!$B$9+[1]Parametros!$B$12/2+[1]Parametros!$B$12+[1]Parametros!$B$10))/S426)</f>
        <v>489.35</v>
      </c>
      <c r="V426" s="13">
        <f>S426*[1]Parametros!$B$8</f>
        <v>995</v>
      </c>
      <c r="W426" s="13">
        <f>[1]Parametros!$B$5*V426*[1]Parametros!$B$3*(U426-(V426*[1]Parametros!$B$3/(0.85*[1]Parametros!$B$2*H426))/2)/1000000</f>
        <v>177.44537938235294</v>
      </c>
      <c r="X426" s="13" t="str">
        <f t="shared" si="78"/>
        <v>CUMPLE</v>
      </c>
      <c r="Y426" s="13">
        <f>MAX(MAX(1.4/[1]Parametros!$B$3,0.25*SQRT([1]Parametros!$B$2)/[1]Parametros!$B$3)*H426*AB426,(0.85*[1]Parametros!$B$2/[1]Parametros!$B$3)*(1-SQRT(1-2*(L426*1000000/([1]Parametros!$B$5*H426*AB426^2))/(0.85*[1]Parametros!$B$2)))*H426*AB426)</f>
        <v>815.58333333333326</v>
      </c>
      <c r="Z426" s="14">
        <v>5</v>
      </c>
      <c r="AA426" s="14">
        <v>1</v>
      </c>
      <c r="AB426" s="13">
        <f>IF(AA426=1,I426-([1]Parametros!$B$7+[1]Parametros!$B$9+[1]Parametros!$B$12/2),I426-(ROUNDUP(Z426/2,0)*([1]Parametros!$B$7+[1]Parametros!$B$9+[1]Parametros!$B$12/2)+ROUNDDOWN(Z426/2,0)*([1]Parametros!$B$7+[1]Parametros!$B$9+[1]Parametros!$B$12/2+[1]Parametros!$B$12+[1]Parametros!$B$10))/Z426)</f>
        <v>489.35</v>
      </c>
      <c r="AC426" s="13">
        <f>Z426*[1]Parametros!$B$8</f>
        <v>995</v>
      </c>
      <c r="AD426" s="13">
        <f>[1]Parametros!$B$5*AC426*[1]Parametros!$B$3*(AB426-(AC426*[1]Parametros!$B$3/(0.85*[1]Parametros!$B$2*H426))/2)/1000000</f>
        <v>177.44537938235294</v>
      </c>
      <c r="AE426" s="13" t="str">
        <f t="shared" si="79"/>
        <v>CUMPLE</v>
      </c>
      <c r="AF426" s="13">
        <f>V426*1.25*[1]Parametros!$B$3*(U426-(V426*1.25*[1]Parametros!$B$3/(0.85*[1]Parametros!$B$2*H426))/2)/1000000</f>
        <v>244.15884319852941</v>
      </c>
      <c r="AG426" s="13">
        <f>AC426*1.25*[1]Parametros!$B$3*(AB426-(AC426*1.25*[1]Parametros!$B$3/(0.85*[1]Parametros!$B$2*H426))/2)/1000000</f>
        <v>244.15884319852941</v>
      </c>
      <c r="AH426" s="13">
        <f t="shared" si="80"/>
        <v>378.27184319852938</v>
      </c>
      <c r="AI426" s="13">
        <f t="shared" si="81"/>
        <v>450.26400000000001</v>
      </c>
      <c r="AJ426" s="13">
        <f>0.17*SQRT([1]Parametros!$B$2)*H426*MIN(U426,AB426)/1000</f>
        <v>220.09872869180776</v>
      </c>
      <c r="AK426" s="13">
        <f>MAX(AI426/[1]Parametros!$B$6-AJ426,0)</f>
        <v>380.25327130819221</v>
      </c>
      <c r="AL426" s="13">
        <f>0.66*SQRT([1]Parametros!$B$2)*H426*MIN(U426,AB426)/1000</f>
        <v>854.500946685842</v>
      </c>
      <c r="AM426" s="13" t="str">
        <f t="shared" si="82"/>
        <v>CUMPLE</v>
      </c>
      <c r="AN426" s="13" t="s">
        <v>68</v>
      </c>
      <c r="AO426" s="14">
        <v>2</v>
      </c>
      <c r="AP426" s="13">
        <f>ROUNDDOWN(MIN(IF(BC426+BD426=0,1000000000,AO426*BB426/(BC426+BD426)),MIN(U426,AB426)/4,8*[1]Parametros!$B$12,24*BA426,300,IF(AV426=0,1000000000,2*((H426-2*([1]Parametros!$B$7+[1]Parametros!$B$9/2))+(I426-2*([1]Parametros!$B$7+[1]Parametros!$B$9/2)))/8))/10,0)*10</f>
        <v>120</v>
      </c>
      <c r="AQ426" s="13">
        <f>ROUNDDOWN(MIN(IF(BC426+BD426=0,1000000000,AO426*BB426/(BC426+BD426)),IF(AK426&gt;0.33*SQRT([1]Parametros!$B$2)*H426*MIN(U426,AB426)/1000,MIN(U426,AB426)/4,MIN(U426,AB426)/2),600,IF(AV426=0,1000000000,2*((H426-2*([1]Parametros!$B$7+[1]Parametros!$B$9/2))+(I426-2*([1]Parametros!$B$7+[1]Parametros!$B$9/2)))/8))/10,0)*10</f>
        <v>130</v>
      </c>
      <c r="AR426" s="13">
        <f>[1]Parametros!$B$6*(AJ426+MAX(BE426-BD426,0)*[1]Parametros!$B$4*MIN(U426,AB426)/1000)</f>
        <v>496.48633401885581</v>
      </c>
      <c r="AS426" s="13" t="str">
        <f t="shared" si="83"/>
        <v>CUMPLE</v>
      </c>
      <c r="AT426" s="13">
        <f>[1]Parametros!$B$6*0.083*SQRT([1]Parametros!$B$2)*(H426*I426)^2/(2*(H426+I426))/1000000</f>
        <v>11.862178757598967</v>
      </c>
      <c r="AU426" s="13" t="str">
        <f t="shared" si="84"/>
        <v>DESPRECIABLE</v>
      </c>
      <c r="AV426" s="13">
        <f>IF(Q426&lt;=AT426,0,Q426*1000000/([1]Parametros!$B$6*2*0.85*(H426-2*([1]Parametros!$B$7+[1]Parametros!$B$9/2))*(I426-2*([1]Parametros!$B$7+[1]Parametros!$B$9/2))*[1]Parametros!$B$4))</f>
        <v>0</v>
      </c>
      <c r="AW426" s="13">
        <f>AV426*2*((H426-2*([1]Parametros!$B$7+[1]Parametros!$B$9/2))+(I426-2*([1]Parametros!$B$7+[1]Parametros!$B$9/2)))*[1]Parametros!$B$4/[1]Parametros!$B$3</f>
        <v>0</v>
      </c>
      <c r="AX426" s="14">
        <v>0</v>
      </c>
      <c r="AY426" s="13" t="str">
        <f t="shared" si="85"/>
        <v>DESPRECIABLE</v>
      </c>
      <c r="AZ426" s="13" t="str">
        <f t="shared" si="86"/>
        <v>CUMPLE</v>
      </c>
      <c r="BA426" s="14">
        <v>12.7</v>
      </c>
      <c r="BB426" s="14">
        <v>129</v>
      </c>
      <c r="BC426" s="13">
        <f>MAX(IF(AK426=0,0,AK426*1000/([1]Parametros!$B$4*MIN(U426,AB426))),MAX(0.062*SQRT([1]Parametros!$B$2)*H426/[1]Parametros!$B$4,0.35*H426/[1]Parametros!$B$4))</f>
        <v>1.8501377984799672</v>
      </c>
      <c r="BD426" s="13">
        <f t="shared" si="87"/>
        <v>0</v>
      </c>
      <c r="BE426" s="13">
        <f t="shared" si="88"/>
        <v>2.15</v>
      </c>
      <c r="BF426" s="13">
        <f>SQRT((AI426*1000/(H426*MIN(U426,AB426)))^2+(Q426*1000000*2*((H426-2*([1]Parametros!$B$7+[1]Parametros!$B$9/2))+(I426-2*([1]Parametros!$B$7+[1]Parametros!$B$9/2)))/(1.7*((H426-2*([1]Parametros!$B$7+[1]Parametros!$B$9/2))*(I426-2*([1]Parametros!$B$7+[1]Parametros!$B$9/2)))^2))^2)</f>
        <v>1.849367330918668</v>
      </c>
      <c r="BG426" s="13">
        <f>[1]Parametros!$B$6*(AJ426*1000/(H426*MIN(U426,AB426))+0.66*SQRT([1]Parametros!$B$2))</f>
        <v>3.2939603822754151</v>
      </c>
      <c r="BH426" s="13" t="str">
        <f t="shared" si="89"/>
        <v>CUMPLE</v>
      </c>
      <c r="BI426" s="13">
        <f>AX426*[1]Parametros!$B$8</f>
        <v>0</v>
      </c>
      <c r="BJ426" s="15" t="str">
        <f t="shared" si="90"/>
        <v>CUMPLE</v>
      </c>
    </row>
    <row r="427" spans="1:62" x14ac:dyDescent="0.3">
      <c r="A427" s="33" t="s">
        <v>76</v>
      </c>
      <c r="B427" s="34">
        <v>792</v>
      </c>
      <c r="C427" s="13">
        <v>1</v>
      </c>
      <c r="D427" s="13">
        <v>3.05308</v>
      </c>
      <c r="E427" s="13">
        <v>3.05308</v>
      </c>
      <c r="F427" s="13">
        <v>500</v>
      </c>
      <c r="G427" s="13">
        <v>550</v>
      </c>
      <c r="H427" s="13">
        <v>500</v>
      </c>
      <c r="I427" s="13">
        <v>550</v>
      </c>
      <c r="J427" s="14">
        <v>158.1901</v>
      </c>
      <c r="K427" s="13">
        <v>792</v>
      </c>
      <c r="L427" s="14">
        <v>96.557100000000005</v>
      </c>
      <c r="M427" s="13">
        <v>792</v>
      </c>
      <c r="N427" s="14">
        <v>126.35299999999999</v>
      </c>
      <c r="O427" s="14">
        <v>347.56099999999998</v>
      </c>
      <c r="P427" s="13">
        <v>792</v>
      </c>
      <c r="Q427" s="14">
        <v>43.328000000000003</v>
      </c>
      <c r="R427" s="13">
        <f>MAX(MAX(1.4/[1]Parametros!$B$3,0.25*SQRT([1]Parametros!$B$2)/[1]Parametros!$B$3)*H427*U427,(0.85*[1]Parametros!$B$2/[1]Parametros!$B$3)*(1-SQRT(1-2*(J427*1000000/([1]Parametros!$B$5*H427*U427^2))/(0.85*[1]Parametros!$B$2)))*H427*U427)</f>
        <v>883.33937737399788</v>
      </c>
      <c r="S427" s="14">
        <v>5</v>
      </c>
      <c r="T427" s="14">
        <v>1</v>
      </c>
      <c r="U427" s="13">
        <f>IF(T427=1,I427-([1]Parametros!$B$7+[1]Parametros!$B$9+[1]Parametros!$B$12/2),I427-(ROUNDUP(S427/2,0)*([1]Parametros!$B$7+[1]Parametros!$B$9+[1]Parametros!$B$12/2)+ROUNDDOWN(S427/2,0)*([1]Parametros!$B$7+[1]Parametros!$B$9+[1]Parametros!$B$12/2+[1]Parametros!$B$12+[1]Parametros!$B$10))/S427)</f>
        <v>489.35</v>
      </c>
      <c r="V427" s="13">
        <f>S427*[1]Parametros!$B$8</f>
        <v>995</v>
      </c>
      <c r="W427" s="13">
        <f>[1]Parametros!$B$5*V427*[1]Parametros!$B$3*(U427-(V427*[1]Parametros!$B$3/(0.85*[1]Parametros!$B$2*H427))/2)/1000000</f>
        <v>177.44537938235294</v>
      </c>
      <c r="X427" s="13" t="str">
        <f t="shared" si="78"/>
        <v>CUMPLE</v>
      </c>
      <c r="Y427" s="13">
        <f>MAX(MAX(1.4/[1]Parametros!$B$3,0.25*SQRT([1]Parametros!$B$2)/[1]Parametros!$B$3)*H427*AB427,(0.85*[1]Parametros!$B$2/[1]Parametros!$B$3)*(1-SQRT(1-2*(L427*1000000/([1]Parametros!$B$5*H427*AB427^2))/(0.85*[1]Parametros!$B$2)))*H427*AB427)</f>
        <v>815.58333333333326</v>
      </c>
      <c r="Z427" s="14">
        <v>5</v>
      </c>
      <c r="AA427" s="14">
        <v>1</v>
      </c>
      <c r="AB427" s="13">
        <f>IF(AA427=1,I427-([1]Parametros!$B$7+[1]Parametros!$B$9+[1]Parametros!$B$12/2),I427-(ROUNDUP(Z427/2,0)*([1]Parametros!$B$7+[1]Parametros!$B$9+[1]Parametros!$B$12/2)+ROUNDDOWN(Z427/2,0)*([1]Parametros!$B$7+[1]Parametros!$B$9+[1]Parametros!$B$12/2+[1]Parametros!$B$12+[1]Parametros!$B$10))/Z427)</f>
        <v>489.35</v>
      </c>
      <c r="AC427" s="13">
        <f>Z427*[1]Parametros!$B$8</f>
        <v>995</v>
      </c>
      <c r="AD427" s="13">
        <f>[1]Parametros!$B$5*AC427*[1]Parametros!$B$3*(AB427-(AC427*[1]Parametros!$B$3/(0.85*[1]Parametros!$B$2*H427))/2)/1000000</f>
        <v>177.44537938235294</v>
      </c>
      <c r="AE427" s="13" t="str">
        <f t="shared" si="79"/>
        <v>CUMPLE</v>
      </c>
      <c r="AF427" s="13">
        <f>V427*1.25*[1]Parametros!$B$3*(U427-(V427*1.25*[1]Parametros!$B$3/(0.85*[1]Parametros!$B$2*H427))/2)/1000000</f>
        <v>244.15884319852941</v>
      </c>
      <c r="AG427" s="13">
        <f>AC427*1.25*[1]Parametros!$B$3*(AB427-(AC427*1.25*[1]Parametros!$B$3/(0.85*[1]Parametros!$B$2*H427))/2)/1000000</f>
        <v>244.15884319852941</v>
      </c>
      <c r="AH427" s="13">
        <f t="shared" si="80"/>
        <v>286.29564362449031</v>
      </c>
      <c r="AI427" s="13">
        <f t="shared" si="81"/>
        <v>347.56099999999998</v>
      </c>
      <c r="AJ427" s="13">
        <f>0.17*SQRT([1]Parametros!$B$2)*H427*MIN(U427,AB427)/1000</f>
        <v>220.09872869180776</v>
      </c>
      <c r="AK427" s="13">
        <f>MAX(AI427/[1]Parametros!$B$6-AJ427,0)</f>
        <v>243.31593797485885</v>
      </c>
      <c r="AL427" s="13">
        <f>0.66*SQRT([1]Parametros!$B$2)*H427*MIN(U427,AB427)/1000</f>
        <v>854.500946685842</v>
      </c>
      <c r="AM427" s="13" t="str">
        <f t="shared" si="82"/>
        <v>CUMPLE</v>
      </c>
      <c r="AN427" s="13" t="s">
        <v>68</v>
      </c>
      <c r="AO427" s="14">
        <v>2</v>
      </c>
      <c r="AP427" s="13">
        <f>ROUNDDOWN(MIN(IF(BC427+BD427=0,1000000000,AO427*BB427/(BC427+BD427)),MIN(U427,AB427)/4,8*[1]Parametros!$B$12,24*BA427,300,IF(AV427=0,1000000000,2*((H427-2*([1]Parametros!$B$7+[1]Parametros!$B$9/2))+(I427-2*([1]Parametros!$B$7+[1]Parametros!$B$9/2)))/8))/10,0)*10</f>
        <v>120</v>
      </c>
      <c r="AQ427" s="13">
        <f>ROUNDDOWN(MIN(IF(BC427+BD427=0,1000000000,AO427*BB427/(BC427+BD427)),IF(AK427&gt;0.33*SQRT([1]Parametros!$B$2)*H427*MIN(U427,AB427)/1000,MIN(U427,AB427)/4,MIN(U427,AB427)/2),600,IF(AV427=0,1000000000,2*((H427-2*([1]Parametros!$B$7+[1]Parametros!$B$9/2))+(I427-2*([1]Parametros!$B$7+[1]Parametros!$B$9/2)))/8))/10,0)*10</f>
        <v>120</v>
      </c>
      <c r="AR427" s="13">
        <f>[1]Parametros!$B$6*(AJ427+MAX(BE427-BD427,0)*[1]Parametros!$B$4*MIN(U427,AB427)/1000)</f>
        <v>362.56378769574593</v>
      </c>
      <c r="AS427" s="13" t="str">
        <f t="shared" si="83"/>
        <v>CUMPLE</v>
      </c>
      <c r="AT427" s="13">
        <f>[1]Parametros!$B$6*0.083*SQRT([1]Parametros!$B$2)*(H427*I427)^2/(2*(H427+I427))/1000000</f>
        <v>11.862178757598967</v>
      </c>
      <c r="AU427" s="13" t="str">
        <f t="shared" si="84"/>
        <v>DISEÑAR</v>
      </c>
      <c r="AV427" s="13">
        <f>IF(Q427&lt;=AT427,0,Q427*1000000/([1]Parametros!$B$6*2*0.85*(H427-2*([1]Parametros!$B$7+[1]Parametros!$B$9/2))*(I427-2*([1]Parametros!$B$7+[1]Parametros!$B$9/2))*[1]Parametros!$B$4))</f>
        <v>0.43440374037834406</v>
      </c>
      <c r="AW427" s="13">
        <f>AV427*2*((H427-2*([1]Parametros!$B$7+[1]Parametros!$B$9/2))+(I427-2*([1]Parametros!$B$7+[1]Parametros!$B$9/2)))*[1]Parametros!$B$4/[1]Parametros!$B$3</f>
        <v>751.17094786223265</v>
      </c>
      <c r="AX427" s="14">
        <v>8</v>
      </c>
      <c r="AY427" s="13" t="str">
        <f t="shared" si="85"/>
        <v>CUMPLE</v>
      </c>
      <c r="AZ427" s="13" t="str">
        <f t="shared" si="86"/>
        <v>CUMPLE</v>
      </c>
      <c r="BA427" s="14">
        <v>12.7</v>
      </c>
      <c r="BB427" s="14">
        <v>129</v>
      </c>
      <c r="BC427" s="13">
        <f>MAX(IF(AK427=0,0,AK427*1000/([1]Parametros!$B$4*MIN(U427,AB427))),MAX(0.062*SQRT([1]Parametros!$B$2)*H427/[1]Parametros!$B$4,0.35*H427/[1]Parametros!$B$4))</f>
        <v>1.1838636187695966</v>
      </c>
      <c r="BD427" s="13">
        <f t="shared" si="87"/>
        <v>0.86880748075668812</v>
      </c>
      <c r="BE427" s="13">
        <f t="shared" si="88"/>
        <v>2.15</v>
      </c>
      <c r="BF427" s="13">
        <f>SQRT((AI427*1000/(H427*MIN(U427,AB427)))^2+(Q427*1000000*2*((H427-2*([1]Parametros!$B$7+[1]Parametros!$B$9/2))+(I427-2*([1]Parametros!$B$7+[1]Parametros!$B$9/2)))/(1.7*((H427-2*([1]Parametros!$B$7+[1]Parametros!$B$9/2))*(I427-2*([1]Parametros!$B$7+[1]Parametros!$B$9/2)))^2))^2)</f>
        <v>1.9056988366184349</v>
      </c>
      <c r="BG427" s="13">
        <f>[1]Parametros!$B$6*(AJ427*1000/(H427*MIN(U427,AB427))+0.66*SQRT([1]Parametros!$B$2))</f>
        <v>3.2939603822754151</v>
      </c>
      <c r="BH427" s="13" t="str">
        <f t="shared" si="89"/>
        <v>CUMPLE</v>
      </c>
      <c r="BI427" s="13">
        <f>AX427*[1]Parametros!$B$8</f>
        <v>1592</v>
      </c>
      <c r="BJ427" s="15" t="str">
        <f t="shared" si="90"/>
        <v>CUMPLE</v>
      </c>
    </row>
    <row r="428" spans="1:62" x14ac:dyDescent="0.3">
      <c r="A428" s="33" t="s">
        <v>76</v>
      </c>
      <c r="B428" s="34">
        <v>793</v>
      </c>
      <c r="C428" s="13">
        <v>1</v>
      </c>
      <c r="D428" s="13">
        <v>2</v>
      </c>
      <c r="E428" s="13">
        <v>2</v>
      </c>
      <c r="F428" s="13">
        <v>500</v>
      </c>
      <c r="G428" s="13">
        <v>550</v>
      </c>
      <c r="H428" s="13">
        <v>500</v>
      </c>
      <c r="I428" s="13">
        <v>550</v>
      </c>
      <c r="J428" s="14">
        <v>142.98220000000001</v>
      </c>
      <c r="K428" s="13">
        <v>793</v>
      </c>
      <c r="L428" s="14">
        <v>97.851299999999995</v>
      </c>
      <c r="M428" s="13">
        <v>793</v>
      </c>
      <c r="N428" s="14">
        <v>138.80699999999999</v>
      </c>
      <c r="O428" s="14">
        <v>494.13900000000001</v>
      </c>
      <c r="P428" s="13">
        <v>793</v>
      </c>
      <c r="Q428" s="14">
        <v>37.124200000000002</v>
      </c>
      <c r="R428" s="13">
        <f>MAX(MAX(1.4/[1]Parametros!$B$3,0.25*SQRT([1]Parametros!$B$2)/[1]Parametros!$B$3)*H428*U428,(0.85*[1]Parametros!$B$2/[1]Parametros!$B$3)*(1-SQRT(1-2*(J428*1000000/([1]Parametros!$B$5*H428*U428^2))/(0.85*[1]Parametros!$B$2)))*H428*U428)</f>
        <v>815.58333333333326</v>
      </c>
      <c r="S428" s="14">
        <v>5</v>
      </c>
      <c r="T428" s="14">
        <v>1</v>
      </c>
      <c r="U428" s="13">
        <f>IF(T428=1,I428-([1]Parametros!$B$7+[1]Parametros!$B$9+[1]Parametros!$B$12/2),I428-(ROUNDUP(S428/2,0)*([1]Parametros!$B$7+[1]Parametros!$B$9+[1]Parametros!$B$12/2)+ROUNDDOWN(S428/2,0)*([1]Parametros!$B$7+[1]Parametros!$B$9+[1]Parametros!$B$12/2+[1]Parametros!$B$12+[1]Parametros!$B$10))/S428)</f>
        <v>489.35</v>
      </c>
      <c r="V428" s="13">
        <f>S428*[1]Parametros!$B$8</f>
        <v>995</v>
      </c>
      <c r="W428" s="13">
        <f>[1]Parametros!$B$5*V428*[1]Parametros!$B$3*(U428-(V428*[1]Parametros!$B$3/(0.85*[1]Parametros!$B$2*H428))/2)/1000000</f>
        <v>177.44537938235294</v>
      </c>
      <c r="X428" s="13" t="str">
        <f t="shared" si="78"/>
        <v>CUMPLE</v>
      </c>
      <c r="Y428" s="13">
        <f>MAX(MAX(1.4/[1]Parametros!$B$3,0.25*SQRT([1]Parametros!$B$2)/[1]Parametros!$B$3)*H428*AB428,(0.85*[1]Parametros!$B$2/[1]Parametros!$B$3)*(1-SQRT(1-2*(L428*1000000/([1]Parametros!$B$5*H428*AB428^2))/(0.85*[1]Parametros!$B$2)))*H428*AB428)</f>
        <v>815.58333333333326</v>
      </c>
      <c r="Z428" s="14">
        <v>5</v>
      </c>
      <c r="AA428" s="14">
        <v>1</v>
      </c>
      <c r="AB428" s="13">
        <f>IF(AA428=1,I428-([1]Parametros!$B$7+[1]Parametros!$B$9+[1]Parametros!$B$12/2),I428-(ROUNDUP(Z428/2,0)*([1]Parametros!$B$7+[1]Parametros!$B$9+[1]Parametros!$B$12/2)+ROUNDDOWN(Z428/2,0)*([1]Parametros!$B$7+[1]Parametros!$B$9+[1]Parametros!$B$12/2+[1]Parametros!$B$12+[1]Parametros!$B$10))/Z428)</f>
        <v>489.35</v>
      </c>
      <c r="AC428" s="13">
        <f>Z428*[1]Parametros!$B$8</f>
        <v>995</v>
      </c>
      <c r="AD428" s="13">
        <f>[1]Parametros!$B$5*AC428*[1]Parametros!$B$3*(AB428-(AC428*[1]Parametros!$B$3/(0.85*[1]Parametros!$B$2*H428))/2)/1000000</f>
        <v>177.44537938235294</v>
      </c>
      <c r="AE428" s="13" t="str">
        <f t="shared" si="79"/>
        <v>CUMPLE</v>
      </c>
      <c r="AF428" s="13">
        <f>V428*1.25*[1]Parametros!$B$3*(U428-(V428*1.25*[1]Parametros!$B$3/(0.85*[1]Parametros!$B$2*H428))/2)/1000000</f>
        <v>244.15884319852941</v>
      </c>
      <c r="AG428" s="13">
        <f>AC428*1.25*[1]Parametros!$B$3*(AB428-(AC428*1.25*[1]Parametros!$B$3/(0.85*[1]Parametros!$B$2*H428))/2)/1000000</f>
        <v>244.15884319852941</v>
      </c>
      <c r="AH428" s="13">
        <f t="shared" si="80"/>
        <v>382.9658431985294</v>
      </c>
      <c r="AI428" s="13">
        <f t="shared" si="81"/>
        <v>494.13900000000001</v>
      </c>
      <c r="AJ428" s="13">
        <f>0.17*SQRT([1]Parametros!$B$2)*H428*MIN(U428,AB428)/1000</f>
        <v>220.09872869180776</v>
      </c>
      <c r="AK428" s="13">
        <f>MAX(AI428/[1]Parametros!$B$6-AJ428,0)</f>
        <v>438.75327130819221</v>
      </c>
      <c r="AL428" s="13">
        <f>0.66*SQRT([1]Parametros!$B$2)*H428*MIN(U428,AB428)/1000</f>
        <v>854.500946685842</v>
      </c>
      <c r="AM428" s="13" t="str">
        <f t="shared" si="82"/>
        <v>CUMPLE</v>
      </c>
      <c r="AN428" s="13" t="s">
        <v>68</v>
      </c>
      <c r="AO428" s="14">
        <v>2</v>
      </c>
      <c r="AP428" s="13">
        <f>ROUNDDOWN(MIN(IF(BC428+BD428=0,1000000000,AO428*BB428/(BC428+BD428)),MIN(U428,AB428)/4,8*[1]Parametros!$B$12,24*BA428,300,IF(AV428=0,1000000000,2*((H428-2*([1]Parametros!$B$7+[1]Parametros!$B$9/2))+(I428-2*([1]Parametros!$B$7+[1]Parametros!$B$9/2)))/8))/10,0)*10</f>
        <v>80</v>
      </c>
      <c r="AQ428" s="13">
        <f>ROUNDDOWN(MIN(IF(BC428+BD428=0,1000000000,AO428*BB428/(BC428+BD428)),IF(AK428&gt;0.33*SQRT([1]Parametros!$B$2)*H428*MIN(U428,AB428)/1000,MIN(U428,AB428)/4,MIN(U428,AB428)/2),600,IF(AV428=0,1000000000,2*((H428-2*([1]Parametros!$B$7+[1]Parametros!$B$9/2))+(I428-2*([1]Parametros!$B$7+[1]Parametros!$B$9/2)))/8))/10,0)*10</f>
        <v>80</v>
      </c>
      <c r="AR428" s="13">
        <f>[1]Parametros!$B$6*(AJ428+MAX(BE428-BD428,0)*[1]Parametros!$B$4*MIN(U428,AB428)/1000)</f>
        <v>547.44526132202236</v>
      </c>
      <c r="AS428" s="13" t="str">
        <f t="shared" si="83"/>
        <v>CUMPLE</v>
      </c>
      <c r="AT428" s="13">
        <f>[1]Parametros!$B$6*0.083*SQRT([1]Parametros!$B$2)*(H428*I428)^2/(2*(H428+I428))/1000000</f>
        <v>11.862178757598967</v>
      </c>
      <c r="AU428" s="13" t="str">
        <f t="shared" si="84"/>
        <v>DISEÑAR</v>
      </c>
      <c r="AV428" s="13">
        <f>IF(Q428&lt;=AT428,0,Q428*1000000/([1]Parametros!$B$6*2*0.85*(H428-2*([1]Parametros!$B$7+[1]Parametros!$B$9/2))*(I428-2*([1]Parametros!$B$7+[1]Parametros!$B$9/2))*[1]Parametros!$B$4))</f>
        <v>0.37220484071625093</v>
      </c>
      <c r="AW428" s="13">
        <f>AV428*2*((H428-2*([1]Parametros!$B$7+[1]Parametros!$B$9/2))+(I428-2*([1]Parametros!$B$7+[1]Parametros!$B$9/2)))*[1]Parametros!$B$4/[1]Parametros!$B$3</f>
        <v>643.61661056654111</v>
      </c>
      <c r="AX428" s="14">
        <v>8</v>
      </c>
      <c r="AY428" s="13" t="str">
        <f t="shared" si="85"/>
        <v>CUMPLE</v>
      </c>
      <c r="AZ428" s="13" t="str">
        <f t="shared" si="86"/>
        <v>CUMPLE</v>
      </c>
      <c r="BA428" s="14">
        <v>12.7</v>
      </c>
      <c r="BB428" s="14">
        <v>129</v>
      </c>
      <c r="BC428" s="13">
        <f>MAX(IF(AK428=0,0,AK428*1000/([1]Parametros!$B$4*MIN(U428,AB428))),MAX(0.062*SQRT([1]Parametros!$B$2)*H428/[1]Parametros!$B$4,0.35*H428/[1]Parametros!$B$4))</f>
        <v>2.1347719341409754</v>
      </c>
      <c r="BD428" s="13">
        <f t="shared" si="87"/>
        <v>0.74440968143250186</v>
      </c>
      <c r="BE428" s="13">
        <f t="shared" si="88"/>
        <v>3.2250000000000001</v>
      </c>
      <c r="BF428" s="13">
        <f>SQRT((AI428*1000/(H428*MIN(U428,AB428)))^2+(Q428*1000000*2*((H428-2*([1]Parametros!$B$7+[1]Parametros!$B$9/2))+(I428-2*([1]Parametros!$B$7+[1]Parametros!$B$9/2)))/(1.7*((H428-2*([1]Parametros!$B$7+[1]Parametros!$B$9/2))*(I428-2*([1]Parametros!$B$7+[1]Parametros!$B$9/2)))^2))^2)</f>
        <v>2.2942259857618237</v>
      </c>
      <c r="BG428" s="13">
        <f>[1]Parametros!$B$6*(AJ428*1000/(H428*MIN(U428,AB428))+0.66*SQRT([1]Parametros!$B$2))</f>
        <v>3.2939603822754151</v>
      </c>
      <c r="BH428" s="13" t="str">
        <f t="shared" si="89"/>
        <v>CUMPLE</v>
      </c>
      <c r="BI428" s="13">
        <f>AX428*[1]Parametros!$B$8</f>
        <v>1592</v>
      </c>
      <c r="BJ428" s="15" t="str">
        <f t="shared" si="90"/>
        <v>CUMPLE</v>
      </c>
    </row>
    <row r="429" spans="1:62" x14ac:dyDescent="0.3">
      <c r="A429" s="33" t="s">
        <v>76</v>
      </c>
      <c r="B429" s="34">
        <v>794</v>
      </c>
      <c r="C429" s="13">
        <v>1</v>
      </c>
      <c r="D429" s="13">
        <v>1.9</v>
      </c>
      <c r="E429" s="13">
        <v>1.9</v>
      </c>
      <c r="F429" s="13">
        <v>500</v>
      </c>
      <c r="G429" s="13">
        <v>550</v>
      </c>
      <c r="H429" s="13">
        <v>500</v>
      </c>
      <c r="I429" s="13">
        <v>550</v>
      </c>
      <c r="J429" s="14">
        <v>134.654</v>
      </c>
      <c r="K429" s="13">
        <v>794</v>
      </c>
      <c r="L429" s="14">
        <v>100.20099999999999</v>
      </c>
      <c r="M429" s="13">
        <v>794</v>
      </c>
      <c r="N429" s="14">
        <v>130.79400000000001</v>
      </c>
      <c r="O429" s="14">
        <v>454.24400000000003</v>
      </c>
      <c r="P429" s="13">
        <v>794</v>
      </c>
      <c r="Q429" s="14">
        <v>16.046500000000002</v>
      </c>
      <c r="R429" s="13">
        <f>MAX(MAX(1.4/[1]Parametros!$B$3,0.25*SQRT([1]Parametros!$B$2)/[1]Parametros!$B$3)*H429*U429,(0.85*[1]Parametros!$B$2/[1]Parametros!$B$3)*(1-SQRT(1-2*(J429*1000000/([1]Parametros!$B$5*H429*U429^2))/(0.85*[1]Parametros!$B$2)))*H429*U429)</f>
        <v>815.58333333333326</v>
      </c>
      <c r="S429" s="14">
        <v>5</v>
      </c>
      <c r="T429" s="14">
        <v>1</v>
      </c>
      <c r="U429" s="13">
        <f>IF(T429=1,I429-([1]Parametros!$B$7+[1]Parametros!$B$9+[1]Parametros!$B$12/2),I429-(ROUNDUP(S429/2,0)*([1]Parametros!$B$7+[1]Parametros!$B$9+[1]Parametros!$B$12/2)+ROUNDDOWN(S429/2,0)*([1]Parametros!$B$7+[1]Parametros!$B$9+[1]Parametros!$B$12/2+[1]Parametros!$B$12+[1]Parametros!$B$10))/S429)</f>
        <v>489.35</v>
      </c>
      <c r="V429" s="13">
        <f>S429*[1]Parametros!$B$8</f>
        <v>995</v>
      </c>
      <c r="W429" s="13">
        <f>[1]Parametros!$B$5*V429*[1]Parametros!$B$3*(U429-(V429*[1]Parametros!$B$3/(0.85*[1]Parametros!$B$2*H429))/2)/1000000</f>
        <v>177.44537938235294</v>
      </c>
      <c r="X429" s="13" t="str">
        <f t="shared" si="78"/>
        <v>CUMPLE</v>
      </c>
      <c r="Y429" s="13">
        <f>MAX(MAX(1.4/[1]Parametros!$B$3,0.25*SQRT([1]Parametros!$B$2)/[1]Parametros!$B$3)*H429*AB429,(0.85*[1]Parametros!$B$2/[1]Parametros!$B$3)*(1-SQRT(1-2*(L429*1000000/([1]Parametros!$B$5*H429*AB429^2))/(0.85*[1]Parametros!$B$2)))*H429*AB429)</f>
        <v>815.58333333333326</v>
      </c>
      <c r="Z429" s="14">
        <v>5</v>
      </c>
      <c r="AA429" s="14">
        <v>1</v>
      </c>
      <c r="AB429" s="13">
        <f>IF(AA429=1,I429-([1]Parametros!$B$7+[1]Parametros!$B$9+[1]Parametros!$B$12/2),I429-(ROUNDUP(Z429/2,0)*([1]Parametros!$B$7+[1]Parametros!$B$9+[1]Parametros!$B$12/2)+ROUNDDOWN(Z429/2,0)*([1]Parametros!$B$7+[1]Parametros!$B$9+[1]Parametros!$B$12/2+[1]Parametros!$B$12+[1]Parametros!$B$10))/Z429)</f>
        <v>489.35</v>
      </c>
      <c r="AC429" s="13">
        <f>Z429*[1]Parametros!$B$8</f>
        <v>995</v>
      </c>
      <c r="AD429" s="13">
        <f>[1]Parametros!$B$5*AC429*[1]Parametros!$B$3*(AB429-(AC429*[1]Parametros!$B$3/(0.85*[1]Parametros!$B$2*H429))/2)/1000000</f>
        <v>177.44537938235294</v>
      </c>
      <c r="AE429" s="13" t="str">
        <f t="shared" si="79"/>
        <v>CUMPLE</v>
      </c>
      <c r="AF429" s="13">
        <f>V429*1.25*[1]Parametros!$B$3*(U429-(V429*1.25*[1]Parametros!$B$3/(0.85*[1]Parametros!$B$2*H429))/2)/1000000</f>
        <v>244.15884319852941</v>
      </c>
      <c r="AG429" s="13">
        <f>AC429*1.25*[1]Parametros!$B$3*(AB429-(AC429*1.25*[1]Parametros!$B$3/(0.85*[1]Parametros!$B$2*H429))/2)/1000000</f>
        <v>244.15884319852941</v>
      </c>
      <c r="AH429" s="13">
        <f t="shared" si="80"/>
        <v>387.80330863003098</v>
      </c>
      <c r="AI429" s="13">
        <f t="shared" si="81"/>
        <v>454.24400000000003</v>
      </c>
      <c r="AJ429" s="13">
        <f>0.17*SQRT([1]Parametros!$B$2)*H429*MIN(U429,AB429)/1000</f>
        <v>220.09872869180776</v>
      </c>
      <c r="AK429" s="13">
        <f>MAX(AI429/[1]Parametros!$B$6-AJ429,0)</f>
        <v>385.55993797485894</v>
      </c>
      <c r="AL429" s="13">
        <f>0.66*SQRT([1]Parametros!$B$2)*H429*MIN(U429,AB429)/1000</f>
        <v>854.500946685842</v>
      </c>
      <c r="AM429" s="13" t="str">
        <f t="shared" si="82"/>
        <v>CUMPLE</v>
      </c>
      <c r="AN429" s="13" t="s">
        <v>68</v>
      </c>
      <c r="AO429" s="14">
        <v>2</v>
      </c>
      <c r="AP429" s="13">
        <f>ROUNDDOWN(MIN(IF(BC429+BD429=0,1000000000,AO429*BB429/(BC429+BD429)),MIN(U429,AB429)/4,8*[1]Parametros!$B$12,24*BA429,300,IF(AV429=0,1000000000,2*((H429-2*([1]Parametros!$B$7+[1]Parametros!$B$9/2))+(I429-2*([1]Parametros!$B$7+[1]Parametros!$B$9/2)))/8))/10,0)*10</f>
        <v>110</v>
      </c>
      <c r="AQ429" s="13">
        <f>ROUNDDOWN(MIN(IF(BC429+BD429=0,1000000000,AO429*BB429/(BC429+BD429)),IF(AK429&gt;0.33*SQRT([1]Parametros!$B$2)*H429*MIN(U429,AB429)/1000,MIN(U429,AB429)/4,MIN(U429,AB429)/2),600,IF(AV429=0,1000000000,2*((H429-2*([1]Parametros!$B$7+[1]Parametros!$B$9/2))+(I429-2*([1]Parametros!$B$7+[1]Parametros!$B$9/2)))/8))/10,0)*10</f>
        <v>110</v>
      </c>
      <c r="AR429" s="13">
        <f>[1]Parametros!$B$6*(AJ429+MAX(BE429-BD429,0)*[1]Parametros!$B$4*MIN(U429,AB429)/1000)</f>
        <v>477.01658541515718</v>
      </c>
      <c r="AS429" s="13" t="str">
        <f t="shared" si="83"/>
        <v>CUMPLE</v>
      </c>
      <c r="AT429" s="13">
        <f>[1]Parametros!$B$6*0.083*SQRT([1]Parametros!$B$2)*(H429*I429)^2/(2*(H429+I429))/1000000</f>
        <v>11.862178757598967</v>
      </c>
      <c r="AU429" s="13" t="str">
        <f t="shared" si="84"/>
        <v>DISEÑAR</v>
      </c>
      <c r="AV429" s="13">
        <f>IF(Q429&lt;=AT429,0,Q429*1000000/([1]Parametros!$B$6*2*0.85*(H429-2*([1]Parametros!$B$7+[1]Parametros!$B$9/2))*(I429-2*([1]Parametros!$B$7+[1]Parametros!$B$9/2))*[1]Parametros!$B$4))</f>
        <v>0.16088117660591533</v>
      </c>
      <c r="AW429" s="13">
        <f>AV429*2*((H429-2*([1]Parametros!$B$7+[1]Parametros!$B$9/2))+(I429-2*([1]Parametros!$B$7+[1]Parametros!$B$9/2)))*[1]Parametros!$B$4/[1]Parametros!$B$3</f>
        <v>278.1957305869488</v>
      </c>
      <c r="AX429" s="14">
        <v>8</v>
      </c>
      <c r="AY429" s="13" t="str">
        <f t="shared" si="85"/>
        <v>CUMPLE</v>
      </c>
      <c r="AZ429" s="13" t="str">
        <f t="shared" si="86"/>
        <v>CUMPLE</v>
      </c>
      <c r="BA429" s="14">
        <v>12.7</v>
      </c>
      <c r="BB429" s="14">
        <v>129</v>
      </c>
      <c r="BC429" s="13">
        <f>MAX(IF(AK429=0,0,AK429*1000/([1]Parametros!$B$4*MIN(U429,AB429))),MAX(0.062*SQRT([1]Parametros!$B$2)*H429/[1]Parametros!$B$4,0.35*H429/[1]Parametros!$B$4))</f>
        <v>1.8759576015553134</v>
      </c>
      <c r="BD429" s="13">
        <f t="shared" si="87"/>
        <v>0.32176235321183067</v>
      </c>
      <c r="BE429" s="13">
        <f t="shared" si="88"/>
        <v>2.3454545454545452</v>
      </c>
      <c r="BF429" s="13">
        <f>SQRT((AI429*1000/(H429*MIN(U429,AB429)))^2+(Q429*1000000*2*((H429-2*([1]Parametros!$B$7+[1]Parametros!$B$9/2))+(I429-2*([1]Parametros!$B$7+[1]Parametros!$B$9/2)))/(1.7*((H429-2*([1]Parametros!$B$7+[1]Parametros!$B$9/2))*(I429-2*([1]Parametros!$B$7+[1]Parametros!$B$9/2)))^2))^2)</f>
        <v>1.915208027614042</v>
      </c>
      <c r="BG429" s="13">
        <f>[1]Parametros!$B$6*(AJ429*1000/(H429*MIN(U429,AB429))+0.66*SQRT([1]Parametros!$B$2))</f>
        <v>3.2939603822754151</v>
      </c>
      <c r="BH429" s="13" t="str">
        <f t="shared" si="89"/>
        <v>CUMPLE</v>
      </c>
      <c r="BI429" s="13">
        <f>AX429*[1]Parametros!$B$8</f>
        <v>1592</v>
      </c>
      <c r="BJ429" s="15" t="str">
        <f t="shared" si="90"/>
        <v>CUMPLE</v>
      </c>
    </row>
    <row r="430" spans="1:62" x14ac:dyDescent="0.3">
      <c r="A430" s="33" t="s">
        <v>76</v>
      </c>
      <c r="B430" s="34">
        <v>795</v>
      </c>
      <c r="C430" s="13">
        <v>1</v>
      </c>
      <c r="D430" s="13">
        <v>3.57612</v>
      </c>
      <c r="E430" s="13">
        <v>3.57612</v>
      </c>
      <c r="F430" s="13">
        <v>500</v>
      </c>
      <c r="G430" s="13">
        <v>550</v>
      </c>
      <c r="H430" s="13">
        <v>500</v>
      </c>
      <c r="I430" s="13">
        <v>550</v>
      </c>
      <c r="J430" s="14">
        <v>153.06659999999999</v>
      </c>
      <c r="K430" s="13">
        <v>795</v>
      </c>
      <c r="L430" s="14">
        <v>88.241600000000005</v>
      </c>
      <c r="M430" s="13">
        <v>795</v>
      </c>
      <c r="N430" s="14">
        <v>118.384</v>
      </c>
      <c r="O430" s="14">
        <v>325.822</v>
      </c>
      <c r="P430" s="13">
        <v>795</v>
      </c>
      <c r="Q430" s="14">
        <v>5.6242000000000001</v>
      </c>
      <c r="R430" s="13">
        <f>MAX(MAX(1.4/[1]Parametros!$B$3,0.25*SQRT([1]Parametros!$B$2)/[1]Parametros!$B$3)*H430*U430,(0.85*[1]Parametros!$B$2/[1]Parametros!$B$3)*(1-SQRT(1-2*(J430*1000000/([1]Parametros!$B$5*H430*U430^2))/(0.85*[1]Parametros!$B$2)))*H430*U430)</f>
        <v>853.78980885304293</v>
      </c>
      <c r="S430" s="14">
        <v>5</v>
      </c>
      <c r="T430" s="14">
        <v>1</v>
      </c>
      <c r="U430" s="13">
        <f>IF(T430=1,I430-([1]Parametros!$B$7+[1]Parametros!$B$9+[1]Parametros!$B$12/2),I430-(ROUNDUP(S430/2,0)*([1]Parametros!$B$7+[1]Parametros!$B$9+[1]Parametros!$B$12/2)+ROUNDDOWN(S430/2,0)*([1]Parametros!$B$7+[1]Parametros!$B$9+[1]Parametros!$B$12/2+[1]Parametros!$B$12+[1]Parametros!$B$10))/S430)</f>
        <v>489.35</v>
      </c>
      <c r="V430" s="13">
        <f>S430*[1]Parametros!$B$8</f>
        <v>995</v>
      </c>
      <c r="W430" s="13">
        <f>[1]Parametros!$B$5*V430*[1]Parametros!$B$3*(U430-(V430*[1]Parametros!$B$3/(0.85*[1]Parametros!$B$2*H430))/2)/1000000</f>
        <v>177.44537938235294</v>
      </c>
      <c r="X430" s="13" t="str">
        <f t="shared" si="78"/>
        <v>CUMPLE</v>
      </c>
      <c r="Y430" s="13">
        <f>MAX(MAX(1.4/[1]Parametros!$B$3,0.25*SQRT([1]Parametros!$B$2)/[1]Parametros!$B$3)*H430*AB430,(0.85*[1]Parametros!$B$2/[1]Parametros!$B$3)*(1-SQRT(1-2*(L430*1000000/([1]Parametros!$B$5*H430*AB430^2))/(0.85*[1]Parametros!$B$2)))*H430*AB430)</f>
        <v>815.58333333333326</v>
      </c>
      <c r="Z430" s="14">
        <v>5</v>
      </c>
      <c r="AA430" s="14">
        <v>1</v>
      </c>
      <c r="AB430" s="13">
        <f>IF(AA430=1,I430-([1]Parametros!$B$7+[1]Parametros!$B$9+[1]Parametros!$B$12/2),I430-(ROUNDUP(Z430/2,0)*([1]Parametros!$B$7+[1]Parametros!$B$9+[1]Parametros!$B$12/2)+ROUNDDOWN(Z430/2,0)*([1]Parametros!$B$7+[1]Parametros!$B$9+[1]Parametros!$B$12/2+[1]Parametros!$B$12+[1]Parametros!$B$10))/Z430)</f>
        <v>489.35</v>
      </c>
      <c r="AC430" s="13">
        <f>Z430*[1]Parametros!$B$8</f>
        <v>995</v>
      </c>
      <c r="AD430" s="13">
        <f>[1]Parametros!$B$5*AC430*[1]Parametros!$B$3*(AB430-(AC430*[1]Parametros!$B$3/(0.85*[1]Parametros!$B$2*H430))/2)/1000000</f>
        <v>177.44537938235294</v>
      </c>
      <c r="AE430" s="13" t="str">
        <f t="shared" si="79"/>
        <v>CUMPLE</v>
      </c>
      <c r="AF430" s="13">
        <f>V430*1.25*[1]Parametros!$B$3*(U430-(V430*1.25*[1]Parametros!$B$3/(0.85*[1]Parametros!$B$2*H430))/2)/1000000</f>
        <v>244.15884319852941</v>
      </c>
      <c r="AG430" s="13">
        <f>AC430*1.25*[1]Parametros!$B$3*(AB430-(AC430*1.25*[1]Parametros!$B$3/(0.85*[1]Parametros!$B$2*H430))/2)/1000000</f>
        <v>244.15884319852941</v>
      </c>
      <c r="AH430" s="13">
        <f t="shared" si="80"/>
        <v>254.93358066201887</v>
      </c>
      <c r="AI430" s="13">
        <f t="shared" si="81"/>
        <v>325.822</v>
      </c>
      <c r="AJ430" s="13">
        <f>0.17*SQRT([1]Parametros!$B$2)*H430*MIN(U430,AB430)/1000</f>
        <v>220.09872869180776</v>
      </c>
      <c r="AK430" s="13">
        <f>MAX(AI430/[1]Parametros!$B$6-AJ430,0)</f>
        <v>214.33060464152555</v>
      </c>
      <c r="AL430" s="13">
        <f>0.66*SQRT([1]Parametros!$B$2)*H430*MIN(U430,AB430)/1000</f>
        <v>854.500946685842</v>
      </c>
      <c r="AM430" s="13" t="str">
        <f t="shared" si="82"/>
        <v>CUMPLE</v>
      </c>
      <c r="AN430" s="13" t="s">
        <v>64</v>
      </c>
      <c r="AO430" s="14">
        <v>2</v>
      </c>
      <c r="AP430" s="13">
        <f>ROUNDDOWN(MIN(IF(BC430+BD430=0,1000000000,AO430*BB430/(BC430+BD430)),MIN(U430,AB430)/4,8*[1]Parametros!$B$12,24*BA430,300,IF(AV430=0,1000000000,2*((H430-2*([1]Parametros!$B$7+[1]Parametros!$B$9/2))+(I430-2*([1]Parametros!$B$7+[1]Parametros!$B$9/2)))/8))/10,0)*10</f>
        <v>120</v>
      </c>
      <c r="AQ430" s="13">
        <f>ROUNDDOWN(MIN(IF(BC430+BD430=0,1000000000,AO430*BB430/(BC430+BD430)),IF(AK430&gt;0.33*SQRT([1]Parametros!$B$2)*H430*MIN(U430,AB430)/1000,MIN(U430,AB430)/4,MIN(U430,AB430)/2),600,IF(AV430=0,1000000000,2*((H430-2*([1]Parametros!$B$7+[1]Parametros!$B$9/2))+(I430-2*([1]Parametros!$B$7+[1]Parametros!$B$9/2)))/8))/10,0)*10</f>
        <v>130</v>
      </c>
      <c r="AR430" s="13">
        <f>[1]Parametros!$B$6*(AJ430+MAX(BE430-BD430,0)*[1]Parametros!$B$4*MIN(U430,AB430)/1000)</f>
        <v>347.47925901885583</v>
      </c>
      <c r="AS430" s="13" t="str">
        <f t="shared" si="83"/>
        <v>CUMPLE</v>
      </c>
      <c r="AT430" s="13">
        <f>[1]Parametros!$B$6*0.083*SQRT([1]Parametros!$B$2)*(H430*I430)^2/(2*(H430+I430))/1000000</f>
        <v>11.862178757598967</v>
      </c>
      <c r="AU430" s="13" t="str">
        <f t="shared" si="84"/>
        <v>DESPRECIABLE</v>
      </c>
      <c r="AV430" s="13">
        <f>IF(Q430&lt;=AT430,0,Q430*1000000/([1]Parametros!$B$6*2*0.85*(H430-2*([1]Parametros!$B$7+[1]Parametros!$B$9/2))*(I430-2*([1]Parametros!$B$7+[1]Parametros!$B$9/2))*[1]Parametros!$B$4))</f>
        <v>0</v>
      </c>
      <c r="AW430" s="13">
        <f>AV430*2*((H430-2*([1]Parametros!$B$7+[1]Parametros!$B$9/2))+(I430-2*([1]Parametros!$B$7+[1]Parametros!$B$9/2)))*[1]Parametros!$B$4/[1]Parametros!$B$3</f>
        <v>0</v>
      </c>
      <c r="AX430" s="14">
        <v>0</v>
      </c>
      <c r="AY430" s="13" t="str">
        <f t="shared" si="85"/>
        <v>DESPRECIABLE</v>
      </c>
      <c r="AZ430" s="13" t="str">
        <f t="shared" si="86"/>
        <v>CUMPLE</v>
      </c>
      <c r="BA430" s="14">
        <v>9.5</v>
      </c>
      <c r="BB430" s="14">
        <v>71</v>
      </c>
      <c r="BC430" s="13">
        <f>MAX(IF(AK430=0,0,AK430*1000/([1]Parametros!$B$4*MIN(U430,AB430))),MAX(0.062*SQRT([1]Parametros!$B$2)*H430/[1]Parametros!$B$4,0.35*H430/[1]Parametros!$B$4))</f>
        <v>1.0428342973990061</v>
      </c>
      <c r="BD430" s="13">
        <f t="shared" si="87"/>
        <v>0</v>
      </c>
      <c r="BE430" s="13">
        <f t="shared" si="88"/>
        <v>1.1833333333333333</v>
      </c>
      <c r="BF430" s="13">
        <f>SQRT((AI430*1000/(H430*MIN(U430,AB430)))^2+(Q430*1000000*2*((H430-2*([1]Parametros!$B$7+[1]Parametros!$B$9/2))+(I430-2*([1]Parametros!$B$7+[1]Parametros!$B$9/2)))/(1.7*((H430-2*([1]Parametros!$B$7+[1]Parametros!$B$9/2))*(I430-2*([1]Parametros!$B$7+[1]Parametros!$B$9/2)))^2))^2)</f>
        <v>1.3418234677679568</v>
      </c>
      <c r="BG430" s="13">
        <f>[1]Parametros!$B$6*(AJ430*1000/(H430*MIN(U430,AB430))+0.66*SQRT([1]Parametros!$B$2))</f>
        <v>3.2939603822754151</v>
      </c>
      <c r="BH430" s="13" t="str">
        <f t="shared" si="89"/>
        <v>CUMPLE</v>
      </c>
      <c r="BI430" s="13">
        <f>AX430*[1]Parametros!$B$8</f>
        <v>0</v>
      </c>
      <c r="BJ430" s="15" t="str">
        <f t="shared" si="90"/>
        <v>CUMPLE</v>
      </c>
    </row>
    <row r="431" spans="1:62" x14ac:dyDescent="0.3">
      <c r="A431" s="33" t="s">
        <v>76</v>
      </c>
      <c r="B431" s="34">
        <v>796</v>
      </c>
      <c r="C431" s="13">
        <v>1</v>
      </c>
      <c r="D431" s="13">
        <v>2.1</v>
      </c>
      <c r="E431" s="13">
        <v>2.1</v>
      </c>
      <c r="F431" s="13">
        <v>500</v>
      </c>
      <c r="G431" s="13">
        <v>550</v>
      </c>
      <c r="H431" s="13">
        <v>500</v>
      </c>
      <c r="I431" s="13">
        <v>550</v>
      </c>
      <c r="J431" s="14">
        <v>182.74780000000001</v>
      </c>
      <c r="K431" s="13">
        <v>796</v>
      </c>
      <c r="L431" s="14">
        <v>141.6155</v>
      </c>
      <c r="M431" s="13">
        <v>796</v>
      </c>
      <c r="N431" s="14">
        <v>161.71199999999999</v>
      </c>
      <c r="O431" s="14">
        <v>493.62599999999998</v>
      </c>
      <c r="P431" s="13">
        <v>796</v>
      </c>
      <c r="Q431" s="14">
        <v>56.598199999999999</v>
      </c>
      <c r="R431" s="13">
        <f>MAX(MAX(1.4/[1]Parametros!$B$3,0.25*SQRT([1]Parametros!$B$2)/[1]Parametros!$B$3)*H431*U431,(0.85*[1]Parametros!$B$2/[1]Parametros!$B$3)*(1-SQRT(1-2*(J431*1000000/([1]Parametros!$B$5*H431*U431^2))/(0.85*[1]Parametros!$B$2)))*H431*U431)</f>
        <v>1025.9190617175257</v>
      </c>
      <c r="S431" s="14">
        <v>6</v>
      </c>
      <c r="T431" s="14">
        <v>1</v>
      </c>
      <c r="U431" s="13">
        <f>IF(T431=1,I431-([1]Parametros!$B$7+[1]Parametros!$B$9+[1]Parametros!$B$12/2),I431-(ROUNDUP(S431/2,0)*([1]Parametros!$B$7+[1]Parametros!$B$9+[1]Parametros!$B$12/2)+ROUNDDOWN(S431/2,0)*([1]Parametros!$B$7+[1]Parametros!$B$9+[1]Parametros!$B$12/2+[1]Parametros!$B$12+[1]Parametros!$B$10))/S431)</f>
        <v>489.35</v>
      </c>
      <c r="V431" s="13">
        <f>S431*[1]Parametros!$B$8</f>
        <v>1194</v>
      </c>
      <c r="W431" s="13">
        <f>[1]Parametros!$B$5*V431*[1]Parametros!$B$3*(U431-(V431*[1]Parametros!$B$3/(0.85*[1]Parametros!$B$2*H431))/2)/1000000</f>
        <v>211.34948347058827</v>
      </c>
      <c r="X431" s="13" t="str">
        <f t="shared" si="78"/>
        <v>CUMPLE</v>
      </c>
      <c r="Y431" s="13">
        <f>MAX(MAX(1.4/[1]Parametros!$B$3,0.25*SQRT([1]Parametros!$B$2)/[1]Parametros!$B$3)*H431*AB431,(0.85*[1]Parametros!$B$2/[1]Parametros!$B$3)*(1-SQRT(1-2*(L431*1000000/([1]Parametros!$B$5*H431*AB431^2))/(0.85*[1]Parametros!$B$2)))*H431*AB431)</f>
        <v>815.58333333333326</v>
      </c>
      <c r="Z431" s="14">
        <v>5</v>
      </c>
      <c r="AA431" s="14">
        <v>1</v>
      </c>
      <c r="AB431" s="13">
        <f>IF(AA431=1,I431-([1]Parametros!$B$7+[1]Parametros!$B$9+[1]Parametros!$B$12/2),I431-(ROUNDUP(Z431/2,0)*([1]Parametros!$B$7+[1]Parametros!$B$9+[1]Parametros!$B$12/2)+ROUNDDOWN(Z431/2,0)*([1]Parametros!$B$7+[1]Parametros!$B$9+[1]Parametros!$B$12/2+[1]Parametros!$B$12+[1]Parametros!$B$10))/Z431)</f>
        <v>489.35</v>
      </c>
      <c r="AC431" s="13">
        <f>Z431*[1]Parametros!$B$8</f>
        <v>995</v>
      </c>
      <c r="AD431" s="13">
        <f>[1]Parametros!$B$5*AC431*[1]Parametros!$B$3*(AB431-(AC431*[1]Parametros!$B$3/(0.85*[1]Parametros!$B$2*H431))/2)/1000000</f>
        <v>177.44537938235294</v>
      </c>
      <c r="AE431" s="13" t="str">
        <f t="shared" si="79"/>
        <v>CUMPLE</v>
      </c>
      <c r="AF431" s="13">
        <f>V431*1.25*[1]Parametros!$B$3*(U431-(V431*1.25*[1]Parametros!$B$3/(0.85*[1]Parametros!$B$2*H431))/2)/1000000</f>
        <v>290.23892470588237</v>
      </c>
      <c r="AG431" s="13">
        <f>AC431*1.25*[1]Parametros!$B$3*(AB431-(AC431*1.25*[1]Parametros!$B$3/(0.85*[1]Parametros!$B$2*H431))/2)/1000000</f>
        <v>244.15884319852941</v>
      </c>
      <c r="AH431" s="13">
        <f t="shared" si="80"/>
        <v>416.18712757352944</v>
      </c>
      <c r="AI431" s="13">
        <f t="shared" si="81"/>
        <v>493.62599999999998</v>
      </c>
      <c r="AJ431" s="13">
        <f>0.17*SQRT([1]Parametros!$B$2)*H431*MIN(U431,AB431)/1000</f>
        <v>220.09872869180776</v>
      </c>
      <c r="AK431" s="13">
        <f>MAX(AI431/[1]Parametros!$B$6-AJ431,0)</f>
        <v>438.06927130819224</v>
      </c>
      <c r="AL431" s="13">
        <f>0.66*SQRT([1]Parametros!$B$2)*H431*MIN(U431,AB431)/1000</f>
        <v>854.500946685842</v>
      </c>
      <c r="AM431" s="13" t="str">
        <f t="shared" si="82"/>
        <v>CUMPLE</v>
      </c>
      <c r="AN431" s="13" t="s">
        <v>64</v>
      </c>
      <c r="AO431" s="14">
        <v>4</v>
      </c>
      <c r="AP431" s="13">
        <f>ROUNDDOWN(MIN(IF(BC431+BD431=0,1000000000,AO431*BB431/(BC431+BD431)),MIN(U431,AB431)/4,8*[1]Parametros!$B$12,24*BA431,300,IF(AV431=0,1000000000,2*((H431-2*([1]Parametros!$B$7+[1]Parametros!$B$9/2))+(I431-2*([1]Parametros!$B$7+[1]Parametros!$B$9/2)))/8))/10,0)*10</f>
        <v>80</v>
      </c>
      <c r="AQ431" s="13">
        <f>ROUNDDOWN(MIN(IF(BC431+BD431=0,1000000000,AO431*BB431/(BC431+BD431)),IF(AK431&gt;0.33*SQRT([1]Parametros!$B$2)*H431*MIN(U431,AB431)/1000,MIN(U431,AB431)/4,MIN(U431,AB431)/2),600,IF(AV431=0,1000000000,2*((H431-2*([1]Parametros!$B$7+[1]Parametros!$B$9/2))+(I431-2*([1]Parametros!$B$7+[1]Parametros!$B$9/2)))/8))/10,0)*10</f>
        <v>80</v>
      </c>
      <c r="AR431" s="13">
        <f>[1]Parametros!$B$6*(AJ431+MAX(BE431-BD431,0)*[1]Parametros!$B$4*MIN(U431,AB431)/1000)</f>
        <v>537.35026698357524</v>
      </c>
      <c r="AS431" s="13" t="str">
        <f t="shared" si="83"/>
        <v>CUMPLE</v>
      </c>
      <c r="AT431" s="13">
        <f>[1]Parametros!$B$6*0.083*SQRT([1]Parametros!$B$2)*(H431*I431)^2/(2*(H431+I431))/1000000</f>
        <v>11.862178757598967</v>
      </c>
      <c r="AU431" s="13" t="str">
        <f t="shared" si="84"/>
        <v>DISEÑAR</v>
      </c>
      <c r="AV431" s="13">
        <f>IF(Q431&lt;=AT431,0,Q431*1000000/([1]Parametros!$B$6*2*0.85*(H431-2*([1]Parametros!$B$7+[1]Parametros!$B$9/2))*(I431-2*([1]Parametros!$B$7+[1]Parametros!$B$9/2))*[1]Parametros!$B$4))</f>
        <v>0.56744991180487425</v>
      </c>
      <c r="AW431" s="13">
        <f>AV431*2*((H431-2*([1]Parametros!$B$7+[1]Parametros!$B$9/2))+(I431-2*([1]Parametros!$B$7+[1]Parametros!$B$9/2)))*[1]Parametros!$B$4/[1]Parametros!$B$3</f>
        <v>981.23438749298862</v>
      </c>
      <c r="AX431" s="14">
        <v>8</v>
      </c>
      <c r="AY431" s="13" t="str">
        <f t="shared" si="85"/>
        <v>CUMPLE</v>
      </c>
      <c r="AZ431" s="13" t="str">
        <f t="shared" si="86"/>
        <v>CUMPLE</v>
      </c>
      <c r="BA431" s="14">
        <v>9.5</v>
      </c>
      <c r="BB431" s="14">
        <v>71</v>
      </c>
      <c r="BC431" s="13">
        <f>MAX(IF(AK431=0,0,AK431*1000/([1]Parametros!$B$4*MIN(U431,AB431))),MAX(0.062*SQRT([1]Parametros!$B$2)*H431/[1]Parametros!$B$4,0.35*H431/[1]Parametros!$B$4))</f>
        <v>2.1314439042470927</v>
      </c>
      <c r="BD431" s="13">
        <f t="shared" si="87"/>
        <v>1.1348998236097485</v>
      </c>
      <c r="BE431" s="13">
        <f t="shared" si="88"/>
        <v>3.55</v>
      </c>
      <c r="BF431" s="13">
        <f>SQRT((AI431*1000/(H431*MIN(U431,AB431)))^2+(Q431*1000000*2*((H431-2*([1]Parametros!$B$7+[1]Parametros!$B$9/2))+(I431-2*([1]Parametros!$B$7+[1]Parametros!$B$9/2)))/(1.7*((H431-2*([1]Parametros!$B$7+[1]Parametros!$B$9/2))*(I431-2*([1]Parametros!$B$7+[1]Parametros!$B$9/2)))^2))^2)</f>
        <v>2.6122843396990243</v>
      </c>
      <c r="BG431" s="13">
        <f>[1]Parametros!$B$6*(AJ431*1000/(H431*MIN(U431,AB431))+0.66*SQRT([1]Parametros!$B$2))</f>
        <v>3.2939603822754151</v>
      </c>
      <c r="BH431" s="13" t="str">
        <f t="shared" si="89"/>
        <v>CUMPLE</v>
      </c>
      <c r="BI431" s="13">
        <f>AX431*[1]Parametros!$B$8</f>
        <v>1592</v>
      </c>
      <c r="BJ431" s="15" t="str">
        <f t="shared" si="90"/>
        <v>CUMPLE</v>
      </c>
    </row>
    <row r="432" spans="1:62" x14ac:dyDescent="0.3">
      <c r="A432" s="33" t="s">
        <v>76</v>
      </c>
      <c r="B432" s="34">
        <v>797</v>
      </c>
      <c r="C432" s="13">
        <v>1</v>
      </c>
      <c r="D432" s="13">
        <v>2.2000000000000002</v>
      </c>
      <c r="E432" s="13">
        <v>2.2000000000000002</v>
      </c>
      <c r="F432" s="13">
        <v>500</v>
      </c>
      <c r="G432" s="13">
        <v>550</v>
      </c>
      <c r="H432" s="13">
        <v>500</v>
      </c>
      <c r="I432" s="13">
        <v>550</v>
      </c>
      <c r="J432" s="14">
        <v>183.637</v>
      </c>
      <c r="K432" s="13">
        <v>797</v>
      </c>
      <c r="L432" s="14">
        <v>140.12960000000001</v>
      </c>
      <c r="M432" s="13">
        <v>797</v>
      </c>
      <c r="N432" s="14">
        <v>158.74799999999999</v>
      </c>
      <c r="O432" s="14">
        <v>480.70100000000002</v>
      </c>
      <c r="P432" s="13">
        <v>797</v>
      </c>
      <c r="Q432" s="14">
        <v>54.720199999999998</v>
      </c>
      <c r="R432" s="13">
        <f>MAX(MAX(1.4/[1]Parametros!$B$3,0.25*SQRT([1]Parametros!$B$2)/[1]Parametros!$B$3)*H432*U432,(0.85*[1]Parametros!$B$2/[1]Parametros!$B$3)*(1-SQRT(1-2*(J432*1000000/([1]Parametros!$B$5*H432*U432^2))/(0.85*[1]Parametros!$B$2)))*H432*U432)</f>
        <v>1031.1113887068925</v>
      </c>
      <c r="S432" s="14">
        <v>6</v>
      </c>
      <c r="T432" s="14">
        <v>1</v>
      </c>
      <c r="U432" s="13">
        <f>IF(T432=1,I432-([1]Parametros!$B$7+[1]Parametros!$B$9+[1]Parametros!$B$12/2),I432-(ROUNDUP(S432/2,0)*([1]Parametros!$B$7+[1]Parametros!$B$9+[1]Parametros!$B$12/2)+ROUNDDOWN(S432/2,0)*([1]Parametros!$B$7+[1]Parametros!$B$9+[1]Parametros!$B$12/2+[1]Parametros!$B$12+[1]Parametros!$B$10))/S432)</f>
        <v>489.35</v>
      </c>
      <c r="V432" s="13">
        <f>S432*[1]Parametros!$B$8</f>
        <v>1194</v>
      </c>
      <c r="W432" s="13">
        <f>[1]Parametros!$B$5*V432*[1]Parametros!$B$3*(U432-(V432*[1]Parametros!$B$3/(0.85*[1]Parametros!$B$2*H432))/2)/1000000</f>
        <v>211.34948347058827</v>
      </c>
      <c r="X432" s="13" t="str">
        <f t="shared" si="78"/>
        <v>CUMPLE</v>
      </c>
      <c r="Y432" s="13">
        <f>MAX(MAX(1.4/[1]Parametros!$B$3,0.25*SQRT([1]Parametros!$B$2)/[1]Parametros!$B$3)*H432*AB432,(0.85*[1]Parametros!$B$2/[1]Parametros!$B$3)*(1-SQRT(1-2*(L432*1000000/([1]Parametros!$B$5*H432*AB432^2))/(0.85*[1]Parametros!$B$2)))*H432*AB432)</f>
        <v>815.58333333333326</v>
      </c>
      <c r="Z432" s="14">
        <v>5</v>
      </c>
      <c r="AA432" s="14">
        <v>1</v>
      </c>
      <c r="AB432" s="13">
        <f>IF(AA432=1,I432-([1]Parametros!$B$7+[1]Parametros!$B$9+[1]Parametros!$B$12/2),I432-(ROUNDUP(Z432/2,0)*([1]Parametros!$B$7+[1]Parametros!$B$9+[1]Parametros!$B$12/2)+ROUNDDOWN(Z432/2,0)*([1]Parametros!$B$7+[1]Parametros!$B$9+[1]Parametros!$B$12/2+[1]Parametros!$B$12+[1]Parametros!$B$10))/Z432)</f>
        <v>489.35</v>
      </c>
      <c r="AC432" s="13">
        <f>Z432*[1]Parametros!$B$8</f>
        <v>995</v>
      </c>
      <c r="AD432" s="13">
        <f>[1]Parametros!$B$5*AC432*[1]Parametros!$B$3*(AB432-(AC432*[1]Parametros!$B$3/(0.85*[1]Parametros!$B$2*H432))/2)/1000000</f>
        <v>177.44537938235294</v>
      </c>
      <c r="AE432" s="13" t="str">
        <f t="shared" si="79"/>
        <v>CUMPLE</v>
      </c>
      <c r="AF432" s="13">
        <f>V432*1.25*[1]Parametros!$B$3*(U432-(V432*1.25*[1]Parametros!$B$3/(0.85*[1]Parametros!$B$2*H432))/2)/1000000</f>
        <v>290.23892470588237</v>
      </c>
      <c r="AG432" s="13">
        <f>AC432*1.25*[1]Parametros!$B$3*(AB432-(AC432*1.25*[1]Parametros!$B$3/(0.85*[1]Parametros!$B$2*H432))/2)/1000000</f>
        <v>244.15884319852941</v>
      </c>
      <c r="AH432" s="13">
        <f t="shared" si="80"/>
        <v>401.65607632018714</v>
      </c>
      <c r="AI432" s="13">
        <f t="shared" si="81"/>
        <v>480.70100000000002</v>
      </c>
      <c r="AJ432" s="13">
        <f>0.17*SQRT([1]Parametros!$B$2)*H432*MIN(U432,AB432)/1000</f>
        <v>220.09872869180776</v>
      </c>
      <c r="AK432" s="13">
        <f>MAX(AI432/[1]Parametros!$B$6-AJ432,0)</f>
        <v>420.83593797485889</v>
      </c>
      <c r="AL432" s="13">
        <f>0.66*SQRT([1]Parametros!$B$2)*H432*MIN(U432,AB432)/1000</f>
        <v>854.500946685842</v>
      </c>
      <c r="AM432" s="13" t="str">
        <f t="shared" si="82"/>
        <v>CUMPLE</v>
      </c>
      <c r="AN432" s="13" t="s">
        <v>68</v>
      </c>
      <c r="AO432" s="14">
        <v>2</v>
      </c>
      <c r="AP432" s="13">
        <f>ROUNDDOWN(MIN(IF(BC432+BD432=0,1000000000,AO432*BB432/(BC432+BD432)),MIN(U432,AB432)/4,8*[1]Parametros!$B$12,24*BA432,300,IF(AV432=0,1000000000,2*((H432-2*([1]Parametros!$B$7+[1]Parametros!$B$9/2))+(I432-2*([1]Parametros!$B$7+[1]Parametros!$B$9/2)))/8))/10,0)*10</f>
        <v>80</v>
      </c>
      <c r="AQ432" s="13">
        <f>ROUNDDOWN(MIN(IF(BC432+BD432=0,1000000000,AO432*BB432/(BC432+BD432)),IF(AK432&gt;0.33*SQRT([1]Parametros!$B$2)*H432*MIN(U432,AB432)/1000,MIN(U432,AB432)/4,MIN(U432,AB432)/2),600,IF(AV432=0,1000000000,2*((H432-2*([1]Parametros!$B$7+[1]Parametros!$B$9/2))+(I432-2*([1]Parametros!$B$7+[1]Parametros!$B$9/2)))/8))/10,0)*10</f>
        <v>80</v>
      </c>
      <c r="AR432" s="13">
        <f>[1]Parametros!$B$6*(AJ432+MAX(BE432-BD432,0)*[1]Parametros!$B$4*MIN(U432,AB432)/1000)</f>
        <v>493.05777228256903</v>
      </c>
      <c r="AS432" s="13" t="str">
        <f t="shared" si="83"/>
        <v>CUMPLE</v>
      </c>
      <c r="AT432" s="13">
        <f>[1]Parametros!$B$6*0.083*SQRT([1]Parametros!$B$2)*(H432*I432)^2/(2*(H432+I432))/1000000</f>
        <v>11.862178757598967</v>
      </c>
      <c r="AU432" s="13" t="str">
        <f t="shared" si="84"/>
        <v>DISEÑAR</v>
      </c>
      <c r="AV432" s="13">
        <f>IF(Q432&lt;=AT432,0,Q432*1000000/([1]Parametros!$B$6*2*0.85*(H432-2*([1]Parametros!$B$7+[1]Parametros!$B$9/2))*(I432-2*([1]Parametros!$B$7+[1]Parametros!$B$9/2))*[1]Parametros!$B$4))</f>
        <v>0.54862120463097908</v>
      </c>
      <c r="AW432" s="13">
        <f>AV432*2*((H432-2*([1]Parametros!$B$7+[1]Parametros!$B$9/2))+(I432-2*([1]Parametros!$B$7+[1]Parametros!$B$9/2)))*[1]Parametros!$B$4/[1]Parametros!$B$3</f>
        <v>948.675787047889</v>
      </c>
      <c r="AX432" s="14">
        <v>8</v>
      </c>
      <c r="AY432" s="13" t="str">
        <f t="shared" si="85"/>
        <v>CUMPLE</v>
      </c>
      <c r="AZ432" s="13" t="str">
        <f t="shared" si="86"/>
        <v>CUMPLE</v>
      </c>
      <c r="BA432" s="14">
        <v>12.7</v>
      </c>
      <c r="BB432" s="14">
        <v>129</v>
      </c>
      <c r="BC432" s="13">
        <f>MAX(IF(AK432=0,0,AK432*1000/([1]Parametros!$B$4*MIN(U432,AB432))),MAX(0.062*SQRT([1]Parametros!$B$2)*H432/[1]Parametros!$B$4,0.35*H432/[1]Parametros!$B$4))</f>
        <v>2.0475944181292918</v>
      </c>
      <c r="BD432" s="13">
        <f t="shared" si="87"/>
        <v>1.0972424092619582</v>
      </c>
      <c r="BE432" s="13">
        <f t="shared" si="88"/>
        <v>3.2250000000000001</v>
      </c>
      <c r="BF432" s="13">
        <f>SQRT((AI432*1000/(H432*MIN(U432,AB432)))^2+(Q432*1000000*2*((H432-2*([1]Parametros!$B$7+[1]Parametros!$B$9/2))+(I432-2*([1]Parametros!$B$7+[1]Parametros!$B$9/2)))/(1.7*((H432-2*([1]Parametros!$B$7+[1]Parametros!$B$9/2))*(I432-2*([1]Parametros!$B$7+[1]Parametros!$B$9/2)))^2))^2)</f>
        <v>2.5365240834708769</v>
      </c>
      <c r="BG432" s="13">
        <f>[1]Parametros!$B$6*(AJ432*1000/(H432*MIN(U432,AB432))+0.66*SQRT([1]Parametros!$B$2))</f>
        <v>3.2939603822754151</v>
      </c>
      <c r="BH432" s="13" t="str">
        <f t="shared" si="89"/>
        <v>CUMPLE</v>
      </c>
      <c r="BI432" s="13">
        <f>AX432*[1]Parametros!$B$8</f>
        <v>1592</v>
      </c>
      <c r="BJ432" s="15" t="str">
        <f t="shared" si="90"/>
        <v>CUMPLE</v>
      </c>
    </row>
    <row r="433" spans="1:62" x14ac:dyDescent="0.3">
      <c r="A433" s="33" t="s">
        <v>76</v>
      </c>
      <c r="B433" s="34">
        <v>798</v>
      </c>
      <c r="C433" s="13">
        <v>1</v>
      </c>
      <c r="D433" s="13">
        <v>3.57612</v>
      </c>
      <c r="E433" s="13">
        <v>3.57612</v>
      </c>
      <c r="F433" s="13">
        <v>500</v>
      </c>
      <c r="G433" s="13">
        <v>550</v>
      </c>
      <c r="H433" s="13">
        <v>500</v>
      </c>
      <c r="I433" s="13">
        <v>550</v>
      </c>
      <c r="J433" s="14">
        <v>153.03749999999999</v>
      </c>
      <c r="K433" s="13">
        <v>798</v>
      </c>
      <c r="L433" s="14">
        <v>87.867599999999996</v>
      </c>
      <c r="M433" s="13">
        <v>798</v>
      </c>
      <c r="N433" s="14">
        <v>118.295</v>
      </c>
      <c r="O433" s="14">
        <v>325.029</v>
      </c>
      <c r="P433" s="13">
        <v>798</v>
      </c>
      <c r="Q433" s="14">
        <v>5.6157000000000004</v>
      </c>
      <c r="R433" s="13">
        <f>MAX(MAX(1.4/[1]Parametros!$B$3,0.25*SQRT([1]Parametros!$B$2)/[1]Parametros!$B$3)*H433*U433,(0.85*[1]Parametros!$B$2/[1]Parametros!$B$3)*(1-SQRT(1-2*(J433*1000000/([1]Parametros!$B$5*H433*U433^2))/(0.85*[1]Parametros!$B$2)))*H433*U433)</f>
        <v>853.62216750243135</v>
      </c>
      <c r="S433" s="14">
        <v>5</v>
      </c>
      <c r="T433" s="14">
        <v>1</v>
      </c>
      <c r="U433" s="13">
        <f>IF(T433=1,I433-([1]Parametros!$B$7+[1]Parametros!$B$9+[1]Parametros!$B$12/2),I433-(ROUNDUP(S433/2,0)*([1]Parametros!$B$7+[1]Parametros!$B$9+[1]Parametros!$B$12/2)+ROUNDDOWN(S433/2,0)*([1]Parametros!$B$7+[1]Parametros!$B$9+[1]Parametros!$B$12/2+[1]Parametros!$B$12+[1]Parametros!$B$10))/S433)</f>
        <v>489.35</v>
      </c>
      <c r="V433" s="13">
        <f>S433*[1]Parametros!$B$8</f>
        <v>995</v>
      </c>
      <c r="W433" s="13">
        <f>[1]Parametros!$B$5*V433*[1]Parametros!$B$3*(U433-(V433*[1]Parametros!$B$3/(0.85*[1]Parametros!$B$2*H433))/2)/1000000</f>
        <v>177.44537938235294</v>
      </c>
      <c r="X433" s="13" t="str">
        <f t="shared" si="78"/>
        <v>CUMPLE</v>
      </c>
      <c r="Y433" s="13">
        <f>MAX(MAX(1.4/[1]Parametros!$B$3,0.25*SQRT([1]Parametros!$B$2)/[1]Parametros!$B$3)*H433*AB433,(0.85*[1]Parametros!$B$2/[1]Parametros!$B$3)*(1-SQRT(1-2*(L433*1000000/([1]Parametros!$B$5*H433*AB433^2))/(0.85*[1]Parametros!$B$2)))*H433*AB433)</f>
        <v>815.58333333333326</v>
      </c>
      <c r="Z433" s="14">
        <v>5</v>
      </c>
      <c r="AA433" s="14">
        <v>1</v>
      </c>
      <c r="AB433" s="13">
        <f>IF(AA433=1,I433-([1]Parametros!$B$7+[1]Parametros!$B$9+[1]Parametros!$B$12/2),I433-(ROUNDUP(Z433/2,0)*([1]Parametros!$B$7+[1]Parametros!$B$9+[1]Parametros!$B$12/2)+ROUNDDOWN(Z433/2,0)*([1]Parametros!$B$7+[1]Parametros!$B$9+[1]Parametros!$B$12/2+[1]Parametros!$B$12+[1]Parametros!$B$10))/Z433)</f>
        <v>489.35</v>
      </c>
      <c r="AC433" s="13">
        <f>Z433*[1]Parametros!$B$8</f>
        <v>995</v>
      </c>
      <c r="AD433" s="13">
        <f>[1]Parametros!$B$5*AC433*[1]Parametros!$B$3*(AB433-(AC433*[1]Parametros!$B$3/(0.85*[1]Parametros!$B$2*H433))/2)/1000000</f>
        <v>177.44537938235294</v>
      </c>
      <c r="AE433" s="13" t="str">
        <f t="shared" si="79"/>
        <v>CUMPLE</v>
      </c>
      <c r="AF433" s="13">
        <f>V433*1.25*[1]Parametros!$B$3*(U433-(V433*1.25*[1]Parametros!$B$3/(0.85*[1]Parametros!$B$2*H433))/2)/1000000</f>
        <v>244.15884319852941</v>
      </c>
      <c r="AG433" s="13">
        <f>AC433*1.25*[1]Parametros!$B$3*(AB433-(AC433*1.25*[1]Parametros!$B$3/(0.85*[1]Parametros!$B$2*H433))/2)/1000000</f>
        <v>244.15884319852941</v>
      </c>
      <c r="AH433" s="13">
        <f t="shared" si="80"/>
        <v>254.84458066201887</v>
      </c>
      <c r="AI433" s="13">
        <f t="shared" si="81"/>
        <v>325.029</v>
      </c>
      <c r="AJ433" s="13">
        <f>0.17*SQRT([1]Parametros!$B$2)*H433*MIN(U433,AB433)/1000</f>
        <v>220.09872869180776</v>
      </c>
      <c r="AK433" s="13">
        <f>MAX(AI433/[1]Parametros!$B$6-AJ433,0)</f>
        <v>213.27327130819225</v>
      </c>
      <c r="AL433" s="13">
        <f>0.66*SQRT([1]Parametros!$B$2)*H433*MIN(U433,AB433)/1000</f>
        <v>854.500946685842</v>
      </c>
      <c r="AM433" s="13" t="str">
        <f t="shared" si="82"/>
        <v>CUMPLE</v>
      </c>
      <c r="AN433" s="13" t="s">
        <v>64</v>
      </c>
      <c r="AO433" s="14">
        <v>2</v>
      </c>
      <c r="AP433" s="13">
        <f>ROUNDDOWN(MIN(IF(BC433+BD433=0,1000000000,AO433*BB433/(BC433+BD433)),MIN(U433,AB433)/4,8*[1]Parametros!$B$12,24*BA433,300,IF(AV433=0,1000000000,2*((H433-2*([1]Parametros!$B$7+[1]Parametros!$B$9/2))+(I433-2*([1]Parametros!$B$7+[1]Parametros!$B$9/2)))/8))/10,0)*10</f>
        <v>120</v>
      </c>
      <c r="AQ433" s="13">
        <f>ROUNDDOWN(MIN(IF(BC433+BD433=0,1000000000,AO433*BB433/(BC433+BD433)),IF(AK433&gt;0.33*SQRT([1]Parametros!$B$2)*H433*MIN(U433,AB433)/1000,MIN(U433,AB433)/4,MIN(U433,AB433)/2),600,IF(AV433=0,1000000000,2*((H433-2*([1]Parametros!$B$7+[1]Parametros!$B$9/2))+(I433-2*([1]Parametros!$B$7+[1]Parametros!$B$9/2)))/8))/10,0)*10</f>
        <v>130</v>
      </c>
      <c r="AR433" s="13">
        <f>[1]Parametros!$B$6*(AJ433+MAX(BE433-BD433,0)*[1]Parametros!$B$4*MIN(U433,AB433)/1000)</f>
        <v>347.47925901885583</v>
      </c>
      <c r="AS433" s="13" t="str">
        <f t="shared" si="83"/>
        <v>CUMPLE</v>
      </c>
      <c r="AT433" s="13">
        <f>[1]Parametros!$B$6*0.083*SQRT([1]Parametros!$B$2)*(H433*I433)^2/(2*(H433+I433))/1000000</f>
        <v>11.862178757598967</v>
      </c>
      <c r="AU433" s="13" t="str">
        <f t="shared" si="84"/>
        <v>DESPRECIABLE</v>
      </c>
      <c r="AV433" s="13">
        <f>IF(Q433&lt;=AT433,0,Q433*1000000/([1]Parametros!$B$6*2*0.85*(H433-2*([1]Parametros!$B$7+[1]Parametros!$B$9/2))*(I433-2*([1]Parametros!$B$7+[1]Parametros!$B$9/2))*[1]Parametros!$B$4))</f>
        <v>0</v>
      </c>
      <c r="AW433" s="13">
        <f>AV433*2*((H433-2*([1]Parametros!$B$7+[1]Parametros!$B$9/2))+(I433-2*([1]Parametros!$B$7+[1]Parametros!$B$9/2)))*[1]Parametros!$B$4/[1]Parametros!$B$3</f>
        <v>0</v>
      </c>
      <c r="AX433" s="14">
        <v>0</v>
      </c>
      <c r="AY433" s="13" t="str">
        <f t="shared" si="85"/>
        <v>DESPRECIABLE</v>
      </c>
      <c r="AZ433" s="13" t="str">
        <f t="shared" si="86"/>
        <v>CUMPLE</v>
      </c>
      <c r="BA433" s="14">
        <v>9.5</v>
      </c>
      <c r="BB433" s="14">
        <v>71</v>
      </c>
      <c r="BC433" s="13">
        <f>MAX(IF(AK433=0,0,AK433*1000/([1]Parametros!$B$4*MIN(U433,AB433))),MAX(0.062*SQRT([1]Parametros!$B$2)*H433/[1]Parametros!$B$4,0.35*H433/[1]Parametros!$B$4))</f>
        <v>1.0376897989470593</v>
      </c>
      <c r="BD433" s="13">
        <f t="shared" si="87"/>
        <v>0</v>
      </c>
      <c r="BE433" s="13">
        <f t="shared" si="88"/>
        <v>1.1833333333333333</v>
      </c>
      <c r="BF433" s="13">
        <f>SQRT((AI433*1000/(H433*MIN(U433,AB433)))^2+(Q433*1000000*2*((H433-2*([1]Parametros!$B$7+[1]Parametros!$B$9/2))+(I433-2*([1]Parametros!$B$7+[1]Parametros!$B$9/2)))/(1.7*((H433-2*([1]Parametros!$B$7+[1]Parametros!$B$9/2))*(I433-2*([1]Parametros!$B$7+[1]Parametros!$B$9/2)))^2))^2)</f>
        <v>1.3385763822032626</v>
      </c>
      <c r="BG433" s="13">
        <f>[1]Parametros!$B$6*(AJ433*1000/(H433*MIN(U433,AB433))+0.66*SQRT([1]Parametros!$B$2))</f>
        <v>3.2939603822754151</v>
      </c>
      <c r="BH433" s="13" t="str">
        <f t="shared" si="89"/>
        <v>CUMPLE</v>
      </c>
      <c r="BI433" s="13">
        <f>AX433*[1]Parametros!$B$8</f>
        <v>0</v>
      </c>
      <c r="BJ433" s="15" t="str">
        <f t="shared" si="90"/>
        <v>CUMPLE</v>
      </c>
    </row>
    <row r="434" spans="1:62" x14ac:dyDescent="0.3">
      <c r="A434" s="33" t="s">
        <v>76</v>
      </c>
      <c r="B434" s="34">
        <v>799</v>
      </c>
      <c r="C434" s="13">
        <v>1</v>
      </c>
      <c r="D434" s="13">
        <v>1.9</v>
      </c>
      <c r="E434" s="13">
        <v>1.9</v>
      </c>
      <c r="F434" s="13">
        <v>500</v>
      </c>
      <c r="G434" s="13">
        <v>550</v>
      </c>
      <c r="H434" s="13">
        <v>500</v>
      </c>
      <c r="I434" s="13">
        <v>550</v>
      </c>
      <c r="J434" s="14">
        <v>134.47110000000001</v>
      </c>
      <c r="K434" s="13">
        <v>799</v>
      </c>
      <c r="L434" s="14">
        <v>100.0146</v>
      </c>
      <c r="M434" s="13">
        <v>799</v>
      </c>
      <c r="N434" s="14">
        <v>130.64599999999999</v>
      </c>
      <c r="O434" s="14">
        <v>454.04899999999998</v>
      </c>
      <c r="P434" s="13">
        <v>799</v>
      </c>
      <c r="Q434" s="14">
        <v>16.026299999999999</v>
      </c>
      <c r="R434" s="13">
        <f>MAX(MAX(1.4/[1]Parametros!$B$3,0.25*SQRT([1]Parametros!$B$2)/[1]Parametros!$B$3)*H434*U434,(0.85*[1]Parametros!$B$2/[1]Parametros!$B$3)*(1-SQRT(1-2*(J434*1000000/([1]Parametros!$B$5*H434*U434^2))/(0.85*[1]Parametros!$B$2)))*H434*U434)</f>
        <v>815.58333333333326</v>
      </c>
      <c r="S434" s="14">
        <v>5</v>
      </c>
      <c r="T434" s="14">
        <v>1</v>
      </c>
      <c r="U434" s="13">
        <f>IF(T434=1,I434-([1]Parametros!$B$7+[1]Parametros!$B$9+[1]Parametros!$B$12/2),I434-(ROUNDUP(S434/2,0)*([1]Parametros!$B$7+[1]Parametros!$B$9+[1]Parametros!$B$12/2)+ROUNDDOWN(S434/2,0)*([1]Parametros!$B$7+[1]Parametros!$B$9+[1]Parametros!$B$12/2+[1]Parametros!$B$12+[1]Parametros!$B$10))/S434)</f>
        <v>489.35</v>
      </c>
      <c r="V434" s="13">
        <f>S434*[1]Parametros!$B$8</f>
        <v>995</v>
      </c>
      <c r="W434" s="13">
        <f>[1]Parametros!$B$5*V434*[1]Parametros!$B$3*(U434-(V434*[1]Parametros!$B$3/(0.85*[1]Parametros!$B$2*H434))/2)/1000000</f>
        <v>177.44537938235294</v>
      </c>
      <c r="X434" s="13" t="str">
        <f t="shared" si="78"/>
        <v>CUMPLE</v>
      </c>
      <c r="Y434" s="13">
        <f>MAX(MAX(1.4/[1]Parametros!$B$3,0.25*SQRT([1]Parametros!$B$2)/[1]Parametros!$B$3)*H434*AB434,(0.85*[1]Parametros!$B$2/[1]Parametros!$B$3)*(1-SQRT(1-2*(L434*1000000/([1]Parametros!$B$5*H434*AB434^2))/(0.85*[1]Parametros!$B$2)))*H434*AB434)</f>
        <v>815.58333333333326</v>
      </c>
      <c r="Z434" s="14">
        <v>5</v>
      </c>
      <c r="AA434" s="14">
        <v>1</v>
      </c>
      <c r="AB434" s="13">
        <f>IF(AA434=1,I434-([1]Parametros!$B$7+[1]Parametros!$B$9+[1]Parametros!$B$12/2),I434-(ROUNDUP(Z434/2,0)*([1]Parametros!$B$7+[1]Parametros!$B$9+[1]Parametros!$B$12/2)+ROUNDDOWN(Z434/2,0)*([1]Parametros!$B$7+[1]Parametros!$B$9+[1]Parametros!$B$12/2+[1]Parametros!$B$12+[1]Parametros!$B$10))/Z434)</f>
        <v>489.35</v>
      </c>
      <c r="AC434" s="13">
        <f>Z434*[1]Parametros!$B$8</f>
        <v>995</v>
      </c>
      <c r="AD434" s="13">
        <f>[1]Parametros!$B$5*AC434*[1]Parametros!$B$3*(AB434-(AC434*[1]Parametros!$B$3/(0.85*[1]Parametros!$B$2*H434))/2)/1000000</f>
        <v>177.44537938235294</v>
      </c>
      <c r="AE434" s="13" t="str">
        <f t="shared" si="79"/>
        <v>CUMPLE</v>
      </c>
      <c r="AF434" s="13">
        <f>V434*1.25*[1]Parametros!$B$3*(U434-(V434*1.25*[1]Parametros!$B$3/(0.85*[1]Parametros!$B$2*H434))/2)/1000000</f>
        <v>244.15884319852941</v>
      </c>
      <c r="AG434" s="13">
        <f>AC434*1.25*[1]Parametros!$B$3*(AB434-(AC434*1.25*[1]Parametros!$B$3/(0.85*[1]Parametros!$B$2*H434))/2)/1000000</f>
        <v>244.15884319852941</v>
      </c>
      <c r="AH434" s="13">
        <f t="shared" si="80"/>
        <v>387.65530863003096</v>
      </c>
      <c r="AI434" s="13">
        <f t="shared" si="81"/>
        <v>454.04899999999998</v>
      </c>
      <c r="AJ434" s="13">
        <f>0.17*SQRT([1]Parametros!$B$2)*H434*MIN(U434,AB434)/1000</f>
        <v>220.09872869180776</v>
      </c>
      <c r="AK434" s="13">
        <f>MAX(AI434/[1]Parametros!$B$6-AJ434,0)</f>
        <v>385.29993797485884</v>
      </c>
      <c r="AL434" s="13">
        <f>0.66*SQRT([1]Parametros!$B$2)*H434*MIN(U434,AB434)/1000</f>
        <v>854.500946685842</v>
      </c>
      <c r="AM434" s="13" t="str">
        <f t="shared" si="82"/>
        <v>CUMPLE</v>
      </c>
      <c r="AN434" s="13" t="s">
        <v>68</v>
      </c>
      <c r="AO434" s="14">
        <v>2</v>
      </c>
      <c r="AP434" s="13">
        <f>ROUNDDOWN(MIN(IF(BC434+BD434=0,1000000000,AO434*BB434/(BC434+BD434)),MIN(U434,AB434)/4,8*[1]Parametros!$B$12,24*BA434,300,IF(AV434=0,1000000000,2*((H434-2*([1]Parametros!$B$7+[1]Parametros!$B$9/2))+(I434-2*([1]Parametros!$B$7+[1]Parametros!$B$9/2)))/8))/10,0)*10</f>
        <v>110</v>
      </c>
      <c r="AQ434" s="13">
        <f>ROUNDDOWN(MIN(IF(BC434+BD434=0,1000000000,AO434*BB434/(BC434+BD434)),IF(AK434&gt;0.33*SQRT([1]Parametros!$B$2)*H434*MIN(U434,AB434)/1000,MIN(U434,AB434)/4,MIN(U434,AB434)/2),600,IF(AV434=0,1000000000,2*((H434-2*([1]Parametros!$B$7+[1]Parametros!$B$9/2))+(I434-2*([1]Parametros!$B$7+[1]Parametros!$B$9/2)))/8))/10,0)*10</f>
        <v>110</v>
      </c>
      <c r="AR434" s="13">
        <f>[1]Parametros!$B$6*(AJ434+MAX(BE434-BD434,0)*[1]Parametros!$B$4*MIN(U434,AB434)/1000)</f>
        <v>477.07902160966717</v>
      </c>
      <c r="AS434" s="13" t="str">
        <f t="shared" si="83"/>
        <v>CUMPLE</v>
      </c>
      <c r="AT434" s="13">
        <f>[1]Parametros!$B$6*0.083*SQRT([1]Parametros!$B$2)*(H434*I434)^2/(2*(H434+I434))/1000000</f>
        <v>11.862178757598967</v>
      </c>
      <c r="AU434" s="13" t="str">
        <f t="shared" si="84"/>
        <v>DISEÑAR</v>
      </c>
      <c r="AV434" s="13">
        <f>IF(Q434&lt;=AT434,0,Q434*1000000/([1]Parametros!$B$6*2*0.85*(H434-2*([1]Parametros!$B$7+[1]Parametros!$B$9/2))*(I434-2*([1]Parametros!$B$7+[1]Parametros!$B$9/2))*[1]Parametros!$B$4))</f>
        <v>0.1606786527055358</v>
      </c>
      <c r="AW434" s="13">
        <f>AV434*2*((H434-2*([1]Parametros!$B$7+[1]Parametros!$B$9/2))+(I434-2*([1]Parametros!$B$7+[1]Parametros!$B$9/2)))*[1]Parametros!$B$4/[1]Parametros!$B$3</f>
        <v>277.84552625841252</v>
      </c>
      <c r="AX434" s="14">
        <v>8</v>
      </c>
      <c r="AY434" s="13" t="str">
        <f t="shared" si="85"/>
        <v>CUMPLE</v>
      </c>
      <c r="AZ434" s="13" t="str">
        <f t="shared" si="86"/>
        <v>CUMPLE</v>
      </c>
      <c r="BA434" s="14">
        <v>12.7</v>
      </c>
      <c r="BB434" s="14">
        <v>129</v>
      </c>
      <c r="BC434" s="13">
        <f>MAX(IF(AK434=0,0,AK434*1000/([1]Parametros!$B$4*MIN(U434,AB434))),MAX(0.062*SQRT([1]Parametros!$B$2)*H434/[1]Parametros!$B$4,0.35*H434/[1]Parametros!$B$4))</f>
        <v>1.8746925609523755</v>
      </c>
      <c r="BD434" s="13">
        <f t="shared" si="87"/>
        <v>0.3213573054110716</v>
      </c>
      <c r="BE434" s="13">
        <f t="shared" si="88"/>
        <v>2.3454545454545452</v>
      </c>
      <c r="BF434" s="13">
        <f>SQRT((AI434*1000/(H434*MIN(U434,AB434)))^2+(Q434*1000000*2*((H434-2*([1]Parametros!$B$7+[1]Parametros!$B$9/2))+(I434-2*([1]Parametros!$B$7+[1]Parametros!$B$9/2)))/(1.7*((H434-2*([1]Parametros!$B$7+[1]Parametros!$B$9/2))*(I434-2*([1]Parametros!$B$7+[1]Parametros!$B$9/2)))^2))^2)</f>
        <v>1.9142900170501642</v>
      </c>
      <c r="BG434" s="13">
        <f>[1]Parametros!$B$6*(AJ434*1000/(H434*MIN(U434,AB434))+0.66*SQRT([1]Parametros!$B$2))</f>
        <v>3.2939603822754151</v>
      </c>
      <c r="BH434" s="13" t="str">
        <f t="shared" si="89"/>
        <v>CUMPLE</v>
      </c>
      <c r="BI434" s="13">
        <f>AX434*[1]Parametros!$B$8</f>
        <v>1592</v>
      </c>
      <c r="BJ434" s="15" t="str">
        <f t="shared" si="90"/>
        <v>CUMPLE</v>
      </c>
    </row>
    <row r="435" spans="1:62" x14ac:dyDescent="0.3">
      <c r="A435" s="33" t="s">
        <v>76</v>
      </c>
      <c r="B435" s="34">
        <v>800</v>
      </c>
      <c r="C435" s="13">
        <v>1</v>
      </c>
      <c r="D435" s="13">
        <v>2</v>
      </c>
      <c r="E435" s="13">
        <v>2</v>
      </c>
      <c r="F435" s="13">
        <v>500</v>
      </c>
      <c r="G435" s="13">
        <v>550</v>
      </c>
      <c r="H435" s="13">
        <v>500</v>
      </c>
      <c r="I435" s="13">
        <v>550</v>
      </c>
      <c r="J435" s="14">
        <v>142.8467</v>
      </c>
      <c r="K435" s="13">
        <v>800</v>
      </c>
      <c r="L435" s="14">
        <v>97.924400000000006</v>
      </c>
      <c r="M435" s="13">
        <v>800</v>
      </c>
      <c r="N435" s="14">
        <v>138.803</v>
      </c>
      <c r="O435" s="14">
        <v>493.89800000000002</v>
      </c>
      <c r="P435" s="13">
        <v>800</v>
      </c>
      <c r="Q435" s="14">
        <v>37.064799999999998</v>
      </c>
      <c r="R435" s="13">
        <f>MAX(MAX(1.4/[1]Parametros!$B$3,0.25*SQRT([1]Parametros!$B$2)/[1]Parametros!$B$3)*H435*U435,(0.85*[1]Parametros!$B$2/[1]Parametros!$B$3)*(1-SQRT(1-2*(J435*1000000/([1]Parametros!$B$5*H435*U435^2))/(0.85*[1]Parametros!$B$2)))*H435*U435)</f>
        <v>815.58333333333326</v>
      </c>
      <c r="S435" s="14">
        <v>5</v>
      </c>
      <c r="T435" s="14">
        <v>1</v>
      </c>
      <c r="U435" s="13">
        <f>IF(T435=1,I435-([1]Parametros!$B$7+[1]Parametros!$B$9+[1]Parametros!$B$12/2),I435-(ROUNDUP(S435/2,0)*([1]Parametros!$B$7+[1]Parametros!$B$9+[1]Parametros!$B$12/2)+ROUNDDOWN(S435/2,0)*([1]Parametros!$B$7+[1]Parametros!$B$9+[1]Parametros!$B$12/2+[1]Parametros!$B$12+[1]Parametros!$B$10))/S435)</f>
        <v>489.35</v>
      </c>
      <c r="V435" s="13">
        <f>S435*[1]Parametros!$B$8</f>
        <v>995</v>
      </c>
      <c r="W435" s="13">
        <f>[1]Parametros!$B$5*V435*[1]Parametros!$B$3*(U435-(V435*[1]Parametros!$B$3/(0.85*[1]Parametros!$B$2*H435))/2)/1000000</f>
        <v>177.44537938235294</v>
      </c>
      <c r="X435" s="13" t="str">
        <f t="shared" si="78"/>
        <v>CUMPLE</v>
      </c>
      <c r="Y435" s="13">
        <f>MAX(MAX(1.4/[1]Parametros!$B$3,0.25*SQRT([1]Parametros!$B$2)/[1]Parametros!$B$3)*H435*AB435,(0.85*[1]Parametros!$B$2/[1]Parametros!$B$3)*(1-SQRT(1-2*(L435*1000000/([1]Parametros!$B$5*H435*AB435^2))/(0.85*[1]Parametros!$B$2)))*H435*AB435)</f>
        <v>815.58333333333326</v>
      </c>
      <c r="Z435" s="14">
        <v>5</v>
      </c>
      <c r="AA435" s="14">
        <v>1</v>
      </c>
      <c r="AB435" s="13">
        <f>IF(AA435=1,I435-([1]Parametros!$B$7+[1]Parametros!$B$9+[1]Parametros!$B$12/2),I435-(ROUNDUP(Z435/2,0)*([1]Parametros!$B$7+[1]Parametros!$B$9+[1]Parametros!$B$12/2)+ROUNDDOWN(Z435/2,0)*([1]Parametros!$B$7+[1]Parametros!$B$9+[1]Parametros!$B$12/2+[1]Parametros!$B$12+[1]Parametros!$B$10))/Z435)</f>
        <v>489.35</v>
      </c>
      <c r="AC435" s="13">
        <f>Z435*[1]Parametros!$B$8</f>
        <v>995</v>
      </c>
      <c r="AD435" s="13">
        <f>[1]Parametros!$B$5*AC435*[1]Parametros!$B$3*(AB435-(AC435*[1]Parametros!$B$3/(0.85*[1]Parametros!$B$2*H435))/2)/1000000</f>
        <v>177.44537938235294</v>
      </c>
      <c r="AE435" s="13" t="str">
        <f t="shared" si="79"/>
        <v>CUMPLE</v>
      </c>
      <c r="AF435" s="13">
        <f>V435*1.25*[1]Parametros!$B$3*(U435-(V435*1.25*[1]Parametros!$B$3/(0.85*[1]Parametros!$B$2*H435))/2)/1000000</f>
        <v>244.15884319852941</v>
      </c>
      <c r="AG435" s="13">
        <f>AC435*1.25*[1]Parametros!$B$3*(AB435-(AC435*1.25*[1]Parametros!$B$3/(0.85*[1]Parametros!$B$2*H435))/2)/1000000</f>
        <v>244.15884319852941</v>
      </c>
      <c r="AH435" s="13">
        <f t="shared" si="80"/>
        <v>382.96184319852944</v>
      </c>
      <c r="AI435" s="13">
        <f t="shared" si="81"/>
        <v>493.89800000000002</v>
      </c>
      <c r="AJ435" s="13">
        <f>0.17*SQRT([1]Parametros!$B$2)*H435*MIN(U435,AB435)/1000</f>
        <v>220.09872869180776</v>
      </c>
      <c r="AK435" s="13">
        <f>MAX(AI435/[1]Parametros!$B$6-AJ435,0)</f>
        <v>438.4319379748589</v>
      </c>
      <c r="AL435" s="13">
        <f>0.66*SQRT([1]Parametros!$B$2)*H435*MIN(U435,AB435)/1000</f>
        <v>854.500946685842</v>
      </c>
      <c r="AM435" s="13" t="str">
        <f t="shared" si="82"/>
        <v>CUMPLE</v>
      </c>
      <c r="AN435" s="13" t="s">
        <v>68</v>
      </c>
      <c r="AO435" s="14">
        <v>2</v>
      </c>
      <c r="AP435" s="13">
        <f>ROUNDDOWN(MIN(IF(BC435+BD435=0,1000000000,AO435*BB435/(BC435+BD435)),MIN(U435,AB435)/4,8*[1]Parametros!$B$12,24*BA435,300,IF(AV435=0,1000000000,2*((H435-2*([1]Parametros!$B$7+[1]Parametros!$B$9/2))+(I435-2*([1]Parametros!$B$7+[1]Parametros!$B$9/2)))/8))/10,0)*10</f>
        <v>80</v>
      </c>
      <c r="AQ435" s="13">
        <f>ROUNDDOWN(MIN(IF(BC435+BD435=0,1000000000,AO435*BB435/(BC435+BD435)),IF(AK435&gt;0.33*SQRT([1]Parametros!$B$2)*H435*MIN(U435,AB435)/1000,MIN(U435,AB435)/4,MIN(U435,AB435)/2),600,IF(AV435=0,1000000000,2*((H435-2*([1]Parametros!$B$7+[1]Parametros!$B$9/2))+(I435-2*([1]Parametros!$B$7+[1]Parametros!$B$9/2)))/8))/10,0)*10</f>
        <v>80</v>
      </c>
      <c r="AR435" s="13">
        <f>[1]Parametros!$B$6*(AJ435+MAX(BE435-BD435,0)*[1]Parametros!$B$4*MIN(U435,AB435)/1000)</f>
        <v>547.62886082469026</v>
      </c>
      <c r="AS435" s="13" t="str">
        <f t="shared" si="83"/>
        <v>CUMPLE</v>
      </c>
      <c r="AT435" s="13">
        <f>[1]Parametros!$B$6*0.083*SQRT([1]Parametros!$B$2)*(H435*I435)^2/(2*(H435+I435))/1000000</f>
        <v>11.862178757598967</v>
      </c>
      <c r="AU435" s="13" t="str">
        <f t="shared" si="84"/>
        <v>DISEÑAR</v>
      </c>
      <c r="AV435" s="13">
        <f>IF(Q435&lt;=AT435,0,Q435*1000000/([1]Parametros!$B$6*2*0.85*(H435-2*([1]Parametros!$B$7+[1]Parametros!$B$9/2))*(I435-2*([1]Parametros!$B$7+[1]Parametros!$B$9/2))*[1]Parametros!$B$4))</f>
        <v>0.37160930013790733</v>
      </c>
      <c r="AW435" s="13">
        <f>AV435*2*((H435-2*([1]Parametros!$B$7+[1]Parametros!$B$9/2))+(I435-2*([1]Parametros!$B$7+[1]Parametros!$B$9/2)))*[1]Parametros!$B$4/[1]Parametros!$B$3</f>
        <v>642.58680179846942</v>
      </c>
      <c r="AX435" s="14">
        <v>8</v>
      </c>
      <c r="AY435" s="13" t="str">
        <f t="shared" si="85"/>
        <v>CUMPLE</v>
      </c>
      <c r="AZ435" s="13" t="str">
        <f t="shared" si="86"/>
        <v>CUMPLE</v>
      </c>
      <c r="BA435" s="14">
        <v>12.7</v>
      </c>
      <c r="BB435" s="14">
        <v>129</v>
      </c>
      <c r="BC435" s="13">
        <f>MAX(IF(AK435=0,0,AK435*1000/([1]Parametros!$B$4*MIN(U435,AB435))),MAX(0.062*SQRT([1]Parametros!$B$2)*H435/[1]Parametros!$B$4,0.35*H435/[1]Parametros!$B$4))</f>
        <v>2.1332084737034984</v>
      </c>
      <c r="BD435" s="13">
        <f t="shared" si="87"/>
        <v>0.74321860027581466</v>
      </c>
      <c r="BE435" s="13">
        <f t="shared" si="88"/>
        <v>3.2250000000000001</v>
      </c>
      <c r="BF435" s="13">
        <f>SQRT((AI435*1000/(H435*MIN(U435,AB435)))^2+(Q435*1000000*2*((H435-2*([1]Parametros!$B$7+[1]Parametros!$B$9/2))+(I435-2*([1]Parametros!$B$7+[1]Parametros!$B$9/2)))/(1.7*((H435-2*([1]Parametros!$B$7+[1]Parametros!$B$9/2))*(I435-2*([1]Parametros!$B$7+[1]Parametros!$B$9/2)))^2))^2)</f>
        <v>2.2925328706864976</v>
      </c>
      <c r="BG435" s="13">
        <f>[1]Parametros!$B$6*(AJ435*1000/(H435*MIN(U435,AB435))+0.66*SQRT([1]Parametros!$B$2))</f>
        <v>3.2939603822754151</v>
      </c>
      <c r="BH435" s="13" t="str">
        <f t="shared" si="89"/>
        <v>CUMPLE</v>
      </c>
      <c r="BI435" s="13">
        <f>AX435*[1]Parametros!$B$8</f>
        <v>1592</v>
      </c>
      <c r="BJ435" s="15" t="str">
        <f t="shared" si="90"/>
        <v>CUMPLE</v>
      </c>
    </row>
    <row r="436" spans="1:62" x14ac:dyDescent="0.3">
      <c r="A436" s="33" t="s">
        <v>76</v>
      </c>
      <c r="B436" s="34">
        <v>801</v>
      </c>
      <c r="C436" s="13">
        <v>1</v>
      </c>
      <c r="D436" s="13">
        <v>3.05308</v>
      </c>
      <c r="E436" s="13">
        <v>3.05308</v>
      </c>
      <c r="F436" s="13">
        <v>500</v>
      </c>
      <c r="G436" s="13">
        <v>550</v>
      </c>
      <c r="H436" s="13">
        <v>500</v>
      </c>
      <c r="I436" s="13">
        <v>550</v>
      </c>
      <c r="J436" s="14">
        <v>158.435</v>
      </c>
      <c r="K436" s="13">
        <v>801</v>
      </c>
      <c r="L436" s="14">
        <v>96.700599999999994</v>
      </c>
      <c r="M436" s="13">
        <v>801</v>
      </c>
      <c r="N436" s="14">
        <v>126.59</v>
      </c>
      <c r="O436" s="14">
        <v>347.79599999999999</v>
      </c>
      <c r="P436" s="13">
        <v>801</v>
      </c>
      <c r="Q436" s="14">
        <v>43.2727</v>
      </c>
      <c r="R436" s="13">
        <f>MAX(MAX(1.4/[1]Parametros!$B$3,0.25*SQRT([1]Parametros!$B$2)/[1]Parametros!$B$3)*H436*U436,(0.85*[1]Parametros!$B$2/[1]Parametros!$B$3)*(1-SQRT(1-2*(J436*1000000/([1]Parametros!$B$5*H436*U436^2))/(0.85*[1]Parametros!$B$2)))*H436*U436)</f>
        <v>884.75351229918715</v>
      </c>
      <c r="S436" s="14">
        <v>5</v>
      </c>
      <c r="T436" s="14">
        <v>1</v>
      </c>
      <c r="U436" s="13">
        <f>IF(T436=1,I436-([1]Parametros!$B$7+[1]Parametros!$B$9+[1]Parametros!$B$12/2),I436-(ROUNDUP(S436/2,0)*([1]Parametros!$B$7+[1]Parametros!$B$9+[1]Parametros!$B$12/2)+ROUNDDOWN(S436/2,0)*([1]Parametros!$B$7+[1]Parametros!$B$9+[1]Parametros!$B$12/2+[1]Parametros!$B$12+[1]Parametros!$B$10))/S436)</f>
        <v>489.35</v>
      </c>
      <c r="V436" s="13">
        <f>S436*[1]Parametros!$B$8</f>
        <v>995</v>
      </c>
      <c r="W436" s="13">
        <f>[1]Parametros!$B$5*V436*[1]Parametros!$B$3*(U436-(V436*[1]Parametros!$B$3/(0.85*[1]Parametros!$B$2*H436))/2)/1000000</f>
        <v>177.44537938235294</v>
      </c>
      <c r="X436" s="13" t="str">
        <f t="shared" si="78"/>
        <v>CUMPLE</v>
      </c>
      <c r="Y436" s="13">
        <f>MAX(MAX(1.4/[1]Parametros!$B$3,0.25*SQRT([1]Parametros!$B$2)/[1]Parametros!$B$3)*H436*AB436,(0.85*[1]Parametros!$B$2/[1]Parametros!$B$3)*(1-SQRT(1-2*(L436*1000000/([1]Parametros!$B$5*H436*AB436^2))/(0.85*[1]Parametros!$B$2)))*H436*AB436)</f>
        <v>815.58333333333326</v>
      </c>
      <c r="Z436" s="14">
        <v>5</v>
      </c>
      <c r="AA436" s="14">
        <v>1</v>
      </c>
      <c r="AB436" s="13">
        <f>IF(AA436=1,I436-([1]Parametros!$B$7+[1]Parametros!$B$9+[1]Parametros!$B$12/2),I436-(ROUNDUP(Z436/2,0)*([1]Parametros!$B$7+[1]Parametros!$B$9+[1]Parametros!$B$12/2)+ROUNDDOWN(Z436/2,0)*([1]Parametros!$B$7+[1]Parametros!$B$9+[1]Parametros!$B$12/2+[1]Parametros!$B$12+[1]Parametros!$B$10))/Z436)</f>
        <v>489.35</v>
      </c>
      <c r="AC436" s="13">
        <f>Z436*[1]Parametros!$B$8</f>
        <v>995</v>
      </c>
      <c r="AD436" s="13">
        <f>[1]Parametros!$B$5*AC436*[1]Parametros!$B$3*(AB436-(AC436*[1]Parametros!$B$3/(0.85*[1]Parametros!$B$2*H436))/2)/1000000</f>
        <v>177.44537938235294</v>
      </c>
      <c r="AE436" s="13" t="str">
        <f t="shared" si="79"/>
        <v>CUMPLE</v>
      </c>
      <c r="AF436" s="13">
        <f>V436*1.25*[1]Parametros!$B$3*(U436-(V436*1.25*[1]Parametros!$B$3/(0.85*[1]Parametros!$B$2*H436))/2)/1000000</f>
        <v>244.15884319852941</v>
      </c>
      <c r="AG436" s="13">
        <f>AC436*1.25*[1]Parametros!$B$3*(AB436-(AC436*1.25*[1]Parametros!$B$3/(0.85*[1]Parametros!$B$2*H436))/2)/1000000</f>
        <v>244.15884319852941</v>
      </c>
      <c r="AH436" s="13">
        <f t="shared" si="80"/>
        <v>286.53264362449033</v>
      </c>
      <c r="AI436" s="13">
        <f t="shared" si="81"/>
        <v>347.79599999999999</v>
      </c>
      <c r="AJ436" s="13">
        <f>0.17*SQRT([1]Parametros!$B$2)*H436*MIN(U436,AB436)/1000</f>
        <v>220.09872869180776</v>
      </c>
      <c r="AK436" s="13">
        <f>MAX(AI436/[1]Parametros!$B$6-AJ436,0)</f>
        <v>243.62927130819224</v>
      </c>
      <c r="AL436" s="13">
        <f>0.66*SQRT([1]Parametros!$B$2)*H436*MIN(U436,AB436)/1000</f>
        <v>854.500946685842</v>
      </c>
      <c r="AM436" s="13" t="str">
        <f t="shared" si="82"/>
        <v>CUMPLE</v>
      </c>
      <c r="AN436" s="13" t="s">
        <v>68</v>
      </c>
      <c r="AO436" s="14">
        <v>2</v>
      </c>
      <c r="AP436" s="13">
        <f>ROUNDDOWN(MIN(IF(BC436+BD436=0,1000000000,AO436*BB436/(BC436+BD436)),MIN(U436,AB436)/4,8*[1]Parametros!$B$12,24*BA436,300,IF(AV436=0,1000000000,2*((H436-2*([1]Parametros!$B$7+[1]Parametros!$B$9/2))+(I436-2*([1]Parametros!$B$7+[1]Parametros!$B$9/2)))/8))/10,0)*10</f>
        <v>120</v>
      </c>
      <c r="AQ436" s="13">
        <f>ROUNDDOWN(MIN(IF(BC436+BD436=0,1000000000,AO436*BB436/(BC436+BD436)),IF(AK436&gt;0.33*SQRT([1]Parametros!$B$2)*H436*MIN(U436,AB436)/1000,MIN(U436,AB436)/4,MIN(U436,AB436)/2),600,IF(AV436=0,1000000000,2*((H436-2*([1]Parametros!$B$7+[1]Parametros!$B$9/2))+(I436-2*([1]Parametros!$B$7+[1]Parametros!$B$9/2)))/8))/10,0)*10</f>
        <v>120</v>
      </c>
      <c r="AR436" s="13">
        <f>[1]Parametros!$B$6*(AJ436+MAX(BE436-BD436,0)*[1]Parametros!$B$4*MIN(U436,AB436)/1000)</f>
        <v>362.73471450546867</v>
      </c>
      <c r="AS436" s="13" t="str">
        <f t="shared" si="83"/>
        <v>CUMPLE</v>
      </c>
      <c r="AT436" s="13">
        <f>[1]Parametros!$B$6*0.083*SQRT([1]Parametros!$B$2)*(H436*I436)^2/(2*(H436+I436))/1000000</f>
        <v>11.862178757598967</v>
      </c>
      <c r="AU436" s="13" t="str">
        <f t="shared" si="84"/>
        <v>DISEÑAR</v>
      </c>
      <c r="AV436" s="13">
        <f>IF(Q436&lt;=AT436,0,Q436*1000000/([1]Parametros!$B$6*2*0.85*(H436-2*([1]Parametros!$B$7+[1]Parametros!$B$9/2))*(I436-2*([1]Parametros!$B$7+[1]Parametros!$B$9/2))*[1]Parametros!$B$4))</f>
        <v>0.43384930613621608</v>
      </c>
      <c r="AW436" s="13">
        <f>AV436*2*((H436-2*([1]Parametros!$B$7+[1]Parametros!$B$9/2))+(I436-2*([1]Parametros!$B$7+[1]Parametros!$B$9/2)))*[1]Parametros!$B$4/[1]Parametros!$B$3</f>
        <v>750.21222017074479</v>
      </c>
      <c r="AX436" s="14">
        <v>8</v>
      </c>
      <c r="AY436" s="13" t="str">
        <f t="shared" si="85"/>
        <v>CUMPLE</v>
      </c>
      <c r="AZ436" s="13" t="str">
        <f t="shared" si="86"/>
        <v>CUMPLE</v>
      </c>
      <c r="BA436" s="14">
        <v>12.7</v>
      </c>
      <c r="BB436" s="14">
        <v>129</v>
      </c>
      <c r="BC436" s="13">
        <f>MAX(IF(AK436=0,0,AK436*1000/([1]Parametros!$B$4*MIN(U436,AB436))),MAX(0.062*SQRT([1]Parametros!$B$2)*H436/[1]Parametros!$B$4,0.35*H436/[1]Parametros!$B$4))</f>
        <v>1.1853881548808296</v>
      </c>
      <c r="BD436" s="13">
        <f t="shared" si="87"/>
        <v>0.86769861227243217</v>
      </c>
      <c r="BE436" s="13">
        <f t="shared" si="88"/>
        <v>2.15</v>
      </c>
      <c r="BF436" s="13">
        <f>SQRT((AI436*1000/(H436*MIN(U436,AB436)))^2+(Q436*1000000*2*((H436-2*([1]Parametros!$B$7+[1]Parametros!$B$9/2))+(I436-2*([1]Parametros!$B$7+[1]Parametros!$B$9/2)))/(1.7*((H436-2*([1]Parametros!$B$7+[1]Parametros!$B$9/2))*(I436-2*([1]Parametros!$B$7+[1]Parametros!$B$9/2)))^2))^2)</f>
        <v>1.9053347946290851</v>
      </c>
      <c r="BG436" s="13">
        <f>[1]Parametros!$B$6*(AJ436*1000/(H436*MIN(U436,AB436))+0.66*SQRT([1]Parametros!$B$2))</f>
        <v>3.2939603822754151</v>
      </c>
      <c r="BH436" s="13" t="str">
        <f t="shared" si="89"/>
        <v>CUMPLE</v>
      </c>
      <c r="BI436" s="13">
        <f>AX436*[1]Parametros!$B$8</f>
        <v>1592</v>
      </c>
      <c r="BJ436" s="15" t="str">
        <f t="shared" si="90"/>
        <v>CUMPLE</v>
      </c>
    </row>
    <row r="437" spans="1:62" x14ac:dyDescent="0.3">
      <c r="A437" s="33" t="s">
        <v>76</v>
      </c>
      <c r="B437" s="34">
        <v>802</v>
      </c>
      <c r="C437" s="13">
        <v>1</v>
      </c>
      <c r="D437" s="13">
        <v>2</v>
      </c>
      <c r="E437" s="13">
        <v>2</v>
      </c>
      <c r="F437" s="13">
        <v>500</v>
      </c>
      <c r="G437" s="13">
        <v>550</v>
      </c>
      <c r="H437" s="13">
        <v>500</v>
      </c>
      <c r="I437" s="13">
        <v>550</v>
      </c>
      <c r="J437" s="14">
        <v>156.45769999999999</v>
      </c>
      <c r="K437" s="13">
        <v>802</v>
      </c>
      <c r="L437" s="14">
        <v>90.987200000000001</v>
      </c>
      <c r="M437" s="13">
        <v>802</v>
      </c>
      <c r="N437" s="14">
        <v>134.012</v>
      </c>
      <c r="O437" s="14">
        <v>450.161</v>
      </c>
      <c r="P437" s="13">
        <v>802</v>
      </c>
      <c r="Q437" s="14">
        <v>6.2519</v>
      </c>
      <c r="R437" s="13">
        <f>MAX(MAX(1.4/[1]Parametros!$B$3,0.25*SQRT([1]Parametros!$B$2)/[1]Parametros!$B$3)*H437*U437,(0.85*[1]Parametros!$B$2/[1]Parametros!$B$3)*(1-SQRT(1-2*(J437*1000000/([1]Parametros!$B$5*H437*U437^2))/(0.85*[1]Parametros!$B$2)))*H437*U437)</f>
        <v>873.34031316284108</v>
      </c>
      <c r="S437" s="14">
        <v>5</v>
      </c>
      <c r="T437" s="14">
        <v>1</v>
      </c>
      <c r="U437" s="13">
        <f>IF(T437=1,I437-([1]Parametros!$B$7+[1]Parametros!$B$9+[1]Parametros!$B$12/2),I437-(ROUNDUP(S437/2,0)*([1]Parametros!$B$7+[1]Parametros!$B$9+[1]Parametros!$B$12/2)+ROUNDDOWN(S437/2,0)*([1]Parametros!$B$7+[1]Parametros!$B$9+[1]Parametros!$B$12/2+[1]Parametros!$B$12+[1]Parametros!$B$10))/S437)</f>
        <v>489.35</v>
      </c>
      <c r="V437" s="13">
        <f>S437*[1]Parametros!$B$8</f>
        <v>995</v>
      </c>
      <c r="W437" s="13">
        <f>[1]Parametros!$B$5*V437*[1]Parametros!$B$3*(U437-(V437*[1]Parametros!$B$3/(0.85*[1]Parametros!$B$2*H437))/2)/1000000</f>
        <v>177.44537938235294</v>
      </c>
      <c r="X437" s="13" t="str">
        <f t="shared" si="78"/>
        <v>CUMPLE</v>
      </c>
      <c r="Y437" s="13">
        <f>MAX(MAX(1.4/[1]Parametros!$B$3,0.25*SQRT([1]Parametros!$B$2)/[1]Parametros!$B$3)*H437*AB437,(0.85*[1]Parametros!$B$2/[1]Parametros!$B$3)*(1-SQRT(1-2*(L437*1000000/([1]Parametros!$B$5*H437*AB437^2))/(0.85*[1]Parametros!$B$2)))*H437*AB437)</f>
        <v>815.58333333333326</v>
      </c>
      <c r="Z437" s="14">
        <v>5</v>
      </c>
      <c r="AA437" s="14">
        <v>1</v>
      </c>
      <c r="AB437" s="13">
        <f>IF(AA437=1,I437-([1]Parametros!$B$7+[1]Parametros!$B$9+[1]Parametros!$B$12/2),I437-(ROUNDUP(Z437/2,0)*([1]Parametros!$B$7+[1]Parametros!$B$9+[1]Parametros!$B$12/2)+ROUNDDOWN(Z437/2,0)*([1]Parametros!$B$7+[1]Parametros!$B$9+[1]Parametros!$B$12/2+[1]Parametros!$B$12+[1]Parametros!$B$10))/Z437)</f>
        <v>489.35</v>
      </c>
      <c r="AC437" s="13">
        <f>Z437*[1]Parametros!$B$8</f>
        <v>995</v>
      </c>
      <c r="AD437" s="13">
        <f>[1]Parametros!$B$5*AC437*[1]Parametros!$B$3*(AB437-(AC437*[1]Parametros!$B$3/(0.85*[1]Parametros!$B$2*H437))/2)/1000000</f>
        <v>177.44537938235294</v>
      </c>
      <c r="AE437" s="13" t="str">
        <f t="shared" si="79"/>
        <v>CUMPLE</v>
      </c>
      <c r="AF437" s="13">
        <f>V437*1.25*[1]Parametros!$B$3*(U437-(V437*1.25*[1]Parametros!$B$3/(0.85*[1]Parametros!$B$2*H437))/2)/1000000</f>
        <v>244.15884319852941</v>
      </c>
      <c r="AG437" s="13">
        <f>AC437*1.25*[1]Parametros!$B$3*(AB437-(AC437*1.25*[1]Parametros!$B$3/(0.85*[1]Parametros!$B$2*H437))/2)/1000000</f>
        <v>244.15884319852941</v>
      </c>
      <c r="AH437" s="13">
        <f t="shared" si="80"/>
        <v>378.17084319852938</v>
      </c>
      <c r="AI437" s="13">
        <f t="shared" si="81"/>
        <v>450.161</v>
      </c>
      <c r="AJ437" s="13">
        <f>0.17*SQRT([1]Parametros!$B$2)*H437*MIN(U437,AB437)/1000</f>
        <v>220.09872869180776</v>
      </c>
      <c r="AK437" s="13">
        <f>MAX(AI437/[1]Parametros!$B$6-AJ437,0)</f>
        <v>380.11593797485887</v>
      </c>
      <c r="AL437" s="13">
        <f>0.66*SQRT([1]Parametros!$B$2)*H437*MIN(U437,AB437)/1000</f>
        <v>854.500946685842</v>
      </c>
      <c r="AM437" s="13" t="str">
        <f t="shared" si="82"/>
        <v>CUMPLE</v>
      </c>
      <c r="AN437" s="13" t="s">
        <v>68</v>
      </c>
      <c r="AO437" s="14">
        <v>2</v>
      </c>
      <c r="AP437" s="13">
        <f>ROUNDDOWN(MIN(IF(BC437+BD437=0,1000000000,AO437*BB437/(BC437+BD437)),MIN(U437,AB437)/4,8*[1]Parametros!$B$12,24*BA437,300,IF(AV437=0,1000000000,2*((H437-2*([1]Parametros!$B$7+[1]Parametros!$B$9/2))+(I437-2*([1]Parametros!$B$7+[1]Parametros!$B$9/2)))/8))/10,0)*10</f>
        <v>120</v>
      </c>
      <c r="AQ437" s="13">
        <f>ROUNDDOWN(MIN(IF(BC437+BD437=0,1000000000,AO437*BB437/(BC437+BD437)),IF(AK437&gt;0.33*SQRT([1]Parametros!$B$2)*H437*MIN(U437,AB437)/1000,MIN(U437,AB437)/4,MIN(U437,AB437)/2),600,IF(AV437=0,1000000000,2*((H437-2*([1]Parametros!$B$7+[1]Parametros!$B$9/2))+(I437-2*([1]Parametros!$B$7+[1]Parametros!$B$9/2)))/8))/10,0)*10</f>
        <v>130</v>
      </c>
      <c r="AR437" s="13">
        <f>[1]Parametros!$B$6*(AJ437+MAX(BE437-BD437,0)*[1]Parametros!$B$4*MIN(U437,AB437)/1000)</f>
        <v>496.48633401885581</v>
      </c>
      <c r="AS437" s="13" t="str">
        <f t="shared" si="83"/>
        <v>CUMPLE</v>
      </c>
      <c r="AT437" s="13">
        <f>[1]Parametros!$B$6*0.083*SQRT([1]Parametros!$B$2)*(H437*I437)^2/(2*(H437+I437))/1000000</f>
        <v>11.862178757598967</v>
      </c>
      <c r="AU437" s="13" t="str">
        <f t="shared" si="84"/>
        <v>DESPRECIABLE</v>
      </c>
      <c r="AV437" s="13">
        <f>IF(Q437&lt;=AT437,0,Q437*1000000/([1]Parametros!$B$6*2*0.85*(H437-2*([1]Parametros!$B$7+[1]Parametros!$B$9/2))*(I437-2*([1]Parametros!$B$7+[1]Parametros!$B$9/2))*[1]Parametros!$B$4))</f>
        <v>0</v>
      </c>
      <c r="AW437" s="13">
        <f>AV437*2*((H437-2*([1]Parametros!$B$7+[1]Parametros!$B$9/2))+(I437-2*([1]Parametros!$B$7+[1]Parametros!$B$9/2)))*[1]Parametros!$B$4/[1]Parametros!$B$3</f>
        <v>0</v>
      </c>
      <c r="AX437" s="14">
        <v>0</v>
      </c>
      <c r="AY437" s="13" t="str">
        <f t="shared" si="85"/>
        <v>DESPRECIABLE</v>
      </c>
      <c r="AZ437" s="13" t="str">
        <f t="shared" si="86"/>
        <v>CUMPLE</v>
      </c>
      <c r="BA437" s="14">
        <v>12.7</v>
      </c>
      <c r="BB437" s="14">
        <v>129</v>
      </c>
      <c r="BC437" s="13">
        <f>MAX(IF(AK437=0,0,AK437*1000/([1]Parametros!$B$4*MIN(U437,AB437))),MAX(0.062*SQRT([1]Parametros!$B$2)*H437/[1]Parametros!$B$4,0.35*H437/[1]Parametros!$B$4))</f>
        <v>1.8494695975461075</v>
      </c>
      <c r="BD437" s="13">
        <f t="shared" si="87"/>
        <v>0</v>
      </c>
      <c r="BE437" s="13">
        <f t="shared" si="88"/>
        <v>2.15</v>
      </c>
      <c r="BF437" s="13">
        <f>SQRT((AI437*1000/(H437*MIN(U437,AB437)))^2+(Q437*1000000*2*((H437-2*([1]Parametros!$B$7+[1]Parametros!$B$9/2))+(I437-2*([1]Parametros!$B$7+[1]Parametros!$B$9/2)))/(1.7*((H437-2*([1]Parametros!$B$7+[1]Parametros!$B$9/2))*(I437-2*([1]Parametros!$B$7+[1]Parametros!$B$9/2)))^2))^2)</f>
        <v>1.8489414616739341</v>
      </c>
      <c r="BG437" s="13">
        <f>[1]Parametros!$B$6*(AJ437*1000/(H437*MIN(U437,AB437))+0.66*SQRT([1]Parametros!$B$2))</f>
        <v>3.2939603822754151</v>
      </c>
      <c r="BH437" s="13" t="str">
        <f t="shared" si="89"/>
        <v>CUMPLE</v>
      </c>
      <c r="BI437" s="13">
        <f>AX437*[1]Parametros!$B$8</f>
        <v>0</v>
      </c>
      <c r="BJ437" s="15" t="str">
        <f t="shared" si="90"/>
        <v>CUMPLE</v>
      </c>
    </row>
    <row r="438" spans="1:62" x14ac:dyDescent="0.3">
      <c r="A438" s="33" t="s">
        <v>76</v>
      </c>
      <c r="B438" s="34">
        <v>863</v>
      </c>
      <c r="C438" s="13">
        <v>1</v>
      </c>
      <c r="D438" s="13">
        <v>2</v>
      </c>
      <c r="E438" s="13">
        <v>2</v>
      </c>
      <c r="F438" s="13">
        <v>500</v>
      </c>
      <c r="G438" s="13">
        <v>550</v>
      </c>
      <c r="H438" s="13">
        <v>500</v>
      </c>
      <c r="I438" s="13">
        <v>550</v>
      </c>
      <c r="J438" s="14">
        <v>105.69629999999999</v>
      </c>
      <c r="K438" s="13">
        <v>863</v>
      </c>
      <c r="L438" s="14">
        <v>46.5366</v>
      </c>
      <c r="M438" s="13">
        <v>863</v>
      </c>
      <c r="N438" s="14">
        <v>96.807000000000002</v>
      </c>
      <c r="O438" s="14">
        <v>248.529</v>
      </c>
      <c r="P438" s="13">
        <v>863</v>
      </c>
      <c r="Q438" s="14">
        <v>4.0393999999999997</v>
      </c>
      <c r="R438" s="13">
        <f>MAX(MAX(1.4/[1]Parametros!$B$3,0.25*SQRT([1]Parametros!$B$2)/[1]Parametros!$B$3)*H438*U438,(0.85*[1]Parametros!$B$2/[1]Parametros!$B$3)*(1-SQRT(1-2*(J438*1000000/([1]Parametros!$B$5*H438*U438^2))/(0.85*[1]Parametros!$B$2)))*H438*U438)</f>
        <v>815.58333333333326</v>
      </c>
      <c r="S438" s="14">
        <v>5</v>
      </c>
      <c r="T438" s="14">
        <v>1</v>
      </c>
      <c r="U438" s="13">
        <f>IF(T438=1,I438-([1]Parametros!$B$7+[1]Parametros!$B$9+[1]Parametros!$B$12/2),I438-(ROUNDUP(S438/2,0)*([1]Parametros!$B$7+[1]Parametros!$B$9+[1]Parametros!$B$12/2)+ROUNDDOWN(S438/2,0)*([1]Parametros!$B$7+[1]Parametros!$B$9+[1]Parametros!$B$12/2+[1]Parametros!$B$12+[1]Parametros!$B$10))/S438)</f>
        <v>489.35</v>
      </c>
      <c r="V438" s="13">
        <f>S438*[1]Parametros!$B$8</f>
        <v>995</v>
      </c>
      <c r="W438" s="13">
        <f>[1]Parametros!$B$5*V438*[1]Parametros!$B$3*(U438-(V438*[1]Parametros!$B$3/(0.85*[1]Parametros!$B$2*H438))/2)/1000000</f>
        <v>177.44537938235294</v>
      </c>
      <c r="X438" s="13" t="str">
        <f t="shared" si="78"/>
        <v>CUMPLE</v>
      </c>
      <c r="Y438" s="13">
        <f>MAX(MAX(1.4/[1]Parametros!$B$3,0.25*SQRT([1]Parametros!$B$2)/[1]Parametros!$B$3)*H438*AB438,(0.85*[1]Parametros!$B$2/[1]Parametros!$B$3)*(1-SQRT(1-2*(L438*1000000/([1]Parametros!$B$5*H438*AB438^2))/(0.85*[1]Parametros!$B$2)))*H438*AB438)</f>
        <v>815.58333333333326</v>
      </c>
      <c r="Z438" s="14">
        <v>5</v>
      </c>
      <c r="AA438" s="14">
        <v>1</v>
      </c>
      <c r="AB438" s="13">
        <f>IF(AA438=1,I438-([1]Parametros!$B$7+[1]Parametros!$B$9+[1]Parametros!$B$12/2),I438-(ROUNDUP(Z438/2,0)*([1]Parametros!$B$7+[1]Parametros!$B$9+[1]Parametros!$B$12/2)+ROUNDDOWN(Z438/2,0)*([1]Parametros!$B$7+[1]Parametros!$B$9+[1]Parametros!$B$12/2+[1]Parametros!$B$12+[1]Parametros!$B$10))/Z438)</f>
        <v>489.35</v>
      </c>
      <c r="AC438" s="13">
        <f>Z438*[1]Parametros!$B$8</f>
        <v>995</v>
      </c>
      <c r="AD438" s="13">
        <f>[1]Parametros!$B$5*AC438*[1]Parametros!$B$3*(AB438-(AC438*[1]Parametros!$B$3/(0.85*[1]Parametros!$B$2*H438))/2)/1000000</f>
        <v>177.44537938235294</v>
      </c>
      <c r="AE438" s="13" t="str">
        <f t="shared" si="79"/>
        <v>CUMPLE</v>
      </c>
      <c r="AF438" s="13">
        <f>V438*1.25*[1]Parametros!$B$3*(U438-(V438*1.25*[1]Parametros!$B$3/(0.85*[1]Parametros!$B$2*H438))/2)/1000000</f>
        <v>244.15884319852941</v>
      </c>
      <c r="AG438" s="13">
        <f>AC438*1.25*[1]Parametros!$B$3*(AB438-(AC438*1.25*[1]Parametros!$B$3/(0.85*[1]Parametros!$B$2*H438))/2)/1000000</f>
        <v>244.15884319852941</v>
      </c>
      <c r="AH438" s="13">
        <f t="shared" si="80"/>
        <v>340.9658431985294</v>
      </c>
      <c r="AI438" s="13">
        <f t="shared" si="81"/>
        <v>340.9658431985294</v>
      </c>
      <c r="AJ438" s="13">
        <f>0.17*SQRT([1]Parametros!$B$2)*H438*MIN(U438,AB438)/1000</f>
        <v>220.09872869180776</v>
      </c>
      <c r="AK438" s="13">
        <f>MAX(AI438/[1]Parametros!$B$6-AJ438,0)</f>
        <v>234.52239557289812</v>
      </c>
      <c r="AL438" s="13">
        <f>0.66*SQRT([1]Parametros!$B$2)*H438*MIN(U438,AB438)/1000</f>
        <v>854.500946685842</v>
      </c>
      <c r="AM438" s="13" t="str">
        <f t="shared" si="82"/>
        <v>CUMPLE</v>
      </c>
      <c r="AN438" s="13" t="s">
        <v>64</v>
      </c>
      <c r="AO438" s="14">
        <v>2</v>
      </c>
      <c r="AP438" s="13">
        <f>ROUNDDOWN(MIN(IF(BC438+BD438=0,1000000000,AO438*BB438/(BC438+BD438)),MIN(U438,AB438)/4,8*[1]Parametros!$B$12,24*BA438,300,IF(AV438=0,1000000000,2*((H438-2*([1]Parametros!$B$7+[1]Parametros!$B$9/2))+(I438-2*([1]Parametros!$B$7+[1]Parametros!$B$9/2)))/8))/10,0)*10</f>
        <v>120</v>
      </c>
      <c r="AQ438" s="13">
        <f>ROUNDDOWN(MIN(IF(BC438+BD438=0,1000000000,AO438*BB438/(BC438+BD438)),IF(AK438&gt;0.33*SQRT([1]Parametros!$B$2)*H438*MIN(U438,AB438)/1000,MIN(U438,AB438)/4,MIN(U438,AB438)/2),600,IF(AV438=0,1000000000,2*((H438-2*([1]Parametros!$B$7+[1]Parametros!$B$9/2))+(I438-2*([1]Parametros!$B$7+[1]Parametros!$B$9/2)))/8))/10,0)*10</f>
        <v>120</v>
      </c>
      <c r="AR438" s="13">
        <f>[1]Parametros!$B$6*(AJ438+MAX(BE438-BD438,0)*[1]Parametros!$B$4*MIN(U438,AB438)/1000)</f>
        <v>347.47925901885583</v>
      </c>
      <c r="AS438" s="13" t="str">
        <f t="shared" si="83"/>
        <v>CUMPLE</v>
      </c>
      <c r="AT438" s="13">
        <f>[1]Parametros!$B$6*0.083*SQRT([1]Parametros!$B$2)*(H438*I438)^2/(2*(H438+I438))/1000000</f>
        <v>11.862178757598967</v>
      </c>
      <c r="AU438" s="13" t="str">
        <f t="shared" si="84"/>
        <v>DESPRECIABLE</v>
      </c>
      <c r="AV438" s="13">
        <f>IF(Q438&lt;=AT438,0,Q438*1000000/([1]Parametros!$B$6*2*0.85*(H438-2*([1]Parametros!$B$7+[1]Parametros!$B$9/2))*(I438-2*([1]Parametros!$B$7+[1]Parametros!$B$9/2))*[1]Parametros!$B$4))</f>
        <v>0</v>
      </c>
      <c r="AW438" s="13">
        <f>AV438*2*((H438-2*([1]Parametros!$B$7+[1]Parametros!$B$9/2))+(I438-2*([1]Parametros!$B$7+[1]Parametros!$B$9/2)))*[1]Parametros!$B$4/[1]Parametros!$B$3</f>
        <v>0</v>
      </c>
      <c r="AX438" s="14">
        <v>0</v>
      </c>
      <c r="AY438" s="13" t="str">
        <f t="shared" si="85"/>
        <v>DESPRECIABLE</v>
      </c>
      <c r="AZ438" s="13" t="str">
        <f t="shared" si="86"/>
        <v>CUMPLE</v>
      </c>
      <c r="BA438" s="14">
        <v>9.5</v>
      </c>
      <c r="BB438" s="14">
        <v>71</v>
      </c>
      <c r="BC438" s="13">
        <f>MAX(IF(AK438=0,0,AK438*1000/([1]Parametros!$B$4*MIN(U438,AB438))),MAX(0.062*SQRT([1]Parametros!$B$2)*H438/[1]Parametros!$B$4,0.35*H438/[1]Parametros!$B$4))</f>
        <v>1.1410782796075363</v>
      </c>
      <c r="BD438" s="13">
        <f t="shared" si="87"/>
        <v>0</v>
      </c>
      <c r="BE438" s="13">
        <f t="shared" si="88"/>
        <v>1.1833333333333333</v>
      </c>
      <c r="BF438" s="13">
        <f>SQRT((AI438*1000/(H438*MIN(U438,AB438)))^2+(Q438*1000000*2*((H438-2*([1]Parametros!$B$7+[1]Parametros!$B$9/2))+(I438-2*([1]Parametros!$B$7+[1]Parametros!$B$9/2)))/(1.7*((H438-2*([1]Parametros!$B$7+[1]Parametros!$B$9/2))*(I438-2*([1]Parametros!$B$7+[1]Parametros!$B$9/2)))^2))^2)</f>
        <v>1.3985696791185029</v>
      </c>
      <c r="BG438" s="13">
        <f>[1]Parametros!$B$6*(AJ438*1000/(H438*MIN(U438,AB438))+0.66*SQRT([1]Parametros!$B$2))</f>
        <v>3.2939603822754151</v>
      </c>
      <c r="BH438" s="13" t="str">
        <f t="shared" si="89"/>
        <v>CUMPLE</v>
      </c>
      <c r="BI438" s="13">
        <f>AX438*[1]Parametros!$B$8</f>
        <v>0</v>
      </c>
      <c r="BJ438" s="15" t="str">
        <f t="shared" si="90"/>
        <v>CUMPLE</v>
      </c>
    </row>
    <row r="439" spans="1:62" x14ac:dyDescent="0.3">
      <c r="A439" s="33" t="s">
        <v>76</v>
      </c>
      <c r="B439" s="34">
        <v>864</v>
      </c>
      <c r="C439" s="13">
        <v>1</v>
      </c>
      <c r="D439" s="13">
        <v>3.05308</v>
      </c>
      <c r="E439" s="13">
        <v>3.05308</v>
      </c>
      <c r="F439" s="13">
        <v>500</v>
      </c>
      <c r="G439" s="13">
        <v>550</v>
      </c>
      <c r="H439" s="13">
        <v>500</v>
      </c>
      <c r="I439" s="13">
        <v>550</v>
      </c>
      <c r="J439" s="14">
        <v>125.3494</v>
      </c>
      <c r="K439" s="13">
        <v>864</v>
      </c>
      <c r="L439" s="14">
        <v>63.801699999999997</v>
      </c>
      <c r="M439" s="13">
        <v>864</v>
      </c>
      <c r="N439" s="14">
        <v>110.246</v>
      </c>
      <c r="O439" s="14">
        <v>260.875</v>
      </c>
      <c r="P439" s="13">
        <v>864</v>
      </c>
      <c r="Q439" s="14">
        <v>31.888300000000001</v>
      </c>
      <c r="R439" s="13">
        <f>MAX(MAX(1.4/[1]Parametros!$B$3,0.25*SQRT([1]Parametros!$B$2)/[1]Parametros!$B$3)*H439*U439,(0.85*[1]Parametros!$B$2/[1]Parametros!$B$3)*(1-SQRT(1-2*(J439*1000000/([1]Parametros!$B$5*H439*U439^2))/(0.85*[1]Parametros!$B$2)))*H439*U439)</f>
        <v>815.58333333333326</v>
      </c>
      <c r="S439" s="14">
        <v>5</v>
      </c>
      <c r="T439" s="14">
        <v>1</v>
      </c>
      <c r="U439" s="13">
        <f>IF(T439=1,I439-([1]Parametros!$B$7+[1]Parametros!$B$9+[1]Parametros!$B$12/2),I439-(ROUNDUP(S439/2,0)*([1]Parametros!$B$7+[1]Parametros!$B$9+[1]Parametros!$B$12/2)+ROUNDDOWN(S439/2,0)*([1]Parametros!$B$7+[1]Parametros!$B$9+[1]Parametros!$B$12/2+[1]Parametros!$B$12+[1]Parametros!$B$10))/S439)</f>
        <v>489.35</v>
      </c>
      <c r="V439" s="13">
        <f>S439*[1]Parametros!$B$8</f>
        <v>995</v>
      </c>
      <c r="W439" s="13">
        <f>[1]Parametros!$B$5*V439*[1]Parametros!$B$3*(U439-(V439*[1]Parametros!$B$3/(0.85*[1]Parametros!$B$2*H439))/2)/1000000</f>
        <v>177.44537938235294</v>
      </c>
      <c r="X439" s="13" t="str">
        <f t="shared" si="78"/>
        <v>CUMPLE</v>
      </c>
      <c r="Y439" s="13">
        <f>MAX(MAX(1.4/[1]Parametros!$B$3,0.25*SQRT([1]Parametros!$B$2)/[1]Parametros!$B$3)*H439*AB439,(0.85*[1]Parametros!$B$2/[1]Parametros!$B$3)*(1-SQRT(1-2*(L439*1000000/([1]Parametros!$B$5*H439*AB439^2))/(0.85*[1]Parametros!$B$2)))*H439*AB439)</f>
        <v>815.58333333333326</v>
      </c>
      <c r="Z439" s="14">
        <v>5</v>
      </c>
      <c r="AA439" s="14">
        <v>1</v>
      </c>
      <c r="AB439" s="13">
        <f>IF(AA439=1,I439-([1]Parametros!$B$7+[1]Parametros!$B$9+[1]Parametros!$B$12/2),I439-(ROUNDUP(Z439/2,0)*([1]Parametros!$B$7+[1]Parametros!$B$9+[1]Parametros!$B$12/2)+ROUNDDOWN(Z439/2,0)*([1]Parametros!$B$7+[1]Parametros!$B$9+[1]Parametros!$B$12/2+[1]Parametros!$B$12+[1]Parametros!$B$10))/Z439)</f>
        <v>489.35</v>
      </c>
      <c r="AC439" s="13">
        <f>Z439*[1]Parametros!$B$8</f>
        <v>995</v>
      </c>
      <c r="AD439" s="13">
        <f>[1]Parametros!$B$5*AC439*[1]Parametros!$B$3*(AB439-(AC439*[1]Parametros!$B$3/(0.85*[1]Parametros!$B$2*H439))/2)/1000000</f>
        <v>177.44537938235294</v>
      </c>
      <c r="AE439" s="13" t="str">
        <f t="shared" si="79"/>
        <v>CUMPLE</v>
      </c>
      <c r="AF439" s="13">
        <f>V439*1.25*[1]Parametros!$B$3*(U439-(V439*1.25*[1]Parametros!$B$3/(0.85*[1]Parametros!$B$2*H439))/2)/1000000</f>
        <v>244.15884319852941</v>
      </c>
      <c r="AG439" s="13">
        <f>AC439*1.25*[1]Parametros!$B$3*(AB439-(AC439*1.25*[1]Parametros!$B$3/(0.85*[1]Parametros!$B$2*H439))/2)/1000000</f>
        <v>244.15884319852941</v>
      </c>
      <c r="AH439" s="13">
        <f t="shared" si="80"/>
        <v>270.18864362449028</v>
      </c>
      <c r="AI439" s="13">
        <f t="shared" si="81"/>
        <v>270.18864362449028</v>
      </c>
      <c r="AJ439" s="13">
        <f>0.17*SQRT([1]Parametros!$B$2)*H439*MIN(U439,AB439)/1000</f>
        <v>220.09872869180776</v>
      </c>
      <c r="AK439" s="13">
        <f>MAX(AI439/[1]Parametros!$B$6-AJ439,0)</f>
        <v>140.15279614084596</v>
      </c>
      <c r="AL439" s="13">
        <f>0.66*SQRT([1]Parametros!$B$2)*H439*MIN(U439,AB439)/1000</f>
        <v>854.500946685842</v>
      </c>
      <c r="AM439" s="13" t="str">
        <f t="shared" si="82"/>
        <v>CUMPLE</v>
      </c>
      <c r="AN439" s="13" t="s">
        <v>64</v>
      </c>
      <c r="AO439" s="14">
        <v>2</v>
      </c>
      <c r="AP439" s="13">
        <f>ROUNDDOWN(MIN(IF(BC439+BD439=0,1000000000,AO439*BB439/(BC439+BD439)),MIN(U439,AB439)/4,8*[1]Parametros!$B$12,24*BA439,300,IF(AV439=0,1000000000,2*((H439-2*([1]Parametros!$B$7+[1]Parametros!$B$9/2))+(I439-2*([1]Parametros!$B$7+[1]Parametros!$B$9/2)))/8))/10,0)*10</f>
        <v>100</v>
      </c>
      <c r="AQ439" s="13">
        <f>ROUNDDOWN(MIN(IF(BC439+BD439=0,1000000000,AO439*BB439/(BC439+BD439)),IF(AK439&gt;0.33*SQRT([1]Parametros!$B$2)*H439*MIN(U439,AB439)/1000,MIN(U439,AB439)/4,MIN(U439,AB439)/2),600,IF(AV439=0,1000000000,2*((H439-2*([1]Parametros!$B$7+[1]Parametros!$B$9/2))+(I439-2*([1]Parametros!$B$7+[1]Parametros!$B$9/2)))/8))/10,0)*10</f>
        <v>100</v>
      </c>
      <c r="AR439" s="13">
        <f>[1]Parametros!$B$6*(AJ439+MAX(BE439-BD439,0)*[1]Parametros!$B$4*MIN(U439,AB439)/1000)</f>
        <v>285.39673214304281</v>
      </c>
      <c r="AS439" s="13" t="str">
        <f t="shared" si="83"/>
        <v>CUMPLE</v>
      </c>
      <c r="AT439" s="13">
        <f>[1]Parametros!$B$6*0.083*SQRT([1]Parametros!$B$2)*(H439*I439)^2/(2*(H439+I439))/1000000</f>
        <v>11.862178757598967</v>
      </c>
      <c r="AU439" s="13" t="str">
        <f t="shared" si="84"/>
        <v>DISEÑAR</v>
      </c>
      <c r="AV439" s="13">
        <f>IF(Q439&lt;=AT439,0,Q439*1000000/([1]Parametros!$B$6*2*0.85*(H439-2*([1]Parametros!$B$7+[1]Parametros!$B$9/2))*(I439-2*([1]Parametros!$B$7+[1]Parametros!$B$9/2))*[1]Parametros!$B$4))</f>
        <v>0.31971004418174737</v>
      </c>
      <c r="AW439" s="13">
        <f>AV439*2*((H439-2*([1]Parametros!$B$7+[1]Parametros!$B$9/2))+(I439-2*([1]Parametros!$B$7+[1]Parametros!$B$9/2)))*[1]Parametros!$B$4/[1]Parametros!$B$3</f>
        <v>552.84260839907756</v>
      </c>
      <c r="AX439" s="14">
        <v>8</v>
      </c>
      <c r="AY439" s="13" t="str">
        <f t="shared" si="85"/>
        <v>CUMPLE</v>
      </c>
      <c r="AZ439" s="13" t="str">
        <f t="shared" si="86"/>
        <v>CUMPLE</v>
      </c>
      <c r="BA439" s="14">
        <v>9.5</v>
      </c>
      <c r="BB439" s="14">
        <v>71</v>
      </c>
      <c r="BC439" s="13">
        <f>MAX(IF(AK439=0,0,AK439*1000/([1]Parametros!$B$4*MIN(U439,AB439))),MAX(0.062*SQRT([1]Parametros!$B$2)*H439/[1]Parametros!$B$4,0.35*H439/[1]Parametros!$B$4))</f>
        <v>0.68191914512860086</v>
      </c>
      <c r="BD439" s="13">
        <f t="shared" si="87"/>
        <v>0.63942008836349473</v>
      </c>
      <c r="BE439" s="13">
        <f t="shared" si="88"/>
        <v>1.42</v>
      </c>
      <c r="BF439" s="13">
        <f>SQRT((AI439*1000/(H439*MIN(U439,AB439)))^2+(Q439*1000000*2*((H439-2*([1]Parametros!$B$7+[1]Parametros!$B$9/2))+(I439-2*([1]Parametros!$B$7+[1]Parametros!$B$9/2)))/(1.7*((H439-2*([1]Parametros!$B$7+[1]Parametros!$B$9/2))*(I439-2*([1]Parametros!$B$7+[1]Parametros!$B$9/2)))^2))^2)</f>
        <v>1.4469238631417571</v>
      </c>
      <c r="BG439" s="13">
        <f>[1]Parametros!$B$6*(AJ439*1000/(H439*MIN(U439,AB439))+0.66*SQRT([1]Parametros!$B$2))</f>
        <v>3.2939603822754151</v>
      </c>
      <c r="BH439" s="13" t="str">
        <f t="shared" si="89"/>
        <v>CUMPLE</v>
      </c>
      <c r="BI439" s="13">
        <f>AX439*[1]Parametros!$B$8</f>
        <v>1592</v>
      </c>
      <c r="BJ439" s="15" t="str">
        <f t="shared" si="90"/>
        <v>CUMPLE</v>
      </c>
    </row>
    <row r="440" spans="1:62" x14ac:dyDescent="0.3">
      <c r="A440" s="33" t="s">
        <v>76</v>
      </c>
      <c r="B440" s="34">
        <v>865</v>
      </c>
      <c r="C440" s="13">
        <v>1</v>
      </c>
      <c r="D440" s="13">
        <v>2</v>
      </c>
      <c r="E440" s="13">
        <v>2</v>
      </c>
      <c r="F440" s="13">
        <v>500</v>
      </c>
      <c r="G440" s="13">
        <v>550</v>
      </c>
      <c r="H440" s="13">
        <v>500</v>
      </c>
      <c r="I440" s="13">
        <v>550</v>
      </c>
      <c r="J440" s="14">
        <v>100.7303</v>
      </c>
      <c r="K440" s="13">
        <v>865</v>
      </c>
      <c r="L440" s="14">
        <v>54.520099999999999</v>
      </c>
      <c r="M440" s="13">
        <v>865</v>
      </c>
      <c r="N440" s="14">
        <v>105.52</v>
      </c>
      <c r="O440" s="14">
        <v>324.387</v>
      </c>
      <c r="P440" s="13">
        <v>865</v>
      </c>
      <c r="Q440" s="14">
        <v>26.166</v>
      </c>
      <c r="R440" s="13">
        <f>MAX(MAX(1.4/[1]Parametros!$B$3,0.25*SQRT([1]Parametros!$B$2)/[1]Parametros!$B$3)*H440*U440,(0.85*[1]Parametros!$B$2/[1]Parametros!$B$3)*(1-SQRT(1-2*(J440*1000000/([1]Parametros!$B$5*H440*U440^2))/(0.85*[1]Parametros!$B$2)))*H440*U440)</f>
        <v>815.58333333333326</v>
      </c>
      <c r="S440" s="14">
        <v>5</v>
      </c>
      <c r="T440" s="14">
        <v>1</v>
      </c>
      <c r="U440" s="13">
        <f>IF(T440=1,I440-([1]Parametros!$B$7+[1]Parametros!$B$9+[1]Parametros!$B$12/2),I440-(ROUNDUP(S440/2,0)*([1]Parametros!$B$7+[1]Parametros!$B$9+[1]Parametros!$B$12/2)+ROUNDDOWN(S440/2,0)*([1]Parametros!$B$7+[1]Parametros!$B$9+[1]Parametros!$B$12/2+[1]Parametros!$B$12+[1]Parametros!$B$10))/S440)</f>
        <v>489.35</v>
      </c>
      <c r="V440" s="13">
        <f>S440*[1]Parametros!$B$8</f>
        <v>995</v>
      </c>
      <c r="W440" s="13">
        <f>[1]Parametros!$B$5*V440*[1]Parametros!$B$3*(U440-(V440*[1]Parametros!$B$3/(0.85*[1]Parametros!$B$2*H440))/2)/1000000</f>
        <v>177.44537938235294</v>
      </c>
      <c r="X440" s="13" t="str">
        <f t="shared" si="78"/>
        <v>CUMPLE</v>
      </c>
      <c r="Y440" s="13">
        <f>MAX(MAX(1.4/[1]Parametros!$B$3,0.25*SQRT([1]Parametros!$B$2)/[1]Parametros!$B$3)*H440*AB440,(0.85*[1]Parametros!$B$2/[1]Parametros!$B$3)*(1-SQRT(1-2*(L440*1000000/([1]Parametros!$B$5*H440*AB440^2))/(0.85*[1]Parametros!$B$2)))*H440*AB440)</f>
        <v>815.58333333333326</v>
      </c>
      <c r="Z440" s="14">
        <v>5</v>
      </c>
      <c r="AA440" s="14">
        <v>1</v>
      </c>
      <c r="AB440" s="13">
        <f>IF(AA440=1,I440-([1]Parametros!$B$7+[1]Parametros!$B$9+[1]Parametros!$B$12/2),I440-(ROUNDUP(Z440/2,0)*([1]Parametros!$B$7+[1]Parametros!$B$9+[1]Parametros!$B$12/2)+ROUNDDOWN(Z440/2,0)*([1]Parametros!$B$7+[1]Parametros!$B$9+[1]Parametros!$B$12/2+[1]Parametros!$B$12+[1]Parametros!$B$10))/Z440)</f>
        <v>489.35</v>
      </c>
      <c r="AC440" s="13">
        <f>Z440*[1]Parametros!$B$8</f>
        <v>995</v>
      </c>
      <c r="AD440" s="13">
        <f>[1]Parametros!$B$5*AC440*[1]Parametros!$B$3*(AB440-(AC440*[1]Parametros!$B$3/(0.85*[1]Parametros!$B$2*H440))/2)/1000000</f>
        <v>177.44537938235294</v>
      </c>
      <c r="AE440" s="13" t="str">
        <f t="shared" si="79"/>
        <v>CUMPLE</v>
      </c>
      <c r="AF440" s="13">
        <f>V440*1.25*[1]Parametros!$B$3*(U440-(V440*1.25*[1]Parametros!$B$3/(0.85*[1]Parametros!$B$2*H440))/2)/1000000</f>
        <v>244.15884319852941</v>
      </c>
      <c r="AG440" s="13">
        <f>AC440*1.25*[1]Parametros!$B$3*(AB440-(AC440*1.25*[1]Parametros!$B$3/(0.85*[1]Parametros!$B$2*H440))/2)/1000000</f>
        <v>244.15884319852941</v>
      </c>
      <c r="AH440" s="13">
        <f t="shared" si="80"/>
        <v>349.67884319852942</v>
      </c>
      <c r="AI440" s="13">
        <f t="shared" si="81"/>
        <v>349.67884319852942</v>
      </c>
      <c r="AJ440" s="13">
        <f>0.17*SQRT([1]Parametros!$B$2)*H440*MIN(U440,AB440)/1000</f>
        <v>220.09872869180776</v>
      </c>
      <c r="AK440" s="13">
        <f>MAX(AI440/[1]Parametros!$B$6-AJ440,0)</f>
        <v>246.13972890623148</v>
      </c>
      <c r="AL440" s="13">
        <f>0.66*SQRT([1]Parametros!$B$2)*H440*MIN(U440,AB440)/1000</f>
        <v>854.500946685842</v>
      </c>
      <c r="AM440" s="13" t="str">
        <f t="shared" si="82"/>
        <v>CUMPLE</v>
      </c>
      <c r="AN440" s="13" t="s">
        <v>64</v>
      </c>
      <c r="AO440" s="14">
        <v>2</v>
      </c>
      <c r="AP440" s="13">
        <f>ROUNDDOWN(MIN(IF(BC440+BD440=0,1000000000,AO440*BB440/(BC440+BD440)),MIN(U440,AB440)/4,8*[1]Parametros!$B$12,24*BA440,300,IF(AV440=0,1000000000,2*((H440-2*([1]Parametros!$B$7+[1]Parametros!$B$9/2))+(I440-2*([1]Parametros!$B$7+[1]Parametros!$B$9/2)))/8))/10,0)*10</f>
        <v>80</v>
      </c>
      <c r="AQ440" s="13">
        <f>ROUNDDOWN(MIN(IF(BC440+BD440=0,1000000000,AO440*BB440/(BC440+BD440)),IF(AK440&gt;0.33*SQRT([1]Parametros!$B$2)*H440*MIN(U440,AB440)/1000,MIN(U440,AB440)/4,MIN(U440,AB440)/2),600,IF(AV440=0,1000000000,2*((H440-2*([1]Parametros!$B$7+[1]Parametros!$B$9/2))+(I440-2*([1]Parametros!$B$7+[1]Parametros!$B$9/2)))/8))/10,0)*10</f>
        <v>80</v>
      </c>
      <c r="AR440" s="13">
        <f>[1]Parametros!$B$6*(AJ440+MAX(BE440-BD440,0)*[1]Parametros!$B$4*MIN(U440,AB440)/1000)</f>
        <v>357.80535707345109</v>
      </c>
      <c r="AS440" s="13" t="str">
        <f t="shared" si="83"/>
        <v>CUMPLE</v>
      </c>
      <c r="AT440" s="13">
        <f>[1]Parametros!$B$6*0.083*SQRT([1]Parametros!$B$2)*(H440*I440)^2/(2*(H440+I440))/1000000</f>
        <v>11.862178757598967</v>
      </c>
      <c r="AU440" s="13" t="str">
        <f t="shared" si="84"/>
        <v>DISEÑAR</v>
      </c>
      <c r="AV440" s="13">
        <f>IF(Q440&lt;=AT440,0,Q440*1000000/([1]Parametros!$B$6*2*0.85*(H440-2*([1]Parametros!$B$7+[1]Parametros!$B$9/2))*(I440-2*([1]Parametros!$B$7+[1]Parametros!$B$9/2))*[1]Parametros!$B$4))</f>
        <v>0.26233863254107626</v>
      </c>
      <c r="AW440" s="13">
        <f>AV440*2*((H440-2*([1]Parametros!$B$7+[1]Parametros!$B$9/2))+(I440-2*([1]Parametros!$B$7+[1]Parametros!$B$9/2)))*[1]Parametros!$B$4/[1]Parametros!$B$3</f>
        <v>453.63596339002908</v>
      </c>
      <c r="AX440" s="14">
        <v>8</v>
      </c>
      <c r="AY440" s="13" t="str">
        <f t="shared" si="85"/>
        <v>CUMPLE</v>
      </c>
      <c r="AZ440" s="13" t="str">
        <f t="shared" si="86"/>
        <v>CUMPLE</v>
      </c>
      <c r="BA440" s="14">
        <v>9.5</v>
      </c>
      <c r="BB440" s="14">
        <v>71</v>
      </c>
      <c r="BC440" s="13">
        <f>MAX(IF(AK440=0,0,AK440*1000/([1]Parametros!$B$4*MIN(U440,AB440))),MAX(0.062*SQRT([1]Parametros!$B$2)*H440/[1]Parametros!$B$4,0.35*H440/[1]Parametros!$B$4))</f>
        <v>1.197602888701881</v>
      </c>
      <c r="BD440" s="13">
        <f t="shared" si="87"/>
        <v>0.52467726508215251</v>
      </c>
      <c r="BE440" s="13">
        <f t="shared" si="88"/>
        <v>1.7749999999999999</v>
      </c>
      <c r="BF440" s="13">
        <f>SQRT((AI440*1000/(H440*MIN(U440,AB440)))^2+(Q440*1000000*2*((H440-2*([1]Parametros!$B$7+[1]Parametros!$B$9/2))+(I440-2*([1]Parametros!$B$7+[1]Parametros!$B$9/2)))/(1.7*((H440-2*([1]Parametros!$B$7+[1]Parametros!$B$9/2))*(I440-2*([1]Parametros!$B$7+[1]Parametros!$B$9/2)))^2))^2)</f>
        <v>1.6220564513181066</v>
      </c>
      <c r="BG440" s="13">
        <f>[1]Parametros!$B$6*(AJ440*1000/(H440*MIN(U440,AB440))+0.66*SQRT([1]Parametros!$B$2))</f>
        <v>3.2939603822754151</v>
      </c>
      <c r="BH440" s="13" t="str">
        <f t="shared" si="89"/>
        <v>CUMPLE</v>
      </c>
      <c r="BI440" s="13">
        <f>AX440*[1]Parametros!$B$8</f>
        <v>1592</v>
      </c>
      <c r="BJ440" s="15" t="str">
        <f t="shared" si="90"/>
        <v>CUMPLE</v>
      </c>
    </row>
    <row r="441" spans="1:62" x14ac:dyDescent="0.3">
      <c r="A441" s="33" t="s">
        <v>76</v>
      </c>
      <c r="B441" s="34">
        <v>866</v>
      </c>
      <c r="C441" s="13">
        <v>1</v>
      </c>
      <c r="D441" s="13">
        <v>1.9</v>
      </c>
      <c r="E441" s="13">
        <v>1.9</v>
      </c>
      <c r="F441" s="13">
        <v>500</v>
      </c>
      <c r="G441" s="13">
        <v>550</v>
      </c>
      <c r="H441" s="13">
        <v>500</v>
      </c>
      <c r="I441" s="13">
        <v>550</v>
      </c>
      <c r="J441" s="14">
        <v>93.344800000000006</v>
      </c>
      <c r="K441" s="13">
        <v>866</v>
      </c>
      <c r="L441" s="14">
        <v>56.674700000000001</v>
      </c>
      <c r="M441" s="13">
        <v>866</v>
      </c>
      <c r="N441" s="14">
        <v>96.248000000000005</v>
      </c>
      <c r="O441" s="14">
        <v>273.65100000000001</v>
      </c>
      <c r="P441" s="13">
        <v>866</v>
      </c>
      <c r="Q441" s="14">
        <v>10.9145</v>
      </c>
      <c r="R441" s="13">
        <f>MAX(MAX(1.4/[1]Parametros!$B$3,0.25*SQRT([1]Parametros!$B$2)/[1]Parametros!$B$3)*H441*U441,(0.85*[1]Parametros!$B$2/[1]Parametros!$B$3)*(1-SQRT(1-2*(J441*1000000/([1]Parametros!$B$5*H441*U441^2))/(0.85*[1]Parametros!$B$2)))*H441*U441)</f>
        <v>815.58333333333326</v>
      </c>
      <c r="S441" s="14">
        <v>5</v>
      </c>
      <c r="T441" s="14">
        <v>1</v>
      </c>
      <c r="U441" s="13">
        <f>IF(T441=1,I441-([1]Parametros!$B$7+[1]Parametros!$B$9+[1]Parametros!$B$12/2),I441-(ROUNDUP(S441/2,0)*([1]Parametros!$B$7+[1]Parametros!$B$9+[1]Parametros!$B$12/2)+ROUNDDOWN(S441/2,0)*([1]Parametros!$B$7+[1]Parametros!$B$9+[1]Parametros!$B$12/2+[1]Parametros!$B$12+[1]Parametros!$B$10))/S441)</f>
        <v>489.35</v>
      </c>
      <c r="V441" s="13">
        <f>S441*[1]Parametros!$B$8</f>
        <v>995</v>
      </c>
      <c r="W441" s="13">
        <f>[1]Parametros!$B$5*V441*[1]Parametros!$B$3*(U441-(V441*[1]Parametros!$B$3/(0.85*[1]Parametros!$B$2*H441))/2)/1000000</f>
        <v>177.44537938235294</v>
      </c>
      <c r="X441" s="13" t="str">
        <f t="shared" si="78"/>
        <v>CUMPLE</v>
      </c>
      <c r="Y441" s="13">
        <f>MAX(MAX(1.4/[1]Parametros!$B$3,0.25*SQRT([1]Parametros!$B$2)/[1]Parametros!$B$3)*H441*AB441,(0.85*[1]Parametros!$B$2/[1]Parametros!$B$3)*(1-SQRT(1-2*(L441*1000000/([1]Parametros!$B$5*H441*AB441^2))/(0.85*[1]Parametros!$B$2)))*H441*AB441)</f>
        <v>815.58333333333326</v>
      </c>
      <c r="Z441" s="14">
        <v>5</v>
      </c>
      <c r="AA441" s="14">
        <v>1</v>
      </c>
      <c r="AB441" s="13">
        <f>IF(AA441=1,I441-([1]Parametros!$B$7+[1]Parametros!$B$9+[1]Parametros!$B$12/2),I441-(ROUNDUP(Z441/2,0)*([1]Parametros!$B$7+[1]Parametros!$B$9+[1]Parametros!$B$12/2)+ROUNDDOWN(Z441/2,0)*([1]Parametros!$B$7+[1]Parametros!$B$9+[1]Parametros!$B$12/2+[1]Parametros!$B$12+[1]Parametros!$B$10))/Z441)</f>
        <v>489.35</v>
      </c>
      <c r="AC441" s="13">
        <f>Z441*[1]Parametros!$B$8</f>
        <v>995</v>
      </c>
      <c r="AD441" s="13">
        <f>[1]Parametros!$B$5*AC441*[1]Parametros!$B$3*(AB441-(AC441*[1]Parametros!$B$3/(0.85*[1]Parametros!$B$2*H441))/2)/1000000</f>
        <v>177.44537938235294</v>
      </c>
      <c r="AE441" s="13" t="str">
        <f t="shared" si="79"/>
        <v>CUMPLE</v>
      </c>
      <c r="AF441" s="13">
        <f>V441*1.25*[1]Parametros!$B$3*(U441-(V441*1.25*[1]Parametros!$B$3/(0.85*[1]Parametros!$B$2*H441))/2)/1000000</f>
        <v>244.15884319852941</v>
      </c>
      <c r="AG441" s="13">
        <f>AC441*1.25*[1]Parametros!$B$3*(AB441-(AC441*1.25*[1]Parametros!$B$3/(0.85*[1]Parametros!$B$2*H441))/2)/1000000</f>
        <v>244.15884319852941</v>
      </c>
      <c r="AH441" s="13">
        <f t="shared" si="80"/>
        <v>353.25730863003093</v>
      </c>
      <c r="AI441" s="13">
        <f t="shared" si="81"/>
        <v>353.25730863003093</v>
      </c>
      <c r="AJ441" s="13">
        <f>0.17*SQRT([1]Parametros!$B$2)*H441*MIN(U441,AB441)/1000</f>
        <v>220.09872869180776</v>
      </c>
      <c r="AK441" s="13">
        <f>MAX(AI441/[1]Parametros!$B$6-AJ441,0)</f>
        <v>250.9110161482335</v>
      </c>
      <c r="AL441" s="13">
        <f>0.66*SQRT([1]Parametros!$B$2)*H441*MIN(U441,AB441)/1000</f>
        <v>854.500946685842</v>
      </c>
      <c r="AM441" s="13" t="str">
        <f t="shared" si="82"/>
        <v>CUMPLE</v>
      </c>
      <c r="AN441" s="13" t="s">
        <v>64</v>
      </c>
      <c r="AO441" s="14">
        <v>2</v>
      </c>
      <c r="AP441" s="13">
        <f>ROUNDDOWN(MIN(IF(BC441+BD441=0,1000000000,AO441*BB441/(BC441+BD441)),MIN(U441,AB441)/4,8*[1]Parametros!$B$12,24*BA441,300,IF(AV441=0,1000000000,2*((H441-2*([1]Parametros!$B$7+[1]Parametros!$B$9/2))+(I441-2*([1]Parametros!$B$7+[1]Parametros!$B$9/2)))/8))/10,0)*10</f>
        <v>110</v>
      </c>
      <c r="AQ441" s="13">
        <f>ROUNDDOWN(MIN(IF(BC441+BD441=0,1000000000,AO441*BB441/(BC441+BD441)),IF(AK441&gt;0.33*SQRT([1]Parametros!$B$2)*H441*MIN(U441,AB441)/1000,MIN(U441,AB441)/4,MIN(U441,AB441)/2),600,IF(AV441=0,1000000000,2*((H441-2*([1]Parametros!$B$7+[1]Parametros!$B$9/2))+(I441-2*([1]Parametros!$B$7+[1]Parametros!$B$9/2)))/8))/10,0)*10</f>
        <v>110</v>
      </c>
      <c r="AR441" s="13">
        <f>[1]Parametros!$B$6*(AJ441+MAX(BE441-BD441,0)*[1]Parametros!$B$4*MIN(U441,AB441)/1000)</f>
        <v>364.06155106431038</v>
      </c>
      <c r="AS441" s="13" t="str">
        <f t="shared" si="83"/>
        <v>CUMPLE</v>
      </c>
      <c r="AT441" s="13">
        <f>[1]Parametros!$B$6*0.083*SQRT([1]Parametros!$B$2)*(H441*I441)^2/(2*(H441+I441))/1000000</f>
        <v>11.862178757598967</v>
      </c>
      <c r="AU441" s="13" t="str">
        <f t="shared" si="84"/>
        <v>DESPRECIABLE</v>
      </c>
      <c r="AV441" s="13">
        <f>IF(Q441&lt;=AT441,0,Q441*1000000/([1]Parametros!$B$6*2*0.85*(H441-2*([1]Parametros!$B$7+[1]Parametros!$B$9/2))*(I441-2*([1]Parametros!$B$7+[1]Parametros!$B$9/2))*[1]Parametros!$B$4))</f>
        <v>0</v>
      </c>
      <c r="AW441" s="13">
        <f>AV441*2*((H441-2*([1]Parametros!$B$7+[1]Parametros!$B$9/2))+(I441-2*([1]Parametros!$B$7+[1]Parametros!$B$9/2)))*[1]Parametros!$B$4/[1]Parametros!$B$3</f>
        <v>0</v>
      </c>
      <c r="AX441" s="14">
        <v>0</v>
      </c>
      <c r="AY441" s="13" t="str">
        <f t="shared" si="85"/>
        <v>DESPRECIABLE</v>
      </c>
      <c r="AZ441" s="13" t="str">
        <f t="shared" si="86"/>
        <v>CUMPLE</v>
      </c>
      <c r="BA441" s="14">
        <v>9.5</v>
      </c>
      <c r="BB441" s="14">
        <v>71</v>
      </c>
      <c r="BC441" s="13">
        <f>MAX(IF(AK441=0,0,AK441*1000/([1]Parametros!$B$4*MIN(U441,AB441))),MAX(0.062*SQRT([1]Parametros!$B$2)*H441/[1]Parametros!$B$4,0.35*H441/[1]Parametros!$B$4))</f>
        <v>1.2208177813534644</v>
      </c>
      <c r="BD441" s="13">
        <f t="shared" si="87"/>
        <v>0</v>
      </c>
      <c r="BE441" s="13">
        <f t="shared" si="88"/>
        <v>1.290909090909091</v>
      </c>
      <c r="BF441" s="13">
        <f>SQRT((AI441*1000/(H441*MIN(U441,AB441)))^2+(Q441*1000000*2*((H441-2*([1]Parametros!$B$7+[1]Parametros!$B$9/2))+(I441-2*([1]Parametros!$B$7+[1]Parametros!$B$9/2)))/(1.7*((H441-2*([1]Parametros!$B$7+[1]Parametros!$B$9/2))*(I441-2*([1]Parametros!$B$7+[1]Parametros!$B$9/2)))^2))^2)</f>
        <v>1.4788220932911174</v>
      </c>
      <c r="BG441" s="13">
        <f>[1]Parametros!$B$6*(AJ441*1000/(H441*MIN(U441,AB441))+0.66*SQRT([1]Parametros!$B$2))</f>
        <v>3.2939603822754151</v>
      </c>
      <c r="BH441" s="13" t="str">
        <f t="shared" si="89"/>
        <v>CUMPLE</v>
      </c>
      <c r="BI441" s="13">
        <f>AX441*[1]Parametros!$B$8</f>
        <v>0</v>
      </c>
      <c r="BJ441" s="15" t="str">
        <f t="shared" si="90"/>
        <v>CUMPLE</v>
      </c>
    </row>
    <row r="442" spans="1:62" x14ac:dyDescent="0.3">
      <c r="A442" s="33" t="s">
        <v>76</v>
      </c>
      <c r="B442" s="34">
        <v>867</v>
      </c>
      <c r="C442" s="13">
        <v>1</v>
      </c>
      <c r="D442" s="13">
        <v>3.57612</v>
      </c>
      <c r="E442" s="13">
        <v>3.57612</v>
      </c>
      <c r="F442" s="13">
        <v>500</v>
      </c>
      <c r="G442" s="13">
        <v>550</v>
      </c>
      <c r="H442" s="13">
        <v>500</v>
      </c>
      <c r="I442" s="13">
        <v>550</v>
      </c>
      <c r="J442" s="14">
        <v>120.0847</v>
      </c>
      <c r="K442" s="13">
        <v>867</v>
      </c>
      <c r="L442" s="14">
        <v>55.127200000000002</v>
      </c>
      <c r="M442" s="13">
        <v>867</v>
      </c>
      <c r="N442" s="14">
        <v>101.735</v>
      </c>
      <c r="O442" s="14">
        <v>245.78</v>
      </c>
      <c r="P442" s="13">
        <v>867</v>
      </c>
      <c r="Q442" s="14">
        <v>5.1779999999999999</v>
      </c>
      <c r="R442" s="13">
        <f>MAX(MAX(1.4/[1]Parametros!$B$3,0.25*SQRT([1]Parametros!$B$2)/[1]Parametros!$B$3)*H442*U442,(0.85*[1]Parametros!$B$2/[1]Parametros!$B$3)*(1-SQRT(1-2*(J442*1000000/([1]Parametros!$B$5*H442*U442^2))/(0.85*[1]Parametros!$B$2)))*H442*U442)</f>
        <v>815.58333333333326</v>
      </c>
      <c r="S442" s="14">
        <v>5</v>
      </c>
      <c r="T442" s="14">
        <v>1</v>
      </c>
      <c r="U442" s="13">
        <f>IF(T442=1,I442-([1]Parametros!$B$7+[1]Parametros!$B$9+[1]Parametros!$B$12/2),I442-(ROUNDUP(S442/2,0)*([1]Parametros!$B$7+[1]Parametros!$B$9+[1]Parametros!$B$12/2)+ROUNDDOWN(S442/2,0)*([1]Parametros!$B$7+[1]Parametros!$B$9+[1]Parametros!$B$12/2+[1]Parametros!$B$12+[1]Parametros!$B$10))/S442)</f>
        <v>489.35</v>
      </c>
      <c r="V442" s="13">
        <f>S442*[1]Parametros!$B$8</f>
        <v>995</v>
      </c>
      <c r="W442" s="13">
        <f>[1]Parametros!$B$5*V442*[1]Parametros!$B$3*(U442-(V442*[1]Parametros!$B$3/(0.85*[1]Parametros!$B$2*H442))/2)/1000000</f>
        <v>177.44537938235294</v>
      </c>
      <c r="X442" s="13" t="str">
        <f t="shared" si="78"/>
        <v>CUMPLE</v>
      </c>
      <c r="Y442" s="13">
        <f>MAX(MAX(1.4/[1]Parametros!$B$3,0.25*SQRT([1]Parametros!$B$2)/[1]Parametros!$B$3)*H442*AB442,(0.85*[1]Parametros!$B$2/[1]Parametros!$B$3)*(1-SQRT(1-2*(L442*1000000/([1]Parametros!$B$5*H442*AB442^2))/(0.85*[1]Parametros!$B$2)))*H442*AB442)</f>
        <v>815.58333333333326</v>
      </c>
      <c r="Z442" s="14">
        <v>5</v>
      </c>
      <c r="AA442" s="14">
        <v>1</v>
      </c>
      <c r="AB442" s="13">
        <f>IF(AA442=1,I442-([1]Parametros!$B$7+[1]Parametros!$B$9+[1]Parametros!$B$12/2),I442-(ROUNDUP(Z442/2,0)*([1]Parametros!$B$7+[1]Parametros!$B$9+[1]Parametros!$B$12/2)+ROUNDDOWN(Z442/2,0)*([1]Parametros!$B$7+[1]Parametros!$B$9+[1]Parametros!$B$12/2+[1]Parametros!$B$12+[1]Parametros!$B$10))/Z442)</f>
        <v>489.35</v>
      </c>
      <c r="AC442" s="13">
        <f>Z442*[1]Parametros!$B$8</f>
        <v>995</v>
      </c>
      <c r="AD442" s="13">
        <f>[1]Parametros!$B$5*AC442*[1]Parametros!$B$3*(AB442-(AC442*[1]Parametros!$B$3/(0.85*[1]Parametros!$B$2*H442))/2)/1000000</f>
        <v>177.44537938235294</v>
      </c>
      <c r="AE442" s="13" t="str">
        <f t="shared" si="79"/>
        <v>CUMPLE</v>
      </c>
      <c r="AF442" s="13">
        <f>V442*1.25*[1]Parametros!$B$3*(U442-(V442*1.25*[1]Parametros!$B$3/(0.85*[1]Parametros!$B$2*H442))/2)/1000000</f>
        <v>244.15884319852941</v>
      </c>
      <c r="AG442" s="13">
        <f>AC442*1.25*[1]Parametros!$B$3*(AB442-(AC442*1.25*[1]Parametros!$B$3/(0.85*[1]Parametros!$B$2*H442))/2)/1000000</f>
        <v>244.15884319852941</v>
      </c>
      <c r="AH442" s="13">
        <f t="shared" si="80"/>
        <v>238.28458066201887</v>
      </c>
      <c r="AI442" s="13">
        <f t="shared" si="81"/>
        <v>245.78</v>
      </c>
      <c r="AJ442" s="13">
        <f>0.17*SQRT([1]Parametros!$B$2)*H442*MIN(U442,AB442)/1000</f>
        <v>220.09872869180776</v>
      </c>
      <c r="AK442" s="13">
        <f>MAX(AI442/[1]Parametros!$B$6-AJ442,0)</f>
        <v>107.60793797485888</v>
      </c>
      <c r="AL442" s="13">
        <f>0.66*SQRT([1]Parametros!$B$2)*H442*MIN(U442,AB442)/1000</f>
        <v>854.500946685842</v>
      </c>
      <c r="AM442" s="13" t="str">
        <f t="shared" si="82"/>
        <v>CUMPLE</v>
      </c>
      <c r="AN442" s="13" t="s">
        <v>64</v>
      </c>
      <c r="AO442" s="14">
        <v>2</v>
      </c>
      <c r="AP442" s="13">
        <f>ROUNDDOWN(MIN(IF(BC442+BD442=0,1000000000,AO442*BB442/(BC442+BD442)),MIN(U442,AB442)/4,8*[1]Parametros!$B$12,24*BA442,300,IF(AV442=0,1000000000,2*((H442-2*([1]Parametros!$B$7+[1]Parametros!$B$9/2))+(I442-2*([1]Parametros!$B$7+[1]Parametros!$B$9/2)))/8))/10,0)*10</f>
        <v>120</v>
      </c>
      <c r="AQ442" s="13">
        <f>ROUNDDOWN(MIN(IF(BC442+BD442=0,1000000000,AO442*BB442/(BC442+BD442)),IF(AK442&gt;0.33*SQRT([1]Parametros!$B$2)*H442*MIN(U442,AB442)/1000,MIN(U442,AB442)/4,MIN(U442,AB442)/2),600,IF(AV442=0,1000000000,2*((H442-2*([1]Parametros!$B$7+[1]Parametros!$B$9/2))+(I442-2*([1]Parametros!$B$7+[1]Parametros!$B$9/2)))/8))/10,0)*10</f>
        <v>240</v>
      </c>
      <c r="AR442" s="13">
        <f>[1]Parametros!$B$6*(AJ442+MAX(BE442-BD442,0)*[1]Parametros!$B$4*MIN(U442,AB442)/1000)</f>
        <v>347.47925901885583</v>
      </c>
      <c r="AS442" s="13" t="str">
        <f t="shared" si="83"/>
        <v>CUMPLE</v>
      </c>
      <c r="AT442" s="13">
        <f>[1]Parametros!$B$6*0.083*SQRT([1]Parametros!$B$2)*(H442*I442)^2/(2*(H442+I442))/1000000</f>
        <v>11.862178757598967</v>
      </c>
      <c r="AU442" s="13" t="str">
        <f t="shared" si="84"/>
        <v>DESPRECIABLE</v>
      </c>
      <c r="AV442" s="13">
        <f>IF(Q442&lt;=AT442,0,Q442*1000000/([1]Parametros!$B$6*2*0.85*(H442-2*([1]Parametros!$B$7+[1]Parametros!$B$9/2))*(I442-2*([1]Parametros!$B$7+[1]Parametros!$B$9/2))*[1]Parametros!$B$4))</f>
        <v>0</v>
      </c>
      <c r="AW442" s="13">
        <f>AV442*2*((H442-2*([1]Parametros!$B$7+[1]Parametros!$B$9/2))+(I442-2*([1]Parametros!$B$7+[1]Parametros!$B$9/2)))*[1]Parametros!$B$4/[1]Parametros!$B$3</f>
        <v>0</v>
      </c>
      <c r="AX442" s="14">
        <v>0</v>
      </c>
      <c r="AY442" s="13" t="str">
        <f t="shared" si="85"/>
        <v>DESPRECIABLE</v>
      </c>
      <c r="AZ442" s="13" t="str">
        <f t="shared" si="86"/>
        <v>CUMPLE</v>
      </c>
      <c r="BA442" s="14">
        <v>9.5</v>
      </c>
      <c r="BB442" s="14">
        <v>71</v>
      </c>
      <c r="BC442" s="13">
        <f>MAX(IF(AK442=0,0,AK442*1000/([1]Parametros!$B$4*MIN(U442,AB442))),MAX(0.062*SQRT([1]Parametros!$B$2)*H442/[1]Parametros!$B$4,0.35*H442/[1]Parametros!$B$4))</f>
        <v>0.52357081052542431</v>
      </c>
      <c r="BD442" s="13">
        <f t="shared" si="87"/>
        <v>0</v>
      </c>
      <c r="BE442" s="13">
        <f t="shared" si="88"/>
        <v>1.1833333333333333</v>
      </c>
      <c r="BF442" s="13">
        <f>SQRT((AI442*1000/(H442*MIN(U442,AB442)))^2+(Q442*1000000*2*((H442-2*([1]Parametros!$B$7+[1]Parametros!$B$9/2))+(I442-2*([1]Parametros!$B$7+[1]Parametros!$B$9/2)))/(1.7*((H442-2*([1]Parametros!$B$7+[1]Parametros!$B$9/2))*(I442-2*([1]Parametros!$B$7+[1]Parametros!$B$9/2)))^2))^2)</f>
        <v>1.0159241610753182</v>
      </c>
      <c r="BG442" s="13">
        <f>[1]Parametros!$B$6*(AJ442*1000/(H442*MIN(U442,AB442))+0.66*SQRT([1]Parametros!$B$2))</f>
        <v>3.2939603822754151</v>
      </c>
      <c r="BH442" s="13" t="str">
        <f t="shared" si="89"/>
        <v>CUMPLE</v>
      </c>
      <c r="BI442" s="13">
        <f>AX442*[1]Parametros!$B$8</f>
        <v>0</v>
      </c>
      <c r="BJ442" s="15" t="str">
        <f t="shared" si="90"/>
        <v>CUMPLE</v>
      </c>
    </row>
    <row r="443" spans="1:62" x14ac:dyDescent="0.3">
      <c r="A443" s="33" t="s">
        <v>76</v>
      </c>
      <c r="B443" s="34">
        <v>868</v>
      </c>
      <c r="C443" s="13">
        <v>1</v>
      </c>
      <c r="D443" s="13">
        <v>2.1</v>
      </c>
      <c r="E443" s="13">
        <v>2.1</v>
      </c>
      <c r="F443" s="13">
        <v>500</v>
      </c>
      <c r="G443" s="13">
        <v>550</v>
      </c>
      <c r="H443" s="13">
        <v>500</v>
      </c>
      <c r="I443" s="13">
        <v>550</v>
      </c>
      <c r="J443" s="14">
        <v>147.8323</v>
      </c>
      <c r="K443" s="13">
        <v>868</v>
      </c>
      <c r="L443" s="14">
        <v>102.9036</v>
      </c>
      <c r="M443" s="13">
        <v>868</v>
      </c>
      <c r="N443" s="14">
        <v>134.44200000000001</v>
      </c>
      <c r="O443" s="14">
        <v>335.38600000000002</v>
      </c>
      <c r="P443" s="13">
        <v>868</v>
      </c>
      <c r="Q443" s="14">
        <v>31.604600000000001</v>
      </c>
      <c r="R443" s="13">
        <f>MAX(MAX(1.4/[1]Parametros!$B$3,0.25*SQRT([1]Parametros!$B$2)/[1]Parametros!$B$3)*H443*U443,(0.85*[1]Parametros!$B$2/[1]Parametros!$B$3)*(1-SQRT(1-2*(J443*1000000/([1]Parametros!$B$5*H443*U443^2))/(0.85*[1]Parametros!$B$2)))*H443*U443)</f>
        <v>823.67034847929006</v>
      </c>
      <c r="S443" s="14">
        <v>5</v>
      </c>
      <c r="T443" s="14">
        <v>1</v>
      </c>
      <c r="U443" s="13">
        <f>IF(T443=1,I443-([1]Parametros!$B$7+[1]Parametros!$B$9+[1]Parametros!$B$12/2),I443-(ROUNDUP(S443/2,0)*([1]Parametros!$B$7+[1]Parametros!$B$9+[1]Parametros!$B$12/2)+ROUNDDOWN(S443/2,0)*([1]Parametros!$B$7+[1]Parametros!$B$9+[1]Parametros!$B$12/2+[1]Parametros!$B$12+[1]Parametros!$B$10))/S443)</f>
        <v>489.35</v>
      </c>
      <c r="V443" s="13">
        <f>S443*[1]Parametros!$B$8</f>
        <v>995</v>
      </c>
      <c r="W443" s="13">
        <f>[1]Parametros!$B$5*V443*[1]Parametros!$B$3*(U443-(V443*[1]Parametros!$B$3/(0.85*[1]Parametros!$B$2*H443))/2)/1000000</f>
        <v>177.44537938235294</v>
      </c>
      <c r="X443" s="13" t="str">
        <f t="shared" si="78"/>
        <v>CUMPLE</v>
      </c>
      <c r="Y443" s="13">
        <f>MAX(MAX(1.4/[1]Parametros!$B$3,0.25*SQRT([1]Parametros!$B$2)/[1]Parametros!$B$3)*H443*AB443,(0.85*[1]Parametros!$B$2/[1]Parametros!$B$3)*(1-SQRT(1-2*(L443*1000000/([1]Parametros!$B$5*H443*AB443^2))/(0.85*[1]Parametros!$B$2)))*H443*AB443)</f>
        <v>815.58333333333326</v>
      </c>
      <c r="Z443" s="14">
        <v>5</v>
      </c>
      <c r="AA443" s="14">
        <v>1</v>
      </c>
      <c r="AB443" s="13">
        <f>IF(AA443=1,I443-([1]Parametros!$B$7+[1]Parametros!$B$9+[1]Parametros!$B$12/2),I443-(ROUNDUP(Z443/2,0)*([1]Parametros!$B$7+[1]Parametros!$B$9+[1]Parametros!$B$12/2)+ROUNDDOWN(Z443/2,0)*([1]Parametros!$B$7+[1]Parametros!$B$9+[1]Parametros!$B$12/2+[1]Parametros!$B$12+[1]Parametros!$B$10))/Z443)</f>
        <v>489.35</v>
      </c>
      <c r="AC443" s="13">
        <f>Z443*[1]Parametros!$B$8</f>
        <v>995</v>
      </c>
      <c r="AD443" s="13">
        <f>[1]Parametros!$B$5*AC443*[1]Parametros!$B$3*(AB443-(AC443*[1]Parametros!$B$3/(0.85*[1]Parametros!$B$2*H443))/2)/1000000</f>
        <v>177.44537938235294</v>
      </c>
      <c r="AE443" s="13" t="str">
        <f t="shared" si="79"/>
        <v>CUMPLE</v>
      </c>
      <c r="AF443" s="13">
        <f>V443*1.25*[1]Parametros!$B$3*(U443-(V443*1.25*[1]Parametros!$B$3/(0.85*[1]Parametros!$B$2*H443))/2)/1000000</f>
        <v>244.15884319852941</v>
      </c>
      <c r="AG443" s="13">
        <f>AC443*1.25*[1]Parametros!$B$3*(AB443-(AC443*1.25*[1]Parametros!$B$3/(0.85*[1]Parametros!$B$2*H443))/2)/1000000</f>
        <v>244.15884319852941</v>
      </c>
      <c r="AH443" s="13">
        <f t="shared" si="80"/>
        <v>366.97423161764709</v>
      </c>
      <c r="AI443" s="13">
        <f t="shared" si="81"/>
        <v>366.97423161764709</v>
      </c>
      <c r="AJ443" s="13">
        <f>0.17*SQRT([1]Parametros!$B$2)*H443*MIN(U443,AB443)/1000</f>
        <v>220.09872869180776</v>
      </c>
      <c r="AK443" s="13">
        <f>MAX(AI443/[1]Parametros!$B$6-AJ443,0)</f>
        <v>269.20024679838838</v>
      </c>
      <c r="AL443" s="13">
        <f>0.66*SQRT([1]Parametros!$B$2)*H443*MIN(U443,AB443)/1000</f>
        <v>854.500946685842</v>
      </c>
      <c r="AM443" s="13" t="str">
        <f t="shared" si="82"/>
        <v>CUMPLE</v>
      </c>
      <c r="AN443" s="13" t="s">
        <v>68</v>
      </c>
      <c r="AO443" s="14">
        <v>2</v>
      </c>
      <c r="AP443" s="13">
        <f>ROUNDDOWN(MIN(IF(BC443+BD443=0,1000000000,AO443*BB443/(BC443+BD443)),MIN(U443,AB443)/4,8*[1]Parametros!$B$12,24*BA443,300,IF(AV443=0,1000000000,2*((H443-2*([1]Parametros!$B$7+[1]Parametros!$B$9/2))+(I443-2*([1]Parametros!$B$7+[1]Parametros!$B$9/2)))/8))/10,0)*10</f>
        <v>120</v>
      </c>
      <c r="AQ443" s="13">
        <f>ROUNDDOWN(MIN(IF(BC443+BD443=0,1000000000,AO443*BB443/(BC443+BD443)),IF(AK443&gt;0.33*SQRT([1]Parametros!$B$2)*H443*MIN(U443,AB443)/1000,MIN(U443,AB443)/4,MIN(U443,AB443)/2),600,IF(AV443=0,1000000000,2*((H443-2*([1]Parametros!$B$7+[1]Parametros!$B$9/2))+(I443-2*([1]Parametros!$B$7+[1]Parametros!$B$9/2)))/8))/10,0)*10</f>
        <v>130</v>
      </c>
      <c r="AR443" s="13">
        <f>[1]Parametros!$B$6*(AJ443+MAX(BE443-BD443,0)*[1]Parametros!$B$4*MIN(U443,AB443)/1000)</f>
        <v>398.79965317682849</v>
      </c>
      <c r="AS443" s="13" t="str">
        <f t="shared" si="83"/>
        <v>CUMPLE</v>
      </c>
      <c r="AT443" s="13">
        <f>[1]Parametros!$B$6*0.083*SQRT([1]Parametros!$B$2)*(H443*I443)^2/(2*(H443+I443))/1000000</f>
        <v>11.862178757598967</v>
      </c>
      <c r="AU443" s="13" t="str">
        <f t="shared" si="84"/>
        <v>DISEÑAR</v>
      </c>
      <c r="AV443" s="13">
        <f>IF(Q443&lt;=AT443,0,Q443*1000000/([1]Parametros!$B$6*2*0.85*(H443-2*([1]Parametros!$B$7+[1]Parametros!$B$9/2))*(I443-2*([1]Parametros!$B$7+[1]Parametros!$B$9/2))*[1]Parametros!$B$4))</f>
        <v>0.31686568623433836</v>
      </c>
      <c r="AW443" s="13">
        <f>AV443*2*((H443-2*([1]Parametros!$B$7+[1]Parametros!$B$9/2))+(I443-2*([1]Parametros!$B$7+[1]Parametros!$B$9/2)))*[1]Parametros!$B$4/[1]Parametros!$B$3</f>
        <v>547.92414463641796</v>
      </c>
      <c r="AX443" s="14">
        <v>8</v>
      </c>
      <c r="AY443" s="13" t="str">
        <f t="shared" si="85"/>
        <v>CUMPLE</v>
      </c>
      <c r="AZ443" s="13" t="str">
        <f t="shared" si="86"/>
        <v>CUMPLE</v>
      </c>
      <c r="BA443" s="14">
        <v>12.7</v>
      </c>
      <c r="BB443" s="14">
        <v>129</v>
      </c>
      <c r="BC443" s="13">
        <f>MAX(IF(AK443=0,0,AK443*1000/([1]Parametros!$B$4*MIN(U443,AB443))),MAX(0.062*SQRT([1]Parametros!$B$2)*H443/[1]Parametros!$B$4,0.35*H443/[1]Parametros!$B$4))</f>
        <v>1.3098047789263132</v>
      </c>
      <c r="BD443" s="13">
        <f t="shared" si="87"/>
        <v>0.63373137246867672</v>
      </c>
      <c r="BE443" s="13">
        <f t="shared" si="88"/>
        <v>2.15</v>
      </c>
      <c r="BF443" s="13">
        <f>SQRT((AI443*1000/(H443*MIN(U443,AB443)))^2+(Q443*1000000*2*((H443-2*([1]Parametros!$B$7+[1]Parametros!$B$9/2))+(I443-2*([1]Parametros!$B$7+[1]Parametros!$B$9/2)))/(1.7*((H443-2*([1]Parametros!$B$7+[1]Parametros!$B$9/2))*(I443-2*([1]Parametros!$B$7+[1]Parametros!$B$9/2)))^2))^2)</f>
        <v>1.7630115287027903</v>
      </c>
      <c r="BG443" s="13">
        <f>[1]Parametros!$B$6*(AJ443*1000/(H443*MIN(U443,AB443))+0.66*SQRT([1]Parametros!$B$2))</f>
        <v>3.2939603822754151</v>
      </c>
      <c r="BH443" s="13" t="str">
        <f t="shared" si="89"/>
        <v>CUMPLE</v>
      </c>
      <c r="BI443" s="13">
        <f>AX443*[1]Parametros!$B$8</f>
        <v>1592</v>
      </c>
      <c r="BJ443" s="15" t="str">
        <f t="shared" si="90"/>
        <v>CUMPLE</v>
      </c>
    </row>
    <row r="444" spans="1:62" x14ac:dyDescent="0.3">
      <c r="A444" s="33" t="s">
        <v>76</v>
      </c>
      <c r="B444" s="34">
        <v>869</v>
      </c>
      <c r="C444" s="13">
        <v>1</v>
      </c>
      <c r="D444" s="13">
        <v>2.2000000000000002</v>
      </c>
      <c r="E444" s="13">
        <v>2.2000000000000002</v>
      </c>
      <c r="F444" s="13">
        <v>500</v>
      </c>
      <c r="G444" s="13">
        <v>550</v>
      </c>
      <c r="H444" s="13">
        <v>500</v>
      </c>
      <c r="I444" s="13">
        <v>550</v>
      </c>
      <c r="J444" s="14">
        <v>149.54769999999999</v>
      </c>
      <c r="K444" s="13">
        <v>869</v>
      </c>
      <c r="L444" s="14">
        <v>102.2424</v>
      </c>
      <c r="M444" s="13">
        <v>869</v>
      </c>
      <c r="N444" s="14">
        <v>133.042</v>
      </c>
      <c r="O444" s="14">
        <v>331.42899999999997</v>
      </c>
      <c r="P444" s="13">
        <v>869</v>
      </c>
      <c r="Q444" s="14">
        <v>30.560400000000001</v>
      </c>
      <c r="R444" s="13">
        <f>MAX(MAX(1.4/[1]Parametros!$B$3,0.25*SQRT([1]Parametros!$B$2)/[1]Parametros!$B$3)*H444*U444,(0.85*[1]Parametros!$B$2/[1]Parametros!$B$3)*(1-SQRT(1-2*(J444*1000000/([1]Parametros!$B$5*H444*U444^2))/(0.85*[1]Parametros!$B$2)))*H444*U444)</f>
        <v>833.53351669071833</v>
      </c>
      <c r="S444" s="14">
        <v>5</v>
      </c>
      <c r="T444" s="14">
        <v>1</v>
      </c>
      <c r="U444" s="13">
        <f>IF(T444=1,I444-([1]Parametros!$B$7+[1]Parametros!$B$9+[1]Parametros!$B$12/2),I444-(ROUNDUP(S444/2,0)*([1]Parametros!$B$7+[1]Parametros!$B$9+[1]Parametros!$B$12/2)+ROUNDDOWN(S444/2,0)*([1]Parametros!$B$7+[1]Parametros!$B$9+[1]Parametros!$B$12/2+[1]Parametros!$B$12+[1]Parametros!$B$10))/S444)</f>
        <v>489.35</v>
      </c>
      <c r="V444" s="13">
        <f>S444*[1]Parametros!$B$8</f>
        <v>995</v>
      </c>
      <c r="W444" s="13">
        <f>[1]Parametros!$B$5*V444*[1]Parametros!$B$3*(U444-(V444*[1]Parametros!$B$3/(0.85*[1]Parametros!$B$2*H444))/2)/1000000</f>
        <v>177.44537938235294</v>
      </c>
      <c r="X444" s="13" t="str">
        <f t="shared" si="78"/>
        <v>CUMPLE</v>
      </c>
      <c r="Y444" s="13">
        <f>MAX(MAX(1.4/[1]Parametros!$B$3,0.25*SQRT([1]Parametros!$B$2)/[1]Parametros!$B$3)*H444*AB444,(0.85*[1]Parametros!$B$2/[1]Parametros!$B$3)*(1-SQRT(1-2*(L444*1000000/([1]Parametros!$B$5*H444*AB444^2))/(0.85*[1]Parametros!$B$2)))*H444*AB444)</f>
        <v>815.58333333333326</v>
      </c>
      <c r="Z444" s="14">
        <v>5</v>
      </c>
      <c r="AA444" s="14">
        <v>1</v>
      </c>
      <c r="AB444" s="13">
        <f>IF(AA444=1,I444-([1]Parametros!$B$7+[1]Parametros!$B$9+[1]Parametros!$B$12/2),I444-(ROUNDUP(Z444/2,0)*([1]Parametros!$B$7+[1]Parametros!$B$9+[1]Parametros!$B$12/2)+ROUNDDOWN(Z444/2,0)*([1]Parametros!$B$7+[1]Parametros!$B$9+[1]Parametros!$B$12/2+[1]Parametros!$B$12+[1]Parametros!$B$10))/Z444)</f>
        <v>489.35</v>
      </c>
      <c r="AC444" s="13">
        <f>Z444*[1]Parametros!$B$8</f>
        <v>995</v>
      </c>
      <c r="AD444" s="13">
        <f>[1]Parametros!$B$5*AC444*[1]Parametros!$B$3*(AB444-(AC444*[1]Parametros!$B$3/(0.85*[1]Parametros!$B$2*H444))/2)/1000000</f>
        <v>177.44537938235294</v>
      </c>
      <c r="AE444" s="13" t="str">
        <f t="shared" si="79"/>
        <v>CUMPLE</v>
      </c>
      <c r="AF444" s="13">
        <f>V444*1.25*[1]Parametros!$B$3*(U444-(V444*1.25*[1]Parametros!$B$3/(0.85*[1]Parametros!$B$2*H444))/2)/1000000</f>
        <v>244.15884319852941</v>
      </c>
      <c r="AG444" s="13">
        <f>AC444*1.25*[1]Parametros!$B$3*(AB444-(AC444*1.25*[1]Parametros!$B$3/(0.85*[1]Parametros!$B$2*H444))/2)/1000000</f>
        <v>244.15884319852941</v>
      </c>
      <c r="AH444" s="13">
        <f t="shared" si="80"/>
        <v>355.00458472593584</v>
      </c>
      <c r="AI444" s="13">
        <f t="shared" si="81"/>
        <v>355.00458472593584</v>
      </c>
      <c r="AJ444" s="13">
        <f>0.17*SQRT([1]Parametros!$B$2)*H444*MIN(U444,AB444)/1000</f>
        <v>220.09872869180776</v>
      </c>
      <c r="AK444" s="13">
        <f>MAX(AI444/[1]Parametros!$B$6-AJ444,0)</f>
        <v>253.24071760944003</v>
      </c>
      <c r="AL444" s="13">
        <f>0.66*SQRT([1]Parametros!$B$2)*H444*MIN(U444,AB444)/1000</f>
        <v>854.500946685842</v>
      </c>
      <c r="AM444" s="13" t="str">
        <f t="shared" si="82"/>
        <v>CUMPLE</v>
      </c>
      <c r="AN444" s="13" t="s">
        <v>68</v>
      </c>
      <c r="AO444" s="14">
        <v>2</v>
      </c>
      <c r="AP444" s="13">
        <f>ROUNDDOWN(MIN(IF(BC444+BD444=0,1000000000,AO444*BB444/(BC444+BD444)),MIN(U444,AB444)/4,8*[1]Parametros!$B$12,24*BA444,300,IF(AV444=0,1000000000,2*((H444-2*([1]Parametros!$B$7+[1]Parametros!$B$9/2))+(I444-2*([1]Parametros!$B$7+[1]Parametros!$B$9/2)))/8))/10,0)*10</f>
        <v>120</v>
      </c>
      <c r="AQ444" s="13">
        <f>ROUNDDOWN(MIN(IF(BC444+BD444=0,1000000000,AO444*BB444/(BC444+BD444)),IF(AK444&gt;0.33*SQRT([1]Parametros!$B$2)*H444*MIN(U444,AB444)/1000,MIN(U444,AB444)/4,MIN(U444,AB444)/2),600,IF(AV444=0,1000000000,2*((H444-2*([1]Parametros!$B$7+[1]Parametros!$B$9/2))+(I444-2*([1]Parametros!$B$7+[1]Parametros!$B$9/2)))/8))/10,0)*10</f>
        <v>130</v>
      </c>
      <c r="AR444" s="13">
        <f>[1]Parametros!$B$6*(AJ444+MAX(BE444-BD444,0)*[1]Parametros!$B$4*MIN(U444,AB444)/1000)</f>
        <v>402.02717170689203</v>
      </c>
      <c r="AS444" s="13" t="str">
        <f t="shared" si="83"/>
        <v>CUMPLE</v>
      </c>
      <c r="AT444" s="13">
        <f>[1]Parametros!$B$6*0.083*SQRT([1]Parametros!$B$2)*(H444*I444)^2/(2*(H444+I444))/1000000</f>
        <v>11.862178757598967</v>
      </c>
      <c r="AU444" s="13" t="str">
        <f t="shared" si="84"/>
        <v>DISEÑAR</v>
      </c>
      <c r="AV444" s="13">
        <f>IF(Q444&lt;=AT444,0,Q444*1000000/([1]Parametros!$B$6*2*0.85*(H444-2*([1]Parametros!$B$7+[1]Parametros!$B$9/2))*(I444-2*([1]Parametros!$B$7+[1]Parametros!$B$9/2))*[1]Parametros!$B$4))</f>
        <v>0.30639660421571147</v>
      </c>
      <c r="AW444" s="13">
        <f>AV444*2*((H444-2*([1]Parametros!$B$7+[1]Parametros!$B$9/2))+(I444-2*([1]Parametros!$B$7+[1]Parametros!$B$9/2)))*[1]Parametros!$B$4/[1]Parametros!$B$3</f>
        <v>529.82100800980822</v>
      </c>
      <c r="AX444" s="14">
        <v>8</v>
      </c>
      <c r="AY444" s="13" t="str">
        <f t="shared" si="85"/>
        <v>CUMPLE</v>
      </c>
      <c r="AZ444" s="13" t="str">
        <f t="shared" si="86"/>
        <v>CUMPLE</v>
      </c>
      <c r="BA444" s="14">
        <v>12.7</v>
      </c>
      <c r="BB444" s="14">
        <v>129</v>
      </c>
      <c r="BC444" s="13">
        <f>MAX(IF(AK444=0,0,AK444*1000/([1]Parametros!$B$4*MIN(U444,AB444))),MAX(0.062*SQRT([1]Parametros!$B$2)*H444/[1]Parametros!$B$4,0.35*H444/[1]Parametros!$B$4))</f>
        <v>1.2321530388194253</v>
      </c>
      <c r="BD444" s="13">
        <f t="shared" si="87"/>
        <v>0.61279320843142293</v>
      </c>
      <c r="BE444" s="13">
        <f t="shared" si="88"/>
        <v>2.15</v>
      </c>
      <c r="BF444" s="13">
        <f>SQRT((AI444*1000/(H444*MIN(U444,AB444)))^2+(Q444*1000000*2*((H444-2*([1]Parametros!$B$7+[1]Parametros!$B$9/2))+(I444-2*([1]Parametros!$B$7+[1]Parametros!$B$9/2)))/(1.7*((H444-2*([1]Parametros!$B$7+[1]Parametros!$B$9/2))*(I444-2*([1]Parametros!$B$7+[1]Parametros!$B$9/2)))^2))^2)</f>
        <v>1.705301469162056</v>
      </c>
      <c r="BG444" s="13">
        <f>[1]Parametros!$B$6*(AJ444*1000/(H444*MIN(U444,AB444))+0.66*SQRT([1]Parametros!$B$2))</f>
        <v>3.2939603822754151</v>
      </c>
      <c r="BH444" s="13" t="str">
        <f t="shared" si="89"/>
        <v>CUMPLE</v>
      </c>
      <c r="BI444" s="13">
        <f>AX444*[1]Parametros!$B$8</f>
        <v>1592</v>
      </c>
      <c r="BJ444" s="15" t="str">
        <f t="shared" si="90"/>
        <v>CUMPLE</v>
      </c>
    </row>
    <row r="445" spans="1:62" x14ac:dyDescent="0.3">
      <c r="A445" s="33" t="s">
        <v>76</v>
      </c>
      <c r="B445" s="34">
        <v>870</v>
      </c>
      <c r="C445" s="13">
        <v>1</v>
      </c>
      <c r="D445" s="13">
        <v>3.57612</v>
      </c>
      <c r="E445" s="13">
        <v>3.57612</v>
      </c>
      <c r="F445" s="13">
        <v>500</v>
      </c>
      <c r="G445" s="13">
        <v>550</v>
      </c>
      <c r="H445" s="13">
        <v>500</v>
      </c>
      <c r="I445" s="13">
        <v>550</v>
      </c>
      <c r="J445" s="14">
        <v>120.1255</v>
      </c>
      <c r="K445" s="13">
        <v>870</v>
      </c>
      <c r="L445" s="14">
        <v>54.8461</v>
      </c>
      <c r="M445" s="13">
        <v>870</v>
      </c>
      <c r="N445" s="14">
        <v>101.661</v>
      </c>
      <c r="O445" s="14">
        <v>244.881</v>
      </c>
      <c r="P445" s="13">
        <v>870</v>
      </c>
      <c r="Q445" s="14">
        <v>5.2131999999999996</v>
      </c>
      <c r="R445" s="13">
        <f>MAX(MAX(1.4/[1]Parametros!$B$3,0.25*SQRT([1]Parametros!$B$2)/[1]Parametros!$B$3)*H445*U445,(0.85*[1]Parametros!$B$2/[1]Parametros!$B$3)*(1-SQRT(1-2*(J445*1000000/([1]Parametros!$B$5*H445*U445^2))/(0.85*[1]Parametros!$B$2)))*H445*U445)</f>
        <v>815.58333333333326</v>
      </c>
      <c r="S445" s="14">
        <v>5</v>
      </c>
      <c r="T445" s="14">
        <v>1</v>
      </c>
      <c r="U445" s="13">
        <f>IF(T445=1,I445-([1]Parametros!$B$7+[1]Parametros!$B$9+[1]Parametros!$B$12/2),I445-(ROUNDUP(S445/2,0)*([1]Parametros!$B$7+[1]Parametros!$B$9+[1]Parametros!$B$12/2)+ROUNDDOWN(S445/2,0)*([1]Parametros!$B$7+[1]Parametros!$B$9+[1]Parametros!$B$12/2+[1]Parametros!$B$12+[1]Parametros!$B$10))/S445)</f>
        <v>489.35</v>
      </c>
      <c r="V445" s="13">
        <f>S445*[1]Parametros!$B$8</f>
        <v>995</v>
      </c>
      <c r="W445" s="13">
        <f>[1]Parametros!$B$5*V445*[1]Parametros!$B$3*(U445-(V445*[1]Parametros!$B$3/(0.85*[1]Parametros!$B$2*H445))/2)/1000000</f>
        <v>177.44537938235294</v>
      </c>
      <c r="X445" s="13" t="str">
        <f t="shared" si="78"/>
        <v>CUMPLE</v>
      </c>
      <c r="Y445" s="13">
        <f>MAX(MAX(1.4/[1]Parametros!$B$3,0.25*SQRT([1]Parametros!$B$2)/[1]Parametros!$B$3)*H445*AB445,(0.85*[1]Parametros!$B$2/[1]Parametros!$B$3)*(1-SQRT(1-2*(L445*1000000/([1]Parametros!$B$5*H445*AB445^2))/(0.85*[1]Parametros!$B$2)))*H445*AB445)</f>
        <v>815.58333333333326</v>
      </c>
      <c r="Z445" s="14">
        <v>5</v>
      </c>
      <c r="AA445" s="14">
        <v>1</v>
      </c>
      <c r="AB445" s="13">
        <f>IF(AA445=1,I445-([1]Parametros!$B$7+[1]Parametros!$B$9+[1]Parametros!$B$12/2),I445-(ROUNDUP(Z445/2,0)*([1]Parametros!$B$7+[1]Parametros!$B$9+[1]Parametros!$B$12/2)+ROUNDDOWN(Z445/2,0)*([1]Parametros!$B$7+[1]Parametros!$B$9+[1]Parametros!$B$12/2+[1]Parametros!$B$12+[1]Parametros!$B$10))/Z445)</f>
        <v>489.35</v>
      </c>
      <c r="AC445" s="13">
        <f>Z445*[1]Parametros!$B$8</f>
        <v>995</v>
      </c>
      <c r="AD445" s="13">
        <f>[1]Parametros!$B$5*AC445*[1]Parametros!$B$3*(AB445-(AC445*[1]Parametros!$B$3/(0.85*[1]Parametros!$B$2*H445))/2)/1000000</f>
        <v>177.44537938235294</v>
      </c>
      <c r="AE445" s="13" t="str">
        <f t="shared" si="79"/>
        <v>CUMPLE</v>
      </c>
      <c r="AF445" s="13">
        <f>V445*1.25*[1]Parametros!$B$3*(U445-(V445*1.25*[1]Parametros!$B$3/(0.85*[1]Parametros!$B$2*H445))/2)/1000000</f>
        <v>244.15884319852941</v>
      </c>
      <c r="AG445" s="13">
        <f>AC445*1.25*[1]Parametros!$B$3*(AB445-(AC445*1.25*[1]Parametros!$B$3/(0.85*[1]Parametros!$B$2*H445))/2)/1000000</f>
        <v>244.15884319852941</v>
      </c>
      <c r="AH445" s="13">
        <f t="shared" si="80"/>
        <v>238.21058066201886</v>
      </c>
      <c r="AI445" s="13">
        <f t="shared" si="81"/>
        <v>244.881</v>
      </c>
      <c r="AJ445" s="13">
        <f>0.17*SQRT([1]Parametros!$B$2)*H445*MIN(U445,AB445)/1000</f>
        <v>220.09872869180776</v>
      </c>
      <c r="AK445" s="13">
        <f>MAX(AI445/[1]Parametros!$B$6-AJ445,0)</f>
        <v>106.40927130819222</v>
      </c>
      <c r="AL445" s="13">
        <f>0.66*SQRT([1]Parametros!$B$2)*H445*MIN(U445,AB445)/1000</f>
        <v>854.500946685842</v>
      </c>
      <c r="AM445" s="13" t="str">
        <f t="shared" si="82"/>
        <v>CUMPLE</v>
      </c>
      <c r="AN445" s="13" t="s">
        <v>64</v>
      </c>
      <c r="AO445" s="14">
        <v>2</v>
      </c>
      <c r="AP445" s="13">
        <f>ROUNDDOWN(MIN(IF(BC445+BD445=0,1000000000,AO445*BB445/(BC445+BD445)),MIN(U445,AB445)/4,8*[1]Parametros!$B$12,24*BA445,300,IF(AV445=0,1000000000,2*((H445-2*([1]Parametros!$B$7+[1]Parametros!$B$9/2))+(I445-2*([1]Parametros!$B$7+[1]Parametros!$B$9/2)))/8))/10,0)*10</f>
        <v>120</v>
      </c>
      <c r="AQ445" s="13">
        <f>ROUNDDOWN(MIN(IF(BC445+BD445=0,1000000000,AO445*BB445/(BC445+BD445)),IF(AK445&gt;0.33*SQRT([1]Parametros!$B$2)*H445*MIN(U445,AB445)/1000,MIN(U445,AB445)/4,MIN(U445,AB445)/2),600,IF(AV445=0,1000000000,2*((H445-2*([1]Parametros!$B$7+[1]Parametros!$B$9/2))+(I445-2*([1]Parametros!$B$7+[1]Parametros!$B$9/2)))/8))/10,0)*10</f>
        <v>240</v>
      </c>
      <c r="AR445" s="13">
        <f>[1]Parametros!$B$6*(AJ445+MAX(BE445-BD445,0)*[1]Parametros!$B$4*MIN(U445,AB445)/1000)</f>
        <v>347.47925901885583</v>
      </c>
      <c r="AS445" s="13" t="str">
        <f t="shared" si="83"/>
        <v>CUMPLE</v>
      </c>
      <c r="AT445" s="13">
        <f>[1]Parametros!$B$6*0.083*SQRT([1]Parametros!$B$2)*(H445*I445)^2/(2*(H445+I445))/1000000</f>
        <v>11.862178757598967</v>
      </c>
      <c r="AU445" s="13" t="str">
        <f t="shared" si="84"/>
        <v>DESPRECIABLE</v>
      </c>
      <c r="AV445" s="13">
        <f>IF(Q445&lt;=AT445,0,Q445*1000000/([1]Parametros!$B$6*2*0.85*(H445-2*([1]Parametros!$B$7+[1]Parametros!$B$9/2))*(I445-2*([1]Parametros!$B$7+[1]Parametros!$B$9/2))*[1]Parametros!$B$4))</f>
        <v>0</v>
      </c>
      <c r="AW445" s="13">
        <f>AV445*2*((H445-2*([1]Parametros!$B$7+[1]Parametros!$B$9/2))+(I445-2*([1]Parametros!$B$7+[1]Parametros!$B$9/2)))*[1]Parametros!$B$4/[1]Parametros!$B$3</f>
        <v>0</v>
      </c>
      <c r="AX445" s="14">
        <v>0</v>
      </c>
      <c r="AY445" s="13" t="str">
        <f t="shared" si="85"/>
        <v>DESPRECIABLE</v>
      </c>
      <c r="AZ445" s="13" t="str">
        <f t="shared" si="86"/>
        <v>CUMPLE</v>
      </c>
      <c r="BA445" s="14">
        <v>9.5</v>
      </c>
      <c r="BB445" s="14">
        <v>71</v>
      </c>
      <c r="BC445" s="13">
        <f>MAX(IF(AK445=0,0,AK445*1000/([1]Parametros!$B$4*MIN(U445,AB445))),MAX(0.062*SQRT([1]Parametros!$B$2)*H445/[1]Parametros!$B$4,0.35*H445/[1]Parametros!$B$4))</f>
        <v>0.51773864897649557</v>
      </c>
      <c r="BD445" s="13">
        <f t="shared" si="87"/>
        <v>0</v>
      </c>
      <c r="BE445" s="13">
        <f t="shared" si="88"/>
        <v>1.1833333333333333</v>
      </c>
      <c r="BF445" s="13">
        <f>SQRT((AI445*1000/(H445*MIN(U445,AB445)))^2+(Q445*1000000*2*((H445-2*([1]Parametros!$B$7+[1]Parametros!$B$9/2))+(I445-2*([1]Parametros!$B$7+[1]Parametros!$B$9/2)))/(1.7*((H445-2*([1]Parametros!$B$7+[1]Parametros!$B$9/2))*(I445-2*([1]Parametros!$B$7+[1]Parametros!$B$9/2)))^2))^2)</f>
        <v>1.0124466064335418</v>
      </c>
      <c r="BG445" s="13">
        <f>[1]Parametros!$B$6*(AJ445*1000/(H445*MIN(U445,AB445))+0.66*SQRT([1]Parametros!$B$2))</f>
        <v>3.2939603822754151</v>
      </c>
      <c r="BH445" s="13" t="str">
        <f t="shared" si="89"/>
        <v>CUMPLE</v>
      </c>
      <c r="BI445" s="13">
        <f>AX445*[1]Parametros!$B$8</f>
        <v>0</v>
      </c>
      <c r="BJ445" s="15" t="str">
        <f t="shared" si="90"/>
        <v>CUMPLE</v>
      </c>
    </row>
    <row r="446" spans="1:62" x14ac:dyDescent="0.3">
      <c r="A446" s="33" t="s">
        <v>76</v>
      </c>
      <c r="B446" s="34">
        <v>871</v>
      </c>
      <c r="C446" s="13">
        <v>1</v>
      </c>
      <c r="D446" s="13">
        <v>1.9</v>
      </c>
      <c r="E446" s="13">
        <v>1.9</v>
      </c>
      <c r="F446" s="13">
        <v>500</v>
      </c>
      <c r="G446" s="13">
        <v>550</v>
      </c>
      <c r="H446" s="13">
        <v>500</v>
      </c>
      <c r="I446" s="13">
        <v>550</v>
      </c>
      <c r="J446" s="14">
        <v>93.221900000000005</v>
      </c>
      <c r="K446" s="13">
        <v>871</v>
      </c>
      <c r="L446" s="14">
        <v>56.5</v>
      </c>
      <c r="M446" s="13">
        <v>871</v>
      </c>
      <c r="N446" s="14">
        <v>96.126000000000005</v>
      </c>
      <c r="O446" s="14">
        <v>273.39600000000002</v>
      </c>
      <c r="P446" s="13">
        <v>871</v>
      </c>
      <c r="Q446" s="14">
        <v>10.8924</v>
      </c>
      <c r="R446" s="13">
        <f>MAX(MAX(1.4/[1]Parametros!$B$3,0.25*SQRT([1]Parametros!$B$2)/[1]Parametros!$B$3)*H446*U446,(0.85*[1]Parametros!$B$2/[1]Parametros!$B$3)*(1-SQRT(1-2*(J446*1000000/([1]Parametros!$B$5*H446*U446^2))/(0.85*[1]Parametros!$B$2)))*H446*U446)</f>
        <v>815.58333333333326</v>
      </c>
      <c r="S446" s="14">
        <v>5</v>
      </c>
      <c r="T446" s="14">
        <v>1</v>
      </c>
      <c r="U446" s="13">
        <f>IF(T446=1,I446-([1]Parametros!$B$7+[1]Parametros!$B$9+[1]Parametros!$B$12/2),I446-(ROUNDUP(S446/2,0)*([1]Parametros!$B$7+[1]Parametros!$B$9+[1]Parametros!$B$12/2)+ROUNDDOWN(S446/2,0)*([1]Parametros!$B$7+[1]Parametros!$B$9+[1]Parametros!$B$12/2+[1]Parametros!$B$12+[1]Parametros!$B$10))/S446)</f>
        <v>489.35</v>
      </c>
      <c r="V446" s="13">
        <f>S446*[1]Parametros!$B$8</f>
        <v>995</v>
      </c>
      <c r="W446" s="13">
        <f>[1]Parametros!$B$5*V446*[1]Parametros!$B$3*(U446-(V446*[1]Parametros!$B$3/(0.85*[1]Parametros!$B$2*H446))/2)/1000000</f>
        <v>177.44537938235294</v>
      </c>
      <c r="X446" s="13" t="str">
        <f t="shared" si="78"/>
        <v>CUMPLE</v>
      </c>
      <c r="Y446" s="13">
        <f>MAX(MAX(1.4/[1]Parametros!$B$3,0.25*SQRT([1]Parametros!$B$2)/[1]Parametros!$B$3)*H446*AB446,(0.85*[1]Parametros!$B$2/[1]Parametros!$B$3)*(1-SQRT(1-2*(L446*1000000/([1]Parametros!$B$5*H446*AB446^2))/(0.85*[1]Parametros!$B$2)))*H446*AB446)</f>
        <v>815.58333333333326</v>
      </c>
      <c r="Z446" s="14">
        <v>5</v>
      </c>
      <c r="AA446" s="14">
        <v>1</v>
      </c>
      <c r="AB446" s="13">
        <f>IF(AA446=1,I446-([1]Parametros!$B$7+[1]Parametros!$B$9+[1]Parametros!$B$12/2),I446-(ROUNDUP(Z446/2,0)*([1]Parametros!$B$7+[1]Parametros!$B$9+[1]Parametros!$B$12/2)+ROUNDDOWN(Z446/2,0)*([1]Parametros!$B$7+[1]Parametros!$B$9+[1]Parametros!$B$12/2+[1]Parametros!$B$12+[1]Parametros!$B$10))/Z446)</f>
        <v>489.35</v>
      </c>
      <c r="AC446" s="13">
        <f>Z446*[1]Parametros!$B$8</f>
        <v>995</v>
      </c>
      <c r="AD446" s="13">
        <f>[1]Parametros!$B$5*AC446*[1]Parametros!$B$3*(AB446-(AC446*[1]Parametros!$B$3/(0.85*[1]Parametros!$B$2*H446))/2)/1000000</f>
        <v>177.44537938235294</v>
      </c>
      <c r="AE446" s="13" t="str">
        <f t="shared" si="79"/>
        <v>CUMPLE</v>
      </c>
      <c r="AF446" s="13">
        <f>V446*1.25*[1]Parametros!$B$3*(U446-(V446*1.25*[1]Parametros!$B$3/(0.85*[1]Parametros!$B$2*H446))/2)/1000000</f>
        <v>244.15884319852941</v>
      </c>
      <c r="AG446" s="13">
        <f>AC446*1.25*[1]Parametros!$B$3*(AB446-(AC446*1.25*[1]Parametros!$B$3/(0.85*[1]Parametros!$B$2*H446))/2)/1000000</f>
        <v>244.15884319852941</v>
      </c>
      <c r="AH446" s="13">
        <f t="shared" si="80"/>
        <v>353.13530863003098</v>
      </c>
      <c r="AI446" s="13">
        <f t="shared" si="81"/>
        <v>353.13530863003098</v>
      </c>
      <c r="AJ446" s="13">
        <f>0.17*SQRT([1]Parametros!$B$2)*H446*MIN(U446,AB446)/1000</f>
        <v>220.09872869180776</v>
      </c>
      <c r="AK446" s="13">
        <f>MAX(AI446/[1]Parametros!$B$6-AJ446,0)</f>
        <v>250.74834948156689</v>
      </c>
      <c r="AL446" s="13">
        <f>0.66*SQRT([1]Parametros!$B$2)*H446*MIN(U446,AB446)/1000</f>
        <v>854.500946685842</v>
      </c>
      <c r="AM446" s="13" t="str">
        <f t="shared" si="82"/>
        <v>CUMPLE</v>
      </c>
      <c r="AN446" s="13" t="s">
        <v>64</v>
      </c>
      <c r="AO446" s="14">
        <v>2</v>
      </c>
      <c r="AP446" s="13">
        <f>ROUNDDOWN(MIN(IF(BC446+BD446=0,1000000000,AO446*BB446/(BC446+BD446)),MIN(U446,AB446)/4,8*[1]Parametros!$B$12,24*BA446,300,IF(AV446=0,1000000000,2*((H446-2*([1]Parametros!$B$7+[1]Parametros!$B$9/2))+(I446-2*([1]Parametros!$B$7+[1]Parametros!$B$9/2)))/8))/10,0)*10</f>
        <v>110</v>
      </c>
      <c r="AQ446" s="13">
        <f>ROUNDDOWN(MIN(IF(BC446+BD446=0,1000000000,AO446*BB446/(BC446+BD446)),IF(AK446&gt;0.33*SQRT([1]Parametros!$B$2)*H446*MIN(U446,AB446)/1000,MIN(U446,AB446)/4,MIN(U446,AB446)/2),600,IF(AV446=0,1000000000,2*((H446-2*([1]Parametros!$B$7+[1]Parametros!$B$9/2))+(I446-2*([1]Parametros!$B$7+[1]Parametros!$B$9/2)))/8))/10,0)*10</f>
        <v>110</v>
      </c>
      <c r="AR446" s="13">
        <f>[1]Parametros!$B$6*(AJ446+MAX(BE446-BD446,0)*[1]Parametros!$B$4*MIN(U446,AB446)/1000)</f>
        <v>364.06155106431038</v>
      </c>
      <c r="AS446" s="13" t="str">
        <f t="shared" si="83"/>
        <v>CUMPLE</v>
      </c>
      <c r="AT446" s="13">
        <f>[1]Parametros!$B$6*0.083*SQRT([1]Parametros!$B$2)*(H446*I446)^2/(2*(H446+I446))/1000000</f>
        <v>11.862178757598967</v>
      </c>
      <c r="AU446" s="13" t="str">
        <f t="shared" si="84"/>
        <v>DESPRECIABLE</v>
      </c>
      <c r="AV446" s="13">
        <f>IF(Q446&lt;=AT446,0,Q446*1000000/([1]Parametros!$B$6*2*0.85*(H446-2*([1]Parametros!$B$7+[1]Parametros!$B$9/2))*(I446-2*([1]Parametros!$B$7+[1]Parametros!$B$9/2))*[1]Parametros!$B$4))</f>
        <v>0</v>
      </c>
      <c r="AW446" s="13">
        <f>AV446*2*((H446-2*([1]Parametros!$B$7+[1]Parametros!$B$9/2))+(I446-2*([1]Parametros!$B$7+[1]Parametros!$B$9/2)))*[1]Parametros!$B$4/[1]Parametros!$B$3</f>
        <v>0</v>
      </c>
      <c r="AX446" s="14">
        <v>0</v>
      </c>
      <c r="AY446" s="13" t="str">
        <f t="shared" si="85"/>
        <v>DESPRECIABLE</v>
      </c>
      <c r="AZ446" s="13" t="str">
        <f t="shared" si="86"/>
        <v>CUMPLE</v>
      </c>
      <c r="BA446" s="14">
        <v>9.5</v>
      </c>
      <c r="BB446" s="14">
        <v>71</v>
      </c>
      <c r="BC446" s="13">
        <f>MAX(IF(AK446=0,0,AK446*1000/([1]Parametros!$B$4*MIN(U446,AB446))),MAX(0.062*SQRT([1]Parametros!$B$2)*H446/[1]Parametros!$B$4,0.35*H446/[1]Parametros!$B$4))</f>
        <v>1.2200263200531654</v>
      </c>
      <c r="BD446" s="13">
        <f t="shared" si="87"/>
        <v>0</v>
      </c>
      <c r="BE446" s="13">
        <f t="shared" si="88"/>
        <v>1.290909090909091</v>
      </c>
      <c r="BF446" s="13">
        <f>SQRT((AI446*1000/(H446*MIN(U446,AB446)))^2+(Q446*1000000*2*((H446-2*([1]Parametros!$B$7+[1]Parametros!$B$9/2))+(I446-2*([1]Parametros!$B$7+[1]Parametros!$B$9/2)))/(1.7*((H446-2*([1]Parametros!$B$7+[1]Parametros!$B$9/2))*(I446-2*([1]Parametros!$B$7+[1]Parametros!$B$9/2)))^2))^2)</f>
        <v>1.478195160362904</v>
      </c>
      <c r="BG446" s="13">
        <f>[1]Parametros!$B$6*(AJ446*1000/(H446*MIN(U446,AB446))+0.66*SQRT([1]Parametros!$B$2))</f>
        <v>3.2939603822754151</v>
      </c>
      <c r="BH446" s="13" t="str">
        <f t="shared" si="89"/>
        <v>CUMPLE</v>
      </c>
      <c r="BI446" s="13">
        <f>AX446*[1]Parametros!$B$8</f>
        <v>0</v>
      </c>
      <c r="BJ446" s="15" t="str">
        <f t="shared" si="90"/>
        <v>CUMPLE</v>
      </c>
    </row>
    <row r="447" spans="1:62" x14ac:dyDescent="0.3">
      <c r="A447" s="33" t="s">
        <v>76</v>
      </c>
      <c r="B447" s="34">
        <v>872</v>
      </c>
      <c r="C447" s="13">
        <v>1</v>
      </c>
      <c r="D447" s="13">
        <v>2</v>
      </c>
      <c r="E447" s="13">
        <v>2</v>
      </c>
      <c r="F447" s="13">
        <v>500</v>
      </c>
      <c r="G447" s="13">
        <v>550</v>
      </c>
      <c r="H447" s="13">
        <v>500</v>
      </c>
      <c r="I447" s="13">
        <v>550</v>
      </c>
      <c r="J447" s="14">
        <v>101.089</v>
      </c>
      <c r="K447" s="13">
        <v>872</v>
      </c>
      <c r="L447" s="14">
        <v>54.335500000000003</v>
      </c>
      <c r="M447" s="13">
        <v>872</v>
      </c>
      <c r="N447" s="14">
        <v>105.798</v>
      </c>
      <c r="O447" s="14">
        <v>324.68</v>
      </c>
      <c r="P447" s="13">
        <v>872</v>
      </c>
      <c r="Q447" s="14">
        <v>26.204899999999999</v>
      </c>
      <c r="R447" s="13">
        <f>MAX(MAX(1.4/[1]Parametros!$B$3,0.25*SQRT([1]Parametros!$B$2)/[1]Parametros!$B$3)*H447*U447,(0.85*[1]Parametros!$B$2/[1]Parametros!$B$3)*(1-SQRT(1-2*(J447*1000000/([1]Parametros!$B$5*H447*U447^2))/(0.85*[1]Parametros!$B$2)))*H447*U447)</f>
        <v>815.58333333333326</v>
      </c>
      <c r="S447" s="14">
        <v>5</v>
      </c>
      <c r="T447" s="14">
        <v>1</v>
      </c>
      <c r="U447" s="13">
        <f>IF(T447=1,I447-([1]Parametros!$B$7+[1]Parametros!$B$9+[1]Parametros!$B$12/2),I447-(ROUNDUP(S447/2,0)*([1]Parametros!$B$7+[1]Parametros!$B$9+[1]Parametros!$B$12/2)+ROUNDDOWN(S447/2,0)*([1]Parametros!$B$7+[1]Parametros!$B$9+[1]Parametros!$B$12/2+[1]Parametros!$B$12+[1]Parametros!$B$10))/S447)</f>
        <v>489.35</v>
      </c>
      <c r="V447" s="13">
        <f>S447*[1]Parametros!$B$8</f>
        <v>995</v>
      </c>
      <c r="W447" s="13">
        <f>[1]Parametros!$B$5*V447*[1]Parametros!$B$3*(U447-(V447*[1]Parametros!$B$3/(0.85*[1]Parametros!$B$2*H447))/2)/1000000</f>
        <v>177.44537938235294</v>
      </c>
      <c r="X447" s="13" t="str">
        <f t="shared" si="78"/>
        <v>CUMPLE</v>
      </c>
      <c r="Y447" s="13">
        <f>MAX(MAX(1.4/[1]Parametros!$B$3,0.25*SQRT([1]Parametros!$B$2)/[1]Parametros!$B$3)*H447*AB447,(0.85*[1]Parametros!$B$2/[1]Parametros!$B$3)*(1-SQRT(1-2*(L447*1000000/([1]Parametros!$B$5*H447*AB447^2))/(0.85*[1]Parametros!$B$2)))*H447*AB447)</f>
        <v>815.58333333333326</v>
      </c>
      <c r="Z447" s="14">
        <v>5</v>
      </c>
      <c r="AA447" s="14">
        <v>1</v>
      </c>
      <c r="AB447" s="13">
        <f>IF(AA447=1,I447-([1]Parametros!$B$7+[1]Parametros!$B$9+[1]Parametros!$B$12/2),I447-(ROUNDUP(Z447/2,0)*([1]Parametros!$B$7+[1]Parametros!$B$9+[1]Parametros!$B$12/2)+ROUNDDOWN(Z447/2,0)*([1]Parametros!$B$7+[1]Parametros!$B$9+[1]Parametros!$B$12/2+[1]Parametros!$B$12+[1]Parametros!$B$10))/Z447)</f>
        <v>489.35</v>
      </c>
      <c r="AC447" s="13">
        <f>Z447*[1]Parametros!$B$8</f>
        <v>995</v>
      </c>
      <c r="AD447" s="13">
        <f>[1]Parametros!$B$5*AC447*[1]Parametros!$B$3*(AB447-(AC447*[1]Parametros!$B$3/(0.85*[1]Parametros!$B$2*H447))/2)/1000000</f>
        <v>177.44537938235294</v>
      </c>
      <c r="AE447" s="13" t="str">
        <f t="shared" si="79"/>
        <v>CUMPLE</v>
      </c>
      <c r="AF447" s="13">
        <f>V447*1.25*[1]Parametros!$B$3*(U447-(V447*1.25*[1]Parametros!$B$3/(0.85*[1]Parametros!$B$2*H447))/2)/1000000</f>
        <v>244.15884319852941</v>
      </c>
      <c r="AG447" s="13">
        <f>AC447*1.25*[1]Parametros!$B$3*(AB447-(AC447*1.25*[1]Parametros!$B$3/(0.85*[1]Parametros!$B$2*H447))/2)/1000000</f>
        <v>244.15884319852941</v>
      </c>
      <c r="AH447" s="13">
        <f t="shared" si="80"/>
        <v>349.95684319852944</v>
      </c>
      <c r="AI447" s="13">
        <f t="shared" si="81"/>
        <v>349.95684319852944</v>
      </c>
      <c r="AJ447" s="13">
        <f>0.17*SQRT([1]Parametros!$B$2)*H447*MIN(U447,AB447)/1000</f>
        <v>220.09872869180776</v>
      </c>
      <c r="AK447" s="13">
        <f>MAX(AI447/[1]Parametros!$B$6-AJ447,0)</f>
        <v>246.51039557289818</v>
      </c>
      <c r="AL447" s="13">
        <f>0.66*SQRT([1]Parametros!$B$2)*H447*MIN(U447,AB447)/1000</f>
        <v>854.500946685842</v>
      </c>
      <c r="AM447" s="13" t="str">
        <f t="shared" si="82"/>
        <v>CUMPLE</v>
      </c>
      <c r="AN447" s="13" t="s">
        <v>64</v>
      </c>
      <c r="AO447" s="14">
        <v>2</v>
      </c>
      <c r="AP447" s="13">
        <f>ROUNDDOWN(MIN(IF(BC447+BD447=0,1000000000,AO447*BB447/(BC447+BD447)),MIN(U447,AB447)/4,8*[1]Parametros!$B$12,24*BA447,300,IF(AV447=0,1000000000,2*((H447-2*([1]Parametros!$B$7+[1]Parametros!$B$9/2))+(I447-2*([1]Parametros!$B$7+[1]Parametros!$B$9/2)))/8))/10,0)*10</f>
        <v>80</v>
      </c>
      <c r="AQ447" s="13">
        <f>ROUNDDOWN(MIN(IF(BC447+BD447=0,1000000000,AO447*BB447/(BC447+BD447)),IF(AK447&gt;0.33*SQRT([1]Parametros!$B$2)*H447*MIN(U447,AB447)/1000,MIN(U447,AB447)/4,MIN(U447,AB447)/2),600,IF(AV447=0,1000000000,2*((H447-2*([1]Parametros!$B$7+[1]Parametros!$B$9/2))+(I447-2*([1]Parametros!$B$7+[1]Parametros!$B$9/2)))/8))/10,0)*10</f>
        <v>80</v>
      </c>
      <c r="AR447" s="13">
        <f>[1]Parametros!$B$6*(AJ447+MAX(BE447-BD447,0)*[1]Parametros!$B$4*MIN(U447,AB447)/1000)</f>
        <v>357.68512103550876</v>
      </c>
      <c r="AS447" s="13" t="str">
        <f t="shared" si="83"/>
        <v>CUMPLE</v>
      </c>
      <c r="AT447" s="13">
        <f>[1]Parametros!$B$6*0.083*SQRT([1]Parametros!$B$2)*(H447*I447)^2/(2*(H447+I447))/1000000</f>
        <v>11.862178757598967</v>
      </c>
      <c r="AU447" s="13" t="str">
        <f t="shared" si="84"/>
        <v>DISEÑAR</v>
      </c>
      <c r="AV447" s="13">
        <f>IF(Q447&lt;=AT447,0,Q447*1000000/([1]Parametros!$B$6*2*0.85*(H447-2*([1]Parametros!$B$7+[1]Parametros!$B$9/2))*(I447-2*([1]Parametros!$B$7+[1]Parametros!$B$9/2))*[1]Parametros!$B$4))</f>
        <v>0.26272864143834168</v>
      </c>
      <c r="AW447" s="13">
        <f>AV447*2*((H447-2*([1]Parametros!$B$7+[1]Parametros!$B$9/2))+(I447-2*([1]Parametros!$B$7+[1]Parametros!$B$9/2)))*[1]Parametros!$B$4/[1]Parametros!$B$3</f>
        <v>454.31036677518051</v>
      </c>
      <c r="AX447" s="14">
        <v>8</v>
      </c>
      <c r="AY447" s="13" t="str">
        <f t="shared" si="85"/>
        <v>CUMPLE</v>
      </c>
      <c r="AZ447" s="13" t="str">
        <f t="shared" si="86"/>
        <v>CUMPLE</v>
      </c>
      <c r="BA447" s="14">
        <v>9.5</v>
      </c>
      <c r="BB447" s="14">
        <v>71</v>
      </c>
      <c r="BC447" s="13">
        <f>MAX(IF(AK447=0,0,AK447*1000/([1]Parametros!$B$4*MIN(U447,AB447))),MAX(0.062*SQRT([1]Parametros!$B$2)*H447/[1]Parametros!$B$4,0.35*H447/[1]Parametros!$B$4))</f>
        <v>1.1994063824845309</v>
      </c>
      <c r="BD447" s="13">
        <f t="shared" si="87"/>
        <v>0.52545728287668336</v>
      </c>
      <c r="BE447" s="13">
        <f t="shared" si="88"/>
        <v>1.7749999999999999</v>
      </c>
      <c r="BF447" s="13">
        <f>SQRT((AI447*1000/(H447*MIN(U447,AB447)))^2+(Q447*1000000*2*((H447-2*([1]Parametros!$B$7+[1]Parametros!$B$9/2))+(I447-2*([1]Parametros!$B$7+[1]Parametros!$B$9/2)))/(1.7*((H447-2*([1]Parametros!$B$7+[1]Parametros!$B$9/2))*(I447-2*([1]Parametros!$B$7+[1]Parametros!$B$9/2)))^2))^2)</f>
        <v>1.6235970490396039</v>
      </c>
      <c r="BG447" s="13">
        <f>[1]Parametros!$B$6*(AJ447*1000/(H447*MIN(U447,AB447))+0.66*SQRT([1]Parametros!$B$2))</f>
        <v>3.2939603822754151</v>
      </c>
      <c r="BH447" s="13" t="str">
        <f t="shared" si="89"/>
        <v>CUMPLE</v>
      </c>
      <c r="BI447" s="13">
        <f>AX447*[1]Parametros!$B$8</f>
        <v>1592</v>
      </c>
      <c r="BJ447" s="15" t="str">
        <f t="shared" si="90"/>
        <v>CUMPLE</v>
      </c>
    </row>
    <row r="448" spans="1:62" x14ac:dyDescent="0.3">
      <c r="A448" s="33" t="s">
        <v>76</v>
      </c>
      <c r="B448" s="34">
        <v>873</v>
      </c>
      <c r="C448" s="13">
        <v>1</v>
      </c>
      <c r="D448" s="13">
        <v>3.05308</v>
      </c>
      <c r="E448" s="13">
        <v>3.05308</v>
      </c>
      <c r="F448" s="13">
        <v>500</v>
      </c>
      <c r="G448" s="13">
        <v>550</v>
      </c>
      <c r="H448" s="13">
        <v>500</v>
      </c>
      <c r="I448" s="13">
        <v>550</v>
      </c>
      <c r="J448" s="14">
        <v>125.36409999999999</v>
      </c>
      <c r="K448" s="13">
        <v>873</v>
      </c>
      <c r="L448" s="14">
        <v>63.848399999999998</v>
      </c>
      <c r="M448" s="13">
        <v>873</v>
      </c>
      <c r="N448" s="14">
        <v>110.029</v>
      </c>
      <c r="O448" s="14">
        <v>260.666</v>
      </c>
      <c r="P448" s="13">
        <v>873</v>
      </c>
      <c r="Q448" s="14">
        <v>31.872900000000001</v>
      </c>
      <c r="R448" s="13">
        <f>MAX(MAX(1.4/[1]Parametros!$B$3,0.25*SQRT([1]Parametros!$B$2)/[1]Parametros!$B$3)*H448*U448,(0.85*[1]Parametros!$B$2/[1]Parametros!$B$3)*(1-SQRT(1-2*(J448*1000000/([1]Parametros!$B$5*H448*U448^2))/(0.85*[1]Parametros!$B$2)))*H448*U448)</f>
        <v>815.58333333333326</v>
      </c>
      <c r="S448" s="14">
        <v>5</v>
      </c>
      <c r="T448" s="14">
        <v>1</v>
      </c>
      <c r="U448" s="13">
        <f>IF(T448=1,I448-([1]Parametros!$B$7+[1]Parametros!$B$9+[1]Parametros!$B$12/2),I448-(ROUNDUP(S448/2,0)*([1]Parametros!$B$7+[1]Parametros!$B$9+[1]Parametros!$B$12/2)+ROUNDDOWN(S448/2,0)*([1]Parametros!$B$7+[1]Parametros!$B$9+[1]Parametros!$B$12/2+[1]Parametros!$B$12+[1]Parametros!$B$10))/S448)</f>
        <v>489.35</v>
      </c>
      <c r="V448" s="13">
        <f>S448*[1]Parametros!$B$8</f>
        <v>995</v>
      </c>
      <c r="W448" s="13">
        <f>[1]Parametros!$B$5*V448*[1]Parametros!$B$3*(U448-(V448*[1]Parametros!$B$3/(0.85*[1]Parametros!$B$2*H448))/2)/1000000</f>
        <v>177.44537938235294</v>
      </c>
      <c r="X448" s="13" t="str">
        <f t="shared" si="78"/>
        <v>CUMPLE</v>
      </c>
      <c r="Y448" s="13">
        <f>MAX(MAX(1.4/[1]Parametros!$B$3,0.25*SQRT([1]Parametros!$B$2)/[1]Parametros!$B$3)*H448*AB448,(0.85*[1]Parametros!$B$2/[1]Parametros!$B$3)*(1-SQRT(1-2*(L448*1000000/([1]Parametros!$B$5*H448*AB448^2))/(0.85*[1]Parametros!$B$2)))*H448*AB448)</f>
        <v>815.58333333333326</v>
      </c>
      <c r="Z448" s="14">
        <v>5</v>
      </c>
      <c r="AA448" s="14">
        <v>1</v>
      </c>
      <c r="AB448" s="13">
        <f>IF(AA448=1,I448-([1]Parametros!$B$7+[1]Parametros!$B$9+[1]Parametros!$B$12/2),I448-(ROUNDUP(Z448/2,0)*([1]Parametros!$B$7+[1]Parametros!$B$9+[1]Parametros!$B$12/2)+ROUNDDOWN(Z448/2,0)*([1]Parametros!$B$7+[1]Parametros!$B$9+[1]Parametros!$B$12/2+[1]Parametros!$B$12+[1]Parametros!$B$10))/Z448)</f>
        <v>489.35</v>
      </c>
      <c r="AC448" s="13">
        <f>Z448*[1]Parametros!$B$8</f>
        <v>995</v>
      </c>
      <c r="AD448" s="13">
        <f>[1]Parametros!$B$5*AC448*[1]Parametros!$B$3*(AB448-(AC448*[1]Parametros!$B$3/(0.85*[1]Parametros!$B$2*H448))/2)/1000000</f>
        <v>177.44537938235294</v>
      </c>
      <c r="AE448" s="13" t="str">
        <f t="shared" si="79"/>
        <v>CUMPLE</v>
      </c>
      <c r="AF448" s="13">
        <f>V448*1.25*[1]Parametros!$B$3*(U448-(V448*1.25*[1]Parametros!$B$3/(0.85*[1]Parametros!$B$2*H448))/2)/1000000</f>
        <v>244.15884319852941</v>
      </c>
      <c r="AG448" s="13">
        <f>AC448*1.25*[1]Parametros!$B$3*(AB448-(AC448*1.25*[1]Parametros!$B$3/(0.85*[1]Parametros!$B$2*H448))/2)/1000000</f>
        <v>244.15884319852941</v>
      </c>
      <c r="AH448" s="13">
        <f t="shared" si="80"/>
        <v>269.9716436244903</v>
      </c>
      <c r="AI448" s="13">
        <f t="shared" si="81"/>
        <v>269.9716436244903</v>
      </c>
      <c r="AJ448" s="13">
        <f>0.17*SQRT([1]Parametros!$B$2)*H448*MIN(U448,AB448)/1000</f>
        <v>220.09872869180776</v>
      </c>
      <c r="AK448" s="13">
        <f>MAX(AI448/[1]Parametros!$B$6-AJ448,0)</f>
        <v>139.86346280751263</v>
      </c>
      <c r="AL448" s="13">
        <f>0.66*SQRT([1]Parametros!$B$2)*H448*MIN(U448,AB448)/1000</f>
        <v>854.500946685842</v>
      </c>
      <c r="AM448" s="13" t="str">
        <f t="shared" si="82"/>
        <v>CUMPLE</v>
      </c>
      <c r="AN448" s="13" t="s">
        <v>64</v>
      </c>
      <c r="AO448" s="14">
        <v>2</v>
      </c>
      <c r="AP448" s="13">
        <f>ROUNDDOWN(MIN(IF(BC448+BD448=0,1000000000,AO448*BB448/(BC448+BD448)),MIN(U448,AB448)/4,8*[1]Parametros!$B$12,24*BA448,300,IF(AV448=0,1000000000,2*((H448-2*([1]Parametros!$B$7+[1]Parametros!$B$9/2))+(I448-2*([1]Parametros!$B$7+[1]Parametros!$B$9/2)))/8))/10,0)*10</f>
        <v>100</v>
      </c>
      <c r="AQ448" s="13">
        <f>ROUNDDOWN(MIN(IF(BC448+BD448=0,1000000000,AO448*BB448/(BC448+BD448)),IF(AK448&gt;0.33*SQRT([1]Parametros!$B$2)*H448*MIN(U448,AB448)/1000,MIN(U448,AB448)/4,MIN(U448,AB448)/2),600,IF(AV448=0,1000000000,2*((H448-2*([1]Parametros!$B$7+[1]Parametros!$B$9/2))+(I448-2*([1]Parametros!$B$7+[1]Parametros!$B$9/2)))/8))/10,0)*10</f>
        <v>100</v>
      </c>
      <c r="AR448" s="13">
        <f>[1]Parametros!$B$6*(AJ448+MAX(BE448-BD448,0)*[1]Parametros!$B$4*MIN(U448,AB448)/1000)</f>
        <v>285.44433201410493</v>
      </c>
      <c r="AS448" s="13" t="str">
        <f t="shared" si="83"/>
        <v>CUMPLE</v>
      </c>
      <c r="AT448" s="13">
        <f>[1]Parametros!$B$6*0.083*SQRT([1]Parametros!$B$2)*(H448*I448)^2/(2*(H448+I448))/1000000</f>
        <v>11.862178757598967</v>
      </c>
      <c r="AU448" s="13" t="str">
        <f t="shared" si="84"/>
        <v>DISEÑAR</v>
      </c>
      <c r="AV448" s="13">
        <f>IF(Q448&lt;=AT448,0,Q448*1000000/([1]Parametros!$B$6*2*0.85*(H448-2*([1]Parametros!$B$7+[1]Parametros!$B$9/2))*(I448-2*([1]Parametros!$B$7+[1]Parametros!$B$9/2))*[1]Parametros!$B$4))</f>
        <v>0.31955564477254716</v>
      </c>
      <c r="AW448" s="13">
        <f>AV448*2*((H448-2*([1]Parametros!$B$7+[1]Parametros!$B$9/2))+(I448-2*([1]Parametros!$B$7+[1]Parametros!$B$9/2)))*[1]Parametros!$B$4/[1]Parametros!$B$3</f>
        <v>552.57562094068862</v>
      </c>
      <c r="AX448" s="14">
        <v>8</v>
      </c>
      <c r="AY448" s="13" t="str">
        <f t="shared" si="85"/>
        <v>CUMPLE</v>
      </c>
      <c r="AZ448" s="13" t="str">
        <f t="shared" si="86"/>
        <v>CUMPLE</v>
      </c>
      <c r="BA448" s="14">
        <v>9.5</v>
      </c>
      <c r="BB448" s="14">
        <v>71</v>
      </c>
      <c r="BC448" s="13">
        <f>MAX(IF(AK448=0,0,AK448*1000/([1]Parametros!$B$4*MIN(U448,AB448))),MAX(0.062*SQRT([1]Parametros!$B$2)*H448/[1]Parametros!$B$4,0.35*H448/[1]Parametros!$B$4))</f>
        <v>0.68051138199610095</v>
      </c>
      <c r="BD448" s="13">
        <f t="shared" si="87"/>
        <v>0.63911128954509433</v>
      </c>
      <c r="BE448" s="13">
        <f t="shared" si="88"/>
        <v>1.42</v>
      </c>
      <c r="BF448" s="13">
        <f>SQRT((AI448*1000/(H448*MIN(U448,AB448)))^2+(Q448*1000000*2*((H448-2*([1]Parametros!$B$7+[1]Parametros!$B$9/2))+(I448-2*([1]Parametros!$B$7+[1]Parametros!$B$9/2)))/(1.7*((H448-2*([1]Parametros!$B$7+[1]Parametros!$B$9/2))*(I448-2*([1]Parametros!$B$7+[1]Parametros!$B$9/2)))^2))^2)</f>
        <v>1.4459552490878942</v>
      </c>
      <c r="BG448" s="13">
        <f>[1]Parametros!$B$6*(AJ448*1000/(H448*MIN(U448,AB448))+0.66*SQRT([1]Parametros!$B$2))</f>
        <v>3.2939603822754151</v>
      </c>
      <c r="BH448" s="13" t="str">
        <f t="shared" si="89"/>
        <v>CUMPLE</v>
      </c>
      <c r="BI448" s="13">
        <f>AX448*[1]Parametros!$B$8</f>
        <v>1592</v>
      </c>
      <c r="BJ448" s="15" t="str">
        <f t="shared" si="90"/>
        <v>CUMPLE</v>
      </c>
    </row>
    <row r="449" spans="1:62" x14ac:dyDescent="0.3">
      <c r="A449" s="33" t="s">
        <v>76</v>
      </c>
      <c r="B449" s="34">
        <v>874</v>
      </c>
      <c r="C449" s="13">
        <v>1</v>
      </c>
      <c r="D449" s="13">
        <v>2</v>
      </c>
      <c r="E449" s="13">
        <v>2</v>
      </c>
      <c r="F449" s="13">
        <v>500</v>
      </c>
      <c r="G449" s="13">
        <v>550</v>
      </c>
      <c r="H449" s="13">
        <v>500</v>
      </c>
      <c r="I449" s="13">
        <v>550</v>
      </c>
      <c r="J449" s="14">
        <v>105.5407</v>
      </c>
      <c r="K449" s="13">
        <v>874</v>
      </c>
      <c r="L449" s="14">
        <v>46.397300000000001</v>
      </c>
      <c r="M449" s="13">
        <v>874</v>
      </c>
      <c r="N449" s="14">
        <v>96.694000000000003</v>
      </c>
      <c r="O449" s="14">
        <v>248.41300000000001</v>
      </c>
      <c r="P449" s="13">
        <v>874</v>
      </c>
      <c r="Q449" s="14">
        <v>4.0392000000000001</v>
      </c>
      <c r="R449" s="13">
        <f>MAX(MAX(1.4/[1]Parametros!$B$3,0.25*SQRT([1]Parametros!$B$2)/[1]Parametros!$B$3)*H449*U449,(0.85*[1]Parametros!$B$2/[1]Parametros!$B$3)*(1-SQRT(1-2*(J449*1000000/([1]Parametros!$B$5*H449*U449^2))/(0.85*[1]Parametros!$B$2)))*H449*U449)</f>
        <v>815.58333333333326</v>
      </c>
      <c r="S449" s="14">
        <v>5</v>
      </c>
      <c r="T449" s="14">
        <v>1</v>
      </c>
      <c r="U449" s="13">
        <f>IF(T449=1,I449-([1]Parametros!$B$7+[1]Parametros!$B$9+[1]Parametros!$B$12/2),I449-(ROUNDUP(S449/2,0)*([1]Parametros!$B$7+[1]Parametros!$B$9+[1]Parametros!$B$12/2)+ROUNDDOWN(S449/2,0)*([1]Parametros!$B$7+[1]Parametros!$B$9+[1]Parametros!$B$12/2+[1]Parametros!$B$12+[1]Parametros!$B$10))/S449)</f>
        <v>489.35</v>
      </c>
      <c r="V449" s="13">
        <f>S449*[1]Parametros!$B$8</f>
        <v>995</v>
      </c>
      <c r="W449" s="13">
        <f>[1]Parametros!$B$5*V449*[1]Parametros!$B$3*(U449-(V449*[1]Parametros!$B$3/(0.85*[1]Parametros!$B$2*H449))/2)/1000000</f>
        <v>177.44537938235294</v>
      </c>
      <c r="X449" s="13" t="str">
        <f t="shared" si="78"/>
        <v>CUMPLE</v>
      </c>
      <c r="Y449" s="13">
        <f>MAX(MAX(1.4/[1]Parametros!$B$3,0.25*SQRT([1]Parametros!$B$2)/[1]Parametros!$B$3)*H449*AB449,(0.85*[1]Parametros!$B$2/[1]Parametros!$B$3)*(1-SQRT(1-2*(L449*1000000/([1]Parametros!$B$5*H449*AB449^2))/(0.85*[1]Parametros!$B$2)))*H449*AB449)</f>
        <v>815.58333333333326</v>
      </c>
      <c r="Z449" s="14">
        <v>5</v>
      </c>
      <c r="AA449" s="14">
        <v>1</v>
      </c>
      <c r="AB449" s="13">
        <f>IF(AA449=1,I449-([1]Parametros!$B$7+[1]Parametros!$B$9+[1]Parametros!$B$12/2),I449-(ROUNDUP(Z449/2,0)*([1]Parametros!$B$7+[1]Parametros!$B$9+[1]Parametros!$B$12/2)+ROUNDDOWN(Z449/2,0)*([1]Parametros!$B$7+[1]Parametros!$B$9+[1]Parametros!$B$12/2+[1]Parametros!$B$12+[1]Parametros!$B$10))/Z449)</f>
        <v>489.35</v>
      </c>
      <c r="AC449" s="13">
        <f>Z449*[1]Parametros!$B$8</f>
        <v>995</v>
      </c>
      <c r="AD449" s="13">
        <f>[1]Parametros!$B$5*AC449*[1]Parametros!$B$3*(AB449-(AC449*[1]Parametros!$B$3/(0.85*[1]Parametros!$B$2*H449))/2)/1000000</f>
        <v>177.44537938235294</v>
      </c>
      <c r="AE449" s="13" t="str">
        <f t="shared" si="79"/>
        <v>CUMPLE</v>
      </c>
      <c r="AF449" s="13">
        <f>V449*1.25*[1]Parametros!$B$3*(U449-(V449*1.25*[1]Parametros!$B$3/(0.85*[1]Parametros!$B$2*H449))/2)/1000000</f>
        <v>244.15884319852941</v>
      </c>
      <c r="AG449" s="13">
        <f>AC449*1.25*[1]Parametros!$B$3*(AB449-(AC449*1.25*[1]Parametros!$B$3/(0.85*[1]Parametros!$B$2*H449))/2)/1000000</f>
        <v>244.15884319852941</v>
      </c>
      <c r="AH449" s="13">
        <f t="shared" si="80"/>
        <v>340.8528431985294</v>
      </c>
      <c r="AI449" s="13">
        <f t="shared" si="81"/>
        <v>340.8528431985294</v>
      </c>
      <c r="AJ449" s="13">
        <f>0.17*SQRT([1]Parametros!$B$2)*H449*MIN(U449,AB449)/1000</f>
        <v>220.09872869180776</v>
      </c>
      <c r="AK449" s="13">
        <f>MAX(AI449/[1]Parametros!$B$6-AJ449,0)</f>
        <v>234.37172890623145</v>
      </c>
      <c r="AL449" s="13">
        <f>0.66*SQRT([1]Parametros!$B$2)*H449*MIN(U449,AB449)/1000</f>
        <v>854.500946685842</v>
      </c>
      <c r="AM449" s="13" t="str">
        <f t="shared" si="82"/>
        <v>CUMPLE</v>
      </c>
      <c r="AN449" s="13" t="s">
        <v>64</v>
      </c>
      <c r="AO449" s="14">
        <v>2</v>
      </c>
      <c r="AP449" s="13">
        <f>ROUNDDOWN(MIN(IF(BC449+BD449=0,1000000000,AO449*BB449/(BC449+BD449)),MIN(U449,AB449)/4,8*[1]Parametros!$B$12,24*BA449,300,IF(AV449=0,1000000000,2*((H449-2*([1]Parametros!$B$7+[1]Parametros!$B$9/2))+(I449-2*([1]Parametros!$B$7+[1]Parametros!$B$9/2)))/8))/10,0)*10</f>
        <v>120</v>
      </c>
      <c r="AQ449" s="13">
        <f>ROUNDDOWN(MIN(IF(BC449+BD449=0,1000000000,AO449*BB449/(BC449+BD449)),IF(AK449&gt;0.33*SQRT([1]Parametros!$B$2)*H449*MIN(U449,AB449)/1000,MIN(U449,AB449)/4,MIN(U449,AB449)/2),600,IF(AV449=0,1000000000,2*((H449-2*([1]Parametros!$B$7+[1]Parametros!$B$9/2))+(I449-2*([1]Parametros!$B$7+[1]Parametros!$B$9/2)))/8))/10,0)*10</f>
        <v>120</v>
      </c>
      <c r="AR449" s="13">
        <f>[1]Parametros!$B$6*(AJ449+MAX(BE449-BD449,0)*[1]Parametros!$B$4*MIN(U449,AB449)/1000)</f>
        <v>347.47925901885583</v>
      </c>
      <c r="AS449" s="13" t="str">
        <f t="shared" si="83"/>
        <v>CUMPLE</v>
      </c>
      <c r="AT449" s="13">
        <f>[1]Parametros!$B$6*0.083*SQRT([1]Parametros!$B$2)*(H449*I449)^2/(2*(H449+I449))/1000000</f>
        <v>11.862178757598967</v>
      </c>
      <c r="AU449" s="13" t="str">
        <f t="shared" si="84"/>
        <v>DESPRECIABLE</v>
      </c>
      <c r="AV449" s="13">
        <f>IF(Q449&lt;=AT449,0,Q449*1000000/([1]Parametros!$B$6*2*0.85*(H449-2*([1]Parametros!$B$7+[1]Parametros!$B$9/2))*(I449-2*([1]Parametros!$B$7+[1]Parametros!$B$9/2))*[1]Parametros!$B$4))</f>
        <v>0</v>
      </c>
      <c r="AW449" s="13">
        <f>AV449*2*((H449-2*([1]Parametros!$B$7+[1]Parametros!$B$9/2))+(I449-2*([1]Parametros!$B$7+[1]Parametros!$B$9/2)))*[1]Parametros!$B$4/[1]Parametros!$B$3</f>
        <v>0</v>
      </c>
      <c r="AX449" s="14">
        <v>0</v>
      </c>
      <c r="AY449" s="13" t="str">
        <f t="shared" si="85"/>
        <v>DESPRECIABLE</v>
      </c>
      <c r="AZ449" s="13" t="str">
        <f t="shared" si="86"/>
        <v>CUMPLE</v>
      </c>
      <c r="BA449" s="14">
        <v>9.5</v>
      </c>
      <c r="BB449" s="14">
        <v>71</v>
      </c>
      <c r="BC449" s="13">
        <f>MAX(IF(AK449=0,0,AK449*1000/([1]Parametros!$B$4*MIN(U449,AB449))),MAX(0.062*SQRT([1]Parametros!$B$2)*H449/[1]Parametros!$B$4,0.35*H449/[1]Parametros!$B$4))</f>
        <v>1.1403452047966032</v>
      </c>
      <c r="BD449" s="13">
        <f t="shared" si="87"/>
        <v>0</v>
      </c>
      <c r="BE449" s="13">
        <f t="shared" si="88"/>
        <v>1.1833333333333333</v>
      </c>
      <c r="BF449" s="13">
        <f>SQRT((AI449*1000/(H449*MIN(U449,AB449)))^2+(Q449*1000000*2*((H449-2*([1]Parametros!$B$7+[1]Parametros!$B$9/2))+(I449-2*([1]Parametros!$B$7+[1]Parametros!$B$9/2)))/(1.7*((H449-2*([1]Parametros!$B$7+[1]Parametros!$B$9/2))*(I449-2*([1]Parametros!$B$7+[1]Parametros!$B$9/2)))^2))^2)</f>
        <v>1.3981090047565754</v>
      </c>
      <c r="BG449" s="13">
        <f>[1]Parametros!$B$6*(AJ449*1000/(H449*MIN(U449,AB449))+0.66*SQRT([1]Parametros!$B$2))</f>
        <v>3.2939603822754151</v>
      </c>
      <c r="BH449" s="13" t="str">
        <f t="shared" si="89"/>
        <v>CUMPLE</v>
      </c>
      <c r="BI449" s="13">
        <f>AX449*[1]Parametros!$B$8</f>
        <v>0</v>
      </c>
      <c r="BJ449" s="15" t="str">
        <f t="shared" si="90"/>
        <v>CUMPLE</v>
      </c>
    </row>
    <row r="450" spans="1:62" x14ac:dyDescent="0.3">
      <c r="A450" s="33" t="s">
        <v>76</v>
      </c>
      <c r="B450" s="34">
        <v>885</v>
      </c>
      <c r="C450" s="13">
        <v>1</v>
      </c>
      <c r="D450" s="13">
        <v>2</v>
      </c>
      <c r="E450" s="13">
        <v>2</v>
      </c>
      <c r="F450" s="13">
        <v>500</v>
      </c>
      <c r="G450" s="13">
        <v>550</v>
      </c>
      <c r="H450" s="13">
        <v>500</v>
      </c>
      <c r="I450" s="13">
        <v>550</v>
      </c>
      <c r="J450" s="14">
        <v>105.7076</v>
      </c>
      <c r="K450" s="13">
        <v>885</v>
      </c>
      <c r="L450" s="14">
        <v>46.534700000000001</v>
      </c>
      <c r="M450" s="13">
        <v>885</v>
      </c>
      <c r="N450" s="14">
        <v>96.811000000000007</v>
      </c>
      <c r="O450" s="14">
        <v>248.53200000000001</v>
      </c>
      <c r="P450" s="13">
        <v>885</v>
      </c>
      <c r="Q450" s="14">
        <v>4.04</v>
      </c>
      <c r="R450" s="13">
        <f>MAX(MAX(1.4/[1]Parametros!$B$3,0.25*SQRT([1]Parametros!$B$2)/[1]Parametros!$B$3)*H450*U450,(0.85*[1]Parametros!$B$2/[1]Parametros!$B$3)*(1-SQRT(1-2*(J450*1000000/([1]Parametros!$B$5*H450*U450^2))/(0.85*[1]Parametros!$B$2)))*H450*U450)</f>
        <v>815.58333333333326</v>
      </c>
      <c r="S450" s="14">
        <v>5</v>
      </c>
      <c r="T450" s="14">
        <v>1</v>
      </c>
      <c r="U450" s="13">
        <f>IF(T450=1,I450-([1]Parametros!$B$7+[1]Parametros!$B$9+[1]Parametros!$B$12/2),I450-(ROUNDUP(S450/2,0)*([1]Parametros!$B$7+[1]Parametros!$B$9+[1]Parametros!$B$12/2)+ROUNDDOWN(S450/2,0)*([1]Parametros!$B$7+[1]Parametros!$B$9+[1]Parametros!$B$12/2+[1]Parametros!$B$12+[1]Parametros!$B$10))/S450)</f>
        <v>489.35</v>
      </c>
      <c r="V450" s="13">
        <f>S450*[1]Parametros!$B$8</f>
        <v>995</v>
      </c>
      <c r="W450" s="13">
        <f>[1]Parametros!$B$5*V450*[1]Parametros!$B$3*(U450-(V450*[1]Parametros!$B$3/(0.85*[1]Parametros!$B$2*H450))/2)/1000000</f>
        <v>177.44537938235294</v>
      </c>
      <c r="X450" s="13" t="str">
        <f t="shared" si="78"/>
        <v>CUMPLE</v>
      </c>
      <c r="Y450" s="13">
        <f>MAX(MAX(1.4/[1]Parametros!$B$3,0.25*SQRT([1]Parametros!$B$2)/[1]Parametros!$B$3)*H450*AB450,(0.85*[1]Parametros!$B$2/[1]Parametros!$B$3)*(1-SQRT(1-2*(L450*1000000/([1]Parametros!$B$5*H450*AB450^2))/(0.85*[1]Parametros!$B$2)))*H450*AB450)</f>
        <v>815.58333333333326</v>
      </c>
      <c r="Z450" s="14">
        <v>5</v>
      </c>
      <c r="AA450" s="14">
        <v>1</v>
      </c>
      <c r="AB450" s="13">
        <f>IF(AA450=1,I450-([1]Parametros!$B$7+[1]Parametros!$B$9+[1]Parametros!$B$12/2),I450-(ROUNDUP(Z450/2,0)*([1]Parametros!$B$7+[1]Parametros!$B$9+[1]Parametros!$B$12/2)+ROUNDDOWN(Z450/2,0)*([1]Parametros!$B$7+[1]Parametros!$B$9+[1]Parametros!$B$12/2+[1]Parametros!$B$12+[1]Parametros!$B$10))/Z450)</f>
        <v>489.35</v>
      </c>
      <c r="AC450" s="13">
        <f>Z450*[1]Parametros!$B$8</f>
        <v>995</v>
      </c>
      <c r="AD450" s="13">
        <f>[1]Parametros!$B$5*AC450*[1]Parametros!$B$3*(AB450-(AC450*[1]Parametros!$B$3/(0.85*[1]Parametros!$B$2*H450))/2)/1000000</f>
        <v>177.44537938235294</v>
      </c>
      <c r="AE450" s="13" t="str">
        <f t="shared" si="79"/>
        <v>CUMPLE</v>
      </c>
      <c r="AF450" s="13">
        <f>V450*1.25*[1]Parametros!$B$3*(U450-(V450*1.25*[1]Parametros!$B$3/(0.85*[1]Parametros!$B$2*H450))/2)/1000000</f>
        <v>244.15884319852941</v>
      </c>
      <c r="AG450" s="13">
        <f>AC450*1.25*[1]Parametros!$B$3*(AB450-(AC450*1.25*[1]Parametros!$B$3/(0.85*[1]Parametros!$B$2*H450))/2)/1000000</f>
        <v>244.15884319852941</v>
      </c>
      <c r="AH450" s="13">
        <f t="shared" si="80"/>
        <v>340.96984319852942</v>
      </c>
      <c r="AI450" s="13">
        <f t="shared" si="81"/>
        <v>340.96984319852942</v>
      </c>
      <c r="AJ450" s="13">
        <f>0.17*SQRT([1]Parametros!$B$2)*H450*MIN(U450,AB450)/1000</f>
        <v>220.09872869180776</v>
      </c>
      <c r="AK450" s="13">
        <f>MAX(AI450/[1]Parametros!$B$6-AJ450,0)</f>
        <v>234.52772890623146</v>
      </c>
      <c r="AL450" s="13">
        <f>0.66*SQRT([1]Parametros!$B$2)*H450*MIN(U450,AB450)/1000</f>
        <v>854.500946685842</v>
      </c>
      <c r="AM450" s="13" t="str">
        <f t="shared" si="82"/>
        <v>CUMPLE</v>
      </c>
      <c r="AN450" s="13" t="s">
        <v>64</v>
      </c>
      <c r="AO450" s="14">
        <v>2</v>
      </c>
      <c r="AP450" s="13">
        <f>ROUNDDOWN(MIN(IF(BC450+BD450=0,1000000000,AO450*BB450/(BC450+BD450)),MIN(U450,AB450)/4,8*[1]Parametros!$B$12,24*BA450,300,IF(AV450=0,1000000000,2*((H450-2*([1]Parametros!$B$7+[1]Parametros!$B$9/2))+(I450-2*([1]Parametros!$B$7+[1]Parametros!$B$9/2)))/8))/10,0)*10</f>
        <v>120</v>
      </c>
      <c r="AQ450" s="13">
        <f>ROUNDDOWN(MIN(IF(BC450+BD450=0,1000000000,AO450*BB450/(BC450+BD450)),IF(AK450&gt;0.33*SQRT([1]Parametros!$B$2)*H450*MIN(U450,AB450)/1000,MIN(U450,AB450)/4,MIN(U450,AB450)/2),600,IF(AV450=0,1000000000,2*((H450-2*([1]Parametros!$B$7+[1]Parametros!$B$9/2))+(I450-2*([1]Parametros!$B$7+[1]Parametros!$B$9/2)))/8))/10,0)*10</f>
        <v>120</v>
      </c>
      <c r="AR450" s="13">
        <f>[1]Parametros!$B$6*(AJ450+MAX(BE450-BD450,0)*[1]Parametros!$B$4*MIN(U450,AB450)/1000)</f>
        <v>347.47925901885583</v>
      </c>
      <c r="AS450" s="13" t="str">
        <f t="shared" si="83"/>
        <v>CUMPLE</v>
      </c>
      <c r="AT450" s="13">
        <f>[1]Parametros!$B$6*0.083*SQRT([1]Parametros!$B$2)*(H450*I450)^2/(2*(H450+I450))/1000000</f>
        <v>11.862178757598967</v>
      </c>
      <c r="AU450" s="13" t="str">
        <f t="shared" si="84"/>
        <v>DESPRECIABLE</v>
      </c>
      <c r="AV450" s="13">
        <f>IF(Q450&lt;=AT450,0,Q450*1000000/([1]Parametros!$B$6*2*0.85*(H450-2*([1]Parametros!$B$7+[1]Parametros!$B$9/2))*(I450-2*([1]Parametros!$B$7+[1]Parametros!$B$9/2))*[1]Parametros!$B$4))</f>
        <v>0</v>
      </c>
      <c r="AW450" s="13">
        <f>AV450*2*((H450-2*([1]Parametros!$B$7+[1]Parametros!$B$9/2))+(I450-2*([1]Parametros!$B$7+[1]Parametros!$B$9/2)))*[1]Parametros!$B$4/[1]Parametros!$B$3</f>
        <v>0</v>
      </c>
      <c r="AX450" s="14">
        <v>0</v>
      </c>
      <c r="AY450" s="13" t="str">
        <f t="shared" si="85"/>
        <v>DESPRECIABLE</v>
      </c>
      <c r="AZ450" s="13" t="str">
        <f t="shared" si="86"/>
        <v>CUMPLE</v>
      </c>
      <c r="BA450" s="14">
        <v>9.5</v>
      </c>
      <c r="BB450" s="14">
        <v>71</v>
      </c>
      <c r="BC450" s="13">
        <f>MAX(IF(AK450=0,0,AK450*1000/([1]Parametros!$B$4*MIN(U450,AB450))),MAX(0.062*SQRT([1]Parametros!$B$2)*H450/[1]Parametros!$B$4,0.35*H450/[1]Parametros!$B$4))</f>
        <v>1.141104229158366</v>
      </c>
      <c r="BD450" s="13">
        <f t="shared" si="87"/>
        <v>0</v>
      </c>
      <c r="BE450" s="13">
        <f t="shared" si="88"/>
        <v>1.1833333333333333</v>
      </c>
      <c r="BF450" s="13">
        <f>SQRT((AI450*1000/(H450*MIN(U450,AB450)))^2+(Q450*1000000*2*((H450-2*([1]Parametros!$B$7+[1]Parametros!$B$9/2))+(I450-2*([1]Parametros!$B$7+[1]Parametros!$B$9/2)))/(1.7*((H450-2*([1]Parametros!$B$7+[1]Parametros!$B$9/2))*(I450-2*([1]Parametros!$B$7+[1]Parametros!$B$9/2)))^2))^2)</f>
        <v>1.3985874584572058</v>
      </c>
      <c r="BG450" s="13">
        <f>[1]Parametros!$B$6*(AJ450*1000/(H450*MIN(U450,AB450))+0.66*SQRT([1]Parametros!$B$2))</f>
        <v>3.2939603822754151</v>
      </c>
      <c r="BH450" s="13" t="str">
        <f t="shared" si="89"/>
        <v>CUMPLE</v>
      </c>
      <c r="BI450" s="13">
        <f>AX450*[1]Parametros!$B$8</f>
        <v>0</v>
      </c>
      <c r="BJ450" s="15" t="str">
        <f t="shared" si="90"/>
        <v>CUMPLE</v>
      </c>
    </row>
    <row r="451" spans="1:62" x14ac:dyDescent="0.3">
      <c r="A451" s="33" t="s">
        <v>76</v>
      </c>
      <c r="B451" s="34">
        <v>886</v>
      </c>
      <c r="C451" s="13">
        <v>1</v>
      </c>
      <c r="D451" s="13">
        <v>3.05308</v>
      </c>
      <c r="E451" s="13">
        <v>3.05308</v>
      </c>
      <c r="F451" s="13">
        <v>500</v>
      </c>
      <c r="G451" s="13">
        <v>550</v>
      </c>
      <c r="H451" s="13">
        <v>500</v>
      </c>
      <c r="I451" s="13">
        <v>550</v>
      </c>
      <c r="J451" s="14">
        <v>125.2016</v>
      </c>
      <c r="K451" s="13">
        <v>886</v>
      </c>
      <c r="L451" s="14">
        <v>63.752800000000001</v>
      </c>
      <c r="M451" s="13">
        <v>886</v>
      </c>
      <c r="N451" s="14">
        <v>109.95099999999999</v>
      </c>
      <c r="O451" s="14">
        <v>260.59399999999999</v>
      </c>
      <c r="P451" s="13">
        <v>886</v>
      </c>
      <c r="Q451" s="14">
        <v>31.8873</v>
      </c>
      <c r="R451" s="13">
        <f>MAX(MAX(1.4/[1]Parametros!$B$3,0.25*SQRT([1]Parametros!$B$2)/[1]Parametros!$B$3)*H451*U451,(0.85*[1]Parametros!$B$2/[1]Parametros!$B$3)*(1-SQRT(1-2*(J451*1000000/([1]Parametros!$B$5*H451*U451^2))/(0.85*[1]Parametros!$B$2)))*H451*U451)</f>
        <v>815.58333333333326</v>
      </c>
      <c r="S451" s="14">
        <v>5</v>
      </c>
      <c r="T451" s="14">
        <v>1</v>
      </c>
      <c r="U451" s="13">
        <f>IF(T451=1,I451-([1]Parametros!$B$7+[1]Parametros!$B$9+[1]Parametros!$B$12/2),I451-(ROUNDUP(S451/2,0)*([1]Parametros!$B$7+[1]Parametros!$B$9+[1]Parametros!$B$12/2)+ROUNDDOWN(S451/2,0)*([1]Parametros!$B$7+[1]Parametros!$B$9+[1]Parametros!$B$12/2+[1]Parametros!$B$12+[1]Parametros!$B$10))/S451)</f>
        <v>489.35</v>
      </c>
      <c r="V451" s="13">
        <f>S451*[1]Parametros!$B$8</f>
        <v>995</v>
      </c>
      <c r="W451" s="13">
        <f>[1]Parametros!$B$5*V451*[1]Parametros!$B$3*(U451-(V451*[1]Parametros!$B$3/(0.85*[1]Parametros!$B$2*H451))/2)/1000000</f>
        <v>177.44537938235294</v>
      </c>
      <c r="X451" s="13" t="str">
        <f t="shared" si="78"/>
        <v>CUMPLE</v>
      </c>
      <c r="Y451" s="13">
        <f>MAX(MAX(1.4/[1]Parametros!$B$3,0.25*SQRT([1]Parametros!$B$2)/[1]Parametros!$B$3)*H451*AB451,(0.85*[1]Parametros!$B$2/[1]Parametros!$B$3)*(1-SQRT(1-2*(L451*1000000/([1]Parametros!$B$5*H451*AB451^2))/(0.85*[1]Parametros!$B$2)))*H451*AB451)</f>
        <v>815.58333333333326</v>
      </c>
      <c r="Z451" s="14">
        <v>5</v>
      </c>
      <c r="AA451" s="14">
        <v>1</v>
      </c>
      <c r="AB451" s="13">
        <f>IF(AA451=1,I451-([1]Parametros!$B$7+[1]Parametros!$B$9+[1]Parametros!$B$12/2),I451-(ROUNDUP(Z451/2,0)*([1]Parametros!$B$7+[1]Parametros!$B$9+[1]Parametros!$B$12/2)+ROUNDDOWN(Z451/2,0)*([1]Parametros!$B$7+[1]Parametros!$B$9+[1]Parametros!$B$12/2+[1]Parametros!$B$12+[1]Parametros!$B$10))/Z451)</f>
        <v>489.35</v>
      </c>
      <c r="AC451" s="13">
        <f>Z451*[1]Parametros!$B$8</f>
        <v>995</v>
      </c>
      <c r="AD451" s="13">
        <f>[1]Parametros!$B$5*AC451*[1]Parametros!$B$3*(AB451-(AC451*[1]Parametros!$B$3/(0.85*[1]Parametros!$B$2*H451))/2)/1000000</f>
        <v>177.44537938235294</v>
      </c>
      <c r="AE451" s="13" t="str">
        <f t="shared" si="79"/>
        <v>CUMPLE</v>
      </c>
      <c r="AF451" s="13">
        <f>V451*1.25*[1]Parametros!$B$3*(U451-(V451*1.25*[1]Parametros!$B$3/(0.85*[1]Parametros!$B$2*H451))/2)/1000000</f>
        <v>244.15884319852941</v>
      </c>
      <c r="AG451" s="13">
        <f>AC451*1.25*[1]Parametros!$B$3*(AB451-(AC451*1.25*[1]Parametros!$B$3/(0.85*[1]Parametros!$B$2*H451))/2)/1000000</f>
        <v>244.15884319852941</v>
      </c>
      <c r="AH451" s="13">
        <f t="shared" si="80"/>
        <v>269.89364362449032</v>
      </c>
      <c r="AI451" s="13">
        <f t="shared" si="81"/>
        <v>269.89364362449032</v>
      </c>
      <c r="AJ451" s="13">
        <f>0.17*SQRT([1]Parametros!$B$2)*H451*MIN(U451,AB451)/1000</f>
        <v>220.09872869180776</v>
      </c>
      <c r="AK451" s="13">
        <f>MAX(AI451/[1]Parametros!$B$6-AJ451,0)</f>
        <v>139.75946280751265</v>
      </c>
      <c r="AL451" s="13">
        <f>0.66*SQRT([1]Parametros!$B$2)*H451*MIN(U451,AB451)/1000</f>
        <v>854.500946685842</v>
      </c>
      <c r="AM451" s="13" t="str">
        <f t="shared" si="82"/>
        <v>CUMPLE</v>
      </c>
      <c r="AN451" s="13" t="s">
        <v>64</v>
      </c>
      <c r="AO451" s="14">
        <v>2</v>
      </c>
      <c r="AP451" s="13">
        <f>ROUNDDOWN(MIN(IF(BC451+BD451=0,1000000000,AO451*BB451/(BC451+BD451)),MIN(U451,AB451)/4,8*[1]Parametros!$B$12,24*BA451,300,IF(AV451=0,1000000000,2*((H451-2*([1]Parametros!$B$7+[1]Parametros!$B$9/2))+(I451-2*([1]Parametros!$B$7+[1]Parametros!$B$9/2)))/8))/10,0)*10</f>
        <v>100</v>
      </c>
      <c r="AQ451" s="13">
        <f>ROUNDDOWN(MIN(IF(BC451+BD451=0,1000000000,AO451*BB451/(BC451+BD451)),IF(AK451&gt;0.33*SQRT([1]Parametros!$B$2)*H451*MIN(U451,AB451)/1000,MIN(U451,AB451)/4,MIN(U451,AB451)/2),600,IF(AV451=0,1000000000,2*((H451-2*([1]Parametros!$B$7+[1]Parametros!$B$9/2))+(I451-2*([1]Parametros!$B$7+[1]Parametros!$B$9/2)))/8))/10,0)*10</f>
        <v>100</v>
      </c>
      <c r="AR451" s="13">
        <f>[1]Parametros!$B$6*(AJ451+MAX(BE451-BD451,0)*[1]Parametros!$B$4*MIN(U451,AB451)/1000)</f>
        <v>285.3998230437611</v>
      </c>
      <c r="AS451" s="13" t="str">
        <f t="shared" si="83"/>
        <v>CUMPLE</v>
      </c>
      <c r="AT451" s="13">
        <f>[1]Parametros!$B$6*0.083*SQRT([1]Parametros!$B$2)*(H451*I451)^2/(2*(H451+I451))/1000000</f>
        <v>11.862178757598967</v>
      </c>
      <c r="AU451" s="13" t="str">
        <f t="shared" si="84"/>
        <v>DISEÑAR</v>
      </c>
      <c r="AV451" s="13">
        <f>IF(Q451&lt;=AT451,0,Q451*1000000/([1]Parametros!$B$6*2*0.85*(H451-2*([1]Parametros!$B$7+[1]Parametros!$B$9/2))*(I451-2*([1]Parametros!$B$7+[1]Parametros!$B$9/2))*[1]Parametros!$B$4))</f>
        <v>0.31970001824608502</v>
      </c>
      <c r="AW451" s="13">
        <f>AV451*2*((H451-2*([1]Parametros!$B$7+[1]Parametros!$B$9/2))+(I451-2*([1]Parametros!$B$7+[1]Parametros!$B$9/2)))*[1]Parametros!$B$4/[1]Parametros!$B$3</f>
        <v>552.82527155113019</v>
      </c>
      <c r="AX451" s="14">
        <v>8</v>
      </c>
      <c r="AY451" s="13" t="str">
        <f t="shared" si="85"/>
        <v>CUMPLE</v>
      </c>
      <c r="AZ451" s="13" t="str">
        <f t="shared" si="86"/>
        <v>CUMPLE</v>
      </c>
      <c r="BA451" s="14">
        <v>9.5</v>
      </c>
      <c r="BB451" s="14">
        <v>71</v>
      </c>
      <c r="BC451" s="13">
        <f>MAX(IF(AK451=0,0,AK451*1000/([1]Parametros!$B$4*MIN(U451,AB451))),MAX(0.062*SQRT([1]Parametros!$B$2)*H451/[1]Parametros!$B$4,0.35*H451/[1]Parametros!$B$4))</f>
        <v>0.68000536575492587</v>
      </c>
      <c r="BD451" s="13">
        <f t="shared" si="87"/>
        <v>0.63940003649217003</v>
      </c>
      <c r="BE451" s="13">
        <f t="shared" si="88"/>
        <v>1.42</v>
      </c>
      <c r="BF451" s="13">
        <f>SQRT((AI451*1000/(H451*MIN(U451,AB451)))^2+(Q451*1000000*2*((H451-2*([1]Parametros!$B$7+[1]Parametros!$B$9/2))+(I451-2*([1]Parametros!$B$7+[1]Parametros!$B$9/2)))/(1.7*((H451-2*([1]Parametros!$B$7+[1]Parametros!$B$9/2))*(I451-2*([1]Parametros!$B$7+[1]Parametros!$B$9/2)))^2))^2)</f>
        <v>1.4459849533403959</v>
      </c>
      <c r="BG451" s="13">
        <f>[1]Parametros!$B$6*(AJ451*1000/(H451*MIN(U451,AB451))+0.66*SQRT([1]Parametros!$B$2))</f>
        <v>3.2939603822754151</v>
      </c>
      <c r="BH451" s="13" t="str">
        <f t="shared" si="89"/>
        <v>CUMPLE</v>
      </c>
      <c r="BI451" s="13">
        <f>AX451*[1]Parametros!$B$8</f>
        <v>1592</v>
      </c>
      <c r="BJ451" s="15" t="str">
        <f t="shared" si="90"/>
        <v>CUMPLE</v>
      </c>
    </row>
    <row r="452" spans="1:62" x14ac:dyDescent="0.3">
      <c r="A452" s="33" t="s">
        <v>76</v>
      </c>
      <c r="B452" s="34">
        <v>887</v>
      </c>
      <c r="C452" s="13">
        <v>1</v>
      </c>
      <c r="D452" s="13">
        <v>2</v>
      </c>
      <c r="E452" s="13">
        <v>2</v>
      </c>
      <c r="F452" s="13">
        <v>500</v>
      </c>
      <c r="G452" s="13">
        <v>550</v>
      </c>
      <c r="H452" s="13">
        <v>500</v>
      </c>
      <c r="I452" s="13">
        <v>550</v>
      </c>
      <c r="J452" s="14">
        <v>100.8942</v>
      </c>
      <c r="K452" s="13">
        <v>887</v>
      </c>
      <c r="L452" s="14">
        <v>54.427500000000002</v>
      </c>
      <c r="M452" s="13">
        <v>887</v>
      </c>
      <c r="N452" s="14">
        <v>105.65600000000001</v>
      </c>
      <c r="O452" s="14">
        <v>324.517</v>
      </c>
      <c r="P452" s="13">
        <v>887</v>
      </c>
      <c r="Q452" s="14">
        <v>26.212900000000001</v>
      </c>
      <c r="R452" s="13">
        <f>MAX(MAX(1.4/[1]Parametros!$B$3,0.25*SQRT([1]Parametros!$B$2)/[1]Parametros!$B$3)*H452*U452,(0.85*[1]Parametros!$B$2/[1]Parametros!$B$3)*(1-SQRT(1-2*(J452*1000000/([1]Parametros!$B$5*H452*U452^2))/(0.85*[1]Parametros!$B$2)))*H452*U452)</f>
        <v>815.58333333333326</v>
      </c>
      <c r="S452" s="14">
        <v>5</v>
      </c>
      <c r="T452" s="14">
        <v>1</v>
      </c>
      <c r="U452" s="13">
        <f>IF(T452=1,I452-([1]Parametros!$B$7+[1]Parametros!$B$9+[1]Parametros!$B$12/2),I452-(ROUNDUP(S452/2,0)*([1]Parametros!$B$7+[1]Parametros!$B$9+[1]Parametros!$B$12/2)+ROUNDDOWN(S452/2,0)*([1]Parametros!$B$7+[1]Parametros!$B$9+[1]Parametros!$B$12/2+[1]Parametros!$B$12+[1]Parametros!$B$10))/S452)</f>
        <v>489.35</v>
      </c>
      <c r="V452" s="13">
        <f>S452*[1]Parametros!$B$8</f>
        <v>995</v>
      </c>
      <c r="W452" s="13">
        <f>[1]Parametros!$B$5*V452*[1]Parametros!$B$3*(U452-(V452*[1]Parametros!$B$3/(0.85*[1]Parametros!$B$2*H452))/2)/1000000</f>
        <v>177.44537938235294</v>
      </c>
      <c r="X452" s="13" t="str">
        <f t="shared" ref="X452:X515" si="91">IF(W452&gt;=J452,"CUMPLE","NO CUMPLE")</f>
        <v>CUMPLE</v>
      </c>
      <c r="Y452" s="13">
        <f>MAX(MAX(1.4/[1]Parametros!$B$3,0.25*SQRT([1]Parametros!$B$2)/[1]Parametros!$B$3)*H452*AB452,(0.85*[1]Parametros!$B$2/[1]Parametros!$B$3)*(1-SQRT(1-2*(L452*1000000/([1]Parametros!$B$5*H452*AB452^2))/(0.85*[1]Parametros!$B$2)))*H452*AB452)</f>
        <v>815.58333333333326</v>
      </c>
      <c r="Z452" s="14">
        <v>5</v>
      </c>
      <c r="AA452" s="14">
        <v>1</v>
      </c>
      <c r="AB452" s="13">
        <f>IF(AA452=1,I452-([1]Parametros!$B$7+[1]Parametros!$B$9+[1]Parametros!$B$12/2),I452-(ROUNDUP(Z452/2,0)*([1]Parametros!$B$7+[1]Parametros!$B$9+[1]Parametros!$B$12/2)+ROUNDDOWN(Z452/2,0)*([1]Parametros!$B$7+[1]Parametros!$B$9+[1]Parametros!$B$12/2+[1]Parametros!$B$12+[1]Parametros!$B$10))/Z452)</f>
        <v>489.35</v>
      </c>
      <c r="AC452" s="13">
        <f>Z452*[1]Parametros!$B$8</f>
        <v>995</v>
      </c>
      <c r="AD452" s="13">
        <f>[1]Parametros!$B$5*AC452*[1]Parametros!$B$3*(AB452-(AC452*[1]Parametros!$B$3/(0.85*[1]Parametros!$B$2*H452))/2)/1000000</f>
        <v>177.44537938235294</v>
      </c>
      <c r="AE452" s="13" t="str">
        <f t="shared" ref="AE452:AE515" si="92">IF(AD452&gt;=L452,"CUMPLE","NO CUMPLE")</f>
        <v>CUMPLE</v>
      </c>
      <c r="AF452" s="13">
        <f>V452*1.25*[1]Parametros!$B$3*(U452-(V452*1.25*[1]Parametros!$B$3/(0.85*[1]Parametros!$B$2*H452))/2)/1000000</f>
        <v>244.15884319852941</v>
      </c>
      <c r="AG452" s="13">
        <f>AC452*1.25*[1]Parametros!$B$3*(AB452-(AC452*1.25*[1]Parametros!$B$3/(0.85*[1]Parametros!$B$2*H452))/2)/1000000</f>
        <v>244.15884319852941</v>
      </c>
      <c r="AH452" s="13">
        <f t="shared" ref="AH452:AH515" si="93">N452+(AF452+AG452)/D452</f>
        <v>349.81484319852939</v>
      </c>
      <c r="AI452" s="13">
        <f t="shared" ref="AI452:AI515" si="94">MAX(O452,AH452)</f>
        <v>349.81484319852939</v>
      </c>
      <c r="AJ452" s="13">
        <f>0.17*SQRT([1]Parametros!$B$2)*H452*MIN(U452,AB452)/1000</f>
        <v>220.09872869180776</v>
      </c>
      <c r="AK452" s="13">
        <f>MAX(AI452/[1]Parametros!$B$6-AJ452,0)</f>
        <v>246.32106223956475</v>
      </c>
      <c r="AL452" s="13">
        <f>0.66*SQRT([1]Parametros!$B$2)*H452*MIN(U452,AB452)/1000</f>
        <v>854.500946685842</v>
      </c>
      <c r="AM452" s="13" t="str">
        <f t="shared" ref="AM452:AM515" si="95">IF(AK452&lt;=AL452,"CUMPLE","NO CUMPLE")</f>
        <v>CUMPLE</v>
      </c>
      <c r="AN452" s="13" t="s">
        <v>64</v>
      </c>
      <c r="AO452" s="14">
        <v>2</v>
      </c>
      <c r="AP452" s="13">
        <f>ROUNDDOWN(MIN(IF(BC452+BD452=0,1000000000,AO452*BB452/(BC452+BD452)),MIN(U452,AB452)/4,8*[1]Parametros!$B$12,24*BA452,300,IF(AV452=0,1000000000,2*((H452-2*([1]Parametros!$B$7+[1]Parametros!$B$9/2))+(I452-2*([1]Parametros!$B$7+[1]Parametros!$B$9/2)))/8))/10,0)*10</f>
        <v>80</v>
      </c>
      <c r="AQ452" s="13">
        <f>ROUNDDOWN(MIN(IF(BC452+BD452=0,1000000000,AO452*BB452/(BC452+BD452)),IF(AK452&gt;0.33*SQRT([1]Parametros!$B$2)*H452*MIN(U452,AB452)/1000,MIN(U452,AB452)/4,MIN(U452,AB452)/2),600,IF(AV452=0,1000000000,2*((H452-2*([1]Parametros!$B$7+[1]Parametros!$B$9/2))+(I452-2*([1]Parametros!$B$7+[1]Parametros!$B$9/2)))/8))/10,0)*10</f>
        <v>80</v>
      </c>
      <c r="AR452" s="13">
        <f>[1]Parametros!$B$6*(AJ452+MAX(BE452-BD452,0)*[1]Parametros!$B$4*MIN(U452,AB452)/1000)</f>
        <v>357.66039382976226</v>
      </c>
      <c r="AS452" s="13" t="str">
        <f t="shared" ref="AS452:AS515" si="96">IF(AND(ISERROR(SEARCH("referencia",AN452)),AM452="CUMPLE",AR452&gt;=AI452),"CUMPLE","NO CUMPLE")</f>
        <v>CUMPLE</v>
      </c>
      <c r="AT452" s="13">
        <f>[1]Parametros!$B$6*0.083*SQRT([1]Parametros!$B$2)*(H452*I452)^2/(2*(H452+I452))/1000000</f>
        <v>11.862178757598967</v>
      </c>
      <c r="AU452" s="13" t="str">
        <f t="shared" ref="AU452:AU515" si="97">IF(Q452&lt;=AT452,"DESPRECIABLE","DISEÑAR")</f>
        <v>DISEÑAR</v>
      </c>
      <c r="AV452" s="13">
        <f>IF(Q452&lt;=AT452,0,Q452*1000000/([1]Parametros!$B$6*2*0.85*(H452-2*([1]Parametros!$B$7+[1]Parametros!$B$9/2))*(I452-2*([1]Parametros!$B$7+[1]Parametros!$B$9/2))*[1]Parametros!$B$4))</f>
        <v>0.26280884892364048</v>
      </c>
      <c r="AW452" s="13">
        <f>AV452*2*((H452-2*([1]Parametros!$B$7+[1]Parametros!$B$9/2))+(I452-2*([1]Parametros!$B$7+[1]Parametros!$B$9/2)))*[1]Parametros!$B$4/[1]Parametros!$B$3</f>
        <v>454.44906155875913</v>
      </c>
      <c r="AX452" s="14">
        <v>8</v>
      </c>
      <c r="AY452" s="13" t="str">
        <f t="shared" ref="AY452:AY515" si="98">IF(AV452=0,"DESPRECIABLE",IF(AND(ISERROR(SEARCH("referencia",AN452)),BB452/AP452&gt;=AV452,BI452&gt;=AW452,BH452="CUMPLE"),"CUMPLE","NO CUMPLE"))</f>
        <v>CUMPLE</v>
      </c>
      <c r="AZ452" s="13" t="str">
        <f t="shared" ref="AZ452:AZ515" si="99">IF(AND(X452="CUMPLE",AE452="CUMPLE",AS452="CUMPLE",OR(AY452="CUMPLE",AY452="DESPRECIABLE"),BH452="CUMPLE",BJ452="CUMPLE"),"CUMPLE","NO CUMPLE")</f>
        <v>CUMPLE</v>
      </c>
      <c r="BA452" s="14">
        <v>9.5</v>
      </c>
      <c r="BB452" s="14">
        <v>71</v>
      </c>
      <c r="BC452" s="13">
        <f>MAX(IF(AK452=0,0,AK452*1000/([1]Parametros!$B$4*MIN(U452,AB452))),MAX(0.062*SQRT([1]Parametros!$B$2)*H452/[1]Parametros!$B$4,0.35*H452/[1]Parametros!$B$4))</f>
        <v>1.1984851734300834</v>
      </c>
      <c r="BD452" s="13">
        <f t="shared" ref="BD452:BD515" si="100">2*AV452</f>
        <v>0.52561769784728096</v>
      </c>
      <c r="BE452" s="13">
        <f t="shared" ref="BE452:BE515" si="101">AO452*BB452/AP452</f>
        <v>1.7749999999999999</v>
      </c>
      <c r="BF452" s="13">
        <f>SQRT((AI452*1000/(H452*MIN(U452,AB452)))^2+(Q452*1000000*2*((H452-2*([1]Parametros!$B$7+[1]Parametros!$B$9/2))+(I452-2*([1]Parametros!$B$7+[1]Parametros!$B$9/2)))/(1.7*((H452-2*([1]Parametros!$B$7+[1]Parametros!$B$9/2))*(I452-2*([1]Parametros!$B$7+[1]Parametros!$B$9/2)))^2))^2)</f>
        <v>1.623196856548641</v>
      </c>
      <c r="BG452" s="13">
        <f>[1]Parametros!$B$6*(AJ452*1000/(H452*MIN(U452,AB452))+0.66*SQRT([1]Parametros!$B$2))</f>
        <v>3.2939603822754151</v>
      </c>
      <c r="BH452" s="13" t="str">
        <f t="shared" ref="BH452:BH515" si="102">IF(BF452&lt;=BG452,"CUMPLE","NO CUMPLE")</f>
        <v>CUMPLE</v>
      </c>
      <c r="BI452" s="13">
        <f>AX452*[1]Parametros!$B$8</f>
        <v>1592</v>
      </c>
      <c r="BJ452" s="15" t="str">
        <f t="shared" ref="BJ452:BJ515" si="103">IF(BI452&gt;=AW452,"CUMPLE","NO CUMPLE")</f>
        <v>CUMPLE</v>
      </c>
    </row>
    <row r="453" spans="1:62" x14ac:dyDescent="0.3">
      <c r="A453" s="33" t="s">
        <v>76</v>
      </c>
      <c r="B453" s="34">
        <v>888</v>
      </c>
      <c r="C453" s="13">
        <v>1</v>
      </c>
      <c r="D453" s="13">
        <v>1.9</v>
      </c>
      <c r="E453" s="13">
        <v>1.9</v>
      </c>
      <c r="F453" s="13">
        <v>500</v>
      </c>
      <c r="G453" s="13">
        <v>550</v>
      </c>
      <c r="H453" s="13">
        <v>500</v>
      </c>
      <c r="I453" s="13">
        <v>550</v>
      </c>
      <c r="J453" s="14">
        <v>93.393500000000003</v>
      </c>
      <c r="K453" s="13">
        <v>888</v>
      </c>
      <c r="L453" s="14">
        <v>56.708599999999997</v>
      </c>
      <c r="M453" s="13">
        <v>888</v>
      </c>
      <c r="N453" s="14">
        <v>96.28</v>
      </c>
      <c r="O453" s="14">
        <v>273.68099999999998</v>
      </c>
      <c r="P453" s="13">
        <v>888</v>
      </c>
      <c r="Q453" s="14">
        <v>10.9131</v>
      </c>
      <c r="R453" s="13">
        <f>MAX(MAX(1.4/[1]Parametros!$B$3,0.25*SQRT([1]Parametros!$B$2)/[1]Parametros!$B$3)*H453*U453,(0.85*[1]Parametros!$B$2/[1]Parametros!$B$3)*(1-SQRT(1-2*(J453*1000000/([1]Parametros!$B$5*H453*U453^2))/(0.85*[1]Parametros!$B$2)))*H453*U453)</f>
        <v>815.58333333333326</v>
      </c>
      <c r="S453" s="14">
        <v>5</v>
      </c>
      <c r="T453" s="14">
        <v>1</v>
      </c>
      <c r="U453" s="13">
        <f>IF(T453=1,I453-([1]Parametros!$B$7+[1]Parametros!$B$9+[1]Parametros!$B$12/2),I453-(ROUNDUP(S453/2,0)*([1]Parametros!$B$7+[1]Parametros!$B$9+[1]Parametros!$B$12/2)+ROUNDDOWN(S453/2,0)*([1]Parametros!$B$7+[1]Parametros!$B$9+[1]Parametros!$B$12/2+[1]Parametros!$B$12+[1]Parametros!$B$10))/S453)</f>
        <v>489.35</v>
      </c>
      <c r="V453" s="13">
        <f>S453*[1]Parametros!$B$8</f>
        <v>995</v>
      </c>
      <c r="W453" s="13">
        <f>[1]Parametros!$B$5*V453*[1]Parametros!$B$3*(U453-(V453*[1]Parametros!$B$3/(0.85*[1]Parametros!$B$2*H453))/2)/1000000</f>
        <v>177.44537938235294</v>
      </c>
      <c r="X453" s="13" t="str">
        <f t="shared" si="91"/>
        <v>CUMPLE</v>
      </c>
      <c r="Y453" s="13">
        <f>MAX(MAX(1.4/[1]Parametros!$B$3,0.25*SQRT([1]Parametros!$B$2)/[1]Parametros!$B$3)*H453*AB453,(0.85*[1]Parametros!$B$2/[1]Parametros!$B$3)*(1-SQRT(1-2*(L453*1000000/([1]Parametros!$B$5*H453*AB453^2))/(0.85*[1]Parametros!$B$2)))*H453*AB453)</f>
        <v>815.58333333333326</v>
      </c>
      <c r="Z453" s="14">
        <v>5</v>
      </c>
      <c r="AA453" s="14">
        <v>1</v>
      </c>
      <c r="AB453" s="13">
        <f>IF(AA453=1,I453-([1]Parametros!$B$7+[1]Parametros!$B$9+[1]Parametros!$B$12/2),I453-(ROUNDUP(Z453/2,0)*([1]Parametros!$B$7+[1]Parametros!$B$9+[1]Parametros!$B$12/2)+ROUNDDOWN(Z453/2,0)*([1]Parametros!$B$7+[1]Parametros!$B$9+[1]Parametros!$B$12/2+[1]Parametros!$B$12+[1]Parametros!$B$10))/Z453)</f>
        <v>489.35</v>
      </c>
      <c r="AC453" s="13">
        <f>Z453*[1]Parametros!$B$8</f>
        <v>995</v>
      </c>
      <c r="AD453" s="13">
        <f>[1]Parametros!$B$5*AC453*[1]Parametros!$B$3*(AB453-(AC453*[1]Parametros!$B$3/(0.85*[1]Parametros!$B$2*H453))/2)/1000000</f>
        <v>177.44537938235294</v>
      </c>
      <c r="AE453" s="13" t="str">
        <f t="shared" si="92"/>
        <v>CUMPLE</v>
      </c>
      <c r="AF453" s="13">
        <f>V453*1.25*[1]Parametros!$B$3*(U453-(V453*1.25*[1]Parametros!$B$3/(0.85*[1]Parametros!$B$2*H453))/2)/1000000</f>
        <v>244.15884319852941</v>
      </c>
      <c r="AG453" s="13">
        <f>AC453*1.25*[1]Parametros!$B$3*(AB453-(AC453*1.25*[1]Parametros!$B$3/(0.85*[1]Parametros!$B$2*H453))/2)/1000000</f>
        <v>244.15884319852941</v>
      </c>
      <c r="AH453" s="13">
        <f t="shared" si="93"/>
        <v>353.28930863003097</v>
      </c>
      <c r="AI453" s="13">
        <f t="shared" si="94"/>
        <v>353.28930863003097</v>
      </c>
      <c r="AJ453" s="13">
        <f>0.17*SQRT([1]Parametros!$B$2)*H453*MIN(U453,AB453)/1000</f>
        <v>220.09872869180776</v>
      </c>
      <c r="AK453" s="13">
        <f>MAX(AI453/[1]Parametros!$B$6-AJ453,0)</f>
        <v>250.95368281490022</v>
      </c>
      <c r="AL453" s="13">
        <f>0.66*SQRT([1]Parametros!$B$2)*H453*MIN(U453,AB453)/1000</f>
        <v>854.500946685842</v>
      </c>
      <c r="AM453" s="13" t="str">
        <f t="shared" si="95"/>
        <v>CUMPLE</v>
      </c>
      <c r="AN453" s="13" t="s">
        <v>64</v>
      </c>
      <c r="AO453" s="14">
        <v>2</v>
      </c>
      <c r="AP453" s="13">
        <f>ROUNDDOWN(MIN(IF(BC453+BD453=0,1000000000,AO453*BB453/(BC453+BD453)),MIN(U453,AB453)/4,8*[1]Parametros!$B$12,24*BA453,300,IF(AV453=0,1000000000,2*((H453-2*([1]Parametros!$B$7+[1]Parametros!$B$9/2))+(I453-2*([1]Parametros!$B$7+[1]Parametros!$B$9/2)))/8))/10,0)*10</f>
        <v>110</v>
      </c>
      <c r="AQ453" s="13">
        <f>ROUNDDOWN(MIN(IF(BC453+BD453=0,1000000000,AO453*BB453/(BC453+BD453)),IF(AK453&gt;0.33*SQRT([1]Parametros!$B$2)*H453*MIN(U453,AB453)/1000,MIN(U453,AB453)/4,MIN(U453,AB453)/2),600,IF(AV453=0,1000000000,2*((H453-2*([1]Parametros!$B$7+[1]Parametros!$B$9/2))+(I453-2*([1]Parametros!$B$7+[1]Parametros!$B$9/2)))/8))/10,0)*10</f>
        <v>110</v>
      </c>
      <c r="AR453" s="13">
        <f>[1]Parametros!$B$6*(AJ453+MAX(BE453-BD453,0)*[1]Parametros!$B$4*MIN(U453,AB453)/1000)</f>
        <v>364.06155106431038</v>
      </c>
      <c r="AS453" s="13" t="str">
        <f t="shared" si="96"/>
        <v>CUMPLE</v>
      </c>
      <c r="AT453" s="13">
        <f>[1]Parametros!$B$6*0.083*SQRT([1]Parametros!$B$2)*(H453*I453)^2/(2*(H453+I453))/1000000</f>
        <v>11.862178757598967</v>
      </c>
      <c r="AU453" s="13" t="str">
        <f t="shared" si="97"/>
        <v>DESPRECIABLE</v>
      </c>
      <c r="AV453" s="13">
        <f>IF(Q453&lt;=AT453,0,Q453*1000000/([1]Parametros!$B$6*2*0.85*(H453-2*([1]Parametros!$B$7+[1]Parametros!$B$9/2))*(I453-2*([1]Parametros!$B$7+[1]Parametros!$B$9/2))*[1]Parametros!$B$4))</f>
        <v>0</v>
      </c>
      <c r="AW453" s="13">
        <f>AV453*2*((H453-2*([1]Parametros!$B$7+[1]Parametros!$B$9/2))+(I453-2*([1]Parametros!$B$7+[1]Parametros!$B$9/2)))*[1]Parametros!$B$4/[1]Parametros!$B$3</f>
        <v>0</v>
      </c>
      <c r="AX453" s="14">
        <v>0</v>
      </c>
      <c r="AY453" s="13" t="str">
        <f t="shared" si="98"/>
        <v>DESPRECIABLE</v>
      </c>
      <c r="AZ453" s="13" t="str">
        <f t="shared" si="99"/>
        <v>CUMPLE</v>
      </c>
      <c r="BA453" s="14">
        <v>9.5</v>
      </c>
      <c r="BB453" s="14">
        <v>71</v>
      </c>
      <c r="BC453" s="13">
        <f>MAX(IF(AK453=0,0,AK453*1000/([1]Parametros!$B$4*MIN(U453,AB453))),MAX(0.062*SQRT([1]Parametros!$B$2)*H453/[1]Parametros!$B$4,0.35*H453/[1]Parametros!$B$4))</f>
        <v>1.2210253777601006</v>
      </c>
      <c r="BD453" s="13">
        <f t="shared" si="100"/>
        <v>0</v>
      </c>
      <c r="BE453" s="13">
        <f t="shared" si="101"/>
        <v>1.290909090909091</v>
      </c>
      <c r="BF453" s="13">
        <f>SQRT((AI453*1000/(H453*MIN(U453,AB453)))^2+(Q453*1000000*2*((H453-2*([1]Parametros!$B$7+[1]Parametros!$B$9/2))+(I453-2*([1]Parametros!$B$7+[1]Parametros!$B$9/2)))/(1.7*((H453-2*([1]Parametros!$B$7+[1]Parametros!$B$9/2))*(I453-2*([1]Parametros!$B$7+[1]Parametros!$B$9/2)))^2))^2)</f>
        <v>1.4789408989508768</v>
      </c>
      <c r="BG453" s="13">
        <f>[1]Parametros!$B$6*(AJ453*1000/(H453*MIN(U453,AB453))+0.66*SQRT([1]Parametros!$B$2))</f>
        <v>3.2939603822754151</v>
      </c>
      <c r="BH453" s="13" t="str">
        <f t="shared" si="102"/>
        <v>CUMPLE</v>
      </c>
      <c r="BI453" s="13">
        <f>AX453*[1]Parametros!$B$8</f>
        <v>0</v>
      </c>
      <c r="BJ453" s="15" t="str">
        <f t="shared" si="103"/>
        <v>CUMPLE</v>
      </c>
    </row>
    <row r="454" spans="1:62" x14ac:dyDescent="0.3">
      <c r="A454" s="33" t="s">
        <v>76</v>
      </c>
      <c r="B454" s="34">
        <v>889</v>
      </c>
      <c r="C454" s="13">
        <v>1</v>
      </c>
      <c r="D454" s="13">
        <v>3.57612</v>
      </c>
      <c r="E454" s="13">
        <v>3.57612</v>
      </c>
      <c r="F454" s="13">
        <v>500</v>
      </c>
      <c r="G454" s="13">
        <v>550</v>
      </c>
      <c r="H454" s="13">
        <v>500</v>
      </c>
      <c r="I454" s="13">
        <v>550</v>
      </c>
      <c r="J454" s="14">
        <v>120.0936</v>
      </c>
      <c r="K454" s="13">
        <v>889</v>
      </c>
      <c r="L454" s="14">
        <v>55.133499999999998</v>
      </c>
      <c r="M454" s="13">
        <v>889</v>
      </c>
      <c r="N454" s="14">
        <v>101.74</v>
      </c>
      <c r="O454" s="14">
        <v>245.78399999999999</v>
      </c>
      <c r="P454" s="13">
        <v>889</v>
      </c>
      <c r="Q454" s="14">
        <v>5.1764999999999999</v>
      </c>
      <c r="R454" s="13">
        <f>MAX(MAX(1.4/[1]Parametros!$B$3,0.25*SQRT([1]Parametros!$B$2)/[1]Parametros!$B$3)*H454*U454,(0.85*[1]Parametros!$B$2/[1]Parametros!$B$3)*(1-SQRT(1-2*(J454*1000000/([1]Parametros!$B$5*H454*U454^2))/(0.85*[1]Parametros!$B$2)))*H454*U454)</f>
        <v>815.58333333333326</v>
      </c>
      <c r="S454" s="14">
        <v>5</v>
      </c>
      <c r="T454" s="14">
        <v>1</v>
      </c>
      <c r="U454" s="13">
        <f>IF(T454=1,I454-([1]Parametros!$B$7+[1]Parametros!$B$9+[1]Parametros!$B$12/2),I454-(ROUNDUP(S454/2,0)*([1]Parametros!$B$7+[1]Parametros!$B$9+[1]Parametros!$B$12/2)+ROUNDDOWN(S454/2,0)*([1]Parametros!$B$7+[1]Parametros!$B$9+[1]Parametros!$B$12/2+[1]Parametros!$B$12+[1]Parametros!$B$10))/S454)</f>
        <v>489.35</v>
      </c>
      <c r="V454" s="13">
        <f>S454*[1]Parametros!$B$8</f>
        <v>995</v>
      </c>
      <c r="W454" s="13">
        <f>[1]Parametros!$B$5*V454*[1]Parametros!$B$3*(U454-(V454*[1]Parametros!$B$3/(0.85*[1]Parametros!$B$2*H454))/2)/1000000</f>
        <v>177.44537938235294</v>
      </c>
      <c r="X454" s="13" t="str">
        <f t="shared" si="91"/>
        <v>CUMPLE</v>
      </c>
      <c r="Y454" s="13">
        <f>MAX(MAX(1.4/[1]Parametros!$B$3,0.25*SQRT([1]Parametros!$B$2)/[1]Parametros!$B$3)*H454*AB454,(0.85*[1]Parametros!$B$2/[1]Parametros!$B$3)*(1-SQRT(1-2*(L454*1000000/([1]Parametros!$B$5*H454*AB454^2))/(0.85*[1]Parametros!$B$2)))*H454*AB454)</f>
        <v>815.58333333333326</v>
      </c>
      <c r="Z454" s="14">
        <v>5</v>
      </c>
      <c r="AA454" s="14">
        <v>1</v>
      </c>
      <c r="AB454" s="13">
        <f>IF(AA454=1,I454-([1]Parametros!$B$7+[1]Parametros!$B$9+[1]Parametros!$B$12/2),I454-(ROUNDUP(Z454/2,0)*([1]Parametros!$B$7+[1]Parametros!$B$9+[1]Parametros!$B$12/2)+ROUNDDOWN(Z454/2,0)*([1]Parametros!$B$7+[1]Parametros!$B$9+[1]Parametros!$B$12/2+[1]Parametros!$B$12+[1]Parametros!$B$10))/Z454)</f>
        <v>489.35</v>
      </c>
      <c r="AC454" s="13">
        <f>Z454*[1]Parametros!$B$8</f>
        <v>995</v>
      </c>
      <c r="AD454" s="13">
        <f>[1]Parametros!$B$5*AC454*[1]Parametros!$B$3*(AB454-(AC454*[1]Parametros!$B$3/(0.85*[1]Parametros!$B$2*H454))/2)/1000000</f>
        <v>177.44537938235294</v>
      </c>
      <c r="AE454" s="13" t="str">
        <f t="shared" si="92"/>
        <v>CUMPLE</v>
      </c>
      <c r="AF454" s="13">
        <f>V454*1.25*[1]Parametros!$B$3*(U454-(V454*1.25*[1]Parametros!$B$3/(0.85*[1]Parametros!$B$2*H454))/2)/1000000</f>
        <v>244.15884319852941</v>
      </c>
      <c r="AG454" s="13">
        <f>AC454*1.25*[1]Parametros!$B$3*(AB454-(AC454*1.25*[1]Parametros!$B$3/(0.85*[1]Parametros!$B$2*H454))/2)/1000000</f>
        <v>244.15884319852941</v>
      </c>
      <c r="AH454" s="13">
        <f t="shared" si="93"/>
        <v>238.28958066201886</v>
      </c>
      <c r="AI454" s="13">
        <f t="shared" si="94"/>
        <v>245.78399999999999</v>
      </c>
      <c r="AJ454" s="13">
        <f>0.17*SQRT([1]Parametros!$B$2)*H454*MIN(U454,AB454)/1000</f>
        <v>220.09872869180776</v>
      </c>
      <c r="AK454" s="13">
        <f>MAX(AI454/[1]Parametros!$B$6-AJ454,0)</f>
        <v>107.61327130819222</v>
      </c>
      <c r="AL454" s="13">
        <f>0.66*SQRT([1]Parametros!$B$2)*H454*MIN(U454,AB454)/1000</f>
        <v>854.500946685842</v>
      </c>
      <c r="AM454" s="13" t="str">
        <f t="shared" si="95"/>
        <v>CUMPLE</v>
      </c>
      <c r="AN454" s="13" t="s">
        <v>64</v>
      </c>
      <c r="AO454" s="14">
        <v>2</v>
      </c>
      <c r="AP454" s="13">
        <f>ROUNDDOWN(MIN(IF(BC454+BD454=0,1000000000,AO454*BB454/(BC454+BD454)),MIN(U454,AB454)/4,8*[1]Parametros!$B$12,24*BA454,300,IF(AV454=0,1000000000,2*((H454-2*([1]Parametros!$B$7+[1]Parametros!$B$9/2))+(I454-2*([1]Parametros!$B$7+[1]Parametros!$B$9/2)))/8))/10,0)*10</f>
        <v>120</v>
      </c>
      <c r="AQ454" s="13">
        <f>ROUNDDOWN(MIN(IF(BC454+BD454=0,1000000000,AO454*BB454/(BC454+BD454)),IF(AK454&gt;0.33*SQRT([1]Parametros!$B$2)*H454*MIN(U454,AB454)/1000,MIN(U454,AB454)/4,MIN(U454,AB454)/2),600,IF(AV454=0,1000000000,2*((H454-2*([1]Parametros!$B$7+[1]Parametros!$B$9/2))+(I454-2*([1]Parametros!$B$7+[1]Parametros!$B$9/2)))/8))/10,0)*10</f>
        <v>240</v>
      </c>
      <c r="AR454" s="13">
        <f>[1]Parametros!$B$6*(AJ454+MAX(BE454-BD454,0)*[1]Parametros!$B$4*MIN(U454,AB454)/1000)</f>
        <v>347.47925901885583</v>
      </c>
      <c r="AS454" s="13" t="str">
        <f t="shared" si="96"/>
        <v>CUMPLE</v>
      </c>
      <c r="AT454" s="13">
        <f>[1]Parametros!$B$6*0.083*SQRT([1]Parametros!$B$2)*(H454*I454)^2/(2*(H454+I454))/1000000</f>
        <v>11.862178757598967</v>
      </c>
      <c r="AU454" s="13" t="str">
        <f t="shared" si="97"/>
        <v>DESPRECIABLE</v>
      </c>
      <c r="AV454" s="13">
        <f>IF(Q454&lt;=AT454,0,Q454*1000000/([1]Parametros!$B$6*2*0.85*(H454-2*([1]Parametros!$B$7+[1]Parametros!$B$9/2))*(I454-2*([1]Parametros!$B$7+[1]Parametros!$B$9/2))*[1]Parametros!$B$4))</f>
        <v>0</v>
      </c>
      <c r="AW454" s="13">
        <f>AV454*2*((H454-2*([1]Parametros!$B$7+[1]Parametros!$B$9/2))+(I454-2*([1]Parametros!$B$7+[1]Parametros!$B$9/2)))*[1]Parametros!$B$4/[1]Parametros!$B$3</f>
        <v>0</v>
      </c>
      <c r="AX454" s="14">
        <v>0</v>
      </c>
      <c r="AY454" s="13" t="str">
        <f t="shared" si="98"/>
        <v>DESPRECIABLE</v>
      </c>
      <c r="AZ454" s="13" t="str">
        <f t="shared" si="99"/>
        <v>CUMPLE</v>
      </c>
      <c r="BA454" s="14">
        <v>9.5</v>
      </c>
      <c r="BB454" s="14">
        <v>71</v>
      </c>
      <c r="BC454" s="13">
        <f>MAX(IF(AK454=0,0,AK454*1000/([1]Parametros!$B$4*MIN(U454,AB454))),MAX(0.062*SQRT([1]Parametros!$B$2)*H454/[1]Parametros!$B$4,0.35*H454/[1]Parametros!$B$4))</f>
        <v>0.52359676007625389</v>
      </c>
      <c r="BD454" s="13">
        <f t="shared" si="100"/>
        <v>0</v>
      </c>
      <c r="BE454" s="13">
        <f t="shared" si="101"/>
        <v>1.1833333333333333</v>
      </c>
      <c r="BF454" s="13">
        <f>SQRT((AI454*1000/(H454*MIN(U454,AB454)))^2+(Q454*1000000*2*((H454-2*([1]Parametros!$B$7+[1]Parametros!$B$9/2))+(I454-2*([1]Parametros!$B$7+[1]Parametros!$B$9/2)))/(1.7*((H454-2*([1]Parametros!$B$7+[1]Parametros!$B$9/2))*(I454-2*([1]Parametros!$B$7+[1]Parametros!$B$9/2)))^2))^2)</f>
        <v>1.0159337543812743</v>
      </c>
      <c r="BG454" s="13">
        <f>[1]Parametros!$B$6*(AJ454*1000/(H454*MIN(U454,AB454))+0.66*SQRT([1]Parametros!$B$2))</f>
        <v>3.2939603822754151</v>
      </c>
      <c r="BH454" s="13" t="str">
        <f t="shared" si="102"/>
        <v>CUMPLE</v>
      </c>
      <c r="BI454" s="13">
        <f>AX454*[1]Parametros!$B$8</f>
        <v>0</v>
      </c>
      <c r="BJ454" s="15" t="str">
        <f t="shared" si="103"/>
        <v>CUMPLE</v>
      </c>
    </row>
    <row r="455" spans="1:62" x14ac:dyDescent="0.3">
      <c r="A455" s="33" t="s">
        <v>76</v>
      </c>
      <c r="B455" s="34">
        <v>890</v>
      </c>
      <c r="C455" s="13">
        <v>1</v>
      </c>
      <c r="D455" s="13">
        <v>2.1</v>
      </c>
      <c r="E455" s="13">
        <v>2.1</v>
      </c>
      <c r="F455" s="13">
        <v>500</v>
      </c>
      <c r="G455" s="13">
        <v>550</v>
      </c>
      <c r="H455" s="13">
        <v>500</v>
      </c>
      <c r="I455" s="13">
        <v>550</v>
      </c>
      <c r="J455" s="14">
        <v>147.81950000000001</v>
      </c>
      <c r="K455" s="13">
        <v>890</v>
      </c>
      <c r="L455" s="14">
        <v>102.8901</v>
      </c>
      <c r="M455" s="13">
        <v>890</v>
      </c>
      <c r="N455" s="14">
        <v>134.43199999999999</v>
      </c>
      <c r="O455" s="14">
        <v>335.37599999999998</v>
      </c>
      <c r="P455" s="13">
        <v>890</v>
      </c>
      <c r="Q455" s="14">
        <v>31.6065</v>
      </c>
      <c r="R455" s="13">
        <f>MAX(MAX(1.4/[1]Parametros!$B$3,0.25*SQRT([1]Parametros!$B$2)/[1]Parametros!$B$3)*H455*U455,(0.85*[1]Parametros!$B$2/[1]Parametros!$B$3)*(1-SQRT(1-2*(J455*1000000/([1]Parametros!$B$5*H455*U455^2))/(0.85*[1]Parametros!$B$2)))*H455*U455)</f>
        <v>823.59677936660842</v>
      </c>
      <c r="S455" s="14">
        <v>5</v>
      </c>
      <c r="T455" s="14">
        <v>1</v>
      </c>
      <c r="U455" s="13">
        <f>IF(T455=1,I455-([1]Parametros!$B$7+[1]Parametros!$B$9+[1]Parametros!$B$12/2),I455-(ROUNDUP(S455/2,0)*([1]Parametros!$B$7+[1]Parametros!$B$9+[1]Parametros!$B$12/2)+ROUNDDOWN(S455/2,0)*([1]Parametros!$B$7+[1]Parametros!$B$9+[1]Parametros!$B$12/2+[1]Parametros!$B$12+[1]Parametros!$B$10))/S455)</f>
        <v>489.35</v>
      </c>
      <c r="V455" s="13">
        <f>S455*[1]Parametros!$B$8</f>
        <v>995</v>
      </c>
      <c r="W455" s="13">
        <f>[1]Parametros!$B$5*V455*[1]Parametros!$B$3*(U455-(V455*[1]Parametros!$B$3/(0.85*[1]Parametros!$B$2*H455))/2)/1000000</f>
        <v>177.44537938235294</v>
      </c>
      <c r="X455" s="13" t="str">
        <f t="shared" si="91"/>
        <v>CUMPLE</v>
      </c>
      <c r="Y455" s="13">
        <f>MAX(MAX(1.4/[1]Parametros!$B$3,0.25*SQRT([1]Parametros!$B$2)/[1]Parametros!$B$3)*H455*AB455,(0.85*[1]Parametros!$B$2/[1]Parametros!$B$3)*(1-SQRT(1-2*(L455*1000000/([1]Parametros!$B$5*H455*AB455^2))/(0.85*[1]Parametros!$B$2)))*H455*AB455)</f>
        <v>815.58333333333326</v>
      </c>
      <c r="Z455" s="14">
        <v>5</v>
      </c>
      <c r="AA455" s="14">
        <v>1</v>
      </c>
      <c r="AB455" s="13">
        <f>IF(AA455=1,I455-([1]Parametros!$B$7+[1]Parametros!$B$9+[1]Parametros!$B$12/2),I455-(ROUNDUP(Z455/2,0)*([1]Parametros!$B$7+[1]Parametros!$B$9+[1]Parametros!$B$12/2)+ROUNDDOWN(Z455/2,0)*([1]Parametros!$B$7+[1]Parametros!$B$9+[1]Parametros!$B$12/2+[1]Parametros!$B$12+[1]Parametros!$B$10))/Z455)</f>
        <v>489.35</v>
      </c>
      <c r="AC455" s="13">
        <f>Z455*[1]Parametros!$B$8</f>
        <v>995</v>
      </c>
      <c r="AD455" s="13">
        <f>[1]Parametros!$B$5*AC455*[1]Parametros!$B$3*(AB455-(AC455*[1]Parametros!$B$3/(0.85*[1]Parametros!$B$2*H455))/2)/1000000</f>
        <v>177.44537938235294</v>
      </c>
      <c r="AE455" s="13" t="str">
        <f t="shared" si="92"/>
        <v>CUMPLE</v>
      </c>
      <c r="AF455" s="13">
        <f>V455*1.25*[1]Parametros!$B$3*(U455-(V455*1.25*[1]Parametros!$B$3/(0.85*[1]Parametros!$B$2*H455))/2)/1000000</f>
        <v>244.15884319852941</v>
      </c>
      <c r="AG455" s="13">
        <f>AC455*1.25*[1]Parametros!$B$3*(AB455-(AC455*1.25*[1]Parametros!$B$3/(0.85*[1]Parametros!$B$2*H455))/2)/1000000</f>
        <v>244.15884319852941</v>
      </c>
      <c r="AH455" s="13">
        <f t="shared" si="93"/>
        <v>366.96423161764704</v>
      </c>
      <c r="AI455" s="13">
        <f t="shared" si="94"/>
        <v>366.96423161764704</v>
      </c>
      <c r="AJ455" s="13">
        <f>0.17*SQRT([1]Parametros!$B$2)*H455*MIN(U455,AB455)/1000</f>
        <v>220.09872869180776</v>
      </c>
      <c r="AK455" s="13">
        <f>MAX(AI455/[1]Parametros!$B$6-AJ455,0)</f>
        <v>269.18691346505494</v>
      </c>
      <c r="AL455" s="13">
        <f>0.66*SQRT([1]Parametros!$B$2)*H455*MIN(U455,AB455)/1000</f>
        <v>854.500946685842</v>
      </c>
      <c r="AM455" s="13" t="str">
        <f t="shared" si="95"/>
        <v>CUMPLE</v>
      </c>
      <c r="AN455" s="13" t="s">
        <v>68</v>
      </c>
      <c r="AO455" s="14">
        <v>2</v>
      </c>
      <c r="AP455" s="13">
        <f>ROUNDDOWN(MIN(IF(BC455+BD455=0,1000000000,AO455*BB455/(BC455+BD455)),MIN(U455,AB455)/4,8*[1]Parametros!$B$12,24*BA455,300,IF(AV455=0,1000000000,2*((H455-2*([1]Parametros!$B$7+[1]Parametros!$B$9/2))+(I455-2*([1]Parametros!$B$7+[1]Parametros!$B$9/2)))/8))/10,0)*10</f>
        <v>120</v>
      </c>
      <c r="AQ455" s="13">
        <f>ROUNDDOWN(MIN(IF(BC455+BD455=0,1000000000,AO455*BB455/(BC455+BD455)),IF(AK455&gt;0.33*SQRT([1]Parametros!$B$2)*H455*MIN(U455,AB455)/1000,MIN(U455,AB455)/4,MIN(U455,AB455)/2),600,IF(AV455=0,1000000000,2*((H455-2*([1]Parametros!$B$7+[1]Parametros!$B$9/2))+(I455-2*([1]Parametros!$B$7+[1]Parametros!$B$9/2)))/8))/10,0)*10</f>
        <v>130</v>
      </c>
      <c r="AR455" s="13">
        <f>[1]Parametros!$B$6*(AJ455+MAX(BE455-BD455,0)*[1]Parametros!$B$4*MIN(U455,AB455)/1000)</f>
        <v>398.79378046546373</v>
      </c>
      <c r="AS455" s="13" t="str">
        <f t="shared" si="96"/>
        <v>CUMPLE</v>
      </c>
      <c r="AT455" s="13">
        <f>[1]Parametros!$B$6*0.083*SQRT([1]Parametros!$B$2)*(H455*I455)^2/(2*(H455+I455))/1000000</f>
        <v>11.862178757598967</v>
      </c>
      <c r="AU455" s="13" t="str">
        <f t="shared" si="97"/>
        <v>DISEÑAR</v>
      </c>
      <c r="AV455" s="13">
        <f>IF(Q455&lt;=AT455,0,Q455*1000000/([1]Parametros!$B$6*2*0.85*(H455-2*([1]Parametros!$B$7+[1]Parametros!$B$9/2))*(I455-2*([1]Parametros!$B$7+[1]Parametros!$B$9/2))*[1]Parametros!$B$4))</f>
        <v>0.31688473551209684</v>
      </c>
      <c r="AW455" s="13">
        <f>AV455*2*((H455-2*([1]Parametros!$B$7+[1]Parametros!$B$9/2))+(I455-2*([1]Parametros!$B$7+[1]Parametros!$B$9/2)))*[1]Parametros!$B$4/[1]Parametros!$B$3</f>
        <v>547.95708464751783</v>
      </c>
      <c r="AX455" s="14">
        <v>8</v>
      </c>
      <c r="AY455" s="13" t="str">
        <f t="shared" si="98"/>
        <v>CUMPLE</v>
      </c>
      <c r="AZ455" s="13" t="str">
        <f t="shared" si="99"/>
        <v>CUMPLE</v>
      </c>
      <c r="BA455" s="14">
        <v>12.7</v>
      </c>
      <c r="BB455" s="14">
        <v>129</v>
      </c>
      <c r="BC455" s="13">
        <f>MAX(IF(AK455=0,0,AK455*1000/([1]Parametros!$B$4*MIN(U455,AB455))),MAX(0.062*SQRT([1]Parametros!$B$2)*H455/[1]Parametros!$B$4,0.35*H455/[1]Parametros!$B$4))</f>
        <v>1.3097399050492389</v>
      </c>
      <c r="BD455" s="13">
        <f t="shared" si="100"/>
        <v>0.63376947102419368</v>
      </c>
      <c r="BE455" s="13">
        <f t="shared" si="101"/>
        <v>2.15</v>
      </c>
      <c r="BF455" s="13">
        <f>SQRT((AI455*1000/(H455*MIN(U455,AB455)))^2+(Q455*1000000*2*((H455-2*([1]Parametros!$B$7+[1]Parametros!$B$9/2))+(I455-2*([1]Parametros!$B$7+[1]Parametros!$B$9/2)))/(1.7*((H455-2*([1]Parametros!$B$7+[1]Parametros!$B$9/2))*(I455-2*([1]Parametros!$B$7+[1]Parametros!$B$9/2)))^2))^2)</f>
        <v>1.7630060408542458</v>
      </c>
      <c r="BG455" s="13">
        <f>[1]Parametros!$B$6*(AJ455*1000/(H455*MIN(U455,AB455))+0.66*SQRT([1]Parametros!$B$2))</f>
        <v>3.2939603822754151</v>
      </c>
      <c r="BH455" s="13" t="str">
        <f t="shared" si="102"/>
        <v>CUMPLE</v>
      </c>
      <c r="BI455" s="13">
        <f>AX455*[1]Parametros!$B$8</f>
        <v>1592</v>
      </c>
      <c r="BJ455" s="15" t="str">
        <f t="shared" si="103"/>
        <v>CUMPLE</v>
      </c>
    </row>
    <row r="456" spans="1:62" x14ac:dyDescent="0.3">
      <c r="A456" s="33" t="s">
        <v>76</v>
      </c>
      <c r="B456" s="34">
        <v>891</v>
      </c>
      <c r="C456" s="13">
        <v>1</v>
      </c>
      <c r="D456" s="13">
        <v>2.2000000000000002</v>
      </c>
      <c r="E456" s="13">
        <v>2.2000000000000002</v>
      </c>
      <c r="F456" s="13">
        <v>500</v>
      </c>
      <c r="G456" s="13">
        <v>550</v>
      </c>
      <c r="H456" s="13">
        <v>500</v>
      </c>
      <c r="I456" s="13">
        <v>550</v>
      </c>
      <c r="J456" s="14">
        <v>149.56010000000001</v>
      </c>
      <c r="K456" s="13">
        <v>891</v>
      </c>
      <c r="L456" s="14">
        <v>102.2548</v>
      </c>
      <c r="M456" s="13">
        <v>891</v>
      </c>
      <c r="N456" s="14">
        <v>133.05099999999999</v>
      </c>
      <c r="O456" s="14">
        <v>331.43799999999999</v>
      </c>
      <c r="P456" s="13">
        <v>891</v>
      </c>
      <c r="Q456" s="14">
        <v>30.559899999999999</v>
      </c>
      <c r="R456" s="13">
        <f>MAX(MAX(1.4/[1]Parametros!$B$3,0.25*SQRT([1]Parametros!$B$2)/[1]Parametros!$B$3)*H456*U456,(0.85*[1]Parametros!$B$2/[1]Parametros!$B$3)*(1-SQRT(1-2*(J456*1000000/([1]Parametros!$B$5*H456*U456^2))/(0.85*[1]Parametros!$B$2)))*H456*U456)</f>
        <v>833.60484110775587</v>
      </c>
      <c r="S456" s="14">
        <v>5</v>
      </c>
      <c r="T456" s="14">
        <v>1</v>
      </c>
      <c r="U456" s="13">
        <f>IF(T456=1,I456-([1]Parametros!$B$7+[1]Parametros!$B$9+[1]Parametros!$B$12/2),I456-(ROUNDUP(S456/2,0)*([1]Parametros!$B$7+[1]Parametros!$B$9+[1]Parametros!$B$12/2)+ROUNDDOWN(S456/2,0)*([1]Parametros!$B$7+[1]Parametros!$B$9+[1]Parametros!$B$12/2+[1]Parametros!$B$12+[1]Parametros!$B$10))/S456)</f>
        <v>489.35</v>
      </c>
      <c r="V456" s="13">
        <f>S456*[1]Parametros!$B$8</f>
        <v>995</v>
      </c>
      <c r="W456" s="13">
        <f>[1]Parametros!$B$5*V456*[1]Parametros!$B$3*(U456-(V456*[1]Parametros!$B$3/(0.85*[1]Parametros!$B$2*H456))/2)/1000000</f>
        <v>177.44537938235294</v>
      </c>
      <c r="X456" s="13" t="str">
        <f t="shared" si="91"/>
        <v>CUMPLE</v>
      </c>
      <c r="Y456" s="13">
        <f>MAX(MAX(1.4/[1]Parametros!$B$3,0.25*SQRT([1]Parametros!$B$2)/[1]Parametros!$B$3)*H456*AB456,(0.85*[1]Parametros!$B$2/[1]Parametros!$B$3)*(1-SQRT(1-2*(L456*1000000/([1]Parametros!$B$5*H456*AB456^2))/(0.85*[1]Parametros!$B$2)))*H456*AB456)</f>
        <v>815.58333333333326</v>
      </c>
      <c r="Z456" s="14">
        <v>5</v>
      </c>
      <c r="AA456" s="14">
        <v>1</v>
      </c>
      <c r="AB456" s="13">
        <f>IF(AA456=1,I456-([1]Parametros!$B$7+[1]Parametros!$B$9+[1]Parametros!$B$12/2),I456-(ROUNDUP(Z456/2,0)*([1]Parametros!$B$7+[1]Parametros!$B$9+[1]Parametros!$B$12/2)+ROUNDDOWN(Z456/2,0)*([1]Parametros!$B$7+[1]Parametros!$B$9+[1]Parametros!$B$12/2+[1]Parametros!$B$12+[1]Parametros!$B$10))/Z456)</f>
        <v>489.35</v>
      </c>
      <c r="AC456" s="13">
        <f>Z456*[1]Parametros!$B$8</f>
        <v>995</v>
      </c>
      <c r="AD456" s="13">
        <f>[1]Parametros!$B$5*AC456*[1]Parametros!$B$3*(AB456-(AC456*[1]Parametros!$B$3/(0.85*[1]Parametros!$B$2*H456))/2)/1000000</f>
        <v>177.44537938235294</v>
      </c>
      <c r="AE456" s="13" t="str">
        <f t="shared" si="92"/>
        <v>CUMPLE</v>
      </c>
      <c r="AF456" s="13">
        <f>V456*1.25*[1]Parametros!$B$3*(U456-(V456*1.25*[1]Parametros!$B$3/(0.85*[1]Parametros!$B$2*H456))/2)/1000000</f>
        <v>244.15884319852941</v>
      </c>
      <c r="AG456" s="13">
        <f>AC456*1.25*[1]Parametros!$B$3*(AB456-(AC456*1.25*[1]Parametros!$B$3/(0.85*[1]Parametros!$B$2*H456))/2)/1000000</f>
        <v>244.15884319852941</v>
      </c>
      <c r="AH456" s="13">
        <f t="shared" si="93"/>
        <v>355.0135847259358</v>
      </c>
      <c r="AI456" s="13">
        <f t="shared" si="94"/>
        <v>355.0135847259358</v>
      </c>
      <c r="AJ456" s="13">
        <f>0.17*SQRT([1]Parametros!$B$2)*H456*MIN(U456,AB456)/1000</f>
        <v>220.09872869180776</v>
      </c>
      <c r="AK456" s="13">
        <f>MAX(AI456/[1]Parametros!$B$6-AJ456,0)</f>
        <v>253.25271760943997</v>
      </c>
      <c r="AL456" s="13">
        <f>0.66*SQRT([1]Parametros!$B$2)*H456*MIN(U456,AB456)/1000</f>
        <v>854.500946685842</v>
      </c>
      <c r="AM456" s="13" t="str">
        <f t="shared" si="95"/>
        <v>CUMPLE</v>
      </c>
      <c r="AN456" s="13" t="s">
        <v>68</v>
      </c>
      <c r="AO456" s="14">
        <v>2</v>
      </c>
      <c r="AP456" s="13">
        <f>ROUNDDOWN(MIN(IF(BC456+BD456=0,1000000000,AO456*BB456/(BC456+BD456)),MIN(U456,AB456)/4,8*[1]Parametros!$B$12,24*BA456,300,IF(AV456=0,1000000000,2*((H456-2*([1]Parametros!$B$7+[1]Parametros!$B$9/2))+(I456-2*([1]Parametros!$B$7+[1]Parametros!$B$9/2)))/8))/10,0)*10</f>
        <v>120</v>
      </c>
      <c r="AQ456" s="13">
        <f>ROUNDDOWN(MIN(IF(BC456+BD456=0,1000000000,AO456*BB456/(BC456+BD456)),IF(AK456&gt;0.33*SQRT([1]Parametros!$B$2)*H456*MIN(U456,AB456)/1000,MIN(U456,AB456)/4,MIN(U456,AB456)/2),600,IF(AV456=0,1000000000,2*((H456-2*([1]Parametros!$B$7+[1]Parametros!$B$9/2))+(I456-2*([1]Parametros!$B$7+[1]Parametros!$B$9/2)))/8))/10,0)*10</f>
        <v>130</v>
      </c>
      <c r="AR456" s="13">
        <f>[1]Parametros!$B$6*(AJ456+MAX(BE456-BD456,0)*[1]Parametros!$B$4*MIN(U456,AB456)/1000)</f>
        <v>402.02871715725121</v>
      </c>
      <c r="AS456" s="13" t="str">
        <f t="shared" si="96"/>
        <v>CUMPLE</v>
      </c>
      <c r="AT456" s="13">
        <f>[1]Parametros!$B$6*0.083*SQRT([1]Parametros!$B$2)*(H456*I456)^2/(2*(H456+I456))/1000000</f>
        <v>11.862178757598967</v>
      </c>
      <c r="AU456" s="13" t="str">
        <f t="shared" si="97"/>
        <v>DISEÑAR</v>
      </c>
      <c r="AV456" s="13">
        <f>IF(Q456&lt;=AT456,0,Q456*1000000/([1]Parametros!$B$6*2*0.85*(H456-2*([1]Parametros!$B$7+[1]Parametros!$B$9/2))*(I456-2*([1]Parametros!$B$7+[1]Parametros!$B$9/2))*[1]Parametros!$B$4))</f>
        <v>0.30639159124788029</v>
      </c>
      <c r="AW456" s="13">
        <f>AV456*2*((H456-2*([1]Parametros!$B$7+[1]Parametros!$B$9/2))+(I456-2*([1]Parametros!$B$7+[1]Parametros!$B$9/2)))*[1]Parametros!$B$4/[1]Parametros!$B$3</f>
        <v>529.81233958583459</v>
      </c>
      <c r="AX456" s="14">
        <v>8</v>
      </c>
      <c r="AY456" s="13" t="str">
        <f t="shared" si="98"/>
        <v>CUMPLE</v>
      </c>
      <c r="AZ456" s="13" t="str">
        <f t="shared" si="99"/>
        <v>CUMPLE</v>
      </c>
      <c r="BA456" s="14">
        <v>12.7</v>
      </c>
      <c r="BB456" s="14">
        <v>129</v>
      </c>
      <c r="BC456" s="13">
        <f>MAX(IF(AK456=0,0,AK456*1000/([1]Parametros!$B$4*MIN(U456,AB456))),MAX(0.062*SQRT([1]Parametros!$B$2)*H456/[1]Parametros!$B$4,0.35*H456/[1]Parametros!$B$4))</f>
        <v>1.2322114253087915</v>
      </c>
      <c r="BD456" s="13">
        <f t="shared" si="100"/>
        <v>0.61278318249576058</v>
      </c>
      <c r="BE456" s="13">
        <f t="shared" si="101"/>
        <v>2.15</v>
      </c>
      <c r="BF456" s="13">
        <f>SQRT((AI456*1000/(H456*MIN(U456,AB456)))^2+(Q456*1000000*2*((H456-2*([1]Parametros!$B$7+[1]Parametros!$B$9/2))+(I456-2*([1]Parametros!$B$7+[1]Parametros!$B$9/2)))/(1.7*((H456-2*([1]Parametros!$B$7+[1]Parametros!$B$9/2))*(I456-2*([1]Parametros!$B$7+[1]Parametros!$B$9/2)))^2))^2)</f>
        <v>1.7053250630160255</v>
      </c>
      <c r="BG456" s="13">
        <f>[1]Parametros!$B$6*(AJ456*1000/(H456*MIN(U456,AB456))+0.66*SQRT([1]Parametros!$B$2))</f>
        <v>3.2939603822754151</v>
      </c>
      <c r="BH456" s="13" t="str">
        <f t="shared" si="102"/>
        <v>CUMPLE</v>
      </c>
      <c r="BI456" s="13">
        <f>AX456*[1]Parametros!$B$8</f>
        <v>1592</v>
      </c>
      <c r="BJ456" s="15" t="str">
        <f t="shared" si="103"/>
        <v>CUMPLE</v>
      </c>
    </row>
    <row r="457" spans="1:62" x14ac:dyDescent="0.3">
      <c r="A457" s="33" t="s">
        <v>76</v>
      </c>
      <c r="B457" s="34">
        <v>892</v>
      </c>
      <c r="C457" s="13">
        <v>1</v>
      </c>
      <c r="D457" s="13">
        <v>3.57612</v>
      </c>
      <c r="E457" s="13">
        <v>3.57612</v>
      </c>
      <c r="F457" s="13">
        <v>500</v>
      </c>
      <c r="G457" s="13">
        <v>550</v>
      </c>
      <c r="H457" s="13">
        <v>500</v>
      </c>
      <c r="I457" s="13">
        <v>550</v>
      </c>
      <c r="J457" s="14">
        <v>120.1114</v>
      </c>
      <c r="K457" s="13">
        <v>892</v>
      </c>
      <c r="L457" s="14">
        <v>54.8369</v>
      </c>
      <c r="M457" s="13">
        <v>892</v>
      </c>
      <c r="N457" s="14">
        <v>101.654</v>
      </c>
      <c r="O457" s="14">
        <v>244.874</v>
      </c>
      <c r="P457" s="13">
        <v>892</v>
      </c>
      <c r="Q457" s="14">
        <v>5.2145000000000001</v>
      </c>
      <c r="R457" s="13">
        <f>MAX(MAX(1.4/[1]Parametros!$B$3,0.25*SQRT([1]Parametros!$B$2)/[1]Parametros!$B$3)*H457*U457,(0.85*[1]Parametros!$B$2/[1]Parametros!$B$3)*(1-SQRT(1-2*(J457*1000000/([1]Parametros!$B$5*H457*U457^2))/(0.85*[1]Parametros!$B$2)))*H457*U457)</f>
        <v>815.58333333333326</v>
      </c>
      <c r="S457" s="14">
        <v>5</v>
      </c>
      <c r="T457" s="14">
        <v>1</v>
      </c>
      <c r="U457" s="13">
        <f>IF(T457=1,I457-([1]Parametros!$B$7+[1]Parametros!$B$9+[1]Parametros!$B$12/2),I457-(ROUNDUP(S457/2,0)*([1]Parametros!$B$7+[1]Parametros!$B$9+[1]Parametros!$B$12/2)+ROUNDDOWN(S457/2,0)*([1]Parametros!$B$7+[1]Parametros!$B$9+[1]Parametros!$B$12/2+[1]Parametros!$B$12+[1]Parametros!$B$10))/S457)</f>
        <v>489.35</v>
      </c>
      <c r="V457" s="13">
        <f>S457*[1]Parametros!$B$8</f>
        <v>995</v>
      </c>
      <c r="W457" s="13">
        <f>[1]Parametros!$B$5*V457*[1]Parametros!$B$3*(U457-(V457*[1]Parametros!$B$3/(0.85*[1]Parametros!$B$2*H457))/2)/1000000</f>
        <v>177.44537938235294</v>
      </c>
      <c r="X457" s="13" t="str">
        <f t="shared" si="91"/>
        <v>CUMPLE</v>
      </c>
      <c r="Y457" s="13">
        <f>MAX(MAX(1.4/[1]Parametros!$B$3,0.25*SQRT([1]Parametros!$B$2)/[1]Parametros!$B$3)*H457*AB457,(0.85*[1]Parametros!$B$2/[1]Parametros!$B$3)*(1-SQRT(1-2*(L457*1000000/([1]Parametros!$B$5*H457*AB457^2))/(0.85*[1]Parametros!$B$2)))*H457*AB457)</f>
        <v>815.58333333333326</v>
      </c>
      <c r="Z457" s="14">
        <v>5</v>
      </c>
      <c r="AA457" s="14">
        <v>1</v>
      </c>
      <c r="AB457" s="13">
        <f>IF(AA457=1,I457-([1]Parametros!$B$7+[1]Parametros!$B$9+[1]Parametros!$B$12/2),I457-(ROUNDUP(Z457/2,0)*([1]Parametros!$B$7+[1]Parametros!$B$9+[1]Parametros!$B$12/2)+ROUNDDOWN(Z457/2,0)*([1]Parametros!$B$7+[1]Parametros!$B$9+[1]Parametros!$B$12/2+[1]Parametros!$B$12+[1]Parametros!$B$10))/Z457)</f>
        <v>489.35</v>
      </c>
      <c r="AC457" s="13">
        <f>Z457*[1]Parametros!$B$8</f>
        <v>995</v>
      </c>
      <c r="AD457" s="13">
        <f>[1]Parametros!$B$5*AC457*[1]Parametros!$B$3*(AB457-(AC457*[1]Parametros!$B$3/(0.85*[1]Parametros!$B$2*H457))/2)/1000000</f>
        <v>177.44537938235294</v>
      </c>
      <c r="AE457" s="13" t="str">
        <f t="shared" si="92"/>
        <v>CUMPLE</v>
      </c>
      <c r="AF457" s="13">
        <f>V457*1.25*[1]Parametros!$B$3*(U457-(V457*1.25*[1]Parametros!$B$3/(0.85*[1]Parametros!$B$2*H457))/2)/1000000</f>
        <v>244.15884319852941</v>
      </c>
      <c r="AG457" s="13">
        <f>AC457*1.25*[1]Parametros!$B$3*(AB457-(AC457*1.25*[1]Parametros!$B$3/(0.85*[1]Parametros!$B$2*H457))/2)/1000000</f>
        <v>244.15884319852941</v>
      </c>
      <c r="AH457" s="13">
        <f t="shared" si="93"/>
        <v>238.20358066201885</v>
      </c>
      <c r="AI457" s="13">
        <f t="shared" si="94"/>
        <v>244.874</v>
      </c>
      <c r="AJ457" s="13">
        <f>0.17*SQRT([1]Parametros!$B$2)*H457*MIN(U457,AB457)/1000</f>
        <v>220.09872869180776</v>
      </c>
      <c r="AK457" s="13">
        <f>MAX(AI457/[1]Parametros!$B$6-AJ457,0)</f>
        <v>106.39993797485891</v>
      </c>
      <c r="AL457" s="13">
        <f>0.66*SQRT([1]Parametros!$B$2)*H457*MIN(U457,AB457)/1000</f>
        <v>854.500946685842</v>
      </c>
      <c r="AM457" s="13" t="str">
        <f t="shared" si="95"/>
        <v>CUMPLE</v>
      </c>
      <c r="AN457" s="13" t="s">
        <v>64</v>
      </c>
      <c r="AO457" s="14">
        <v>2</v>
      </c>
      <c r="AP457" s="13">
        <f>ROUNDDOWN(MIN(IF(BC457+BD457=0,1000000000,AO457*BB457/(BC457+BD457)),MIN(U457,AB457)/4,8*[1]Parametros!$B$12,24*BA457,300,IF(AV457=0,1000000000,2*((H457-2*([1]Parametros!$B$7+[1]Parametros!$B$9/2))+(I457-2*([1]Parametros!$B$7+[1]Parametros!$B$9/2)))/8))/10,0)*10</f>
        <v>120</v>
      </c>
      <c r="AQ457" s="13">
        <f>ROUNDDOWN(MIN(IF(BC457+BD457=0,1000000000,AO457*BB457/(BC457+BD457)),IF(AK457&gt;0.33*SQRT([1]Parametros!$B$2)*H457*MIN(U457,AB457)/1000,MIN(U457,AB457)/4,MIN(U457,AB457)/2),600,IF(AV457=0,1000000000,2*((H457-2*([1]Parametros!$B$7+[1]Parametros!$B$9/2))+(I457-2*([1]Parametros!$B$7+[1]Parametros!$B$9/2)))/8))/10,0)*10</f>
        <v>240</v>
      </c>
      <c r="AR457" s="13">
        <f>[1]Parametros!$B$6*(AJ457+MAX(BE457-BD457,0)*[1]Parametros!$B$4*MIN(U457,AB457)/1000)</f>
        <v>347.47925901885583</v>
      </c>
      <c r="AS457" s="13" t="str">
        <f t="shared" si="96"/>
        <v>CUMPLE</v>
      </c>
      <c r="AT457" s="13">
        <f>[1]Parametros!$B$6*0.083*SQRT([1]Parametros!$B$2)*(H457*I457)^2/(2*(H457+I457))/1000000</f>
        <v>11.862178757598967</v>
      </c>
      <c r="AU457" s="13" t="str">
        <f t="shared" si="97"/>
        <v>DESPRECIABLE</v>
      </c>
      <c r="AV457" s="13">
        <f>IF(Q457&lt;=AT457,0,Q457*1000000/([1]Parametros!$B$6*2*0.85*(H457-2*([1]Parametros!$B$7+[1]Parametros!$B$9/2))*(I457-2*([1]Parametros!$B$7+[1]Parametros!$B$9/2))*[1]Parametros!$B$4))</f>
        <v>0</v>
      </c>
      <c r="AW457" s="13">
        <f>AV457*2*((H457-2*([1]Parametros!$B$7+[1]Parametros!$B$9/2))+(I457-2*([1]Parametros!$B$7+[1]Parametros!$B$9/2)))*[1]Parametros!$B$4/[1]Parametros!$B$3</f>
        <v>0</v>
      </c>
      <c r="AX457" s="14">
        <v>0</v>
      </c>
      <c r="AY457" s="13" t="str">
        <f t="shared" si="98"/>
        <v>DESPRECIABLE</v>
      </c>
      <c r="AZ457" s="13" t="str">
        <f t="shared" si="99"/>
        <v>CUMPLE</v>
      </c>
      <c r="BA457" s="14">
        <v>9.5</v>
      </c>
      <c r="BB457" s="14">
        <v>71</v>
      </c>
      <c r="BC457" s="13">
        <f>MAX(IF(AK457=0,0,AK457*1000/([1]Parametros!$B$4*MIN(U457,AB457))),MAX(0.062*SQRT([1]Parametros!$B$2)*H457/[1]Parametros!$B$4,0.35*H457/[1]Parametros!$B$4))</f>
        <v>0.51769323726254413</v>
      </c>
      <c r="BD457" s="13">
        <f t="shared" si="100"/>
        <v>0</v>
      </c>
      <c r="BE457" s="13">
        <f t="shared" si="101"/>
        <v>1.1833333333333333</v>
      </c>
      <c r="BF457" s="13">
        <f>SQRT((AI457*1000/(H457*MIN(U457,AB457)))^2+(Q457*1000000*2*((H457-2*([1]Parametros!$B$7+[1]Parametros!$B$9/2))+(I457-2*([1]Parametros!$B$7+[1]Parametros!$B$9/2)))/(1.7*((H457-2*([1]Parametros!$B$7+[1]Parametros!$B$9/2))*(I457-2*([1]Parametros!$B$7+[1]Parametros!$B$9/2)))^2))^2)</f>
        <v>1.0124240803217568</v>
      </c>
      <c r="BG457" s="13">
        <f>[1]Parametros!$B$6*(AJ457*1000/(H457*MIN(U457,AB457))+0.66*SQRT([1]Parametros!$B$2))</f>
        <v>3.2939603822754151</v>
      </c>
      <c r="BH457" s="13" t="str">
        <f t="shared" si="102"/>
        <v>CUMPLE</v>
      </c>
      <c r="BI457" s="13">
        <f>AX457*[1]Parametros!$B$8</f>
        <v>0</v>
      </c>
      <c r="BJ457" s="15" t="str">
        <f t="shared" si="103"/>
        <v>CUMPLE</v>
      </c>
    </row>
    <row r="458" spans="1:62" x14ac:dyDescent="0.3">
      <c r="A458" s="33" t="s">
        <v>76</v>
      </c>
      <c r="B458" s="34">
        <v>893</v>
      </c>
      <c r="C458" s="13">
        <v>1</v>
      </c>
      <c r="D458" s="13">
        <v>1.9</v>
      </c>
      <c r="E458" s="13">
        <v>1.9</v>
      </c>
      <c r="F458" s="13">
        <v>500</v>
      </c>
      <c r="G458" s="13">
        <v>550</v>
      </c>
      <c r="H458" s="13">
        <v>500</v>
      </c>
      <c r="I458" s="13">
        <v>550</v>
      </c>
      <c r="J458" s="14">
        <v>93.172600000000003</v>
      </c>
      <c r="K458" s="13">
        <v>893</v>
      </c>
      <c r="L458" s="14">
        <v>56.470500000000001</v>
      </c>
      <c r="M458" s="13">
        <v>893</v>
      </c>
      <c r="N458" s="14">
        <v>96.093999999999994</v>
      </c>
      <c r="O458" s="14">
        <v>273.35899999999998</v>
      </c>
      <c r="P458" s="13">
        <v>893</v>
      </c>
      <c r="Q458" s="14">
        <v>10.892099999999999</v>
      </c>
      <c r="R458" s="13">
        <f>MAX(MAX(1.4/[1]Parametros!$B$3,0.25*SQRT([1]Parametros!$B$2)/[1]Parametros!$B$3)*H458*U458,(0.85*[1]Parametros!$B$2/[1]Parametros!$B$3)*(1-SQRT(1-2*(J458*1000000/([1]Parametros!$B$5*H458*U458^2))/(0.85*[1]Parametros!$B$2)))*H458*U458)</f>
        <v>815.58333333333326</v>
      </c>
      <c r="S458" s="14">
        <v>5</v>
      </c>
      <c r="T458" s="14">
        <v>1</v>
      </c>
      <c r="U458" s="13">
        <f>IF(T458=1,I458-([1]Parametros!$B$7+[1]Parametros!$B$9+[1]Parametros!$B$12/2),I458-(ROUNDUP(S458/2,0)*([1]Parametros!$B$7+[1]Parametros!$B$9+[1]Parametros!$B$12/2)+ROUNDDOWN(S458/2,0)*([1]Parametros!$B$7+[1]Parametros!$B$9+[1]Parametros!$B$12/2+[1]Parametros!$B$12+[1]Parametros!$B$10))/S458)</f>
        <v>489.35</v>
      </c>
      <c r="V458" s="13">
        <f>S458*[1]Parametros!$B$8</f>
        <v>995</v>
      </c>
      <c r="W458" s="13">
        <f>[1]Parametros!$B$5*V458*[1]Parametros!$B$3*(U458-(V458*[1]Parametros!$B$3/(0.85*[1]Parametros!$B$2*H458))/2)/1000000</f>
        <v>177.44537938235294</v>
      </c>
      <c r="X458" s="13" t="str">
        <f t="shared" si="91"/>
        <v>CUMPLE</v>
      </c>
      <c r="Y458" s="13">
        <f>MAX(MAX(1.4/[1]Parametros!$B$3,0.25*SQRT([1]Parametros!$B$2)/[1]Parametros!$B$3)*H458*AB458,(0.85*[1]Parametros!$B$2/[1]Parametros!$B$3)*(1-SQRT(1-2*(L458*1000000/([1]Parametros!$B$5*H458*AB458^2))/(0.85*[1]Parametros!$B$2)))*H458*AB458)</f>
        <v>815.58333333333326</v>
      </c>
      <c r="Z458" s="14">
        <v>5</v>
      </c>
      <c r="AA458" s="14">
        <v>1</v>
      </c>
      <c r="AB458" s="13">
        <f>IF(AA458=1,I458-([1]Parametros!$B$7+[1]Parametros!$B$9+[1]Parametros!$B$12/2),I458-(ROUNDUP(Z458/2,0)*([1]Parametros!$B$7+[1]Parametros!$B$9+[1]Parametros!$B$12/2)+ROUNDDOWN(Z458/2,0)*([1]Parametros!$B$7+[1]Parametros!$B$9+[1]Parametros!$B$12/2+[1]Parametros!$B$12+[1]Parametros!$B$10))/Z458)</f>
        <v>489.35</v>
      </c>
      <c r="AC458" s="13">
        <f>Z458*[1]Parametros!$B$8</f>
        <v>995</v>
      </c>
      <c r="AD458" s="13">
        <f>[1]Parametros!$B$5*AC458*[1]Parametros!$B$3*(AB458-(AC458*[1]Parametros!$B$3/(0.85*[1]Parametros!$B$2*H458))/2)/1000000</f>
        <v>177.44537938235294</v>
      </c>
      <c r="AE458" s="13" t="str">
        <f t="shared" si="92"/>
        <v>CUMPLE</v>
      </c>
      <c r="AF458" s="13">
        <f>V458*1.25*[1]Parametros!$B$3*(U458-(V458*1.25*[1]Parametros!$B$3/(0.85*[1]Parametros!$B$2*H458))/2)/1000000</f>
        <v>244.15884319852941</v>
      </c>
      <c r="AG458" s="13">
        <f>AC458*1.25*[1]Parametros!$B$3*(AB458-(AC458*1.25*[1]Parametros!$B$3/(0.85*[1]Parametros!$B$2*H458))/2)/1000000</f>
        <v>244.15884319852941</v>
      </c>
      <c r="AH458" s="13">
        <f t="shared" si="93"/>
        <v>353.10330863003094</v>
      </c>
      <c r="AI458" s="13">
        <f t="shared" si="94"/>
        <v>353.10330863003094</v>
      </c>
      <c r="AJ458" s="13">
        <f>0.17*SQRT([1]Parametros!$B$2)*H458*MIN(U458,AB458)/1000</f>
        <v>220.09872869180776</v>
      </c>
      <c r="AK458" s="13">
        <f>MAX(AI458/[1]Parametros!$B$6-AJ458,0)</f>
        <v>250.70568281490017</v>
      </c>
      <c r="AL458" s="13">
        <f>0.66*SQRT([1]Parametros!$B$2)*H458*MIN(U458,AB458)/1000</f>
        <v>854.500946685842</v>
      </c>
      <c r="AM458" s="13" t="str">
        <f t="shared" si="95"/>
        <v>CUMPLE</v>
      </c>
      <c r="AN458" s="13" t="s">
        <v>64</v>
      </c>
      <c r="AO458" s="14">
        <v>2</v>
      </c>
      <c r="AP458" s="13">
        <f>ROUNDDOWN(MIN(IF(BC458+BD458=0,1000000000,AO458*BB458/(BC458+BD458)),MIN(U458,AB458)/4,8*[1]Parametros!$B$12,24*BA458,300,IF(AV458=0,1000000000,2*((H458-2*([1]Parametros!$B$7+[1]Parametros!$B$9/2))+(I458-2*([1]Parametros!$B$7+[1]Parametros!$B$9/2)))/8))/10,0)*10</f>
        <v>110</v>
      </c>
      <c r="AQ458" s="13">
        <f>ROUNDDOWN(MIN(IF(BC458+BD458=0,1000000000,AO458*BB458/(BC458+BD458)),IF(AK458&gt;0.33*SQRT([1]Parametros!$B$2)*H458*MIN(U458,AB458)/1000,MIN(U458,AB458)/4,MIN(U458,AB458)/2),600,IF(AV458=0,1000000000,2*((H458-2*([1]Parametros!$B$7+[1]Parametros!$B$9/2))+(I458-2*([1]Parametros!$B$7+[1]Parametros!$B$9/2)))/8))/10,0)*10</f>
        <v>110</v>
      </c>
      <c r="AR458" s="13">
        <f>[1]Parametros!$B$6*(AJ458+MAX(BE458-BD458,0)*[1]Parametros!$B$4*MIN(U458,AB458)/1000)</f>
        <v>364.06155106431038</v>
      </c>
      <c r="AS458" s="13" t="str">
        <f t="shared" si="96"/>
        <v>CUMPLE</v>
      </c>
      <c r="AT458" s="13">
        <f>[1]Parametros!$B$6*0.083*SQRT([1]Parametros!$B$2)*(H458*I458)^2/(2*(H458+I458))/1000000</f>
        <v>11.862178757598967</v>
      </c>
      <c r="AU458" s="13" t="str">
        <f t="shared" si="97"/>
        <v>DESPRECIABLE</v>
      </c>
      <c r="AV458" s="13">
        <f>IF(Q458&lt;=AT458,0,Q458*1000000/([1]Parametros!$B$6*2*0.85*(H458-2*([1]Parametros!$B$7+[1]Parametros!$B$9/2))*(I458-2*([1]Parametros!$B$7+[1]Parametros!$B$9/2))*[1]Parametros!$B$4))</f>
        <v>0</v>
      </c>
      <c r="AW458" s="13">
        <f>AV458*2*((H458-2*([1]Parametros!$B$7+[1]Parametros!$B$9/2))+(I458-2*([1]Parametros!$B$7+[1]Parametros!$B$9/2)))*[1]Parametros!$B$4/[1]Parametros!$B$3</f>
        <v>0</v>
      </c>
      <c r="AX458" s="14">
        <v>0</v>
      </c>
      <c r="AY458" s="13" t="str">
        <f t="shared" si="98"/>
        <v>DESPRECIABLE</v>
      </c>
      <c r="AZ458" s="13" t="str">
        <f t="shared" si="99"/>
        <v>CUMPLE</v>
      </c>
      <c r="BA458" s="14">
        <v>9.5</v>
      </c>
      <c r="BB458" s="14">
        <v>71</v>
      </c>
      <c r="BC458" s="13">
        <f>MAX(IF(AK458=0,0,AK458*1000/([1]Parametros!$B$4*MIN(U458,AB458))),MAX(0.062*SQRT([1]Parametros!$B$2)*H458/[1]Parametros!$B$4,0.35*H458/[1]Parametros!$B$4))</f>
        <v>1.219818723646529</v>
      </c>
      <c r="BD458" s="13">
        <f t="shared" si="100"/>
        <v>0</v>
      </c>
      <c r="BE458" s="13">
        <f t="shared" si="101"/>
        <v>1.290909090909091</v>
      </c>
      <c r="BF458" s="13">
        <f>SQRT((AI458*1000/(H458*MIN(U458,AB458)))^2+(Q458*1000000*2*((H458-2*([1]Parametros!$B$7+[1]Parametros!$B$9/2))+(I458-2*([1]Parametros!$B$7+[1]Parametros!$B$9/2)))/(1.7*((H458-2*([1]Parametros!$B$7+[1]Parametros!$B$9/2))*(I458-2*([1]Parametros!$B$7+[1]Parametros!$B$9/2)))^2))^2)</f>
        <v>1.4780655632612891</v>
      </c>
      <c r="BG458" s="13">
        <f>[1]Parametros!$B$6*(AJ458*1000/(H458*MIN(U458,AB458))+0.66*SQRT([1]Parametros!$B$2))</f>
        <v>3.2939603822754151</v>
      </c>
      <c r="BH458" s="13" t="str">
        <f t="shared" si="102"/>
        <v>CUMPLE</v>
      </c>
      <c r="BI458" s="13">
        <f>AX458*[1]Parametros!$B$8</f>
        <v>0</v>
      </c>
      <c r="BJ458" s="15" t="str">
        <f t="shared" si="103"/>
        <v>CUMPLE</v>
      </c>
    </row>
    <row r="459" spans="1:62" x14ac:dyDescent="0.3">
      <c r="A459" s="33" t="s">
        <v>76</v>
      </c>
      <c r="B459" s="34">
        <v>894</v>
      </c>
      <c r="C459" s="13">
        <v>1</v>
      </c>
      <c r="D459" s="13">
        <v>2</v>
      </c>
      <c r="E459" s="13">
        <v>2</v>
      </c>
      <c r="F459" s="13">
        <v>500</v>
      </c>
      <c r="G459" s="13">
        <v>550</v>
      </c>
      <c r="H459" s="13">
        <v>500</v>
      </c>
      <c r="I459" s="13">
        <v>550</v>
      </c>
      <c r="J459" s="14">
        <v>100.90689999999999</v>
      </c>
      <c r="K459" s="13">
        <v>894</v>
      </c>
      <c r="L459" s="14">
        <v>54.4373</v>
      </c>
      <c r="M459" s="13">
        <v>894</v>
      </c>
      <c r="N459" s="14">
        <v>105.65600000000001</v>
      </c>
      <c r="O459" s="14">
        <v>324.54399999999998</v>
      </c>
      <c r="P459" s="13">
        <v>894</v>
      </c>
      <c r="Q459" s="14">
        <v>26.145700000000001</v>
      </c>
      <c r="R459" s="13">
        <f>MAX(MAX(1.4/[1]Parametros!$B$3,0.25*SQRT([1]Parametros!$B$2)/[1]Parametros!$B$3)*H459*U459,(0.85*[1]Parametros!$B$2/[1]Parametros!$B$3)*(1-SQRT(1-2*(J459*1000000/([1]Parametros!$B$5*H459*U459^2))/(0.85*[1]Parametros!$B$2)))*H459*U459)</f>
        <v>815.58333333333326</v>
      </c>
      <c r="S459" s="14">
        <v>5</v>
      </c>
      <c r="T459" s="14">
        <v>1</v>
      </c>
      <c r="U459" s="13">
        <f>IF(T459=1,I459-([1]Parametros!$B$7+[1]Parametros!$B$9+[1]Parametros!$B$12/2),I459-(ROUNDUP(S459/2,0)*([1]Parametros!$B$7+[1]Parametros!$B$9+[1]Parametros!$B$12/2)+ROUNDDOWN(S459/2,0)*([1]Parametros!$B$7+[1]Parametros!$B$9+[1]Parametros!$B$12/2+[1]Parametros!$B$12+[1]Parametros!$B$10))/S459)</f>
        <v>489.35</v>
      </c>
      <c r="V459" s="13">
        <f>S459*[1]Parametros!$B$8</f>
        <v>995</v>
      </c>
      <c r="W459" s="13">
        <f>[1]Parametros!$B$5*V459*[1]Parametros!$B$3*(U459-(V459*[1]Parametros!$B$3/(0.85*[1]Parametros!$B$2*H459))/2)/1000000</f>
        <v>177.44537938235294</v>
      </c>
      <c r="X459" s="13" t="str">
        <f t="shared" si="91"/>
        <v>CUMPLE</v>
      </c>
      <c r="Y459" s="13">
        <f>MAX(MAX(1.4/[1]Parametros!$B$3,0.25*SQRT([1]Parametros!$B$2)/[1]Parametros!$B$3)*H459*AB459,(0.85*[1]Parametros!$B$2/[1]Parametros!$B$3)*(1-SQRT(1-2*(L459*1000000/([1]Parametros!$B$5*H459*AB459^2))/(0.85*[1]Parametros!$B$2)))*H459*AB459)</f>
        <v>815.58333333333326</v>
      </c>
      <c r="Z459" s="14">
        <v>5</v>
      </c>
      <c r="AA459" s="14">
        <v>1</v>
      </c>
      <c r="AB459" s="13">
        <f>IF(AA459=1,I459-([1]Parametros!$B$7+[1]Parametros!$B$9+[1]Parametros!$B$12/2),I459-(ROUNDUP(Z459/2,0)*([1]Parametros!$B$7+[1]Parametros!$B$9+[1]Parametros!$B$12/2)+ROUNDDOWN(Z459/2,0)*([1]Parametros!$B$7+[1]Parametros!$B$9+[1]Parametros!$B$12/2+[1]Parametros!$B$12+[1]Parametros!$B$10))/Z459)</f>
        <v>489.35</v>
      </c>
      <c r="AC459" s="13">
        <f>Z459*[1]Parametros!$B$8</f>
        <v>995</v>
      </c>
      <c r="AD459" s="13">
        <f>[1]Parametros!$B$5*AC459*[1]Parametros!$B$3*(AB459-(AC459*[1]Parametros!$B$3/(0.85*[1]Parametros!$B$2*H459))/2)/1000000</f>
        <v>177.44537938235294</v>
      </c>
      <c r="AE459" s="13" t="str">
        <f t="shared" si="92"/>
        <v>CUMPLE</v>
      </c>
      <c r="AF459" s="13">
        <f>V459*1.25*[1]Parametros!$B$3*(U459-(V459*1.25*[1]Parametros!$B$3/(0.85*[1]Parametros!$B$2*H459))/2)/1000000</f>
        <v>244.15884319852941</v>
      </c>
      <c r="AG459" s="13">
        <f>AC459*1.25*[1]Parametros!$B$3*(AB459-(AC459*1.25*[1]Parametros!$B$3/(0.85*[1]Parametros!$B$2*H459))/2)/1000000</f>
        <v>244.15884319852941</v>
      </c>
      <c r="AH459" s="13">
        <f t="shared" si="93"/>
        <v>349.81484319852939</v>
      </c>
      <c r="AI459" s="13">
        <f t="shared" si="94"/>
        <v>349.81484319852939</v>
      </c>
      <c r="AJ459" s="13">
        <f>0.17*SQRT([1]Parametros!$B$2)*H459*MIN(U459,AB459)/1000</f>
        <v>220.09872869180776</v>
      </c>
      <c r="AK459" s="13">
        <f>MAX(AI459/[1]Parametros!$B$6-AJ459,0)</f>
        <v>246.32106223956475</v>
      </c>
      <c r="AL459" s="13">
        <f>0.66*SQRT([1]Parametros!$B$2)*H459*MIN(U459,AB459)/1000</f>
        <v>854.500946685842</v>
      </c>
      <c r="AM459" s="13" t="str">
        <f t="shared" si="95"/>
        <v>CUMPLE</v>
      </c>
      <c r="AN459" s="13" t="s">
        <v>64</v>
      </c>
      <c r="AO459" s="14">
        <v>2</v>
      </c>
      <c r="AP459" s="13">
        <f>ROUNDDOWN(MIN(IF(BC459+BD459=0,1000000000,AO459*BB459/(BC459+BD459)),MIN(U459,AB459)/4,8*[1]Parametros!$B$12,24*BA459,300,IF(AV459=0,1000000000,2*((H459-2*([1]Parametros!$B$7+[1]Parametros!$B$9/2))+(I459-2*([1]Parametros!$B$7+[1]Parametros!$B$9/2)))/8))/10,0)*10</f>
        <v>80</v>
      </c>
      <c r="AQ459" s="13">
        <f>ROUNDDOWN(MIN(IF(BC459+BD459=0,1000000000,AO459*BB459/(BC459+BD459)),IF(AK459&gt;0.33*SQRT([1]Parametros!$B$2)*H459*MIN(U459,AB459)/1000,MIN(U459,AB459)/4,MIN(U459,AB459)/2),600,IF(AV459=0,1000000000,2*((H459-2*([1]Parametros!$B$7+[1]Parametros!$B$9/2))+(I459-2*([1]Parametros!$B$7+[1]Parametros!$B$9/2)))/8))/10,0)*10</f>
        <v>80</v>
      </c>
      <c r="AR459" s="13">
        <f>[1]Parametros!$B$6*(AJ459+MAX(BE459-BD459,0)*[1]Parametros!$B$4*MIN(U459,AB459)/1000)</f>
        <v>357.8681023580329</v>
      </c>
      <c r="AS459" s="13" t="str">
        <f t="shared" si="96"/>
        <v>CUMPLE</v>
      </c>
      <c r="AT459" s="13">
        <f>[1]Parametros!$B$6*0.083*SQRT([1]Parametros!$B$2)*(H459*I459)^2/(2*(H459+I459))/1000000</f>
        <v>11.862178757598967</v>
      </c>
      <c r="AU459" s="13" t="str">
        <f t="shared" si="97"/>
        <v>DISEÑAR</v>
      </c>
      <c r="AV459" s="13">
        <f>IF(Q459&lt;=AT459,0,Q459*1000000/([1]Parametros!$B$6*2*0.85*(H459-2*([1]Parametros!$B$7+[1]Parametros!$B$9/2))*(I459-2*([1]Parametros!$B$7+[1]Parametros!$B$9/2))*[1]Parametros!$B$4))</f>
        <v>0.26213510604713053</v>
      </c>
      <c r="AW459" s="13">
        <f>AV459*2*((H459-2*([1]Parametros!$B$7+[1]Parametros!$B$9/2))+(I459-2*([1]Parametros!$B$7+[1]Parametros!$B$9/2)))*[1]Parametros!$B$4/[1]Parametros!$B$3</f>
        <v>453.28402537669814</v>
      </c>
      <c r="AX459" s="14">
        <v>8</v>
      </c>
      <c r="AY459" s="13" t="str">
        <f t="shared" si="98"/>
        <v>CUMPLE</v>
      </c>
      <c r="AZ459" s="13" t="str">
        <f t="shared" si="99"/>
        <v>CUMPLE</v>
      </c>
      <c r="BA459" s="14">
        <v>9.5</v>
      </c>
      <c r="BB459" s="14">
        <v>71</v>
      </c>
      <c r="BC459" s="13">
        <f>MAX(IF(AK459=0,0,AK459*1000/([1]Parametros!$B$4*MIN(U459,AB459))),MAX(0.062*SQRT([1]Parametros!$B$2)*H459/[1]Parametros!$B$4,0.35*H459/[1]Parametros!$B$4))</f>
        <v>1.1984851734300834</v>
      </c>
      <c r="BD459" s="13">
        <f t="shared" si="100"/>
        <v>0.52427021209426106</v>
      </c>
      <c r="BE459" s="13">
        <f t="shared" si="101"/>
        <v>1.7749999999999999</v>
      </c>
      <c r="BF459" s="13">
        <f>SQRT((AI459*1000/(H459*MIN(U459,AB459)))^2+(Q459*1000000*2*((H459-2*([1]Parametros!$B$7+[1]Parametros!$B$9/2))+(I459-2*([1]Parametros!$B$7+[1]Parametros!$B$9/2)))/(1.7*((H459-2*([1]Parametros!$B$7+[1]Parametros!$B$9/2))*(I459-2*([1]Parametros!$B$7+[1]Parametros!$B$9/2)))^2))^2)</f>
        <v>1.6222648671501825</v>
      </c>
      <c r="BG459" s="13">
        <f>[1]Parametros!$B$6*(AJ459*1000/(H459*MIN(U459,AB459))+0.66*SQRT([1]Parametros!$B$2))</f>
        <v>3.2939603822754151</v>
      </c>
      <c r="BH459" s="13" t="str">
        <f t="shared" si="102"/>
        <v>CUMPLE</v>
      </c>
      <c r="BI459" s="13">
        <f>AX459*[1]Parametros!$B$8</f>
        <v>1592</v>
      </c>
      <c r="BJ459" s="15" t="str">
        <f t="shared" si="103"/>
        <v>CUMPLE</v>
      </c>
    </row>
    <row r="460" spans="1:62" x14ac:dyDescent="0.3">
      <c r="A460" s="33" t="s">
        <v>76</v>
      </c>
      <c r="B460" s="34">
        <v>895</v>
      </c>
      <c r="C460" s="13">
        <v>1</v>
      </c>
      <c r="D460" s="13">
        <v>3.05308</v>
      </c>
      <c r="E460" s="13">
        <v>3.05308</v>
      </c>
      <c r="F460" s="13">
        <v>500</v>
      </c>
      <c r="G460" s="13">
        <v>550</v>
      </c>
      <c r="H460" s="13">
        <v>500</v>
      </c>
      <c r="I460" s="13">
        <v>550</v>
      </c>
      <c r="J460" s="14">
        <v>125.4851</v>
      </c>
      <c r="K460" s="13">
        <v>895</v>
      </c>
      <c r="L460" s="14">
        <v>63.914400000000001</v>
      </c>
      <c r="M460" s="13">
        <v>895</v>
      </c>
      <c r="N460" s="14">
        <v>110.208</v>
      </c>
      <c r="O460" s="14">
        <v>260.81200000000001</v>
      </c>
      <c r="P460" s="13">
        <v>895</v>
      </c>
      <c r="Q460" s="14">
        <v>31.814900000000002</v>
      </c>
      <c r="R460" s="13">
        <f>MAX(MAX(1.4/[1]Parametros!$B$3,0.25*SQRT([1]Parametros!$B$2)/[1]Parametros!$B$3)*H460*U460,(0.85*[1]Parametros!$B$2/[1]Parametros!$B$3)*(1-SQRT(1-2*(J460*1000000/([1]Parametros!$B$5*H460*U460^2))/(0.85*[1]Parametros!$B$2)))*H460*U460)</f>
        <v>815.58333333333326</v>
      </c>
      <c r="S460" s="14">
        <v>5</v>
      </c>
      <c r="T460" s="14">
        <v>1</v>
      </c>
      <c r="U460" s="13">
        <f>IF(T460=1,I460-([1]Parametros!$B$7+[1]Parametros!$B$9+[1]Parametros!$B$12/2),I460-(ROUNDUP(S460/2,0)*([1]Parametros!$B$7+[1]Parametros!$B$9+[1]Parametros!$B$12/2)+ROUNDDOWN(S460/2,0)*([1]Parametros!$B$7+[1]Parametros!$B$9+[1]Parametros!$B$12/2+[1]Parametros!$B$12+[1]Parametros!$B$10))/S460)</f>
        <v>489.35</v>
      </c>
      <c r="V460" s="13">
        <f>S460*[1]Parametros!$B$8</f>
        <v>995</v>
      </c>
      <c r="W460" s="13">
        <f>[1]Parametros!$B$5*V460*[1]Parametros!$B$3*(U460-(V460*[1]Parametros!$B$3/(0.85*[1]Parametros!$B$2*H460))/2)/1000000</f>
        <v>177.44537938235294</v>
      </c>
      <c r="X460" s="13" t="str">
        <f t="shared" si="91"/>
        <v>CUMPLE</v>
      </c>
      <c r="Y460" s="13">
        <f>MAX(MAX(1.4/[1]Parametros!$B$3,0.25*SQRT([1]Parametros!$B$2)/[1]Parametros!$B$3)*H460*AB460,(0.85*[1]Parametros!$B$2/[1]Parametros!$B$3)*(1-SQRT(1-2*(L460*1000000/([1]Parametros!$B$5*H460*AB460^2))/(0.85*[1]Parametros!$B$2)))*H460*AB460)</f>
        <v>815.58333333333326</v>
      </c>
      <c r="Z460" s="14">
        <v>5</v>
      </c>
      <c r="AA460" s="14">
        <v>1</v>
      </c>
      <c r="AB460" s="13">
        <f>IF(AA460=1,I460-([1]Parametros!$B$7+[1]Parametros!$B$9+[1]Parametros!$B$12/2),I460-(ROUNDUP(Z460/2,0)*([1]Parametros!$B$7+[1]Parametros!$B$9+[1]Parametros!$B$12/2)+ROUNDDOWN(Z460/2,0)*([1]Parametros!$B$7+[1]Parametros!$B$9+[1]Parametros!$B$12/2+[1]Parametros!$B$12+[1]Parametros!$B$10))/Z460)</f>
        <v>489.35</v>
      </c>
      <c r="AC460" s="13">
        <f>Z460*[1]Parametros!$B$8</f>
        <v>995</v>
      </c>
      <c r="AD460" s="13">
        <f>[1]Parametros!$B$5*AC460*[1]Parametros!$B$3*(AB460-(AC460*[1]Parametros!$B$3/(0.85*[1]Parametros!$B$2*H460))/2)/1000000</f>
        <v>177.44537938235294</v>
      </c>
      <c r="AE460" s="13" t="str">
        <f t="shared" si="92"/>
        <v>CUMPLE</v>
      </c>
      <c r="AF460" s="13">
        <f>V460*1.25*[1]Parametros!$B$3*(U460-(V460*1.25*[1]Parametros!$B$3/(0.85*[1]Parametros!$B$2*H460))/2)/1000000</f>
        <v>244.15884319852941</v>
      </c>
      <c r="AG460" s="13">
        <f>AC460*1.25*[1]Parametros!$B$3*(AB460-(AC460*1.25*[1]Parametros!$B$3/(0.85*[1]Parametros!$B$2*H460))/2)/1000000</f>
        <v>244.15884319852941</v>
      </c>
      <c r="AH460" s="13">
        <f t="shared" si="93"/>
        <v>270.15064362449027</v>
      </c>
      <c r="AI460" s="13">
        <f t="shared" si="94"/>
        <v>270.15064362449027</v>
      </c>
      <c r="AJ460" s="13">
        <f>0.17*SQRT([1]Parametros!$B$2)*H460*MIN(U460,AB460)/1000</f>
        <v>220.09872869180776</v>
      </c>
      <c r="AK460" s="13">
        <f>MAX(AI460/[1]Parametros!$B$6-AJ460,0)</f>
        <v>140.10212947417926</v>
      </c>
      <c r="AL460" s="13">
        <f>0.66*SQRT([1]Parametros!$B$2)*H460*MIN(U460,AB460)/1000</f>
        <v>854.500946685842</v>
      </c>
      <c r="AM460" s="13" t="str">
        <f t="shared" si="95"/>
        <v>CUMPLE</v>
      </c>
      <c r="AN460" s="13" t="s">
        <v>64</v>
      </c>
      <c r="AO460" s="14">
        <v>2</v>
      </c>
      <c r="AP460" s="13">
        <f>ROUNDDOWN(MIN(IF(BC460+BD460=0,1000000000,AO460*BB460/(BC460+BD460)),MIN(U460,AB460)/4,8*[1]Parametros!$B$12,24*BA460,300,IF(AV460=0,1000000000,2*((H460-2*([1]Parametros!$B$7+[1]Parametros!$B$9/2))+(I460-2*([1]Parametros!$B$7+[1]Parametros!$B$9/2)))/8))/10,0)*10</f>
        <v>100</v>
      </c>
      <c r="AQ460" s="13">
        <f>ROUNDDOWN(MIN(IF(BC460+BD460=0,1000000000,AO460*BB460/(BC460+BD460)),IF(AK460&gt;0.33*SQRT([1]Parametros!$B$2)*H460*MIN(U460,AB460)/1000,MIN(U460,AB460)/4,MIN(U460,AB460)/2),600,IF(AV460=0,1000000000,2*((H460-2*([1]Parametros!$B$7+[1]Parametros!$B$9/2))+(I460-2*([1]Parametros!$B$7+[1]Parametros!$B$9/2)))/8))/10,0)*10</f>
        <v>100</v>
      </c>
      <c r="AR460" s="13">
        <f>[1]Parametros!$B$6*(AJ460+MAX(BE460-BD460,0)*[1]Parametros!$B$4*MIN(U460,AB460)/1000)</f>
        <v>285.62360425576708</v>
      </c>
      <c r="AS460" s="13" t="str">
        <f t="shared" si="96"/>
        <v>CUMPLE</v>
      </c>
      <c r="AT460" s="13">
        <f>[1]Parametros!$B$6*0.083*SQRT([1]Parametros!$B$2)*(H460*I460)^2/(2*(H460+I460))/1000000</f>
        <v>11.862178757598967</v>
      </c>
      <c r="AU460" s="13" t="str">
        <f t="shared" si="97"/>
        <v>DISEÑAR</v>
      </c>
      <c r="AV460" s="13">
        <f>IF(Q460&lt;=AT460,0,Q460*1000000/([1]Parametros!$B$6*2*0.85*(H460-2*([1]Parametros!$B$7+[1]Parametros!$B$9/2))*(I460-2*([1]Parametros!$B$7+[1]Parametros!$B$9/2))*[1]Parametros!$B$4))</f>
        <v>0.31897414050413081</v>
      </c>
      <c r="AW460" s="13">
        <f>AV460*2*((H460-2*([1]Parametros!$B$7+[1]Parametros!$B$9/2))+(I460-2*([1]Parametros!$B$7+[1]Parametros!$B$9/2)))*[1]Parametros!$B$4/[1]Parametros!$B$3</f>
        <v>551.57008375974306</v>
      </c>
      <c r="AX460" s="14">
        <v>8</v>
      </c>
      <c r="AY460" s="13" t="str">
        <f t="shared" si="98"/>
        <v>CUMPLE</v>
      </c>
      <c r="AZ460" s="13" t="str">
        <f t="shared" si="99"/>
        <v>CUMPLE</v>
      </c>
      <c r="BA460" s="14">
        <v>9.5</v>
      </c>
      <c r="BB460" s="14">
        <v>71</v>
      </c>
      <c r="BC460" s="13">
        <f>MAX(IF(AK460=0,0,AK460*1000/([1]Parametros!$B$4*MIN(U460,AB460))),MAX(0.062*SQRT([1]Parametros!$B$2)*H460/[1]Parametros!$B$4,0.35*H460/[1]Parametros!$B$4))</f>
        <v>0.68167262439572063</v>
      </c>
      <c r="BD460" s="13">
        <f t="shared" si="100"/>
        <v>0.63794828100826162</v>
      </c>
      <c r="BE460" s="13">
        <f t="shared" si="101"/>
        <v>1.42</v>
      </c>
      <c r="BF460" s="13">
        <f>SQRT((AI460*1000/(H460*MIN(U460,AB460)))^2+(Q460*1000000*2*((H460-2*([1]Parametros!$B$7+[1]Parametros!$B$9/2))+(I460-2*([1]Parametros!$B$7+[1]Parametros!$B$9/2)))/(1.7*((H460-2*([1]Parametros!$B$7+[1]Parametros!$B$9/2))*(I460-2*([1]Parametros!$B$7+[1]Parametros!$B$9/2)))^2))^2)</f>
        <v>1.4454155254177086</v>
      </c>
      <c r="BG460" s="13">
        <f>[1]Parametros!$B$6*(AJ460*1000/(H460*MIN(U460,AB460))+0.66*SQRT([1]Parametros!$B$2))</f>
        <v>3.2939603822754151</v>
      </c>
      <c r="BH460" s="13" t="str">
        <f t="shared" si="102"/>
        <v>CUMPLE</v>
      </c>
      <c r="BI460" s="13">
        <f>AX460*[1]Parametros!$B$8</f>
        <v>1592</v>
      </c>
      <c r="BJ460" s="15" t="str">
        <f t="shared" si="103"/>
        <v>CUMPLE</v>
      </c>
    </row>
    <row r="461" spans="1:62" x14ac:dyDescent="0.3">
      <c r="A461" s="33" t="s">
        <v>76</v>
      </c>
      <c r="B461" s="34">
        <v>896</v>
      </c>
      <c r="C461" s="13">
        <v>1</v>
      </c>
      <c r="D461" s="13">
        <v>2</v>
      </c>
      <c r="E461" s="13">
        <v>2</v>
      </c>
      <c r="F461" s="13">
        <v>500</v>
      </c>
      <c r="G461" s="13">
        <v>550</v>
      </c>
      <c r="H461" s="13">
        <v>500</v>
      </c>
      <c r="I461" s="13">
        <v>550</v>
      </c>
      <c r="J461" s="14">
        <v>105.5321</v>
      </c>
      <c r="K461" s="13">
        <v>896</v>
      </c>
      <c r="L461" s="14">
        <v>46.405299999999997</v>
      </c>
      <c r="M461" s="13">
        <v>896</v>
      </c>
      <c r="N461" s="14">
        <v>96.694000000000003</v>
      </c>
      <c r="O461" s="14">
        <v>248.41300000000001</v>
      </c>
      <c r="P461" s="13">
        <v>896</v>
      </c>
      <c r="Q461" s="14">
        <v>4.0366999999999997</v>
      </c>
      <c r="R461" s="13">
        <f>MAX(MAX(1.4/[1]Parametros!$B$3,0.25*SQRT([1]Parametros!$B$2)/[1]Parametros!$B$3)*H461*U461,(0.85*[1]Parametros!$B$2/[1]Parametros!$B$3)*(1-SQRT(1-2*(J461*1000000/([1]Parametros!$B$5*H461*U461^2))/(0.85*[1]Parametros!$B$2)))*H461*U461)</f>
        <v>815.58333333333326</v>
      </c>
      <c r="S461" s="14">
        <v>5</v>
      </c>
      <c r="T461" s="14">
        <v>1</v>
      </c>
      <c r="U461" s="13">
        <f>IF(T461=1,I461-([1]Parametros!$B$7+[1]Parametros!$B$9+[1]Parametros!$B$12/2),I461-(ROUNDUP(S461/2,0)*([1]Parametros!$B$7+[1]Parametros!$B$9+[1]Parametros!$B$12/2)+ROUNDDOWN(S461/2,0)*([1]Parametros!$B$7+[1]Parametros!$B$9+[1]Parametros!$B$12/2+[1]Parametros!$B$12+[1]Parametros!$B$10))/S461)</f>
        <v>489.35</v>
      </c>
      <c r="V461" s="13">
        <f>S461*[1]Parametros!$B$8</f>
        <v>995</v>
      </c>
      <c r="W461" s="13">
        <f>[1]Parametros!$B$5*V461*[1]Parametros!$B$3*(U461-(V461*[1]Parametros!$B$3/(0.85*[1]Parametros!$B$2*H461))/2)/1000000</f>
        <v>177.44537938235294</v>
      </c>
      <c r="X461" s="13" t="str">
        <f t="shared" si="91"/>
        <v>CUMPLE</v>
      </c>
      <c r="Y461" s="13">
        <f>MAX(MAX(1.4/[1]Parametros!$B$3,0.25*SQRT([1]Parametros!$B$2)/[1]Parametros!$B$3)*H461*AB461,(0.85*[1]Parametros!$B$2/[1]Parametros!$B$3)*(1-SQRT(1-2*(L461*1000000/([1]Parametros!$B$5*H461*AB461^2))/(0.85*[1]Parametros!$B$2)))*H461*AB461)</f>
        <v>815.58333333333326</v>
      </c>
      <c r="Z461" s="14">
        <v>5</v>
      </c>
      <c r="AA461" s="14">
        <v>1</v>
      </c>
      <c r="AB461" s="13">
        <f>IF(AA461=1,I461-([1]Parametros!$B$7+[1]Parametros!$B$9+[1]Parametros!$B$12/2),I461-(ROUNDUP(Z461/2,0)*([1]Parametros!$B$7+[1]Parametros!$B$9+[1]Parametros!$B$12/2)+ROUNDDOWN(Z461/2,0)*([1]Parametros!$B$7+[1]Parametros!$B$9+[1]Parametros!$B$12/2+[1]Parametros!$B$12+[1]Parametros!$B$10))/Z461)</f>
        <v>489.35</v>
      </c>
      <c r="AC461" s="13">
        <f>Z461*[1]Parametros!$B$8</f>
        <v>995</v>
      </c>
      <c r="AD461" s="13">
        <f>[1]Parametros!$B$5*AC461*[1]Parametros!$B$3*(AB461-(AC461*[1]Parametros!$B$3/(0.85*[1]Parametros!$B$2*H461))/2)/1000000</f>
        <v>177.44537938235294</v>
      </c>
      <c r="AE461" s="13" t="str">
        <f t="shared" si="92"/>
        <v>CUMPLE</v>
      </c>
      <c r="AF461" s="13">
        <f>V461*1.25*[1]Parametros!$B$3*(U461-(V461*1.25*[1]Parametros!$B$3/(0.85*[1]Parametros!$B$2*H461))/2)/1000000</f>
        <v>244.15884319852941</v>
      </c>
      <c r="AG461" s="13">
        <f>AC461*1.25*[1]Parametros!$B$3*(AB461-(AC461*1.25*[1]Parametros!$B$3/(0.85*[1]Parametros!$B$2*H461))/2)/1000000</f>
        <v>244.15884319852941</v>
      </c>
      <c r="AH461" s="13">
        <f t="shared" si="93"/>
        <v>340.8528431985294</v>
      </c>
      <c r="AI461" s="13">
        <f t="shared" si="94"/>
        <v>340.8528431985294</v>
      </c>
      <c r="AJ461" s="13">
        <f>0.17*SQRT([1]Parametros!$B$2)*H461*MIN(U461,AB461)/1000</f>
        <v>220.09872869180776</v>
      </c>
      <c r="AK461" s="13">
        <f>MAX(AI461/[1]Parametros!$B$6-AJ461,0)</f>
        <v>234.37172890623145</v>
      </c>
      <c r="AL461" s="13">
        <f>0.66*SQRT([1]Parametros!$B$2)*H461*MIN(U461,AB461)/1000</f>
        <v>854.500946685842</v>
      </c>
      <c r="AM461" s="13" t="str">
        <f t="shared" si="95"/>
        <v>CUMPLE</v>
      </c>
      <c r="AN461" s="13" t="s">
        <v>64</v>
      </c>
      <c r="AO461" s="14">
        <v>2</v>
      </c>
      <c r="AP461" s="13">
        <f>ROUNDDOWN(MIN(IF(BC461+BD461=0,1000000000,AO461*BB461/(BC461+BD461)),MIN(U461,AB461)/4,8*[1]Parametros!$B$12,24*BA461,300,IF(AV461=0,1000000000,2*((H461-2*([1]Parametros!$B$7+[1]Parametros!$B$9/2))+(I461-2*([1]Parametros!$B$7+[1]Parametros!$B$9/2)))/8))/10,0)*10</f>
        <v>120</v>
      </c>
      <c r="AQ461" s="13">
        <f>ROUNDDOWN(MIN(IF(BC461+BD461=0,1000000000,AO461*BB461/(BC461+BD461)),IF(AK461&gt;0.33*SQRT([1]Parametros!$B$2)*H461*MIN(U461,AB461)/1000,MIN(U461,AB461)/4,MIN(U461,AB461)/2),600,IF(AV461=0,1000000000,2*((H461-2*([1]Parametros!$B$7+[1]Parametros!$B$9/2))+(I461-2*([1]Parametros!$B$7+[1]Parametros!$B$9/2)))/8))/10,0)*10</f>
        <v>120</v>
      </c>
      <c r="AR461" s="13">
        <f>[1]Parametros!$B$6*(AJ461+MAX(BE461-BD461,0)*[1]Parametros!$B$4*MIN(U461,AB461)/1000)</f>
        <v>347.47925901885583</v>
      </c>
      <c r="AS461" s="13" t="str">
        <f t="shared" si="96"/>
        <v>CUMPLE</v>
      </c>
      <c r="AT461" s="13">
        <f>[1]Parametros!$B$6*0.083*SQRT([1]Parametros!$B$2)*(H461*I461)^2/(2*(H461+I461))/1000000</f>
        <v>11.862178757598967</v>
      </c>
      <c r="AU461" s="13" t="str">
        <f t="shared" si="97"/>
        <v>DESPRECIABLE</v>
      </c>
      <c r="AV461" s="13">
        <f>IF(Q461&lt;=AT461,0,Q461*1000000/([1]Parametros!$B$6*2*0.85*(H461-2*([1]Parametros!$B$7+[1]Parametros!$B$9/2))*(I461-2*([1]Parametros!$B$7+[1]Parametros!$B$9/2))*[1]Parametros!$B$4))</f>
        <v>0</v>
      </c>
      <c r="AW461" s="13">
        <f>AV461*2*((H461-2*([1]Parametros!$B$7+[1]Parametros!$B$9/2))+(I461-2*([1]Parametros!$B$7+[1]Parametros!$B$9/2)))*[1]Parametros!$B$4/[1]Parametros!$B$3</f>
        <v>0</v>
      </c>
      <c r="AX461" s="14">
        <v>0</v>
      </c>
      <c r="AY461" s="13" t="str">
        <f t="shared" si="98"/>
        <v>DESPRECIABLE</v>
      </c>
      <c r="AZ461" s="13" t="str">
        <f t="shared" si="99"/>
        <v>CUMPLE</v>
      </c>
      <c r="BA461" s="14">
        <v>9.5</v>
      </c>
      <c r="BB461" s="14">
        <v>71</v>
      </c>
      <c r="BC461" s="13">
        <f>MAX(IF(AK461=0,0,AK461*1000/([1]Parametros!$B$4*MIN(U461,AB461))),MAX(0.062*SQRT([1]Parametros!$B$2)*H461/[1]Parametros!$B$4,0.35*H461/[1]Parametros!$B$4))</f>
        <v>1.1403452047966032</v>
      </c>
      <c r="BD461" s="13">
        <f t="shared" si="100"/>
        <v>0</v>
      </c>
      <c r="BE461" s="13">
        <f t="shared" si="101"/>
        <v>1.1833333333333333</v>
      </c>
      <c r="BF461" s="13">
        <f>SQRT((AI461*1000/(H461*MIN(U461,AB461)))^2+(Q461*1000000*2*((H461-2*([1]Parametros!$B$7+[1]Parametros!$B$9/2))+(I461-2*([1]Parametros!$B$7+[1]Parametros!$B$9/2)))/(1.7*((H461-2*([1]Parametros!$B$7+[1]Parametros!$B$9/2))*(I461-2*([1]Parametros!$B$7+[1]Parametros!$B$9/2)))^2))^2)</f>
        <v>1.3981027976237062</v>
      </c>
      <c r="BG461" s="13">
        <f>[1]Parametros!$B$6*(AJ461*1000/(H461*MIN(U461,AB461))+0.66*SQRT([1]Parametros!$B$2))</f>
        <v>3.2939603822754151</v>
      </c>
      <c r="BH461" s="13" t="str">
        <f t="shared" si="102"/>
        <v>CUMPLE</v>
      </c>
      <c r="BI461" s="13">
        <f>AX461*[1]Parametros!$B$8</f>
        <v>0</v>
      </c>
      <c r="BJ461" s="15" t="str">
        <f t="shared" si="103"/>
        <v>CUMPLE</v>
      </c>
    </row>
    <row r="462" spans="1:62" x14ac:dyDescent="0.3">
      <c r="A462" s="33" t="s">
        <v>76</v>
      </c>
      <c r="B462" s="34">
        <v>957</v>
      </c>
      <c r="C462" s="13">
        <v>1</v>
      </c>
      <c r="D462" s="13">
        <v>2</v>
      </c>
      <c r="E462" s="13">
        <v>2</v>
      </c>
      <c r="F462" s="13">
        <v>500</v>
      </c>
      <c r="G462" s="13">
        <v>550</v>
      </c>
      <c r="H462" s="13">
        <v>500</v>
      </c>
      <c r="I462" s="13">
        <v>550</v>
      </c>
      <c r="J462" s="14">
        <v>61.855699999999999</v>
      </c>
      <c r="K462" s="13">
        <v>957</v>
      </c>
      <c r="L462" s="14">
        <v>4.8399000000000001</v>
      </c>
      <c r="M462" s="13">
        <v>957</v>
      </c>
      <c r="N462" s="14">
        <v>57.362000000000002</v>
      </c>
      <c r="O462" s="14">
        <v>78.953000000000003</v>
      </c>
      <c r="P462" s="13">
        <v>957</v>
      </c>
      <c r="Q462" s="14">
        <v>2.5236999999999998</v>
      </c>
      <c r="R462" s="13">
        <f>MAX(MAX(1.4/[1]Parametros!$B$3,0.25*SQRT([1]Parametros!$B$2)/[1]Parametros!$B$3)*H462*U462,(0.85*[1]Parametros!$B$2/[1]Parametros!$B$3)*(1-SQRT(1-2*(J462*1000000/([1]Parametros!$B$5*H462*U462^2))/(0.85*[1]Parametros!$B$2)))*H462*U462)</f>
        <v>815.58333333333326</v>
      </c>
      <c r="S462" s="14">
        <v>5</v>
      </c>
      <c r="T462" s="14">
        <v>1</v>
      </c>
      <c r="U462" s="13">
        <f>IF(T462=1,I462-([1]Parametros!$B$7+[1]Parametros!$B$9+[1]Parametros!$B$12/2),I462-(ROUNDUP(S462/2,0)*([1]Parametros!$B$7+[1]Parametros!$B$9+[1]Parametros!$B$12/2)+ROUNDDOWN(S462/2,0)*([1]Parametros!$B$7+[1]Parametros!$B$9+[1]Parametros!$B$12/2+[1]Parametros!$B$12+[1]Parametros!$B$10))/S462)</f>
        <v>489.35</v>
      </c>
      <c r="V462" s="13">
        <f>S462*[1]Parametros!$B$8</f>
        <v>995</v>
      </c>
      <c r="W462" s="13">
        <f>[1]Parametros!$B$5*V462*[1]Parametros!$B$3*(U462-(V462*[1]Parametros!$B$3/(0.85*[1]Parametros!$B$2*H462))/2)/1000000</f>
        <v>177.44537938235294</v>
      </c>
      <c r="X462" s="13" t="str">
        <f t="shared" si="91"/>
        <v>CUMPLE</v>
      </c>
      <c r="Y462" s="13">
        <f>MAX(MAX(1.4/[1]Parametros!$B$3,0.25*SQRT([1]Parametros!$B$2)/[1]Parametros!$B$3)*H462*AB462,(0.85*[1]Parametros!$B$2/[1]Parametros!$B$3)*(1-SQRT(1-2*(L462*1000000/([1]Parametros!$B$5*H462*AB462^2))/(0.85*[1]Parametros!$B$2)))*H462*AB462)</f>
        <v>815.58333333333326</v>
      </c>
      <c r="Z462" s="14">
        <v>5</v>
      </c>
      <c r="AA462" s="14">
        <v>1</v>
      </c>
      <c r="AB462" s="13">
        <f>IF(AA462=1,I462-([1]Parametros!$B$7+[1]Parametros!$B$9+[1]Parametros!$B$12/2),I462-(ROUNDUP(Z462/2,0)*([1]Parametros!$B$7+[1]Parametros!$B$9+[1]Parametros!$B$12/2)+ROUNDDOWN(Z462/2,0)*([1]Parametros!$B$7+[1]Parametros!$B$9+[1]Parametros!$B$12/2+[1]Parametros!$B$12+[1]Parametros!$B$10))/Z462)</f>
        <v>489.35</v>
      </c>
      <c r="AC462" s="13">
        <f>Z462*[1]Parametros!$B$8</f>
        <v>995</v>
      </c>
      <c r="AD462" s="13">
        <f>[1]Parametros!$B$5*AC462*[1]Parametros!$B$3*(AB462-(AC462*[1]Parametros!$B$3/(0.85*[1]Parametros!$B$2*H462))/2)/1000000</f>
        <v>177.44537938235294</v>
      </c>
      <c r="AE462" s="13" t="str">
        <f t="shared" si="92"/>
        <v>CUMPLE</v>
      </c>
      <c r="AF462" s="13">
        <f>V462*1.25*[1]Parametros!$B$3*(U462-(V462*1.25*[1]Parametros!$B$3/(0.85*[1]Parametros!$B$2*H462))/2)/1000000</f>
        <v>244.15884319852941</v>
      </c>
      <c r="AG462" s="13">
        <f>AC462*1.25*[1]Parametros!$B$3*(AB462-(AC462*1.25*[1]Parametros!$B$3/(0.85*[1]Parametros!$B$2*H462))/2)/1000000</f>
        <v>244.15884319852941</v>
      </c>
      <c r="AH462" s="13">
        <f t="shared" si="93"/>
        <v>301.52084319852941</v>
      </c>
      <c r="AI462" s="13">
        <f t="shared" si="94"/>
        <v>301.52084319852941</v>
      </c>
      <c r="AJ462" s="13">
        <f>0.17*SQRT([1]Parametros!$B$2)*H462*MIN(U462,AB462)/1000</f>
        <v>220.09872869180776</v>
      </c>
      <c r="AK462" s="13">
        <f>MAX(AI462/[1]Parametros!$B$6-AJ462,0)</f>
        <v>181.92906223956476</v>
      </c>
      <c r="AL462" s="13">
        <f>0.66*SQRT([1]Parametros!$B$2)*H462*MIN(U462,AB462)/1000</f>
        <v>854.500946685842</v>
      </c>
      <c r="AM462" s="13" t="str">
        <f t="shared" si="95"/>
        <v>CUMPLE</v>
      </c>
      <c r="AN462" s="13" t="s">
        <v>64</v>
      </c>
      <c r="AO462" s="14">
        <v>2</v>
      </c>
      <c r="AP462" s="13">
        <f>ROUNDDOWN(MIN(IF(BC462+BD462=0,1000000000,AO462*BB462/(BC462+BD462)),MIN(U462,AB462)/4,8*[1]Parametros!$B$12,24*BA462,300,IF(AV462=0,1000000000,2*((H462-2*([1]Parametros!$B$7+[1]Parametros!$B$9/2))+(I462-2*([1]Parametros!$B$7+[1]Parametros!$B$9/2)))/8))/10,0)*10</f>
        <v>120</v>
      </c>
      <c r="AQ462" s="13">
        <f>ROUNDDOWN(MIN(IF(BC462+BD462=0,1000000000,AO462*BB462/(BC462+BD462)),IF(AK462&gt;0.33*SQRT([1]Parametros!$B$2)*H462*MIN(U462,AB462)/1000,MIN(U462,AB462)/4,MIN(U462,AB462)/2),600,IF(AV462=0,1000000000,2*((H462-2*([1]Parametros!$B$7+[1]Parametros!$B$9/2))+(I462-2*([1]Parametros!$B$7+[1]Parametros!$B$9/2)))/8))/10,0)*10</f>
        <v>160</v>
      </c>
      <c r="AR462" s="13">
        <f>[1]Parametros!$B$6*(AJ462+MAX(BE462-BD462,0)*[1]Parametros!$B$4*MIN(U462,AB462)/1000)</f>
        <v>347.47925901885583</v>
      </c>
      <c r="AS462" s="13" t="str">
        <f t="shared" si="96"/>
        <v>CUMPLE</v>
      </c>
      <c r="AT462" s="13">
        <f>[1]Parametros!$B$6*0.083*SQRT([1]Parametros!$B$2)*(H462*I462)^2/(2*(H462+I462))/1000000</f>
        <v>11.862178757598967</v>
      </c>
      <c r="AU462" s="13" t="str">
        <f t="shared" si="97"/>
        <v>DESPRECIABLE</v>
      </c>
      <c r="AV462" s="13">
        <f>IF(Q462&lt;=AT462,0,Q462*1000000/([1]Parametros!$B$6*2*0.85*(H462-2*([1]Parametros!$B$7+[1]Parametros!$B$9/2))*(I462-2*([1]Parametros!$B$7+[1]Parametros!$B$9/2))*[1]Parametros!$B$4))</f>
        <v>0</v>
      </c>
      <c r="AW462" s="13">
        <f>AV462*2*((H462-2*([1]Parametros!$B$7+[1]Parametros!$B$9/2))+(I462-2*([1]Parametros!$B$7+[1]Parametros!$B$9/2)))*[1]Parametros!$B$4/[1]Parametros!$B$3</f>
        <v>0</v>
      </c>
      <c r="AX462" s="14">
        <v>0</v>
      </c>
      <c r="AY462" s="13" t="str">
        <f t="shared" si="98"/>
        <v>DESPRECIABLE</v>
      </c>
      <c r="AZ462" s="13" t="str">
        <f t="shared" si="99"/>
        <v>CUMPLE</v>
      </c>
      <c r="BA462" s="14">
        <v>9.5</v>
      </c>
      <c r="BB462" s="14">
        <v>71</v>
      </c>
      <c r="BC462" s="13">
        <f>MAX(IF(AK462=0,0,AK462*1000/([1]Parametros!$B$4*MIN(U462,AB462))),MAX(0.062*SQRT([1]Parametros!$B$2)*H462/[1]Parametros!$B$4,0.35*H462/[1]Parametros!$B$4))</f>
        <v>0.88518327149019227</v>
      </c>
      <c r="BD462" s="13">
        <f t="shared" si="100"/>
        <v>0</v>
      </c>
      <c r="BE462" s="13">
        <f t="shared" si="101"/>
        <v>1.1833333333333333</v>
      </c>
      <c r="BF462" s="13">
        <f>SQRT((AI462*1000/(H462*MIN(U462,AB462)))^2+(Q462*1000000*2*((H462-2*([1]Parametros!$B$7+[1]Parametros!$B$9/2))+(I462-2*([1]Parametros!$B$7+[1]Parametros!$B$9/2)))/(1.7*((H462-2*([1]Parametros!$B$7+[1]Parametros!$B$9/2))*(I462-2*([1]Parametros!$B$7+[1]Parametros!$B$9/2)))^2))^2)</f>
        <v>1.234551554627862</v>
      </c>
      <c r="BG462" s="13">
        <f>[1]Parametros!$B$6*(AJ462*1000/(H462*MIN(U462,AB462))+0.66*SQRT([1]Parametros!$B$2))</f>
        <v>3.2939603822754151</v>
      </c>
      <c r="BH462" s="13" t="str">
        <f t="shared" si="102"/>
        <v>CUMPLE</v>
      </c>
      <c r="BI462" s="13">
        <f>AX462*[1]Parametros!$B$8</f>
        <v>0</v>
      </c>
      <c r="BJ462" s="15" t="str">
        <f t="shared" si="103"/>
        <v>CUMPLE</v>
      </c>
    </row>
    <row r="463" spans="1:62" x14ac:dyDescent="0.3">
      <c r="A463" s="33" t="s">
        <v>76</v>
      </c>
      <c r="B463" s="34">
        <v>958</v>
      </c>
      <c r="C463" s="13">
        <v>1</v>
      </c>
      <c r="D463" s="13">
        <v>3.05308</v>
      </c>
      <c r="E463" s="13">
        <v>3.05308</v>
      </c>
      <c r="F463" s="13">
        <v>500</v>
      </c>
      <c r="G463" s="13">
        <v>550</v>
      </c>
      <c r="H463" s="13">
        <v>500</v>
      </c>
      <c r="I463" s="13">
        <v>550</v>
      </c>
      <c r="J463" s="14">
        <v>82.216800000000006</v>
      </c>
      <c r="K463" s="13">
        <v>958</v>
      </c>
      <c r="L463" s="14">
        <v>43.917499999999997</v>
      </c>
      <c r="M463" s="13">
        <v>958</v>
      </c>
      <c r="N463" s="14">
        <v>84.463999999999999</v>
      </c>
      <c r="O463" s="14">
        <v>166.43</v>
      </c>
      <c r="P463" s="13">
        <v>958</v>
      </c>
      <c r="Q463" s="14">
        <v>26.330300000000001</v>
      </c>
      <c r="R463" s="13">
        <f>MAX(MAX(1.4/[1]Parametros!$B$3,0.25*SQRT([1]Parametros!$B$2)/[1]Parametros!$B$3)*H463*U463,(0.85*[1]Parametros!$B$2/[1]Parametros!$B$3)*(1-SQRT(1-2*(J463*1000000/([1]Parametros!$B$5*H463*U463^2))/(0.85*[1]Parametros!$B$2)))*H463*U463)</f>
        <v>815.58333333333326</v>
      </c>
      <c r="S463" s="14">
        <v>5</v>
      </c>
      <c r="T463" s="14">
        <v>1</v>
      </c>
      <c r="U463" s="13">
        <f>IF(T463=1,I463-([1]Parametros!$B$7+[1]Parametros!$B$9+[1]Parametros!$B$12/2),I463-(ROUNDUP(S463/2,0)*([1]Parametros!$B$7+[1]Parametros!$B$9+[1]Parametros!$B$12/2)+ROUNDDOWN(S463/2,0)*([1]Parametros!$B$7+[1]Parametros!$B$9+[1]Parametros!$B$12/2+[1]Parametros!$B$12+[1]Parametros!$B$10))/S463)</f>
        <v>489.35</v>
      </c>
      <c r="V463" s="13">
        <f>S463*[1]Parametros!$B$8</f>
        <v>995</v>
      </c>
      <c r="W463" s="13">
        <f>[1]Parametros!$B$5*V463*[1]Parametros!$B$3*(U463-(V463*[1]Parametros!$B$3/(0.85*[1]Parametros!$B$2*H463))/2)/1000000</f>
        <v>177.44537938235294</v>
      </c>
      <c r="X463" s="13" t="str">
        <f t="shared" si="91"/>
        <v>CUMPLE</v>
      </c>
      <c r="Y463" s="13">
        <f>MAX(MAX(1.4/[1]Parametros!$B$3,0.25*SQRT([1]Parametros!$B$2)/[1]Parametros!$B$3)*H463*AB463,(0.85*[1]Parametros!$B$2/[1]Parametros!$B$3)*(1-SQRT(1-2*(L463*1000000/([1]Parametros!$B$5*H463*AB463^2))/(0.85*[1]Parametros!$B$2)))*H463*AB463)</f>
        <v>815.58333333333326</v>
      </c>
      <c r="Z463" s="14">
        <v>5</v>
      </c>
      <c r="AA463" s="14">
        <v>1</v>
      </c>
      <c r="AB463" s="13">
        <f>IF(AA463=1,I463-([1]Parametros!$B$7+[1]Parametros!$B$9+[1]Parametros!$B$12/2),I463-(ROUNDUP(Z463/2,0)*([1]Parametros!$B$7+[1]Parametros!$B$9+[1]Parametros!$B$12/2)+ROUNDDOWN(Z463/2,0)*([1]Parametros!$B$7+[1]Parametros!$B$9+[1]Parametros!$B$12/2+[1]Parametros!$B$12+[1]Parametros!$B$10))/Z463)</f>
        <v>489.35</v>
      </c>
      <c r="AC463" s="13">
        <f>Z463*[1]Parametros!$B$8</f>
        <v>995</v>
      </c>
      <c r="AD463" s="13">
        <f>[1]Parametros!$B$5*AC463*[1]Parametros!$B$3*(AB463-(AC463*[1]Parametros!$B$3/(0.85*[1]Parametros!$B$2*H463))/2)/1000000</f>
        <v>177.44537938235294</v>
      </c>
      <c r="AE463" s="13" t="str">
        <f t="shared" si="92"/>
        <v>CUMPLE</v>
      </c>
      <c r="AF463" s="13">
        <f>V463*1.25*[1]Parametros!$B$3*(U463-(V463*1.25*[1]Parametros!$B$3/(0.85*[1]Parametros!$B$2*H463))/2)/1000000</f>
        <v>244.15884319852941</v>
      </c>
      <c r="AG463" s="13">
        <f>AC463*1.25*[1]Parametros!$B$3*(AB463-(AC463*1.25*[1]Parametros!$B$3/(0.85*[1]Parametros!$B$2*H463))/2)/1000000</f>
        <v>244.15884319852941</v>
      </c>
      <c r="AH463" s="13">
        <f t="shared" si="93"/>
        <v>244.4066436244903</v>
      </c>
      <c r="AI463" s="13">
        <f t="shared" si="94"/>
        <v>244.4066436244903</v>
      </c>
      <c r="AJ463" s="13">
        <f>0.17*SQRT([1]Parametros!$B$2)*H463*MIN(U463,AB463)/1000</f>
        <v>220.09872869180776</v>
      </c>
      <c r="AK463" s="13">
        <f>MAX(AI463/[1]Parametros!$B$6-AJ463,0)</f>
        <v>105.77679614084599</v>
      </c>
      <c r="AL463" s="13">
        <f>0.66*SQRT([1]Parametros!$B$2)*H463*MIN(U463,AB463)/1000</f>
        <v>854.500946685842</v>
      </c>
      <c r="AM463" s="13" t="str">
        <f t="shared" si="95"/>
        <v>CUMPLE</v>
      </c>
      <c r="AN463" s="13" t="s">
        <v>64</v>
      </c>
      <c r="AO463" s="14">
        <v>2</v>
      </c>
      <c r="AP463" s="13">
        <f>ROUNDDOWN(MIN(IF(BC463+BD463=0,1000000000,AO463*BB463/(BC463+BD463)),MIN(U463,AB463)/4,8*[1]Parametros!$B$12,24*BA463,300,IF(AV463=0,1000000000,2*((H463-2*([1]Parametros!$B$7+[1]Parametros!$B$9/2))+(I463-2*([1]Parametros!$B$7+[1]Parametros!$B$9/2)))/8))/10,0)*10</f>
        <v>120</v>
      </c>
      <c r="AQ463" s="13">
        <f>ROUNDDOWN(MIN(IF(BC463+BD463=0,1000000000,AO463*BB463/(BC463+BD463)),IF(AK463&gt;0.33*SQRT([1]Parametros!$B$2)*H463*MIN(U463,AB463)/1000,MIN(U463,AB463)/4,MIN(U463,AB463)/2),600,IF(AV463=0,1000000000,2*((H463-2*([1]Parametros!$B$7+[1]Parametros!$B$9/2))+(I463-2*([1]Parametros!$B$7+[1]Parametros!$B$9/2)))/8))/10,0)*10</f>
        <v>130</v>
      </c>
      <c r="AR463" s="13">
        <f>[1]Parametros!$B$6*(AJ463+MAX(BE463-BD463,0)*[1]Parametros!$B$4*MIN(U463,AB463)/1000)</f>
        <v>266.09491583543218</v>
      </c>
      <c r="AS463" s="13" t="str">
        <f t="shared" si="96"/>
        <v>CUMPLE</v>
      </c>
      <c r="AT463" s="13">
        <f>[1]Parametros!$B$6*0.083*SQRT([1]Parametros!$B$2)*(H463*I463)^2/(2*(H463+I463))/1000000</f>
        <v>11.862178757598967</v>
      </c>
      <c r="AU463" s="13" t="str">
        <f t="shared" si="97"/>
        <v>DISEÑAR</v>
      </c>
      <c r="AV463" s="13">
        <f>IF(Q463&lt;=AT463,0,Q463*1000000/([1]Parametros!$B$6*2*0.85*(H463-2*([1]Parametros!$B$7+[1]Parametros!$B$9/2))*(I463-2*([1]Parametros!$B$7+[1]Parametros!$B$9/2))*[1]Parametros!$B$4))</f>
        <v>0.26398589377040049</v>
      </c>
      <c r="AW463" s="13">
        <f>AV463*2*((H463-2*([1]Parametros!$B$7+[1]Parametros!$B$9/2))+(I463-2*([1]Parametros!$B$7+[1]Parametros!$B$9/2)))*[1]Parametros!$B$4/[1]Parametros!$B$3</f>
        <v>456.48440750777655</v>
      </c>
      <c r="AX463" s="14">
        <v>8</v>
      </c>
      <c r="AY463" s="13" t="str">
        <f t="shared" si="98"/>
        <v>CUMPLE</v>
      </c>
      <c r="AZ463" s="13" t="str">
        <f t="shared" si="99"/>
        <v>CUMPLE</v>
      </c>
      <c r="BA463" s="14">
        <v>9.5</v>
      </c>
      <c r="BB463" s="14">
        <v>71</v>
      </c>
      <c r="BC463" s="13">
        <f>MAX(IF(AK463=0,0,AK463*1000/([1]Parametros!$B$4*MIN(U463,AB463))),MAX(0.062*SQRT([1]Parametros!$B$2)*H463/[1]Parametros!$B$4,0.35*H463/[1]Parametros!$B$4))</f>
        <v>0.51466131525709991</v>
      </c>
      <c r="BD463" s="13">
        <f t="shared" si="100"/>
        <v>0.52797178754080099</v>
      </c>
      <c r="BE463" s="13">
        <f t="shared" si="101"/>
        <v>1.1833333333333333</v>
      </c>
      <c r="BF463" s="13">
        <f>SQRT((AI463*1000/(H463*MIN(U463,AB463)))^2+(Q463*1000000*2*((H463-2*([1]Parametros!$B$7+[1]Parametros!$B$9/2))+(I463-2*([1]Parametros!$B$7+[1]Parametros!$B$9/2)))/(1.7*((H463-2*([1]Parametros!$B$7+[1]Parametros!$B$9/2))*(I463-2*([1]Parametros!$B$7+[1]Parametros!$B$9/2)))^2))^2)</f>
        <v>1.2624585065939495</v>
      </c>
      <c r="BG463" s="13">
        <f>[1]Parametros!$B$6*(AJ463*1000/(H463*MIN(U463,AB463))+0.66*SQRT([1]Parametros!$B$2))</f>
        <v>3.2939603822754151</v>
      </c>
      <c r="BH463" s="13" t="str">
        <f t="shared" si="102"/>
        <v>CUMPLE</v>
      </c>
      <c r="BI463" s="13">
        <f>AX463*[1]Parametros!$B$8</f>
        <v>1592</v>
      </c>
      <c r="BJ463" s="15" t="str">
        <f t="shared" si="103"/>
        <v>CUMPLE</v>
      </c>
    </row>
    <row r="464" spans="1:62" x14ac:dyDescent="0.3">
      <c r="A464" s="33" t="s">
        <v>76</v>
      </c>
      <c r="B464" s="34">
        <v>959</v>
      </c>
      <c r="C464" s="13">
        <v>1</v>
      </c>
      <c r="D464" s="13">
        <v>2</v>
      </c>
      <c r="E464" s="13">
        <v>2</v>
      </c>
      <c r="F464" s="13">
        <v>500</v>
      </c>
      <c r="G464" s="13">
        <v>550</v>
      </c>
      <c r="H464" s="13">
        <v>500</v>
      </c>
      <c r="I464" s="13">
        <v>550</v>
      </c>
      <c r="J464" s="14">
        <v>53.898299999999999</v>
      </c>
      <c r="K464" s="13">
        <v>959</v>
      </c>
      <c r="L464" s="14">
        <v>19.1008</v>
      </c>
      <c r="M464" s="13">
        <v>959</v>
      </c>
      <c r="N464" s="14">
        <v>64.183000000000007</v>
      </c>
      <c r="O464" s="14">
        <v>149.56399999999999</v>
      </c>
      <c r="P464" s="13">
        <v>959</v>
      </c>
      <c r="Q464" s="14">
        <v>21.549399999999999</v>
      </c>
      <c r="R464" s="13">
        <f>MAX(MAX(1.4/[1]Parametros!$B$3,0.25*SQRT([1]Parametros!$B$2)/[1]Parametros!$B$3)*H464*U464,(0.85*[1]Parametros!$B$2/[1]Parametros!$B$3)*(1-SQRT(1-2*(J464*1000000/([1]Parametros!$B$5*H464*U464^2))/(0.85*[1]Parametros!$B$2)))*H464*U464)</f>
        <v>815.58333333333326</v>
      </c>
      <c r="S464" s="14">
        <v>5</v>
      </c>
      <c r="T464" s="14">
        <v>1</v>
      </c>
      <c r="U464" s="13">
        <f>IF(T464=1,I464-([1]Parametros!$B$7+[1]Parametros!$B$9+[1]Parametros!$B$12/2),I464-(ROUNDUP(S464/2,0)*([1]Parametros!$B$7+[1]Parametros!$B$9+[1]Parametros!$B$12/2)+ROUNDDOWN(S464/2,0)*([1]Parametros!$B$7+[1]Parametros!$B$9+[1]Parametros!$B$12/2+[1]Parametros!$B$12+[1]Parametros!$B$10))/S464)</f>
        <v>489.35</v>
      </c>
      <c r="V464" s="13">
        <f>S464*[1]Parametros!$B$8</f>
        <v>995</v>
      </c>
      <c r="W464" s="13">
        <f>[1]Parametros!$B$5*V464*[1]Parametros!$B$3*(U464-(V464*[1]Parametros!$B$3/(0.85*[1]Parametros!$B$2*H464))/2)/1000000</f>
        <v>177.44537938235294</v>
      </c>
      <c r="X464" s="13" t="str">
        <f t="shared" si="91"/>
        <v>CUMPLE</v>
      </c>
      <c r="Y464" s="13">
        <f>MAX(MAX(1.4/[1]Parametros!$B$3,0.25*SQRT([1]Parametros!$B$2)/[1]Parametros!$B$3)*H464*AB464,(0.85*[1]Parametros!$B$2/[1]Parametros!$B$3)*(1-SQRT(1-2*(L464*1000000/([1]Parametros!$B$5*H464*AB464^2))/(0.85*[1]Parametros!$B$2)))*H464*AB464)</f>
        <v>815.58333333333326</v>
      </c>
      <c r="Z464" s="14">
        <v>5</v>
      </c>
      <c r="AA464" s="14">
        <v>1</v>
      </c>
      <c r="AB464" s="13">
        <f>IF(AA464=1,I464-([1]Parametros!$B$7+[1]Parametros!$B$9+[1]Parametros!$B$12/2),I464-(ROUNDUP(Z464/2,0)*([1]Parametros!$B$7+[1]Parametros!$B$9+[1]Parametros!$B$12/2)+ROUNDDOWN(Z464/2,0)*([1]Parametros!$B$7+[1]Parametros!$B$9+[1]Parametros!$B$12/2+[1]Parametros!$B$12+[1]Parametros!$B$10))/Z464)</f>
        <v>489.35</v>
      </c>
      <c r="AC464" s="13">
        <f>Z464*[1]Parametros!$B$8</f>
        <v>995</v>
      </c>
      <c r="AD464" s="13">
        <f>[1]Parametros!$B$5*AC464*[1]Parametros!$B$3*(AB464-(AC464*[1]Parametros!$B$3/(0.85*[1]Parametros!$B$2*H464))/2)/1000000</f>
        <v>177.44537938235294</v>
      </c>
      <c r="AE464" s="13" t="str">
        <f t="shared" si="92"/>
        <v>CUMPLE</v>
      </c>
      <c r="AF464" s="13">
        <f>V464*1.25*[1]Parametros!$B$3*(U464-(V464*1.25*[1]Parametros!$B$3/(0.85*[1]Parametros!$B$2*H464))/2)/1000000</f>
        <v>244.15884319852941</v>
      </c>
      <c r="AG464" s="13">
        <f>AC464*1.25*[1]Parametros!$B$3*(AB464-(AC464*1.25*[1]Parametros!$B$3/(0.85*[1]Parametros!$B$2*H464))/2)/1000000</f>
        <v>244.15884319852941</v>
      </c>
      <c r="AH464" s="13">
        <f t="shared" si="93"/>
        <v>308.34184319852943</v>
      </c>
      <c r="AI464" s="13">
        <f t="shared" si="94"/>
        <v>308.34184319852943</v>
      </c>
      <c r="AJ464" s="13">
        <f>0.17*SQRT([1]Parametros!$B$2)*H464*MIN(U464,AB464)/1000</f>
        <v>220.09872869180776</v>
      </c>
      <c r="AK464" s="13">
        <f>MAX(AI464/[1]Parametros!$B$6-AJ464,0)</f>
        <v>191.0237289062315</v>
      </c>
      <c r="AL464" s="13">
        <f>0.66*SQRT([1]Parametros!$B$2)*H464*MIN(U464,AB464)/1000</f>
        <v>854.500946685842</v>
      </c>
      <c r="AM464" s="13" t="str">
        <f t="shared" si="95"/>
        <v>CUMPLE</v>
      </c>
      <c r="AN464" s="13" t="s">
        <v>64</v>
      </c>
      <c r="AO464" s="14">
        <v>2</v>
      </c>
      <c r="AP464" s="13">
        <f>ROUNDDOWN(MIN(IF(BC464+BD464=0,1000000000,AO464*BB464/(BC464+BD464)),MIN(U464,AB464)/4,8*[1]Parametros!$B$12,24*BA464,300,IF(AV464=0,1000000000,2*((H464-2*([1]Parametros!$B$7+[1]Parametros!$B$9/2))+(I464-2*([1]Parametros!$B$7+[1]Parametros!$B$9/2)))/8))/10,0)*10</f>
        <v>100</v>
      </c>
      <c r="AQ464" s="13">
        <f>ROUNDDOWN(MIN(IF(BC464+BD464=0,1000000000,AO464*BB464/(BC464+BD464)),IF(AK464&gt;0.33*SQRT([1]Parametros!$B$2)*H464*MIN(U464,AB464)/1000,MIN(U464,AB464)/4,MIN(U464,AB464)/2),600,IF(AV464=0,1000000000,2*((H464-2*([1]Parametros!$B$7+[1]Parametros!$B$9/2))+(I464-2*([1]Parametros!$B$7+[1]Parametros!$B$9/2)))/8))/10,0)*10</f>
        <v>100</v>
      </c>
      <c r="AR464" s="13">
        <f>[1]Parametros!$B$6*(AJ464+MAX(BE464-BD464,0)*[1]Parametros!$B$4*MIN(U464,AB464)/1000)</f>
        <v>317.35324557961962</v>
      </c>
      <c r="AS464" s="13" t="str">
        <f t="shared" si="96"/>
        <v>CUMPLE</v>
      </c>
      <c r="AT464" s="13">
        <f>[1]Parametros!$B$6*0.083*SQRT([1]Parametros!$B$2)*(H464*I464)^2/(2*(H464+I464))/1000000</f>
        <v>11.862178757598967</v>
      </c>
      <c r="AU464" s="13" t="str">
        <f t="shared" si="97"/>
        <v>DISEÑAR</v>
      </c>
      <c r="AV464" s="13">
        <f>IF(Q464&lt;=AT464,0,Q464*1000000/([1]Parametros!$B$6*2*0.85*(H464-2*([1]Parametros!$B$7+[1]Parametros!$B$9/2))*(I464-2*([1]Parametros!$B$7+[1]Parametros!$B$9/2))*[1]Parametros!$B$4))</f>
        <v>0.21605289796226662</v>
      </c>
      <c r="AW464" s="13">
        <f>AV464*2*((H464-2*([1]Parametros!$B$7+[1]Parametros!$B$9/2))+(I464-2*([1]Parametros!$B$7+[1]Parametros!$B$9/2)))*[1]Parametros!$B$4/[1]Parametros!$B$3</f>
        <v>373.59867115635143</v>
      </c>
      <c r="AX464" s="14">
        <v>8</v>
      </c>
      <c r="AY464" s="13" t="str">
        <f t="shared" si="98"/>
        <v>CUMPLE</v>
      </c>
      <c r="AZ464" s="13" t="str">
        <f t="shared" si="99"/>
        <v>CUMPLE</v>
      </c>
      <c r="BA464" s="14">
        <v>9.5</v>
      </c>
      <c r="BB464" s="14">
        <v>71</v>
      </c>
      <c r="BC464" s="13">
        <f>MAX(IF(AK464=0,0,AK464*1000/([1]Parametros!$B$4*MIN(U464,AB464))),MAX(0.062*SQRT([1]Parametros!$B$2)*H464/[1]Parametros!$B$4,0.35*H464/[1]Parametros!$B$4))</f>
        <v>0.92943374304218662</v>
      </c>
      <c r="BD464" s="13">
        <f t="shared" si="100"/>
        <v>0.43210579592453324</v>
      </c>
      <c r="BE464" s="13">
        <f t="shared" si="101"/>
        <v>1.42</v>
      </c>
      <c r="BF464" s="13">
        <f>SQRT((AI464*1000/(H464*MIN(U464,AB464)))^2+(Q464*1000000*2*((H464-2*([1]Parametros!$B$7+[1]Parametros!$B$9/2))+(I464-2*([1]Parametros!$B$7+[1]Parametros!$B$9/2)))/(1.7*((H464-2*([1]Parametros!$B$7+[1]Parametros!$B$9/2))*(I464-2*([1]Parametros!$B$7+[1]Parametros!$B$9/2)))^2))^2)</f>
        <v>1.4097297744177417</v>
      </c>
      <c r="BG464" s="13">
        <f>[1]Parametros!$B$6*(AJ464*1000/(H464*MIN(U464,AB464))+0.66*SQRT([1]Parametros!$B$2))</f>
        <v>3.2939603822754151</v>
      </c>
      <c r="BH464" s="13" t="str">
        <f t="shared" si="102"/>
        <v>CUMPLE</v>
      </c>
      <c r="BI464" s="13">
        <f>AX464*[1]Parametros!$B$8</f>
        <v>1592</v>
      </c>
      <c r="BJ464" s="15" t="str">
        <f t="shared" si="103"/>
        <v>CUMPLE</v>
      </c>
    </row>
    <row r="465" spans="1:62" x14ac:dyDescent="0.3">
      <c r="A465" s="33" t="s">
        <v>76</v>
      </c>
      <c r="B465" s="34">
        <v>960</v>
      </c>
      <c r="C465" s="13">
        <v>1</v>
      </c>
      <c r="D465" s="13">
        <v>1.9</v>
      </c>
      <c r="E465" s="13">
        <v>1.9</v>
      </c>
      <c r="F465" s="13">
        <v>500</v>
      </c>
      <c r="G465" s="13">
        <v>550</v>
      </c>
      <c r="H465" s="13">
        <v>500</v>
      </c>
      <c r="I465" s="13">
        <v>550</v>
      </c>
      <c r="J465" s="14">
        <v>48.497199999999999</v>
      </c>
      <c r="K465" s="13">
        <v>960</v>
      </c>
      <c r="L465" s="14">
        <v>11.716799999999999</v>
      </c>
      <c r="M465" s="13">
        <v>960</v>
      </c>
      <c r="N465" s="14">
        <v>52.442999999999998</v>
      </c>
      <c r="O465" s="14">
        <v>98.143000000000001</v>
      </c>
      <c r="P465" s="13">
        <v>960</v>
      </c>
      <c r="Q465" s="14">
        <v>9.3788999999999998</v>
      </c>
      <c r="R465" s="13">
        <f>MAX(MAX(1.4/[1]Parametros!$B$3,0.25*SQRT([1]Parametros!$B$2)/[1]Parametros!$B$3)*H465*U465,(0.85*[1]Parametros!$B$2/[1]Parametros!$B$3)*(1-SQRT(1-2*(J465*1000000/([1]Parametros!$B$5*H465*U465^2))/(0.85*[1]Parametros!$B$2)))*H465*U465)</f>
        <v>815.58333333333326</v>
      </c>
      <c r="S465" s="14">
        <v>5</v>
      </c>
      <c r="T465" s="14">
        <v>1</v>
      </c>
      <c r="U465" s="13">
        <f>IF(T465=1,I465-([1]Parametros!$B$7+[1]Parametros!$B$9+[1]Parametros!$B$12/2),I465-(ROUNDUP(S465/2,0)*([1]Parametros!$B$7+[1]Parametros!$B$9+[1]Parametros!$B$12/2)+ROUNDDOWN(S465/2,0)*([1]Parametros!$B$7+[1]Parametros!$B$9+[1]Parametros!$B$12/2+[1]Parametros!$B$12+[1]Parametros!$B$10))/S465)</f>
        <v>489.35</v>
      </c>
      <c r="V465" s="13">
        <f>S465*[1]Parametros!$B$8</f>
        <v>995</v>
      </c>
      <c r="W465" s="13">
        <f>[1]Parametros!$B$5*V465*[1]Parametros!$B$3*(U465-(V465*[1]Parametros!$B$3/(0.85*[1]Parametros!$B$2*H465))/2)/1000000</f>
        <v>177.44537938235294</v>
      </c>
      <c r="X465" s="13" t="str">
        <f t="shared" si="91"/>
        <v>CUMPLE</v>
      </c>
      <c r="Y465" s="13">
        <f>MAX(MAX(1.4/[1]Parametros!$B$3,0.25*SQRT([1]Parametros!$B$2)/[1]Parametros!$B$3)*H465*AB465,(0.85*[1]Parametros!$B$2/[1]Parametros!$B$3)*(1-SQRT(1-2*(L465*1000000/([1]Parametros!$B$5*H465*AB465^2))/(0.85*[1]Parametros!$B$2)))*H465*AB465)</f>
        <v>815.58333333333326</v>
      </c>
      <c r="Z465" s="14">
        <v>5</v>
      </c>
      <c r="AA465" s="14">
        <v>1</v>
      </c>
      <c r="AB465" s="13">
        <f>IF(AA465=1,I465-([1]Parametros!$B$7+[1]Parametros!$B$9+[1]Parametros!$B$12/2),I465-(ROUNDUP(Z465/2,0)*([1]Parametros!$B$7+[1]Parametros!$B$9+[1]Parametros!$B$12/2)+ROUNDDOWN(Z465/2,0)*([1]Parametros!$B$7+[1]Parametros!$B$9+[1]Parametros!$B$12/2+[1]Parametros!$B$12+[1]Parametros!$B$10))/Z465)</f>
        <v>489.35</v>
      </c>
      <c r="AC465" s="13">
        <f>Z465*[1]Parametros!$B$8</f>
        <v>995</v>
      </c>
      <c r="AD465" s="13">
        <f>[1]Parametros!$B$5*AC465*[1]Parametros!$B$3*(AB465-(AC465*[1]Parametros!$B$3/(0.85*[1]Parametros!$B$2*H465))/2)/1000000</f>
        <v>177.44537938235294</v>
      </c>
      <c r="AE465" s="13" t="str">
        <f t="shared" si="92"/>
        <v>CUMPLE</v>
      </c>
      <c r="AF465" s="13">
        <f>V465*1.25*[1]Parametros!$B$3*(U465-(V465*1.25*[1]Parametros!$B$3/(0.85*[1]Parametros!$B$2*H465))/2)/1000000</f>
        <v>244.15884319852941</v>
      </c>
      <c r="AG465" s="13">
        <f>AC465*1.25*[1]Parametros!$B$3*(AB465-(AC465*1.25*[1]Parametros!$B$3/(0.85*[1]Parametros!$B$2*H465))/2)/1000000</f>
        <v>244.15884319852941</v>
      </c>
      <c r="AH465" s="13">
        <f t="shared" si="93"/>
        <v>309.45230863003093</v>
      </c>
      <c r="AI465" s="13">
        <f t="shared" si="94"/>
        <v>309.45230863003093</v>
      </c>
      <c r="AJ465" s="13">
        <f>0.17*SQRT([1]Parametros!$B$2)*H465*MIN(U465,AB465)/1000</f>
        <v>220.09872869180776</v>
      </c>
      <c r="AK465" s="13">
        <f>MAX(AI465/[1]Parametros!$B$6-AJ465,0)</f>
        <v>192.50434948156681</v>
      </c>
      <c r="AL465" s="13">
        <f>0.66*SQRT([1]Parametros!$B$2)*H465*MIN(U465,AB465)/1000</f>
        <v>854.500946685842</v>
      </c>
      <c r="AM465" s="13" t="str">
        <f t="shared" si="95"/>
        <v>CUMPLE</v>
      </c>
      <c r="AN465" s="13" t="s">
        <v>64</v>
      </c>
      <c r="AO465" s="14">
        <v>2</v>
      </c>
      <c r="AP465" s="13">
        <f>ROUNDDOWN(MIN(IF(BC465+BD465=0,1000000000,AO465*BB465/(BC465+BD465)),MIN(U465,AB465)/4,8*[1]Parametros!$B$12,24*BA465,300,IF(AV465=0,1000000000,2*((H465-2*([1]Parametros!$B$7+[1]Parametros!$B$9/2))+(I465-2*([1]Parametros!$B$7+[1]Parametros!$B$9/2)))/8))/10,0)*10</f>
        <v>120</v>
      </c>
      <c r="AQ465" s="13">
        <f>ROUNDDOWN(MIN(IF(BC465+BD465=0,1000000000,AO465*BB465/(BC465+BD465)),IF(AK465&gt;0.33*SQRT([1]Parametros!$B$2)*H465*MIN(U465,AB465)/1000,MIN(U465,AB465)/4,MIN(U465,AB465)/2),600,IF(AV465=0,1000000000,2*((H465-2*([1]Parametros!$B$7+[1]Parametros!$B$9/2))+(I465-2*([1]Parametros!$B$7+[1]Parametros!$B$9/2)))/8))/10,0)*10</f>
        <v>150</v>
      </c>
      <c r="AR465" s="13">
        <f>[1]Parametros!$B$6*(AJ465+MAX(BE465-BD465,0)*[1]Parametros!$B$4*MIN(U465,AB465)/1000)</f>
        <v>347.47925901885583</v>
      </c>
      <c r="AS465" s="13" t="str">
        <f t="shared" si="96"/>
        <v>CUMPLE</v>
      </c>
      <c r="AT465" s="13">
        <f>[1]Parametros!$B$6*0.083*SQRT([1]Parametros!$B$2)*(H465*I465)^2/(2*(H465+I465))/1000000</f>
        <v>11.862178757598967</v>
      </c>
      <c r="AU465" s="13" t="str">
        <f t="shared" si="97"/>
        <v>DESPRECIABLE</v>
      </c>
      <c r="AV465" s="13">
        <f>IF(Q465&lt;=AT465,0,Q465*1000000/([1]Parametros!$B$6*2*0.85*(H465-2*([1]Parametros!$B$7+[1]Parametros!$B$9/2))*(I465-2*([1]Parametros!$B$7+[1]Parametros!$B$9/2))*[1]Parametros!$B$4))</f>
        <v>0</v>
      </c>
      <c r="AW465" s="13">
        <f>AV465*2*((H465-2*([1]Parametros!$B$7+[1]Parametros!$B$9/2))+(I465-2*([1]Parametros!$B$7+[1]Parametros!$B$9/2)))*[1]Parametros!$B$4/[1]Parametros!$B$3</f>
        <v>0</v>
      </c>
      <c r="AX465" s="14">
        <v>0</v>
      </c>
      <c r="AY465" s="13" t="str">
        <f t="shared" si="98"/>
        <v>DESPRECIABLE</v>
      </c>
      <c r="AZ465" s="13" t="str">
        <f t="shared" si="99"/>
        <v>CUMPLE</v>
      </c>
      <c r="BA465" s="14">
        <v>9.5</v>
      </c>
      <c r="BB465" s="14">
        <v>71</v>
      </c>
      <c r="BC465" s="13">
        <f>MAX(IF(AK465=0,0,AK465*1000/([1]Parametros!$B$4*MIN(U465,AB465))),MAX(0.062*SQRT([1]Parametros!$B$2)*H465/[1]Parametros!$B$4,0.35*H465/[1]Parametros!$B$4))</f>
        <v>0.93663776283197253</v>
      </c>
      <c r="BD465" s="13">
        <f t="shared" si="100"/>
        <v>0</v>
      </c>
      <c r="BE465" s="13">
        <f t="shared" si="101"/>
        <v>1.1833333333333333</v>
      </c>
      <c r="BF465" s="13">
        <f>SQRT((AI465*1000/(H465*MIN(U465,AB465)))^2+(Q465*1000000*2*((H465-2*([1]Parametros!$B$7+[1]Parametros!$B$9/2))+(I465-2*([1]Parametros!$B$7+[1]Parametros!$B$9/2)))/(1.7*((H465-2*([1]Parametros!$B$7+[1]Parametros!$B$9/2))*(I465-2*([1]Parametros!$B$7+[1]Parametros!$B$9/2)))^2))^2)</f>
        <v>1.2942982585856653</v>
      </c>
      <c r="BG465" s="13">
        <f>[1]Parametros!$B$6*(AJ465*1000/(H465*MIN(U465,AB465))+0.66*SQRT([1]Parametros!$B$2))</f>
        <v>3.2939603822754151</v>
      </c>
      <c r="BH465" s="13" t="str">
        <f t="shared" si="102"/>
        <v>CUMPLE</v>
      </c>
      <c r="BI465" s="13">
        <f>AX465*[1]Parametros!$B$8</f>
        <v>0</v>
      </c>
      <c r="BJ465" s="15" t="str">
        <f t="shared" si="103"/>
        <v>CUMPLE</v>
      </c>
    </row>
    <row r="466" spans="1:62" x14ac:dyDescent="0.3">
      <c r="A466" s="33" t="s">
        <v>76</v>
      </c>
      <c r="B466" s="34">
        <v>961</v>
      </c>
      <c r="C466" s="13">
        <v>1</v>
      </c>
      <c r="D466" s="13">
        <v>3.57612</v>
      </c>
      <c r="E466" s="13">
        <v>3.57612</v>
      </c>
      <c r="F466" s="13">
        <v>500</v>
      </c>
      <c r="G466" s="13">
        <v>550</v>
      </c>
      <c r="H466" s="13">
        <v>500</v>
      </c>
      <c r="I466" s="13">
        <v>550</v>
      </c>
      <c r="J466" s="14">
        <v>78.650899999999993</v>
      </c>
      <c r="K466" s="13">
        <v>961</v>
      </c>
      <c r="L466" s="14">
        <v>41.433399999999999</v>
      </c>
      <c r="M466" s="13">
        <v>961</v>
      </c>
      <c r="N466" s="14">
        <v>75.989999999999995</v>
      </c>
      <c r="O466" s="14">
        <v>154.10300000000001</v>
      </c>
      <c r="P466" s="13">
        <v>961</v>
      </c>
      <c r="Q466" s="14">
        <v>8.1887000000000008</v>
      </c>
      <c r="R466" s="13">
        <f>MAX(MAX(1.4/[1]Parametros!$B$3,0.25*SQRT([1]Parametros!$B$2)/[1]Parametros!$B$3)*H466*U466,(0.85*[1]Parametros!$B$2/[1]Parametros!$B$3)*(1-SQRT(1-2*(J466*1000000/([1]Parametros!$B$5*H466*U466^2))/(0.85*[1]Parametros!$B$2)))*H466*U466)</f>
        <v>815.58333333333326</v>
      </c>
      <c r="S466" s="14">
        <v>5</v>
      </c>
      <c r="T466" s="14">
        <v>1</v>
      </c>
      <c r="U466" s="13">
        <f>IF(T466=1,I466-([1]Parametros!$B$7+[1]Parametros!$B$9+[1]Parametros!$B$12/2),I466-(ROUNDUP(S466/2,0)*([1]Parametros!$B$7+[1]Parametros!$B$9+[1]Parametros!$B$12/2)+ROUNDDOWN(S466/2,0)*([1]Parametros!$B$7+[1]Parametros!$B$9+[1]Parametros!$B$12/2+[1]Parametros!$B$12+[1]Parametros!$B$10))/S466)</f>
        <v>489.35</v>
      </c>
      <c r="V466" s="13">
        <f>S466*[1]Parametros!$B$8</f>
        <v>995</v>
      </c>
      <c r="W466" s="13">
        <f>[1]Parametros!$B$5*V466*[1]Parametros!$B$3*(U466-(V466*[1]Parametros!$B$3/(0.85*[1]Parametros!$B$2*H466))/2)/1000000</f>
        <v>177.44537938235294</v>
      </c>
      <c r="X466" s="13" t="str">
        <f t="shared" si="91"/>
        <v>CUMPLE</v>
      </c>
      <c r="Y466" s="13">
        <f>MAX(MAX(1.4/[1]Parametros!$B$3,0.25*SQRT([1]Parametros!$B$2)/[1]Parametros!$B$3)*H466*AB466,(0.85*[1]Parametros!$B$2/[1]Parametros!$B$3)*(1-SQRT(1-2*(L466*1000000/([1]Parametros!$B$5*H466*AB466^2))/(0.85*[1]Parametros!$B$2)))*H466*AB466)</f>
        <v>815.58333333333326</v>
      </c>
      <c r="Z466" s="14">
        <v>5</v>
      </c>
      <c r="AA466" s="14">
        <v>1</v>
      </c>
      <c r="AB466" s="13">
        <f>IF(AA466=1,I466-([1]Parametros!$B$7+[1]Parametros!$B$9+[1]Parametros!$B$12/2),I466-(ROUNDUP(Z466/2,0)*([1]Parametros!$B$7+[1]Parametros!$B$9+[1]Parametros!$B$12/2)+ROUNDDOWN(Z466/2,0)*([1]Parametros!$B$7+[1]Parametros!$B$9+[1]Parametros!$B$12/2+[1]Parametros!$B$12+[1]Parametros!$B$10))/Z466)</f>
        <v>489.35</v>
      </c>
      <c r="AC466" s="13">
        <f>Z466*[1]Parametros!$B$8</f>
        <v>995</v>
      </c>
      <c r="AD466" s="13">
        <f>[1]Parametros!$B$5*AC466*[1]Parametros!$B$3*(AB466-(AC466*[1]Parametros!$B$3/(0.85*[1]Parametros!$B$2*H466))/2)/1000000</f>
        <v>177.44537938235294</v>
      </c>
      <c r="AE466" s="13" t="str">
        <f t="shared" si="92"/>
        <v>CUMPLE</v>
      </c>
      <c r="AF466" s="13">
        <f>V466*1.25*[1]Parametros!$B$3*(U466-(V466*1.25*[1]Parametros!$B$3/(0.85*[1]Parametros!$B$2*H466))/2)/1000000</f>
        <v>244.15884319852941</v>
      </c>
      <c r="AG466" s="13">
        <f>AC466*1.25*[1]Parametros!$B$3*(AB466-(AC466*1.25*[1]Parametros!$B$3/(0.85*[1]Parametros!$B$2*H466))/2)/1000000</f>
        <v>244.15884319852941</v>
      </c>
      <c r="AH466" s="13">
        <f t="shared" si="93"/>
        <v>212.53958066201886</v>
      </c>
      <c r="AI466" s="13">
        <f t="shared" si="94"/>
        <v>212.53958066201886</v>
      </c>
      <c r="AJ466" s="13">
        <f>0.17*SQRT([1]Parametros!$B$2)*H466*MIN(U466,AB466)/1000</f>
        <v>220.09872869180776</v>
      </c>
      <c r="AK466" s="13">
        <f>MAX(AI466/[1]Parametros!$B$6-AJ466,0)</f>
        <v>63.287378857550721</v>
      </c>
      <c r="AL466" s="13">
        <f>0.66*SQRT([1]Parametros!$B$2)*H466*MIN(U466,AB466)/1000</f>
        <v>854.500946685842</v>
      </c>
      <c r="AM466" s="13" t="str">
        <f t="shared" si="95"/>
        <v>CUMPLE</v>
      </c>
      <c r="AN466" s="13" t="s">
        <v>64</v>
      </c>
      <c r="AO466" s="14">
        <v>2</v>
      </c>
      <c r="AP466" s="13">
        <f>ROUNDDOWN(MIN(IF(BC466+BD466=0,1000000000,AO466*BB466/(BC466+BD466)),MIN(U466,AB466)/4,8*[1]Parametros!$B$12,24*BA466,300,IF(AV466=0,1000000000,2*((H466-2*([1]Parametros!$B$7+[1]Parametros!$B$9/2))+(I466-2*([1]Parametros!$B$7+[1]Parametros!$B$9/2)))/8))/10,0)*10</f>
        <v>120</v>
      </c>
      <c r="AQ466" s="13">
        <f>ROUNDDOWN(MIN(IF(BC466+BD466=0,1000000000,AO466*BB466/(BC466+BD466)),IF(AK466&gt;0.33*SQRT([1]Parametros!$B$2)*H466*MIN(U466,AB466)/1000,MIN(U466,AB466)/4,MIN(U466,AB466)/2),600,IF(AV466=0,1000000000,2*((H466-2*([1]Parametros!$B$7+[1]Parametros!$B$9/2))+(I466-2*([1]Parametros!$B$7+[1]Parametros!$B$9/2)))/8))/10,0)*10</f>
        <v>240</v>
      </c>
      <c r="AR466" s="13">
        <f>[1]Parametros!$B$6*(AJ466+MAX(BE466-BD466,0)*[1]Parametros!$B$4*MIN(U466,AB466)/1000)</f>
        <v>347.47925901885583</v>
      </c>
      <c r="AS466" s="13" t="str">
        <f t="shared" si="96"/>
        <v>CUMPLE</v>
      </c>
      <c r="AT466" s="13">
        <f>[1]Parametros!$B$6*0.083*SQRT([1]Parametros!$B$2)*(H466*I466)^2/(2*(H466+I466))/1000000</f>
        <v>11.862178757598967</v>
      </c>
      <c r="AU466" s="13" t="str">
        <f t="shared" si="97"/>
        <v>DESPRECIABLE</v>
      </c>
      <c r="AV466" s="13">
        <f>IF(Q466&lt;=AT466,0,Q466*1000000/([1]Parametros!$B$6*2*0.85*(H466-2*([1]Parametros!$B$7+[1]Parametros!$B$9/2))*(I466-2*([1]Parametros!$B$7+[1]Parametros!$B$9/2))*[1]Parametros!$B$4))</f>
        <v>0</v>
      </c>
      <c r="AW466" s="13">
        <f>AV466*2*((H466-2*([1]Parametros!$B$7+[1]Parametros!$B$9/2))+(I466-2*([1]Parametros!$B$7+[1]Parametros!$B$9/2)))*[1]Parametros!$B$4/[1]Parametros!$B$3</f>
        <v>0</v>
      </c>
      <c r="AX466" s="14">
        <v>0</v>
      </c>
      <c r="AY466" s="13" t="str">
        <f t="shared" si="98"/>
        <v>DESPRECIABLE</v>
      </c>
      <c r="AZ466" s="13" t="str">
        <f t="shared" si="99"/>
        <v>CUMPLE</v>
      </c>
      <c r="BA466" s="14">
        <v>9.5</v>
      </c>
      <c r="BB466" s="14">
        <v>71</v>
      </c>
      <c r="BC466" s="13">
        <f>MAX(IF(AK466=0,0,AK466*1000/([1]Parametros!$B$4*MIN(U466,AB466))),MAX(0.062*SQRT([1]Parametros!$B$2)*H466/[1]Parametros!$B$4,0.35*H466/[1]Parametros!$B$4))</f>
        <v>0.41666666666666669</v>
      </c>
      <c r="BD466" s="13">
        <f t="shared" si="100"/>
        <v>0</v>
      </c>
      <c r="BE466" s="13">
        <f t="shared" si="101"/>
        <v>1.1833333333333333</v>
      </c>
      <c r="BF466" s="13">
        <f>SQRT((AI466*1000/(H466*MIN(U466,AB466)))^2+(Q466*1000000*2*((H466-2*([1]Parametros!$B$7+[1]Parametros!$B$9/2))+(I466-2*([1]Parametros!$B$7+[1]Parametros!$B$9/2)))/(1.7*((H466-2*([1]Parametros!$B$7+[1]Parametros!$B$9/2))*(I466-2*([1]Parametros!$B$7+[1]Parametros!$B$9/2)))^2))^2)</f>
        <v>0.9012304781099858</v>
      </c>
      <c r="BG466" s="13">
        <f>[1]Parametros!$B$6*(AJ466*1000/(H466*MIN(U466,AB466))+0.66*SQRT([1]Parametros!$B$2))</f>
        <v>3.2939603822754151</v>
      </c>
      <c r="BH466" s="13" t="str">
        <f t="shared" si="102"/>
        <v>CUMPLE</v>
      </c>
      <c r="BI466" s="13">
        <f>AX466*[1]Parametros!$B$8</f>
        <v>0</v>
      </c>
      <c r="BJ466" s="15" t="str">
        <f t="shared" si="103"/>
        <v>CUMPLE</v>
      </c>
    </row>
    <row r="467" spans="1:62" x14ac:dyDescent="0.3">
      <c r="A467" s="33" t="s">
        <v>76</v>
      </c>
      <c r="B467" s="34">
        <v>962</v>
      </c>
      <c r="C467" s="13">
        <v>1</v>
      </c>
      <c r="D467" s="13">
        <v>2.1</v>
      </c>
      <c r="E467" s="13">
        <v>2.1</v>
      </c>
      <c r="F467" s="13">
        <v>500</v>
      </c>
      <c r="G467" s="13">
        <v>550</v>
      </c>
      <c r="H467" s="13">
        <v>500</v>
      </c>
      <c r="I467" s="13">
        <v>550</v>
      </c>
      <c r="J467" s="14">
        <v>99.730199999999996</v>
      </c>
      <c r="K467" s="13">
        <v>962</v>
      </c>
      <c r="L467" s="14">
        <v>51.288400000000003</v>
      </c>
      <c r="M467" s="13">
        <v>962</v>
      </c>
      <c r="N467" s="14">
        <v>88.367999999999995</v>
      </c>
      <c r="O467" s="14">
        <v>157.52500000000001</v>
      </c>
      <c r="P467" s="13">
        <v>962</v>
      </c>
      <c r="Q467" s="14">
        <v>20.666699999999999</v>
      </c>
      <c r="R467" s="13">
        <f>MAX(MAX(1.4/[1]Parametros!$B$3,0.25*SQRT([1]Parametros!$B$2)/[1]Parametros!$B$3)*H467*U467,(0.85*[1]Parametros!$B$2/[1]Parametros!$B$3)*(1-SQRT(1-2*(J467*1000000/([1]Parametros!$B$5*H467*U467^2))/(0.85*[1]Parametros!$B$2)))*H467*U467)</f>
        <v>815.58333333333326</v>
      </c>
      <c r="S467" s="14">
        <v>5</v>
      </c>
      <c r="T467" s="14">
        <v>1</v>
      </c>
      <c r="U467" s="13">
        <f>IF(T467=1,I467-([1]Parametros!$B$7+[1]Parametros!$B$9+[1]Parametros!$B$12/2),I467-(ROUNDUP(S467/2,0)*([1]Parametros!$B$7+[1]Parametros!$B$9+[1]Parametros!$B$12/2)+ROUNDDOWN(S467/2,0)*([1]Parametros!$B$7+[1]Parametros!$B$9+[1]Parametros!$B$12/2+[1]Parametros!$B$12+[1]Parametros!$B$10))/S467)</f>
        <v>489.35</v>
      </c>
      <c r="V467" s="13">
        <f>S467*[1]Parametros!$B$8</f>
        <v>995</v>
      </c>
      <c r="W467" s="13">
        <f>[1]Parametros!$B$5*V467*[1]Parametros!$B$3*(U467-(V467*[1]Parametros!$B$3/(0.85*[1]Parametros!$B$2*H467))/2)/1000000</f>
        <v>177.44537938235294</v>
      </c>
      <c r="X467" s="13" t="str">
        <f t="shared" si="91"/>
        <v>CUMPLE</v>
      </c>
      <c r="Y467" s="13">
        <f>MAX(MAX(1.4/[1]Parametros!$B$3,0.25*SQRT([1]Parametros!$B$2)/[1]Parametros!$B$3)*H467*AB467,(0.85*[1]Parametros!$B$2/[1]Parametros!$B$3)*(1-SQRT(1-2*(L467*1000000/([1]Parametros!$B$5*H467*AB467^2))/(0.85*[1]Parametros!$B$2)))*H467*AB467)</f>
        <v>815.58333333333326</v>
      </c>
      <c r="Z467" s="14">
        <v>5</v>
      </c>
      <c r="AA467" s="14">
        <v>1</v>
      </c>
      <c r="AB467" s="13">
        <f>IF(AA467=1,I467-([1]Parametros!$B$7+[1]Parametros!$B$9+[1]Parametros!$B$12/2),I467-(ROUNDUP(Z467/2,0)*([1]Parametros!$B$7+[1]Parametros!$B$9+[1]Parametros!$B$12/2)+ROUNDDOWN(Z467/2,0)*([1]Parametros!$B$7+[1]Parametros!$B$9+[1]Parametros!$B$12/2+[1]Parametros!$B$12+[1]Parametros!$B$10))/Z467)</f>
        <v>489.35</v>
      </c>
      <c r="AC467" s="13">
        <f>Z467*[1]Parametros!$B$8</f>
        <v>995</v>
      </c>
      <c r="AD467" s="13">
        <f>[1]Parametros!$B$5*AC467*[1]Parametros!$B$3*(AB467-(AC467*[1]Parametros!$B$3/(0.85*[1]Parametros!$B$2*H467))/2)/1000000</f>
        <v>177.44537938235294</v>
      </c>
      <c r="AE467" s="13" t="str">
        <f t="shared" si="92"/>
        <v>CUMPLE</v>
      </c>
      <c r="AF467" s="13">
        <f>V467*1.25*[1]Parametros!$B$3*(U467-(V467*1.25*[1]Parametros!$B$3/(0.85*[1]Parametros!$B$2*H467))/2)/1000000</f>
        <v>244.15884319852941</v>
      </c>
      <c r="AG467" s="13">
        <f>AC467*1.25*[1]Parametros!$B$3*(AB467-(AC467*1.25*[1]Parametros!$B$3/(0.85*[1]Parametros!$B$2*H467))/2)/1000000</f>
        <v>244.15884319852941</v>
      </c>
      <c r="AH467" s="13">
        <f t="shared" si="93"/>
        <v>320.90023161764702</v>
      </c>
      <c r="AI467" s="13">
        <f t="shared" si="94"/>
        <v>320.90023161764702</v>
      </c>
      <c r="AJ467" s="13">
        <f>0.17*SQRT([1]Parametros!$B$2)*H467*MIN(U467,AB467)/1000</f>
        <v>220.09872869180776</v>
      </c>
      <c r="AK467" s="13">
        <f>MAX(AI467/[1]Parametros!$B$6-AJ467,0)</f>
        <v>207.76824679838825</v>
      </c>
      <c r="AL467" s="13">
        <f>0.66*SQRT([1]Parametros!$B$2)*H467*MIN(U467,AB467)/1000</f>
        <v>854.500946685842</v>
      </c>
      <c r="AM467" s="13" t="str">
        <f t="shared" si="95"/>
        <v>CUMPLE</v>
      </c>
      <c r="AN467" s="13" t="s">
        <v>64</v>
      </c>
      <c r="AO467" s="14">
        <v>2</v>
      </c>
      <c r="AP467" s="13">
        <f>ROUNDDOWN(MIN(IF(BC467+BD467=0,1000000000,AO467*BB467/(BC467+BD467)),MIN(U467,AB467)/4,8*[1]Parametros!$B$12,24*BA467,300,IF(AV467=0,1000000000,2*((H467-2*([1]Parametros!$B$7+[1]Parametros!$B$9/2))+(I467-2*([1]Parametros!$B$7+[1]Parametros!$B$9/2)))/8))/10,0)*10</f>
        <v>90</v>
      </c>
      <c r="AQ467" s="13">
        <f>ROUNDDOWN(MIN(IF(BC467+BD467=0,1000000000,AO467*BB467/(BC467+BD467)),IF(AK467&gt;0.33*SQRT([1]Parametros!$B$2)*H467*MIN(U467,AB467)/1000,MIN(U467,AB467)/4,MIN(U467,AB467)/2),600,IF(AV467=0,1000000000,2*((H467-2*([1]Parametros!$B$7+[1]Parametros!$B$9/2))+(I467-2*([1]Parametros!$B$7+[1]Parametros!$B$9/2)))/8))/10,0)*10</f>
        <v>90</v>
      </c>
      <c r="AR467" s="13">
        <f>[1]Parametros!$B$6*(AJ467+MAX(BE467-BD467,0)*[1]Parametros!$B$4*MIN(U467,AB467)/1000)</f>
        <v>344.40227864367546</v>
      </c>
      <c r="AS467" s="13" t="str">
        <f t="shared" si="96"/>
        <v>CUMPLE</v>
      </c>
      <c r="AT467" s="13">
        <f>[1]Parametros!$B$6*0.083*SQRT([1]Parametros!$B$2)*(H467*I467)^2/(2*(H467+I467))/1000000</f>
        <v>11.862178757598967</v>
      </c>
      <c r="AU467" s="13" t="str">
        <f t="shared" si="97"/>
        <v>DISEÑAR</v>
      </c>
      <c r="AV467" s="13">
        <f>IF(Q467&lt;=AT467,0,Q467*1000000/([1]Parametros!$B$6*2*0.85*(H467-2*([1]Parametros!$B$7+[1]Parametros!$B$9/2))*(I467-2*([1]Parametros!$B$7+[1]Parametros!$B$9/2))*[1]Parametros!$B$4))</f>
        <v>0.20720300455310939</v>
      </c>
      <c r="AW467" s="13">
        <f>AV467*2*((H467-2*([1]Parametros!$B$7+[1]Parametros!$B$9/2))+(I467-2*([1]Parametros!$B$7+[1]Parametros!$B$9/2)))*[1]Parametros!$B$4/[1]Parametros!$B$3</f>
        <v>358.29543547323675</v>
      </c>
      <c r="AX467" s="14">
        <v>8</v>
      </c>
      <c r="AY467" s="13" t="str">
        <f t="shared" si="98"/>
        <v>CUMPLE</v>
      </c>
      <c r="AZ467" s="13" t="str">
        <f t="shared" si="99"/>
        <v>CUMPLE</v>
      </c>
      <c r="BA467" s="14">
        <v>9.5</v>
      </c>
      <c r="BB467" s="14">
        <v>71</v>
      </c>
      <c r="BC467" s="13">
        <f>MAX(IF(AK467=0,0,AK467*1000/([1]Parametros!$B$4*MIN(U467,AB467))),MAX(0.062*SQRT([1]Parametros!$B$2)*H467/[1]Parametros!$B$4,0.35*H467/[1]Parametros!$B$4))</f>
        <v>1.0109048776967904</v>
      </c>
      <c r="BD467" s="13">
        <f t="shared" si="100"/>
        <v>0.41440600910621878</v>
      </c>
      <c r="BE467" s="13">
        <f t="shared" si="101"/>
        <v>1.5777777777777777</v>
      </c>
      <c r="BF467" s="13">
        <f>SQRT((AI467*1000/(H467*MIN(U467,AB467)))^2+(Q467*1000000*2*((H467-2*([1]Parametros!$B$7+[1]Parametros!$B$9/2))+(I467-2*([1]Parametros!$B$7+[1]Parametros!$B$9/2)))/(1.7*((H467-2*([1]Parametros!$B$7+[1]Parametros!$B$9/2))*(I467-2*([1]Parametros!$B$7+[1]Parametros!$B$9/2)))^2))^2)</f>
        <v>1.4447500955722128</v>
      </c>
      <c r="BG467" s="13">
        <f>[1]Parametros!$B$6*(AJ467*1000/(H467*MIN(U467,AB467))+0.66*SQRT([1]Parametros!$B$2))</f>
        <v>3.2939603822754151</v>
      </c>
      <c r="BH467" s="13" t="str">
        <f t="shared" si="102"/>
        <v>CUMPLE</v>
      </c>
      <c r="BI467" s="13">
        <f>AX467*[1]Parametros!$B$8</f>
        <v>1592</v>
      </c>
      <c r="BJ467" s="15" t="str">
        <f t="shared" si="103"/>
        <v>CUMPLE</v>
      </c>
    </row>
    <row r="468" spans="1:62" x14ac:dyDescent="0.3">
      <c r="A468" s="33" t="s">
        <v>76</v>
      </c>
      <c r="B468" s="34">
        <v>963</v>
      </c>
      <c r="C468" s="13">
        <v>1</v>
      </c>
      <c r="D468" s="13">
        <v>2.2000000000000002</v>
      </c>
      <c r="E468" s="13">
        <v>2.2000000000000002</v>
      </c>
      <c r="F468" s="13">
        <v>500</v>
      </c>
      <c r="G468" s="13">
        <v>550</v>
      </c>
      <c r="H468" s="13">
        <v>500</v>
      </c>
      <c r="I468" s="13">
        <v>550</v>
      </c>
      <c r="J468" s="14">
        <v>102.105</v>
      </c>
      <c r="K468" s="13">
        <v>963</v>
      </c>
      <c r="L468" s="14">
        <v>51.963900000000002</v>
      </c>
      <c r="M468" s="13">
        <v>963</v>
      </c>
      <c r="N468" s="14">
        <v>88.661000000000001</v>
      </c>
      <c r="O468" s="14">
        <v>161.51300000000001</v>
      </c>
      <c r="P468" s="13">
        <v>963</v>
      </c>
      <c r="Q468" s="14">
        <v>20.026199999999999</v>
      </c>
      <c r="R468" s="13">
        <f>MAX(MAX(1.4/[1]Parametros!$B$3,0.25*SQRT([1]Parametros!$B$2)/[1]Parametros!$B$3)*H468*U468,(0.85*[1]Parametros!$B$2/[1]Parametros!$B$3)*(1-SQRT(1-2*(J468*1000000/([1]Parametros!$B$5*H468*U468^2))/(0.85*[1]Parametros!$B$2)))*H468*U468)</f>
        <v>815.58333333333326</v>
      </c>
      <c r="S468" s="14">
        <v>5</v>
      </c>
      <c r="T468" s="14">
        <v>1</v>
      </c>
      <c r="U468" s="13">
        <f>IF(T468=1,I468-([1]Parametros!$B$7+[1]Parametros!$B$9+[1]Parametros!$B$12/2),I468-(ROUNDUP(S468/2,0)*([1]Parametros!$B$7+[1]Parametros!$B$9+[1]Parametros!$B$12/2)+ROUNDDOWN(S468/2,0)*([1]Parametros!$B$7+[1]Parametros!$B$9+[1]Parametros!$B$12/2+[1]Parametros!$B$12+[1]Parametros!$B$10))/S468)</f>
        <v>489.35</v>
      </c>
      <c r="V468" s="13">
        <f>S468*[1]Parametros!$B$8</f>
        <v>995</v>
      </c>
      <c r="W468" s="13">
        <f>[1]Parametros!$B$5*V468*[1]Parametros!$B$3*(U468-(V468*[1]Parametros!$B$3/(0.85*[1]Parametros!$B$2*H468))/2)/1000000</f>
        <v>177.44537938235294</v>
      </c>
      <c r="X468" s="13" t="str">
        <f t="shared" si="91"/>
        <v>CUMPLE</v>
      </c>
      <c r="Y468" s="13">
        <f>MAX(MAX(1.4/[1]Parametros!$B$3,0.25*SQRT([1]Parametros!$B$2)/[1]Parametros!$B$3)*H468*AB468,(0.85*[1]Parametros!$B$2/[1]Parametros!$B$3)*(1-SQRT(1-2*(L468*1000000/([1]Parametros!$B$5*H468*AB468^2))/(0.85*[1]Parametros!$B$2)))*H468*AB468)</f>
        <v>815.58333333333326</v>
      </c>
      <c r="Z468" s="14">
        <v>5</v>
      </c>
      <c r="AA468" s="14">
        <v>1</v>
      </c>
      <c r="AB468" s="13">
        <f>IF(AA468=1,I468-([1]Parametros!$B$7+[1]Parametros!$B$9+[1]Parametros!$B$12/2),I468-(ROUNDUP(Z468/2,0)*([1]Parametros!$B$7+[1]Parametros!$B$9+[1]Parametros!$B$12/2)+ROUNDDOWN(Z468/2,0)*([1]Parametros!$B$7+[1]Parametros!$B$9+[1]Parametros!$B$12/2+[1]Parametros!$B$12+[1]Parametros!$B$10))/Z468)</f>
        <v>489.35</v>
      </c>
      <c r="AC468" s="13">
        <f>Z468*[1]Parametros!$B$8</f>
        <v>995</v>
      </c>
      <c r="AD468" s="13">
        <f>[1]Parametros!$B$5*AC468*[1]Parametros!$B$3*(AB468-(AC468*[1]Parametros!$B$3/(0.85*[1]Parametros!$B$2*H468))/2)/1000000</f>
        <v>177.44537938235294</v>
      </c>
      <c r="AE468" s="13" t="str">
        <f t="shared" si="92"/>
        <v>CUMPLE</v>
      </c>
      <c r="AF468" s="13">
        <f>V468*1.25*[1]Parametros!$B$3*(U468-(V468*1.25*[1]Parametros!$B$3/(0.85*[1]Parametros!$B$2*H468))/2)/1000000</f>
        <v>244.15884319852941</v>
      </c>
      <c r="AG468" s="13">
        <f>AC468*1.25*[1]Parametros!$B$3*(AB468-(AC468*1.25*[1]Parametros!$B$3/(0.85*[1]Parametros!$B$2*H468))/2)/1000000</f>
        <v>244.15884319852941</v>
      </c>
      <c r="AH468" s="13">
        <f t="shared" si="93"/>
        <v>310.62358472593581</v>
      </c>
      <c r="AI468" s="13">
        <f t="shared" si="94"/>
        <v>310.62358472593581</v>
      </c>
      <c r="AJ468" s="13">
        <f>0.17*SQRT([1]Parametros!$B$2)*H468*MIN(U468,AB468)/1000</f>
        <v>220.09872869180776</v>
      </c>
      <c r="AK468" s="13">
        <f>MAX(AI468/[1]Parametros!$B$6-AJ468,0)</f>
        <v>194.0660509427733</v>
      </c>
      <c r="AL468" s="13">
        <f>0.66*SQRT([1]Parametros!$B$2)*H468*MIN(U468,AB468)/1000</f>
        <v>854.500946685842</v>
      </c>
      <c r="AM468" s="13" t="str">
        <f t="shared" si="95"/>
        <v>CUMPLE</v>
      </c>
      <c r="AN468" s="13" t="s">
        <v>64</v>
      </c>
      <c r="AO468" s="14">
        <v>2</v>
      </c>
      <c r="AP468" s="13">
        <f>ROUNDDOWN(MIN(IF(BC468+BD468=0,1000000000,AO468*BB468/(BC468+BD468)),MIN(U468,AB468)/4,8*[1]Parametros!$B$12,24*BA468,300,IF(AV468=0,1000000000,2*((H468-2*([1]Parametros!$B$7+[1]Parametros!$B$9/2))+(I468-2*([1]Parametros!$B$7+[1]Parametros!$B$9/2)))/8))/10,0)*10</f>
        <v>100</v>
      </c>
      <c r="AQ468" s="13">
        <f>ROUNDDOWN(MIN(IF(BC468+BD468=0,1000000000,AO468*BB468/(BC468+BD468)),IF(AK468&gt;0.33*SQRT([1]Parametros!$B$2)*H468*MIN(U468,AB468)/1000,MIN(U468,AB468)/4,MIN(U468,AB468)/2),600,IF(AV468=0,1000000000,2*((H468-2*([1]Parametros!$B$7+[1]Parametros!$B$9/2))+(I468-2*([1]Parametros!$B$7+[1]Parametros!$B$9/2)))/8))/10,0)*10</f>
        <v>100</v>
      </c>
      <c r="AR468" s="13">
        <f>[1]Parametros!$B$6*(AJ468+MAX(BE468-BD468,0)*[1]Parametros!$B$4*MIN(U468,AB468)/1000)</f>
        <v>322.06130555375557</v>
      </c>
      <c r="AS468" s="13" t="str">
        <f t="shared" si="96"/>
        <v>CUMPLE</v>
      </c>
      <c r="AT468" s="13">
        <f>[1]Parametros!$B$6*0.083*SQRT([1]Parametros!$B$2)*(H468*I468)^2/(2*(H468+I468))/1000000</f>
        <v>11.862178757598967</v>
      </c>
      <c r="AU468" s="13" t="str">
        <f t="shared" si="97"/>
        <v>DISEÑAR</v>
      </c>
      <c r="AV468" s="13">
        <f>IF(Q468&lt;=AT468,0,Q468*1000000/([1]Parametros!$B$6*2*0.85*(H468-2*([1]Parametros!$B$7+[1]Parametros!$B$9/2))*(I468-2*([1]Parametros!$B$7+[1]Parametros!$B$9/2))*[1]Parametros!$B$4))</f>
        <v>0.20078139276137358</v>
      </c>
      <c r="AW468" s="13">
        <f>AV468*2*((H468-2*([1]Parametros!$B$7+[1]Parametros!$B$9/2))+(I468-2*([1]Parametros!$B$7+[1]Parametros!$B$9/2)))*[1]Parametros!$B$4/[1]Parametros!$B$3</f>
        <v>347.19118436296719</v>
      </c>
      <c r="AX468" s="14">
        <v>8</v>
      </c>
      <c r="AY468" s="13" t="str">
        <f t="shared" si="98"/>
        <v>CUMPLE</v>
      </c>
      <c r="AZ468" s="13" t="str">
        <f t="shared" si="99"/>
        <v>CUMPLE</v>
      </c>
      <c r="BA468" s="14">
        <v>9.5</v>
      </c>
      <c r="BB468" s="14">
        <v>71</v>
      </c>
      <c r="BC468" s="13">
        <f>MAX(IF(AK468=0,0,AK468*1000/([1]Parametros!$B$4*MIN(U468,AB468))),MAX(0.062*SQRT([1]Parametros!$B$2)*H468/[1]Parametros!$B$4,0.35*H468/[1]Parametros!$B$4))</f>
        <v>0.944236284978486</v>
      </c>
      <c r="BD468" s="13">
        <f t="shared" si="100"/>
        <v>0.40156278552274716</v>
      </c>
      <c r="BE468" s="13">
        <f t="shared" si="101"/>
        <v>1.42</v>
      </c>
      <c r="BF468" s="13">
        <f>SQRT((AI468*1000/(H468*MIN(U468,AB468)))^2+(Q468*1000000*2*((H468-2*([1]Parametros!$B$7+[1]Parametros!$B$9/2))+(I468-2*([1]Parametros!$B$7+[1]Parametros!$B$9/2)))/(1.7*((H468-2*([1]Parametros!$B$7+[1]Parametros!$B$9/2))*(I468-2*([1]Parametros!$B$7+[1]Parametros!$B$9/2)))^2))^2)</f>
        <v>1.3987453279002147</v>
      </c>
      <c r="BG468" s="13">
        <f>[1]Parametros!$B$6*(AJ468*1000/(H468*MIN(U468,AB468))+0.66*SQRT([1]Parametros!$B$2))</f>
        <v>3.2939603822754151</v>
      </c>
      <c r="BH468" s="13" t="str">
        <f t="shared" si="102"/>
        <v>CUMPLE</v>
      </c>
      <c r="BI468" s="13">
        <f>AX468*[1]Parametros!$B$8</f>
        <v>1592</v>
      </c>
      <c r="BJ468" s="15" t="str">
        <f t="shared" si="103"/>
        <v>CUMPLE</v>
      </c>
    </row>
    <row r="469" spans="1:62" x14ac:dyDescent="0.3">
      <c r="A469" s="33" t="s">
        <v>76</v>
      </c>
      <c r="B469" s="34">
        <v>964</v>
      </c>
      <c r="C469" s="13">
        <v>1</v>
      </c>
      <c r="D469" s="13">
        <v>3.57612</v>
      </c>
      <c r="E469" s="13">
        <v>3.57612</v>
      </c>
      <c r="F469" s="13">
        <v>500</v>
      </c>
      <c r="G469" s="13">
        <v>550</v>
      </c>
      <c r="H469" s="13">
        <v>500</v>
      </c>
      <c r="I469" s="13">
        <v>550</v>
      </c>
      <c r="J469" s="14">
        <v>78.563000000000002</v>
      </c>
      <c r="K469" s="13">
        <v>964</v>
      </c>
      <c r="L469" s="14">
        <v>40.818300000000001</v>
      </c>
      <c r="M469" s="13">
        <v>964</v>
      </c>
      <c r="N469" s="14">
        <v>75.772999999999996</v>
      </c>
      <c r="O469" s="14">
        <v>152.626</v>
      </c>
      <c r="P469" s="13">
        <v>964</v>
      </c>
      <c r="Q469" s="14">
        <v>8.2865000000000002</v>
      </c>
      <c r="R469" s="13">
        <f>MAX(MAX(1.4/[1]Parametros!$B$3,0.25*SQRT([1]Parametros!$B$2)/[1]Parametros!$B$3)*H469*U469,(0.85*[1]Parametros!$B$2/[1]Parametros!$B$3)*(1-SQRT(1-2*(J469*1000000/([1]Parametros!$B$5*H469*U469^2))/(0.85*[1]Parametros!$B$2)))*H469*U469)</f>
        <v>815.58333333333326</v>
      </c>
      <c r="S469" s="14">
        <v>5</v>
      </c>
      <c r="T469" s="14">
        <v>1</v>
      </c>
      <c r="U469" s="13">
        <f>IF(T469=1,I469-([1]Parametros!$B$7+[1]Parametros!$B$9+[1]Parametros!$B$12/2),I469-(ROUNDUP(S469/2,0)*([1]Parametros!$B$7+[1]Parametros!$B$9+[1]Parametros!$B$12/2)+ROUNDDOWN(S469/2,0)*([1]Parametros!$B$7+[1]Parametros!$B$9+[1]Parametros!$B$12/2+[1]Parametros!$B$12+[1]Parametros!$B$10))/S469)</f>
        <v>489.35</v>
      </c>
      <c r="V469" s="13">
        <f>S469*[1]Parametros!$B$8</f>
        <v>995</v>
      </c>
      <c r="W469" s="13">
        <f>[1]Parametros!$B$5*V469*[1]Parametros!$B$3*(U469-(V469*[1]Parametros!$B$3/(0.85*[1]Parametros!$B$2*H469))/2)/1000000</f>
        <v>177.44537938235294</v>
      </c>
      <c r="X469" s="13" t="str">
        <f t="shared" si="91"/>
        <v>CUMPLE</v>
      </c>
      <c r="Y469" s="13">
        <f>MAX(MAX(1.4/[1]Parametros!$B$3,0.25*SQRT([1]Parametros!$B$2)/[1]Parametros!$B$3)*H469*AB469,(0.85*[1]Parametros!$B$2/[1]Parametros!$B$3)*(1-SQRT(1-2*(L469*1000000/([1]Parametros!$B$5*H469*AB469^2))/(0.85*[1]Parametros!$B$2)))*H469*AB469)</f>
        <v>815.58333333333326</v>
      </c>
      <c r="Z469" s="14">
        <v>5</v>
      </c>
      <c r="AA469" s="14">
        <v>1</v>
      </c>
      <c r="AB469" s="13">
        <f>IF(AA469=1,I469-([1]Parametros!$B$7+[1]Parametros!$B$9+[1]Parametros!$B$12/2),I469-(ROUNDUP(Z469/2,0)*([1]Parametros!$B$7+[1]Parametros!$B$9+[1]Parametros!$B$12/2)+ROUNDDOWN(Z469/2,0)*([1]Parametros!$B$7+[1]Parametros!$B$9+[1]Parametros!$B$12/2+[1]Parametros!$B$12+[1]Parametros!$B$10))/Z469)</f>
        <v>489.35</v>
      </c>
      <c r="AC469" s="13">
        <f>Z469*[1]Parametros!$B$8</f>
        <v>995</v>
      </c>
      <c r="AD469" s="13">
        <f>[1]Parametros!$B$5*AC469*[1]Parametros!$B$3*(AB469-(AC469*[1]Parametros!$B$3/(0.85*[1]Parametros!$B$2*H469))/2)/1000000</f>
        <v>177.44537938235294</v>
      </c>
      <c r="AE469" s="13" t="str">
        <f t="shared" si="92"/>
        <v>CUMPLE</v>
      </c>
      <c r="AF469" s="13">
        <f>V469*1.25*[1]Parametros!$B$3*(U469-(V469*1.25*[1]Parametros!$B$3/(0.85*[1]Parametros!$B$2*H469))/2)/1000000</f>
        <v>244.15884319852941</v>
      </c>
      <c r="AG469" s="13">
        <f>AC469*1.25*[1]Parametros!$B$3*(AB469-(AC469*1.25*[1]Parametros!$B$3/(0.85*[1]Parametros!$B$2*H469))/2)/1000000</f>
        <v>244.15884319852941</v>
      </c>
      <c r="AH469" s="13">
        <f t="shared" si="93"/>
        <v>212.32258066201885</v>
      </c>
      <c r="AI469" s="13">
        <f t="shared" si="94"/>
        <v>212.32258066201885</v>
      </c>
      <c r="AJ469" s="13">
        <f>0.17*SQRT([1]Parametros!$B$2)*H469*MIN(U469,AB469)/1000</f>
        <v>220.09872869180776</v>
      </c>
      <c r="AK469" s="13">
        <f>MAX(AI469/[1]Parametros!$B$6-AJ469,0)</f>
        <v>62.998045524217389</v>
      </c>
      <c r="AL469" s="13">
        <f>0.66*SQRT([1]Parametros!$B$2)*H469*MIN(U469,AB469)/1000</f>
        <v>854.500946685842</v>
      </c>
      <c r="AM469" s="13" t="str">
        <f t="shared" si="95"/>
        <v>CUMPLE</v>
      </c>
      <c r="AN469" s="13" t="s">
        <v>64</v>
      </c>
      <c r="AO469" s="14">
        <v>2</v>
      </c>
      <c r="AP469" s="13">
        <f>ROUNDDOWN(MIN(IF(BC469+BD469=0,1000000000,AO469*BB469/(BC469+BD469)),MIN(U469,AB469)/4,8*[1]Parametros!$B$12,24*BA469,300,IF(AV469=0,1000000000,2*((H469-2*([1]Parametros!$B$7+[1]Parametros!$B$9/2))+(I469-2*([1]Parametros!$B$7+[1]Parametros!$B$9/2)))/8))/10,0)*10</f>
        <v>120</v>
      </c>
      <c r="AQ469" s="13">
        <f>ROUNDDOWN(MIN(IF(BC469+BD469=0,1000000000,AO469*BB469/(BC469+BD469)),IF(AK469&gt;0.33*SQRT([1]Parametros!$B$2)*H469*MIN(U469,AB469)/1000,MIN(U469,AB469)/4,MIN(U469,AB469)/2),600,IF(AV469=0,1000000000,2*((H469-2*([1]Parametros!$B$7+[1]Parametros!$B$9/2))+(I469-2*([1]Parametros!$B$7+[1]Parametros!$B$9/2)))/8))/10,0)*10</f>
        <v>240</v>
      </c>
      <c r="AR469" s="13">
        <f>[1]Parametros!$B$6*(AJ469+MAX(BE469-BD469,0)*[1]Parametros!$B$4*MIN(U469,AB469)/1000)</f>
        <v>347.47925901885583</v>
      </c>
      <c r="AS469" s="13" t="str">
        <f t="shared" si="96"/>
        <v>CUMPLE</v>
      </c>
      <c r="AT469" s="13">
        <f>[1]Parametros!$B$6*0.083*SQRT([1]Parametros!$B$2)*(H469*I469)^2/(2*(H469+I469))/1000000</f>
        <v>11.862178757598967</v>
      </c>
      <c r="AU469" s="13" t="str">
        <f t="shared" si="97"/>
        <v>DESPRECIABLE</v>
      </c>
      <c r="AV469" s="13">
        <f>IF(Q469&lt;=AT469,0,Q469*1000000/([1]Parametros!$B$6*2*0.85*(H469-2*([1]Parametros!$B$7+[1]Parametros!$B$9/2))*(I469-2*([1]Parametros!$B$7+[1]Parametros!$B$9/2))*[1]Parametros!$B$4))</f>
        <v>0</v>
      </c>
      <c r="AW469" s="13">
        <f>AV469*2*((H469-2*([1]Parametros!$B$7+[1]Parametros!$B$9/2))+(I469-2*([1]Parametros!$B$7+[1]Parametros!$B$9/2)))*[1]Parametros!$B$4/[1]Parametros!$B$3</f>
        <v>0</v>
      </c>
      <c r="AX469" s="14">
        <v>0</v>
      </c>
      <c r="AY469" s="13" t="str">
        <f t="shared" si="98"/>
        <v>DESPRECIABLE</v>
      </c>
      <c r="AZ469" s="13" t="str">
        <f t="shared" si="99"/>
        <v>CUMPLE</v>
      </c>
      <c r="BA469" s="14">
        <v>9.5</v>
      </c>
      <c r="BB469" s="14">
        <v>71</v>
      </c>
      <c r="BC469" s="13">
        <f>MAX(IF(AK469=0,0,AK469*1000/([1]Parametros!$B$4*MIN(U469,AB469))),MAX(0.062*SQRT([1]Parametros!$B$2)*H469/[1]Parametros!$B$4,0.35*H469/[1]Parametros!$B$4))</f>
        <v>0.41666666666666669</v>
      </c>
      <c r="BD469" s="13">
        <f t="shared" si="100"/>
        <v>0</v>
      </c>
      <c r="BE469" s="13">
        <f t="shared" si="101"/>
        <v>1.1833333333333333</v>
      </c>
      <c r="BF469" s="13">
        <f>SQRT((AI469*1000/(H469*MIN(U469,AB469)))^2+(Q469*1000000*2*((H469-2*([1]Parametros!$B$7+[1]Parametros!$B$9/2))+(I469-2*([1]Parametros!$B$7+[1]Parametros!$B$9/2)))/(1.7*((H469-2*([1]Parametros!$B$7+[1]Parametros!$B$9/2))*(I469-2*([1]Parametros!$B$7+[1]Parametros!$B$9/2)))^2))^2)</f>
        <v>0.90114455335092081</v>
      </c>
      <c r="BG469" s="13">
        <f>[1]Parametros!$B$6*(AJ469*1000/(H469*MIN(U469,AB469))+0.66*SQRT([1]Parametros!$B$2))</f>
        <v>3.2939603822754151</v>
      </c>
      <c r="BH469" s="13" t="str">
        <f t="shared" si="102"/>
        <v>CUMPLE</v>
      </c>
      <c r="BI469" s="13">
        <f>AX469*[1]Parametros!$B$8</f>
        <v>0</v>
      </c>
      <c r="BJ469" s="15" t="str">
        <f t="shared" si="103"/>
        <v>CUMPLE</v>
      </c>
    </row>
    <row r="470" spans="1:62" x14ac:dyDescent="0.3">
      <c r="A470" s="33" t="s">
        <v>76</v>
      </c>
      <c r="B470" s="34">
        <v>965</v>
      </c>
      <c r="C470" s="13">
        <v>1</v>
      </c>
      <c r="D470" s="13">
        <v>1.9</v>
      </c>
      <c r="E470" s="13">
        <v>1.9</v>
      </c>
      <c r="F470" s="13">
        <v>500</v>
      </c>
      <c r="G470" s="13">
        <v>550</v>
      </c>
      <c r="H470" s="13">
        <v>500</v>
      </c>
      <c r="I470" s="13">
        <v>550</v>
      </c>
      <c r="J470" s="14">
        <v>48.454599999999999</v>
      </c>
      <c r="K470" s="13">
        <v>965</v>
      </c>
      <c r="L470" s="14">
        <v>11.710800000000001</v>
      </c>
      <c r="M470" s="13">
        <v>965</v>
      </c>
      <c r="N470" s="14">
        <v>52.395000000000003</v>
      </c>
      <c r="O470" s="14">
        <v>98.195999999999998</v>
      </c>
      <c r="P470" s="13">
        <v>965</v>
      </c>
      <c r="Q470" s="14">
        <v>9.3224999999999998</v>
      </c>
      <c r="R470" s="13">
        <f>MAX(MAX(1.4/[1]Parametros!$B$3,0.25*SQRT([1]Parametros!$B$2)/[1]Parametros!$B$3)*H470*U470,(0.85*[1]Parametros!$B$2/[1]Parametros!$B$3)*(1-SQRT(1-2*(J470*1000000/([1]Parametros!$B$5*H470*U470^2))/(0.85*[1]Parametros!$B$2)))*H470*U470)</f>
        <v>815.58333333333326</v>
      </c>
      <c r="S470" s="14">
        <v>5</v>
      </c>
      <c r="T470" s="14">
        <v>1</v>
      </c>
      <c r="U470" s="13">
        <f>IF(T470=1,I470-([1]Parametros!$B$7+[1]Parametros!$B$9+[1]Parametros!$B$12/2),I470-(ROUNDUP(S470/2,0)*([1]Parametros!$B$7+[1]Parametros!$B$9+[1]Parametros!$B$12/2)+ROUNDDOWN(S470/2,0)*([1]Parametros!$B$7+[1]Parametros!$B$9+[1]Parametros!$B$12/2+[1]Parametros!$B$12+[1]Parametros!$B$10))/S470)</f>
        <v>489.35</v>
      </c>
      <c r="V470" s="13">
        <f>S470*[1]Parametros!$B$8</f>
        <v>995</v>
      </c>
      <c r="W470" s="13">
        <f>[1]Parametros!$B$5*V470*[1]Parametros!$B$3*(U470-(V470*[1]Parametros!$B$3/(0.85*[1]Parametros!$B$2*H470))/2)/1000000</f>
        <v>177.44537938235294</v>
      </c>
      <c r="X470" s="13" t="str">
        <f t="shared" si="91"/>
        <v>CUMPLE</v>
      </c>
      <c r="Y470" s="13">
        <f>MAX(MAX(1.4/[1]Parametros!$B$3,0.25*SQRT([1]Parametros!$B$2)/[1]Parametros!$B$3)*H470*AB470,(0.85*[1]Parametros!$B$2/[1]Parametros!$B$3)*(1-SQRT(1-2*(L470*1000000/([1]Parametros!$B$5*H470*AB470^2))/(0.85*[1]Parametros!$B$2)))*H470*AB470)</f>
        <v>815.58333333333326</v>
      </c>
      <c r="Z470" s="14">
        <v>5</v>
      </c>
      <c r="AA470" s="14">
        <v>1</v>
      </c>
      <c r="AB470" s="13">
        <f>IF(AA470=1,I470-([1]Parametros!$B$7+[1]Parametros!$B$9+[1]Parametros!$B$12/2),I470-(ROUNDUP(Z470/2,0)*([1]Parametros!$B$7+[1]Parametros!$B$9+[1]Parametros!$B$12/2)+ROUNDDOWN(Z470/2,0)*([1]Parametros!$B$7+[1]Parametros!$B$9+[1]Parametros!$B$12/2+[1]Parametros!$B$12+[1]Parametros!$B$10))/Z470)</f>
        <v>489.35</v>
      </c>
      <c r="AC470" s="13">
        <f>Z470*[1]Parametros!$B$8</f>
        <v>995</v>
      </c>
      <c r="AD470" s="13">
        <f>[1]Parametros!$B$5*AC470*[1]Parametros!$B$3*(AB470-(AC470*[1]Parametros!$B$3/(0.85*[1]Parametros!$B$2*H470))/2)/1000000</f>
        <v>177.44537938235294</v>
      </c>
      <c r="AE470" s="13" t="str">
        <f t="shared" si="92"/>
        <v>CUMPLE</v>
      </c>
      <c r="AF470" s="13">
        <f>V470*1.25*[1]Parametros!$B$3*(U470-(V470*1.25*[1]Parametros!$B$3/(0.85*[1]Parametros!$B$2*H470))/2)/1000000</f>
        <v>244.15884319852941</v>
      </c>
      <c r="AG470" s="13">
        <f>AC470*1.25*[1]Parametros!$B$3*(AB470-(AC470*1.25*[1]Parametros!$B$3/(0.85*[1]Parametros!$B$2*H470))/2)/1000000</f>
        <v>244.15884319852941</v>
      </c>
      <c r="AH470" s="13">
        <f t="shared" si="93"/>
        <v>309.40430863003093</v>
      </c>
      <c r="AI470" s="13">
        <f t="shared" si="94"/>
        <v>309.40430863003093</v>
      </c>
      <c r="AJ470" s="13">
        <f>0.17*SQRT([1]Parametros!$B$2)*H470*MIN(U470,AB470)/1000</f>
        <v>220.09872869180776</v>
      </c>
      <c r="AK470" s="13">
        <f>MAX(AI470/[1]Parametros!$B$6-AJ470,0)</f>
        <v>192.44034948156678</v>
      </c>
      <c r="AL470" s="13">
        <f>0.66*SQRT([1]Parametros!$B$2)*H470*MIN(U470,AB470)/1000</f>
        <v>854.500946685842</v>
      </c>
      <c r="AM470" s="13" t="str">
        <f t="shared" si="95"/>
        <v>CUMPLE</v>
      </c>
      <c r="AN470" s="13" t="s">
        <v>64</v>
      </c>
      <c r="AO470" s="14">
        <v>2</v>
      </c>
      <c r="AP470" s="13">
        <f>ROUNDDOWN(MIN(IF(BC470+BD470=0,1000000000,AO470*BB470/(BC470+BD470)),MIN(U470,AB470)/4,8*[1]Parametros!$B$12,24*BA470,300,IF(AV470=0,1000000000,2*((H470-2*([1]Parametros!$B$7+[1]Parametros!$B$9/2))+(I470-2*([1]Parametros!$B$7+[1]Parametros!$B$9/2)))/8))/10,0)*10</f>
        <v>120</v>
      </c>
      <c r="AQ470" s="13">
        <f>ROUNDDOWN(MIN(IF(BC470+BD470=0,1000000000,AO470*BB470/(BC470+BD470)),IF(AK470&gt;0.33*SQRT([1]Parametros!$B$2)*H470*MIN(U470,AB470)/1000,MIN(U470,AB470)/4,MIN(U470,AB470)/2),600,IF(AV470=0,1000000000,2*((H470-2*([1]Parametros!$B$7+[1]Parametros!$B$9/2))+(I470-2*([1]Parametros!$B$7+[1]Parametros!$B$9/2)))/8))/10,0)*10</f>
        <v>150</v>
      </c>
      <c r="AR470" s="13">
        <f>[1]Parametros!$B$6*(AJ470+MAX(BE470-BD470,0)*[1]Parametros!$B$4*MIN(U470,AB470)/1000)</f>
        <v>347.47925901885583</v>
      </c>
      <c r="AS470" s="13" t="str">
        <f t="shared" si="96"/>
        <v>CUMPLE</v>
      </c>
      <c r="AT470" s="13">
        <f>[1]Parametros!$B$6*0.083*SQRT([1]Parametros!$B$2)*(H470*I470)^2/(2*(H470+I470))/1000000</f>
        <v>11.862178757598967</v>
      </c>
      <c r="AU470" s="13" t="str">
        <f t="shared" si="97"/>
        <v>DESPRECIABLE</v>
      </c>
      <c r="AV470" s="13">
        <f>IF(Q470&lt;=AT470,0,Q470*1000000/([1]Parametros!$B$6*2*0.85*(H470-2*([1]Parametros!$B$7+[1]Parametros!$B$9/2))*(I470-2*([1]Parametros!$B$7+[1]Parametros!$B$9/2))*[1]Parametros!$B$4))</f>
        <v>0</v>
      </c>
      <c r="AW470" s="13">
        <f>AV470*2*((H470-2*([1]Parametros!$B$7+[1]Parametros!$B$9/2))+(I470-2*([1]Parametros!$B$7+[1]Parametros!$B$9/2)))*[1]Parametros!$B$4/[1]Parametros!$B$3</f>
        <v>0</v>
      </c>
      <c r="AX470" s="14">
        <v>0</v>
      </c>
      <c r="AY470" s="13" t="str">
        <f t="shared" si="98"/>
        <v>DESPRECIABLE</v>
      </c>
      <c r="AZ470" s="13" t="str">
        <f t="shared" si="99"/>
        <v>CUMPLE</v>
      </c>
      <c r="BA470" s="14">
        <v>9.5</v>
      </c>
      <c r="BB470" s="14">
        <v>71</v>
      </c>
      <c r="BC470" s="13">
        <f>MAX(IF(AK470=0,0,AK470*1000/([1]Parametros!$B$4*MIN(U470,AB470))),MAX(0.062*SQRT([1]Parametros!$B$2)*H470/[1]Parametros!$B$4,0.35*H470/[1]Parametros!$B$4))</f>
        <v>0.93632636822201842</v>
      </c>
      <c r="BD470" s="13">
        <f t="shared" si="100"/>
        <v>0</v>
      </c>
      <c r="BE470" s="13">
        <f t="shared" si="101"/>
        <v>1.1833333333333333</v>
      </c>
      <c r="BF470" s="13">
        <f>SQRT((AI470*1000/(H470*MIN(U470,AB470)))^2+(Q470*1000000*2*((H470-2*([1]Parametros!$B$7+[1]Parametros!$B$9/2))+(I470-2*([1]Parametros!$B$7+[1]Parametros!$B$9/2)))/(1.7*((H470-2*([1]Parametros!$B$7+[1]Parametros!$B$9/2))*(I470-2*([1]Parametros!$B$7+[1]Parametros!$B$9/2)))^2))^2)</f>
        <v>1.2937561772762969</v>
      </c>
      <c r="BG470" s="13">
        <f>[1]Parametros!$B$6*(AJ470*1000/(H470*MIN(U470,AB470))+0.66*SQRT([1]Parametros!$B$2))</f>
        <v>3.2939603822754151</v>
      </c>
      <c r="BH470" s="13" t="str">
        <f t="shared" si="102"/>
        <v>CUMPLE</v>
      </c>
      <c r="BI470" s="13">
        <f>AX470*[1]Parametros!$B$8</f>
        <v>0</v>
      </c>
      <c r="BJ470" s="15" t="str">
        <f t="shared" si="103"/>
        <v>CUMPLE</v>
      </c>
    </row>
    <row r="471" spans="1:62" x14ac:dyDescent="0.3">
      <c r="A471" s="33" t="s">
        <v>76</v>
      </c>
      <c r="B471" s="34">
        <v>966</v>
      </c>
      <c r="C471" s="13">
        <v>1</v>
      </c>
      <c r="D471" s="13">
        <v>2</v>
      </c>
      <c r="E471" s="13">
        <v>2</v>
      </c>
      <c r="F471" s="13">
        <v>500</v>
      </c>
      <c r="G471" s="13">
        <v>550</v>
      </c>
      <c r="H471" s="13">
        <v>500</v>
      </c>
      <c r="I471" s="13">
        <v>550</v>
      </c>
      <c r="J471" s="14">
        <v>54.178899999999999</v>
      </c>
      <c r="K471" s="13">
        <v>966</v>
      </c>
      <c r="L471" s="14">
        <v>18.966100000000001</v>
      </c>
      <c r="M471" s="13">
        <v>966</v>
      </c>
      <c r="N471" s="14">
        <v>64.197999999999993</v>
      </c>
      <c r="O471" s="14">
        <v>149.60300000000001</v>
      </c>
      <c r="P471" s="13">
        <v>966</v>
      </c>
      <c r="Q471" s="14">
        <v>21.573399999999999</v>
      </c>
      <c r="R471" s="13">
        <f>MAX(MAX(1.4/[1]Parametros!$B$3,0.25*SQRT([1]Parametros!$B$2)/[1]Parametros!$B$3)*H471*U471,(0.85*[1]Parametros!$B$2/[1]Parametros!$B$3)*(1-SQRT(1-2*(J471*1000000/([1]Parametros!$B$5*H471*U471^2))/(0.85*[1]Parametros!$B$2)))*H471*U471)</f>
        <v>815.58333333333326</v>
      </c>
      <c r="S471" s="14">
        <v>5</v>
      </c>
      <c r="T471" s="14">
        <v>1</v>
      </c>
      <c r="U471" s="13">
        <f>IF(T471=1,I471-([1]Parametros!$B$7+[1]Parametros!$B$9+[1]Parametros!$B$12/2),I471-(ROUNDUP(S471/2,0)*([1]Parametros!$B$7+[1]Parametros!$B$9+[1]Parametros!$B$12/2)+ROUNDDOWN(S471/2,0)*([1]Parametros!$B$7+[1]Parametros!$B$9+[1]Parametros!$B$12/2+[1]Parametros!$B$12+[1]Parametros!$B$10))/S471)</f>
        <v>489.35</v>
      </c>
      <c r="V471" s="13">
        <f>S471*[1]Parametros!$B$8</f>
        <v>995</v>
      </c>
      <c r="W471" s="13">
        <f>[1]Parametros!$B$5*V471*[1]Parametros!$B$3*(U471-(V471*[1]Parametros!$B$3/(0.85*[1]Parametros!$B$2*H471))/2)/1000000</f>
        <v>177.44537938235294</v>
      </c>
      <c r="X471" s="13" t="str">
        <f t="shared" si="91"/>
        <v>CUMPLE</v>
      </c>
      <c r="Y471" s="13">
        <f>MAX(MAX(1.4/[1]Parametros!$B$3,0.25*SQRT([1]Parametros!$B$2)/[1]Parametros!$B$3)*H471*AB471,(0.85*[1]Parametros!$B$2/[1]Parametros!$B$3)*(1-SQRT(1-2*(L471*1000000/([1]Parametros!$B$5*H471*AB471^2))/(0.85*[1]Parametros!$B$2)))*H471*AB471)</f>
        <v>815.58333333333326</v>
      </c>
      <c r="Z471" s="14">
        <v>5</v>
      </c>
      <c r="AA471" s="14">
        <v>1</v>
      </c>
      <c r="AB471" s="13">
        <f>IF(AA471=1,I471-([1]Parametros!$B$7+[1]Parametros!$B$9+[1]Parametros!$B$12/2),I471-(ROUNDUP(Z471/2,0)*([1]Parametros!$B$7+[1]Parametros!$B$9+[1]Parametros!$B$12/2)+ROUNDDOWN(Z471/2,0)*([1]Parametros!$B$7+[1]Parametros!$B$9+[1]Parametros!$B$12/2+[1]Parametros!$B$12+[1]Parametros!$B$10))/Z471)</f>
        <v>489.35</v>
      </c>
      <c r="AC471" s="13">
        <f>Z471*[1]Parametros!$B$8</f>
        <v>995</v>
      </c>
      <c r="AD471" s="13">
        <f>[1]Parametros!$B$5*AC471*[1]Parametros!$B$3*(AB471-(AC471*[1]Parametros!$B$3/(0.85*[1]Parametros!$B$2*H471))/2)/1000000</f>
        <v>177.44537938235294</v>
      </c>
      <c r="AE471" s="13" t="str">
        <f t="shared" si="92"/>
        <v>CUMPLE</v>
      </c>
      <c r="AF471" s="13">
        <f>V471*1.25*[1]Parametros!$B$3*(U471-(V471*1.25*[1]Parametros!$B$3/(0.85*[1]Parametros!$B$2*H471))/2)/1000000</f>
        <v>244.15884319852941</v>
      </c>
      <c r="AG471" s="13">
        <f>AC471*1.25*[1]Parametros!$B$3*(AB471-(AC471*1.25*[1]Parametros!$B$3/(0.85*[1]Parametros!$B$2*H471))/2)/1000000</f>
        <v>244.15884319852941</v>
      </c>
      <c r="AH471" s="13">
        <f t="shared" si="93"/>
        <v>308.35684319852942</v>
      </c>
      <c r="AI471" s="13">
        <f t="shared" si="94"/>
        <v>308.35684319852942</v>
      </c>
      <c r="AJ471" s="13">
        <f>0.17*SQRT([1]Parametros!$B$2)*H471*MIN(U471,AB471)/1000</f>
        <v>220.09872869180776</v>
      </c>
      <c r="AK471" s="13">
        <f>MAX(AI471/[1]Parametros!$B$6-AJ471,0)</f>
        <v>191.04372890623148</v>
      </c>
      <c r="AL471" s="13">
        <f>0.66*SQRT([1]Parametros!$B$2)*H471*MIN(U471,AB471)/1000</f>
        <v>854.500946685842</v>
      </c>
      <c r="AM471" s="13" t="str">
        <f t="shared" si="95"/>
        <v>CUMPLE</v>
      </c>
      <c r="AN471" s="13" t="s">
        <v>64</v>
      </c>
      <c r="AO471" s="14">
        <v>2</v>
      </c>
      <c r="AP471" s="13">
        <f>ROUNDDOWN(MIN(IF(BC471+BD471=0,1000000000,AO471*BB471/(BC471+BD471)),MIN(U471,AB471)/4,8*[1]Parametros!$B$12,24*BA471,300,IF(AV471=0,1000000000,2*((H471-2*([1]Parametros!$B$7+[1]Parametros!$B$9/2))+(I471-2*([1]Parametros!$B$7+[1]Parametros!$B$9/2)))/8))/10,0)*10</f>
        <v>100</v>
      </c>
      <c r="AQ471" s="13">
        <f>ROUNDDOWN(MIN(IF(BC471+BD471=0,1000000000,AO471*BB471/(BC471+BD471)),IF(AK471&gt;0.33*SQRT([1]Parametros!$B$2)*H471*MIN(U471,AB471)/1000,MIN(U471,AB471)/4,MIN(U471,AB471)/2),600,IF(AV471=0,1000000000,2*((H471-2*([1]Parametros!$B$7+[1]Parametros!$B$9/2))+(I471-2*([1]Parametros!$B$7+[1]Parametros!$B$9/2)))/8))/10,0)*10</f>
        <v>100</v>
      </c>
      <c r="AR471" s="13">
        <f>[1]Parametros!$B$6*(AJ471+MAX(BE471-BD471,0)*[1]Parametros!$B$4*MIN(U471,AB471)/1000)</f>
        <v>317.27906396238012</v>
      </c>
      <c r="AS471" s="13" t="str">
        <f t="shared" si="96"/>
        <v>CUMPLE</v>
      </c>
      <c r="AT471" s="13">
        <f>[1]Parametros!$B$6*0.083*SQRT([1]Parametros!$B$2)*(H471*I471)^2/(2*(H471+I471))/1000000</f>
        <v>11.862178757598967</v>
      </c>
      <c r="AU471" s="13" t="str">
        <f t="shared" si="97"/>
        <v>DISEÑAR</v>
      </c>
      <c r="AV471" s="13">
        <f>IF(Q471&lt;=AT471,0,Q471*1000000/([1]Parametros!$B$6*2*0.85*(H471-2*([1]Parametros!$B$7+[1]Parametros!$B$9/2))*(I471-2*([1]Parametros!$B$7+[1]Parametros!$B$9/2))*[1]Parametros!$B$4))</f>
        <v>0.21629352041816305</v>
      </c>
      <c r="AW471" s="13">
        <f>AV471*2*((H471-2*([1]Parametros!$B$7+[1]Parametros!$B$9/2))+(I471-2*([1]Parametros!$B$7+[1]Parametros!$B$9/2)))*[1]Parametros!$B$4/[1]Parametros!$B$3</f>
        <v>374.01475550708761</v>
      </c>
      <c r="AX471" s="14">
        <v>8</v>
      </c>
      <c r="AY471" s="13" t="str">
        <f t="shared" si="98"/>
        <v>CUMPLE</v>
      </c>
      <c r="AZ471" s="13" t="str">
        <f t="shared" si="99"/>
        <v>CUMPLE</v>
      </c>
      <c r="BA471" s="14">
        <v>9.5</v>
      </c>
      <c r="BB471" s="14">
        <v>71</v>
      </c>
      <c r="BC471" s="13">
        <f>MAX(IF(AK471=0,0,AK471*1000/([1]Parametros!$B$4*MIN(U471,AB471))),MAX(0.062*SQRT([1]Parametros!$B$2)*H471/[1]Parametros!$B$4,0.35*H471/[1]Parametros!$B$4))</f>
        <v>0.92953105385779711</v>
      </c>
      <c r="BD471" s="13">
        <f t="shared" si="100"/>
        <v>0.4325870408363261</v>
      </c>
      <c r="BE471" s="13">
        <f t="shared" si="101"/>
        <v>1.42</v>
      </c>
      <c r="BF471" s="13">
        <f>SQRT((AI471*1000/(H471*MIN(U471,AB471)))^2+(Q471*1000000*2*((H471-2*([1]Parametros!$B$7+[1]Parametros!$B$9/2))+(I471-2*([1]Parametros!$B$7+[1]Parametros!$B$9/2)))/(1.7*((H471-2*([1]Parametros!$B$7+[1]Parametros!$B$9/2))*(I471-2*([1]Parametros!$B$7+[1]Parametros!$B$9/2)))^2))^2)</f>
        <v>1.410100091052769</v>
      </c>
      <c r="BG471" s="13">
        <f>[1]Parametros!$B$6*(AJ471*1000/(H471*MIN(U471,AB471))+0.66*SQRT([1]Parametros!$B$2))</f>
        <v>3.2939603822754151</v>
      </c>
      <c r="BH471" s="13" t="str">
        <f t="shared" si="102"/>
        <v>CUMPLE</v>
      </c>
      <c r="BI471" s="13">
        <f>AX471*[1]Parametros!$B$8</f>
        <v>1592</v>
      </c>
      <c r="BJ471" s="15" t="str">
        <f t="shared" si="103"/>
        <v>CUMPLE</v>
      </c>
    </row>
    <row r="472" spans="1:62" x14ac:dyDescent="0.3">
      <c r="A472" s="33" t="s">
        <v>76</v>
      </c>
      <c r="B472" s="34">
        <v>967</v>
      </c>
      <c r="C472" s="13">
        <v>1</v>
      </c>
      <c r="D472" s="13">
        <v>3.05308</v>
      </c>
      <c r="E472" s="13">
        <v>3.05308</v>
      </c>
      <c r="F472" s="13">
        <v>500</v>
      </c>
      <c r="G472" s="13">
        <v>550</v>
      </c>
      <c r="H472" s="13">
        <v>500</v>
      </c>
      <c r="I472" s="13">
        <v>550</v>
      </c>
      <c r="J472" s="14">
        <v>82.178799999999995</v>
      </c>
      <c r="K472" s="13">
        <v>967</v>
      </c>
      <c r="L472" s="14">
        <v>43.981000000000002</v>
      </c>
      <c r="M472" s="13">
        <v>967</v>
      </c>
      <c r="N472" s="14">
        <v>84.245000000000005</v>
      </c>
      <c r="O472" s="14">
        <v>166.21600000000001</v>
      </c>
      <c r="P472" s="13">
        <v>967</v>
      </c>
      <c r="Q472" s="14">
        <v>26.322099999999999</v>
      </c>
      <c r="R472" s="13">
        <f>MAX(MAX(1.4/[1]Parametros!$B$3,0.25*SQRT([1]Parametros!$B$2)/[1]Parametros!$B$3)*H472*U472,(0.85*[1]Parametros!$B$2/[1]Parametros!$B$3)*(1-SQRT(1-2*(J472*1000000/([1]Parametros!$B$5*H472*U472^2))/(0.85*[1]Parametros!$B$2)))*H472*U472)</f>
        <v>815.58333333333326</v>
      </c>
      <c r="S472" s="14">
        <v>5</v>
      </c>
      <c r="T472" s="14">
        <v>1</v>
      </c>
      <c r="U472" s="13">
        <f>IF(T472=1,I472-([1]Parametros!$B$7+[1]Parametros!$B$9+[1]Parametros!$B$12/2),I472-(ROUNDUP(S472/2,0)*([1]Parametros!$B$7+[1]Parametros!$B$9+[1]Parametros!$B$12/2)+ROUNDDOWN(S472/2,0)*([1]Parametros!$B$7+[1]Parametros!$B$9+[1]Parametros!$B$12/2+[1]Parametros!$B$12+[1]Parametros!$B$10))/S472)</f>
        <v>489.35</v>
      </c>
      <c r="V472" s="13">
        <f>S472*[1]Parametros!$B$8</f>
        <v>995</v>
      </c>
      <c r="W472" s="13">
        <f>[1]Parametros!$B$5*V472*[1]Parametros!$B$3*(U472-(V472*[1]Parametros!$B$3/(0.85*[1]Parametros!$B$2*H472))/2)/1000000</f>
        <v>177.44537938235294</v>
      </c>
      <c r="X472" s="13" t="str">
        <f t="shared" si="91"/>
        <v>CUMPLE</v>
      </c>
      <c r="Y472" s="13">
        <f>MAX(MAX(1.4/[1]Parametros!$B$3,0.25*SQRT([1]Parametros!$B$2)/[1]Parametros!$B$3)*H472*AB472,(0.85*[1]Parametros!$B$2/[1]Parametros!$B$3)*(1-SQRT(1-2*(L472*1000000/([1]Parametros!$B$5*H472*AB472^2))/(0.85*[1]Parametros!$B$2)))*H472*AB472)</f>
        <v>815.58333333333326</v>
      </c>
      <c r="Z472" s="14">
        <v>5</v>
      </c>
      <c r="AA472" s="14">
        <v>1</v>
      </c>
      <c r="AB472" s="13">
        <f>IF(AA472=1,I472-([1]Parametros!$B$7+[1]Parametros!$B$9+[1]Parametros!$B$12/2),I472-(ROUNDUP(Z472/2,0)*([1]Parametros!$B$7+[1]Parametros!$B$9+[1]Parametros!$B$12/2)+ROUNDDOWN(Z472/2,0)*([1]Parametros!$B$7+[1]Parametros!$B$9+[1]Parametros!$B$12/2+[1]Parametros!$B$12+[1]Parametros!$B$10))/Z472)</f>
        <v>489.35</v>
      </c>
      <c r="AC472" s="13">
        <f>Z472*[1]Parametros!$B$8</f>
        <v>995</v>
      </c>
      <c r="AD472" s="13">
        <f>[1]Parametros!$B$5*AC472*[1]Parametros!$B$3*(AB472-(AC472*[1]Parametros!$B$3/(0.85*[1]Parametros!$B$2*H472))/2)/1000000</f>
        <v>177.44537938235294</v>
      </c>
      <c r="AE472" s="13" t="str">
        <f t="shared" si="92"/>
        <v>CUMPLE</v>
      </c>
      <c r="AF472" s="13">
        <f>V472*1.25*[1]Parametros!$B$3*(U472-(V472*1.25*[1]Parametros!$B$3/(0.85*[1]Parametros!$B$2*H472))/2)/1000000</f>
        <v>244.15884319852941</v>
      </c>
      <c r="AG472" s="13">
        <f>AC472*1.25*[1]Parametros!$B$3*(AB472-(AC472*1.25*[1]Parametros!$B$3/(0.85*[1]Parametros!$B$2*H472))/2)/1000000</f>
        <v>244.15884319852941</v>
      </c>
      <c r="AH472" s="13">
        <f t="shared" si="93"/>
        <v>244.18764362449031</v>
      </c>
      <c r="AI472" s="13">
        <f t="shared" si="94"/>
        <v>244.18764362449031</v>
      </c>
      <c r="AJ472" s="13">
        <f>0.17*SQRT([1]Parametros!$B$2)*H472*MIN(U472,AB472)/1000</f>
        <v>220.09872869180776</v>
      </c>
      <c r="AK472" s="13">
        <f>MAX(AI472/[1]Parametros!$B$6-AJ472,0)</f>
        <v>105.48479614084596</v>
      </c>
      <c r="AL472" s="13">
        <f>0.66*SQRT([1]Parametros!$B$2)*H472*MIN(U472,AB472)/1000</f>
        <v>854.500946685842</v>
      </c>
      <c r="AM472" s="13" t="str">
        <f t="shared" si="95"/>
        <v>CUMPLE</v>
      </c>
      <c r="AN472" s="13" t="s">
        <v>64</v>
      </c>
      <c r="AO472" s="14">
        <v>2</v>
      </c>
      <c r="AP472" s="13">
        <f>ROUNDDOWN(MIN(IF(BC472+BD472=0,1000000000,AO472*BB472/(BC472+BD472)),MIN(U472,AB472)/4,8*[1]Parametros!$B$12,24*BA472,300,IF(AV472=0,1000000000,2*((H472-2*([1]Parametros!$B$7+[1]Parametros!$B$9/2))+(I472-2*([1]Parametros!$B$7+[1]Parametros!$B$9/2)))/8))/10,0)*10</f>
        <v>120</v>
      </c>
      <c r="AQ472" s="13">
        <f>ROUNDDOWN(MIN(IF(BC472+BD472=0,1000000000,AO472*BB472/(BC472+BD472)),IF(AK472&gt;0.33*SQRT([1]Parametros!$B$2)*H472*MIN(U472,AB472)/1000,MIN(U472,AB472)/4,MIN(U472,AB472)/2),600,IF(AV472=0,1000000000,2*((H472-2*([1]Parametros!$B$7+[1]Parametros!$B$9/2))+(I472-2*([1]Parametros!$B$7+[1]Parametros!$B$9/2)))/8))/10,0)*10</f>
        <v>130</v>
      </c>
      <c r="AR472" s="13">
        <f>[1]Parametros!$B$6*(AJ472+MAX(BE472-BD472,0)*[1]Parametros!$B$4*MIN(U472,AB472)/1000)</f>
        <v>266.12026122132232</v>
      </c>
      <c r="AS472" s="13" t="str">
        <f t="shared" si="96"/>
        <v>CUMPLE</v>
      </c>
      <c r="AT472" s="13">
        <f>[1]Parametros!$B$6*0.083*SQRT([1]Parametros!$B$2)*(H472*I472)^2/(2*(H472+I472))/1000000</f>
        <v>11.862178757598967</v>
      </c>
      <c r="AU472" s="13" t="str">
        <f t="shared" si="97"/>
        <v>DISEÑAR</v>
      </c>
      <c r="AV472" s="13">
        <f>IF(Q472&lt;=AT472,0,Q472*1000000/([1]Parametros!$B$6*2*0.85*(H472-2*([1]Parametros!$B$7+[1]Parametros!$B$9/2))*(I472-2*([1]Parametros!$B$7+[1]Parametros!$B$9/2))*[1]Parametros!$B$4))</f>
        <v>0.26390368109796924</v>
      </c>
      <c r="AW472" s="13">
        <f>AV472*2*((H472-2*([1]Parametros!$B$7+[1]Parametros!$B$9/2))+(I472-2*([1]Parametros!$B$7+[1]Parametros!$B$9/2)))*[1]Parametros!$B$4/[1]Parametros!$B$3</f>
        <v>456.34224535460845</v>
      </c>
      <c r="AX472" s="14">
        <v>8</v>
      </c>
      <c r="AY472" s="13" t="str">
        <f t="shared" si="98"/>
        <v>CUMPLE</v>
      </c>
      <c r="AZ472" s="13" t="str">
        <f t="shared" si="99"/>
        <v>CUMPLE</v>
      </c>
      <c r="BA472" s="14">
        <v>9.5</v>
      </c>
      <c r="BB472" s="14">
        <v>71</v>
      </c>
      <c r="BC472" s="13">
        <f>MAX(IF(AK472=0,0,AK472*1000/([1]Parametros!$B$4*MIN(U472,AB472))),MAX(0.062*SQRT([1]Parametros!$B$2)*H472/[1]Parametros!$B$4,0.35*H472/[1]Parametros!$B$4))</f>
        <v>0.51324057734918505</v>
      </c>
      <c r="BD472" s="13">
        <f t="shared" si="100"/>
        <v>0.52780736219593849</v>
      </c>
      <c r="BE472" s="13">
        <f t="shared" si="101"/>
        <v>1.1833333333333333</v>
      </c>
      <c r="BF472" s="13">
        <f>SQRT((AI472*1000/(H472*MIN(U472,AB472)))^2+(Q472*1000000*2*((H472-2*([1]Parametros!$B$7+[1]Parametros!$B$9/2))+(I472-2*([1]Parametros!$B$7+[1]Parametros!$B$9/2)))/(1.7*((H472-2*([1]Parametros!$B$7+[1]Parametros!$B$9/2))*(I472-2*([1]Parametros!$B$7+[1]Parametros!$B$9/2)))^2))^2)</f>
        <v>1.2616033270268192</v>
      </c>
      <c r="BG472" s="13">
        <f>[1]Parametros!$B$6*(AJ472*1000/(H472*MIN(U472,AB472))+0.66*SQRT([1]Parametros!$B$2))</f>
        <v>3.2939603822754151</v>
      </c>
      <c r="BH472" s="13" t="str">
        <f t="shared" si="102"/>
        <v>CUMPLE</v>
      </c>
      <c r="BI472" s="13">
        <f>AX472*[1]Parametros!$B$8</f>
        <v>1592</v>
      </c>
      <c r="BJ472" s="15" t="str">
        <f t="shared" si="103"/>
        <v>CUMPLE</v>
      </c>
    </row>
    <row r="473" spans="1:62" x14ac:dyDescent="0.3">
      <c r="A473" s="33" t="s">
        <v>76</v>
      </c>
      <c r="B473" s="34">
        <v>968</v>
      </c>
      <c r="C473" s="13">
        <v>1</v>
      </c>
      <c r="D473" s="13">
        <v>2</v>
      </c>
      <c r="E473" s="13">
        <v>2</v>
      </c>
      <c r="F473" s="13">
        <v>500</v>
      </c>
      <c r="G473" s="13">
        <v>550</v>
      </c>
      <c r="H473" s="13">
        <v>500</v>
      </c>
      <c r="I473" s="13">
        <v>550</v>
      </c>
      <c r="J473" s="14">
        <v>61.750700000000002</v>
      </c>
      <c r="K473" s="13">
        <v>968</v>
      </c>
      <c r="L473" s="14">
        <v>4.8132000000000001</v>
      </c>
      <c r="M473" s="13">
        <v>968</v>
      </c>
      <c r="N473" s="14">
        <v>57.274999999999999</v>
      </c>
      <c r="O473" s="14">
        <v>78.875</v>
      </c>
      <c r="P473" s="13">
        <v>968</v>
      </c>
      <c r="Q473" s="14">
        <v>2.5236999999999998</v>
      </c>
      <c r="R473" s="13">
        <f>MAX(MAX(1.4/[1]Parametros!$B$3,0.25*SQRT([1]Parametros!$B$2)/[1]Parametros!$B$3)*H473*U473,(0.85*[1]Parametros!$B$2/[1]Parametros!$B$3)*(1-SQRT(1-2*(J473*1000000/([1]Parametros!$B$5*H473*U473^2))/(0.85*[1]Parametros!$B$2)))*H473*U473)</f>
        <v>815.58333333333326</v>
      </c>
      <c r="S473" s="14">
        <v>5</v>
      </c>
      <c r="T473" s="14">
        <v>1</v>
      </c>
      <c r="U473" s="13">
        <f>IF(T473=1,I473-([1]Parametros!$B$7+[1]Parametros!$B$9+[1]Parametros!$B$12/2),I473-(ROUNDUP(S473/2,0)*([1]Parametros!$B$7+[1]Parametros!$B$9+[1]Parametros!$B$12/2)+ROUNDDOWN(S473/2,0)*([1]Parametros!$B$7+[1]Parametros!$B$9+[1]Parametros!$B$12/2+[1]Parametros!$B$12+[1]Parametros!$B$10))/S473)</f>
        <v>489.35</v>
      </c>
      <c r="V473" s="13">
        <f>S473*[1]Parametros!$B$8</f>
        <v>995</v>
      </c>
      <c r="W473" s="13">
        <f>[1]Parametros!$B$5*V473*[1]Parametros!$B$3*(U473-(V473*[1]Parametros!$B$3/(0.85*[1]Parametros!$B$2*H473))/2)/1000000</f>
        <v>177.44537938235294</v>
      </c>
      <c r="X473" s="13" t="str">
        <f t="shared" si="91"/>
        <v>CUMPLE</v>
      </c>
      <c r="Y473" s="13">
        <f>MAX(MAX(1.4/[1]Parametros!$B$3,0.25*SQRT([1]Parametros!$B$2)/[1]Parametros!$B$3)*H473*AB473,(0.85*[1]Parametros!$B$2/[1]Parametros!$B$3)*(1-SQRT(1-2*(L473*1000000/([1]Parametros!$B$5*H473*AB473^2))/(0.85*[1]Parametros!$B$2)))*H473*AB473)</f>
        <v>815.58333333333326</v>
      </c>
      <c r="Z473" s="14">
        <v>5</v>
      </c>
      <c r="AA473" s="14">
        <v>1</v>
      </c>
      <c r="AB473" s="13">
        <f>IF(AA473=1,I473-([1]Parametros!$B$7+[1]Parametros!$B$9+[1]Parametros!$B$12/2),I473-(ROUNDUP(Z473/2,0)*([1]Parametros!$B$7+[1]Parametros!$B$9+[1]Parametros!$B$12/2)+ROUNDDOWN(Z473/2,0)*([1]Parametros!$B$7+[1]Parametros!$B$9+[1]Parametros!$B$12/2+[1]Parametros!$B$12+[1]Parametros!$B$10))/Z473)</f>
        <v>489.35</v>
      </c>
      <c r="AC473" s="13">
        <f>Z473*[1]Parametros!$B$8</f>
        <v>995</v>
      </c>
      <c r="AD473" s="13">
        <f>[1]Parametros!$B$5*AC473*[1]Parametros!$B$3*(AB473-(AC473*[1]Parametros!$B$3/(0.85*[1]Parametros!$B$2*H473))/2)/1000000</f>
        <v>177.44537938235294</v>
      </c>
      <c r="AE473" s="13" t="str">
        <f t="shared" si="92"/>
        <v>CUMPLE</v>
      </c>
      <c r="AF473" s="13">
        <f>V473*1.25*[1]Parametros!$B$3*(U473-(V473*1.25*[1]Parametros!$B$3/(0.85*[1]Parametros!$B$2*H473))/2)/1000000</f>
        <v>244.15884319852941</v>
      </c>
      <c r="AG473" s="13">
        <f>AC473*1.25*[1]Parametros!$B$3*(AB473-(AC473*1.25*[1]Parametros!$B$3/(0.85*[1]Parametros!$B$2*H473))/2)/1000000</f>
        <v>244.15884319852941</v>
      </c>
      <c r="AH473" s="13">
        <f t="shared" si="93"/>
        <v>301.43384319852942</v>
      </c>
      <c r="AI473" s="13">
        <f t="shared" si="94"/>
        <v>301.43384319852942</v>
      </c>
      <c r="AJ473" s="13">
        <f>0.17*SQRT([1]Parametros!$B$2)*H473*MIN(U473,AB473)/1000</f>
        <v>220.09872869180776</v>
      </c>
      <c r="AK473" s="13">
        <f>MAX(AI473/[1]Parametros!$B$6-AJ473,0)</f>
        <v>181.81306223956477</v>
      </c>
      <c r="AL473" s="13">
        <f>0.66*SQRT([1]Parametros!$B$2)*H473*MIN(U473,AB473)/1000</f>
        <v>854.500946685842</v>
      </c>
      <c r="AM473" s="13" t="str">
        <f t="shared" si="95"/>
        <v>CUMPLE</v>
      </c>
      <c r="AN473" s="13" t="s">
        <v>64</v>
      </c>
      <c r="AO473" s="14">
        <v>2</v>
      </c>
      <c r="AP473" s="13">
        <f>ROUNDDOWN(MIN(IF(BC473+BD473=0,1000000000,AO473*BB473/(BC473+BD473)),MIN(U473,AB473)/4,8*[1]Parametros!$B$12,24*BA473,300,IF(AV473=0,1000000000,2*((H473-2*([1]Parametros!$B$7+[1]Parametros!$B$9/2))+(I473-2*([1]Parametros!$B$7+[1]Parametros!$B$9/2)))/8))/10,0)*10</f>
        <v>120</v>
      </c>
      <c r="AQ473" s="13">
        <f>ROUNDDOWN(MIN(IF(BC473+BD473=0,1000000000,AO473*BB473/(BC473+BD473)),IF(AK473&gt;0.33*SQRT([1]Parametros!$B$2)*H473*MIN(U473,AB473)/1000,MIN(U473,AB473)/4,MIN(U473,AB473)/2),600,IF(AV473=0,1000000000,2*((H473-2*([1]Parametros!$B$7+[1]Parametros!$B$9/2))+(I473-2*([1]Parametros!$B$7+[1]Parametros!$B$9/2)))/8))/10,0)*10</f>
        <v>160</v>
      </c>
      <c r="AR473" s="13">
        <f>[1]Parametros!$B$6*(AJ473+MAX(BE473-BD473,0)*[1]Parametros!$B$4*MIN(U473,AB473)/1000)</f>
        <v>347.47925901885583</v>
      </c>
      <c r="AS473" s="13" t="str">
        <f t="shared" si="96"/>
        <v>CUMPLE</v>
      </c>
      <c r="AT473" s="13">
        <f>[1]Parametros!$B$6*0.083*SQRT([1]Parametros!$B$2)*(H473*I473)^2/(2*(H473+I473))/1000000</f>
        <v>11.862178757598967</v>
      </c>
      <c r="AU473" s="13" t="str">
        <f t="shared" si="97"/>
        <v>DESPRECIABLE</v>
      </c>
      <c r="AV473" s="13">
        <f>IF(Q473&lt;=AT473,0,Q473*1000000/([1]Parametros!$B$6*2*0.85*(H473-2*([1]Parametros!$B$7+[1]Parametros!$B$9/2))*(I473-2*([1]Parametros!$B$7+[1]Parametros!$B$9/2))*[1]Parametros!$B$4))</f>
        <v>0</v>
      </c>
      <c r="AW473" s="13">
        <f>AV473*2*((H473-2*([1]Parametros!$B$7+[1]Parametros!$B$9/2))+(I473-2*([1]Parametros!$B$7+[1]Parametros!$B$9/2)))*[1]Parametros!$B$4/[1]Parametros!$B$3</f>
        <v>0</v>
      </c>
      <c r="AX473" s="14">
        <v>0</v>
      </c>
      <c r="AY473" s="13" t="str">
        <f t="shared" si="98"/>
        <v>DESPRECIABLE</v>
      </c>
      <c r="AZ473" s="13" t="str">
        <f t="shared" si="99"/>
        <v>CUMPLE</v>
      </c>
      <c r="BA473" s="14">
        <v>9.5</v>
      </c>
      <c r="BB473" s="14">
        <v>71</v>
      </c>
      <c r="BC473" s="13">
        <f>MAX(IF(AK473=0,0,AK473*1000/([1]Parametros!$B$4*MIN(U473,AB473))),MAX(0.062*SQRT([1]Parametros!$B$2)*H473/[1]Parametros!$B$4,0.35*H473/[1]Parametros!$B$4))</f>
        <v>0.8846188687596509</v>
      </c>
      <c r="BD473" s="13">
        <f t="shared" si="100"/>
        <v>0</v>
      </c>
      <c r="BE473" s="13">
        <f t="shared" si="101"/>
        <v>1.1833333333333333</v>
      </c>
      <c r="BF473" s="13">
        <f>SQRT((AI473*1000/(H473*MIN(U473,AB473)))^2+(Q473*1000000*2*((H473-2*([1]Parametros!$B$7+[1]Parametros!$B$9/2))+(I473-2*([1]Parametros!$B$7+[1]Parametros!$B$9/2)))/(1.7*((H473-2*([1]Parametros!$B$7+[1]Parametros!$B$9/2))*(I473-2*([1]Parametros!$B$7+[1]Parametros!$B$9/2)))^2))^2)</f>
        <v>1.2341966203514172</v>
      </c>
      <c r="BG473" s="13">
        <f>[1]Parametros!$B$6*(AJ473*1000/(H473*MIN(U473,AB473))+0.66*SQRT([1]Parametros!$B$2))</f>
        <v>3.2939603822754151</v>
      </c>
      <c r="BH473" s="13" t="str">
        <f t="shared" si="102"/>
        <v>CUMPLE</v>
      </c>
      <c r="BI473" s="13">
        <f>AX473*[1]Parametros!$B$8</f>
        <v>0</v>
      </c>
      <c r="BJ473" s="15" t="str">
        <f t="shared" si="103"/>
        <v>CUMPLE</v>
      </c>
    </row>
    <row r="474" spans="1:62" x14ac:dyDescent="0.3">
      <c r="A474" s="33" t="s">
        <v>76</v>
      </c>
      <c r="B474" s="34">
        <v>979</v>
      </c>
      <c r="C474" s="13">
        <v>1</v>
      </c>
      <c r="D474" s="13">
        <v>2</v>
      </c>
      <c r="E474" s="13">
        <v>2</v>
      </c>
      <c r="F474" s="13">
        <v>500</v>
      </c>
      <c r="G474" s="13">
        <v>550</v>
      </c>
      <c r="H474" s="13">
        <v>500</v>
      </c>
      <c r="I474" s="13">
        <v>550</v>
      </c>
      <c r="J474" s="14">
        <v>61.860100000000003</v>
      </c>
      <c r="K474" s="13">
        <v>979</v>
      </c>
      <c r="L474" s="14">
        <v>4.8258999999999999</v>
      </c>
      <c r="M474" s="13">
        <v>979</v>
      </c>
      <c r="N474" s="14">
        <v>57.354999999999997</v>
      </c>
      <c r="O474" s="14">
        <v>78.947000000000003</v>
      </c>
      <c r="P474" s="13">
        <v>979</v>
      </c>
      <c r="Q474" s="14">
        <v>2.5249000000000001</v>
      </c>
      <c r="R474" s="13">
        <f>MAX(MAX(1.4/[1]Parametros!$B$3,0.25*SQRT([1]Parametros!$B$2)/[1]Parametros!$B$3)*H474*U474,(0.85*[1]Parametros!$B$2/[1]Parametros!$B$3)*(1-SQRT(1-2*(J474*1000000/([1]Parametros!$B$5*H474*U474^2))/(0.85*[1]Parametros!$B$2)))*H474*U474)</f>
        <v>815.58333333333326</v>
      </c>
      <c r="S474" s="14">
        <v>5</v>
      </c>
      <c r="T474" s="14">
        <v>1</v>
      </c>
      <c r="U474" s="13">
        <f>IF(T474=1,I474-([1]Parametros!$B$7+[1]Parametros!$B$9+[1]Parametros!$B$12/2),I474-(ROUNDUP(S474/2,0)*([1]Parametros!$B$7+[1]Parametros!$B$9+[1]Parametros!$B$12/2)+ROUNDDOWN(S474/2,0)*([1]Parametros!$B$7+[1]Parametros!$B$9+[1]Parametros!$B$12/2+[1]Parametros!$B$12+[1]Parametros!$B$10))/S474)</f>
        <v>489.35</v>
      </c>
      <c r="V474" s="13">
        <f>S474*[1]Parametros!$B$8</f>
        <v>995</v>
      </c>
      <c r="W474" s="13">
        <f>[1]Parametros!$B$5*V474*[1]Parametros!$B$3*(U474-(V474*[1]Parametros!$B$3/(0.85*[1]Parametros!$B$2*H474))/2)/1000000</f>
        <v>177.44537938235294</v>
      </c>
      <c r="X474" s="13" t="str">
        <f t="shared" si="91"/>
        <v>CUMPLE</v>
      </c>
      <c r="Y474" s="13">
        <f>MAX(MAX(1.4/[1]Parametros!$B$3,0.25*SQRT([1]Parametros!$B$2)/[1]Parametros!$B$3)*H474*AB474,(0.85*[1]Parametros!$B$2/[1]Parametros!$B$3)*(1-SQRT(1-2*(L474*1000000/([1]Parametros!$B$5*H474*AB474^2))/(0.85*[1]Parametros!$B$2)))*H474*AB474)</f>
        <v>815.58333333333326</v>
      </c>
      <c r="Z474" s="14">
        <v>5</v>
      </c>
      <c r="AA474" s="14">
        <v>1</v>
      </c>
      <c r="AB474" s="13">
        <f>IF(AA474=1,I474-([1]Parametros!$B$7+[1]Parametros!$B$9+[1]Parametros!$B$12/2),I474-(ROUNDUP(Z474/2,0)*([1]Parametros!$B$7+[1]Parametros!$B$9+[1]Parametros!$B$12/2)+ROUNDDOWN(Z474/2,0)*([1]Parametros!$B$7+[1]Parametros!$B$9+[1]Parametros!$B$12/2+[1]Parametros!$B$12+[1]Parametros!$B$10))/Z474)</f>
        <v>489.35</v>
      </c>
      <c r="AC474" s="13">
        <f>Z474*[1]Parametros!$B$8</f>
        <v>995</v>
      </c>
      <c r="AD474" s="13">
        <f>[1]Parametros!$B$5*AC474*[1]Parametros!$B$3*(AB474-(AC474*[1]Parametros!$B$3/(0.85*[1]Parametros!$B$2*H474))/2)/1000000</f>
        <v>177.44537938235294</v>
      </c>
      <c r="AE474" s="13" t="str">
        <f t="shared" si="92"/>
        <v>CUMPLE</v>
      </c>
      <c r="AF474" s="13">
        <f>V474*1.25*[1]Parametros!$B$3*(U474-(V474*1.25*[1]Parametros!$B$3/(0.85*[1]Parametros!$B$2*H474))/2)/1000000</f>
        <v>244.15884319852941</v>
      </c>
      <c r="AG474" s="13">
        <f>AC474*1.25*[1]Parametros!$B$3*(AB474-(AC474*1.25*[1]Parametros!$B$3/(0.85*[1]Parametros!$B$2*H474))/2)/1000000</f>
        <v>244.15884319852941</v>
      </c>
      <c r="AH474" s="13">
        <f t="shared" si="93"/>
        <v>301.5138431985294</v>
      </c>
      <c r="AI474" s="13">
        <f t="shared" si="94"/>
        <v>301.5138431985294</v>
      </c>
      <c r="AJ474" s="13">
        <f>0.17*SQRT([1]Parametros!$B$2)*H474*MIN(U474,AB474)/1000</f>
        <v>220.09872869180776</v>
      </c>
      <c r="AK474" s="13">
        <f>MAX(AI474/[1]Parametros!$B$6-AJ474,0)</f>
        <v>181.91972890623146</v>
      </c>
      <c r="AL474" s="13">
        <f>0.66*SQRT([1]Parametros!$B$2)*H474*MIN(U474,AB474)/1000</f>
        <v>854.500946685842</v>
      </c>
      <c r="AM474" s="13" t="str">
        <f t="shared" si="95"/>
        <v>CUMPLE</v>
      </c>
      <c r="AN474" s="13" t="s">
        <v>64</v>
      </c>
      <c r="AO474" s="14">
        <v>2</v>
      </c>
      <c r="AP474" s="13">
        <f>ROUNDDOWN(MIN(IF(BC474+BD474=0,1000000000,AO474*BB474/(BC474+BD474)),MIN(U474,AB474)/4,8*[1]Parametros!$B$12,24*BA474,300,IF(AV474=0,1000000000,2*((H474-2*([1]Parametros!$B$7+[1]Parametros!$B$9/2))+(I474-2*([1]Parametros!$B$7+[1]Parametros!$B$9/2)))/8))/10,0)*10</f>
        <v>120</v>
      </c>
      <c r="AQ474" s="13">
        <f>ROUNDDOWN(MIN(IF(BC474+BD474=0,1000000000,AO474*BB474/(BC474+BD474)),IF(AK474&gt;0.33*SQRT([1]Parametros!$B$2)*H474*MIN(U474,AB474)/1000,MIN(U474,AB474)/4,MIN(U474,AB474)/2),600,IF(AV474=0,1000000000,2*((H474-2*([1]Parametros!$B$7+[1]Parametros!$B$9/2))+(I474-2*([1]Parametros!$B$7+[1]Parametros!$B$9/2)))/8))/10,0)*10</f>
        <v>160</v>
      </c>
      <c r="AR474" s="13">
        <f>[1]Parametros!$B$6*(AJ474+MAX(BE474-BD474,0)*[1]Parametros!$B$4*MIN(U474,AB474)/1000)</f>
        <v>347.47925901885583</v>
      </c>
      <c r="AS474" s="13" t="str">
        <f t="shared" si="96"/>
        <v>CUMPLE</v>
      </c>
      <c r="AT474" s="13">
        <f>[1]Parametros!$B$6*0.083*SQRT([1]Parametros!$B$2)*(H474*I474)^2/(2*(H474+I474))/1000000</f>
        <v>11.862178757598967</v>
      </c>
      <c r="AU474" s="13" t="str">
        <f t="shared" si="97"/>
        <v>DESPRECIABLE</v>
      </c>
      <c r="AV474" s="13">
        <f>IF(Q474&lt;=AT474,0,Q474*1000000/([1]Parametros!$B$6*2*0.85*(H474-2*([1]Parametros!$B$7+[1]Parametros!$B$9/2))*(I474-2*([1]Parametros!$B$7+[1]Parametros!$B$9/2))*[1]Parametros!$B$4))</f>
        <v>0</v>
      </c>
      <c r="AW474" s="13">
        <f>AV474*2*((H474-2*([1]Parametros!$B$7+[1]Parametros!$B$9/2))+(I474-2*([1]Parametros!$B$7+[1]Parametros!$B$9/2)))*[1]Parametros!$B$4/[1]Parametros!$B$3</f>
        <v>0</v>
      </c>
      <c r="AX474" s="14">
        <v>0</v>
      </c>
      <c r="AY474" s="13" t="str">
        <f t="shared" si="98"/>
        <v>DESPRECIABLE</v>
      </c>
      <c r="AZ474" s="13" t="str">
        <f t="shared" si="99"/>
        <v>CUMPLE</v>
      </c>
      <c r="BA474" s="14">
        <v>9.5</v>
      </c>
      <c r="BB474" s="14">
        <v>71</v>
      </c>
      <c r="BC474" s="13">
        <f>MAX(IF(AK474=0,0,AK474*1000/([1]Parametros!$B$4*MIN(U474,AB474))),MAX(0.062*SQRT([1]Parametros!$B$2)*H474/[1]Parametros!$B$4,0.35*H474/[1]Parametros!$B$4))</f>
        <v>0.88513785977624093</v>
      </c>
      <c r="BD474" s="13">
        <f t="shared" si="100"/>
        <v>0</v>
      </c>
      <c r="BE474" s="13">
        <f t="shared" si="101"/>
        <v>1.1833333333333333</v>
      </c>
      <c r="BF474" s="13">
        <f>SQRT((AI474*1000/(H474*MIN(U474,AB474)))^2+(Q474*1000000*2*((H474-2*([1]Parametros!$B$7+[1]Parametros!$B$9/2))+(I474-2*([1]Parametros!$B$7+[1]Parametros!$B$9/2)))/(1.7*((H474-2*([1]Parametros!$B$7+[1]Parametros!$B$9/2))*(I474-2*([1]Parametros!$B$7+[1]Parametros!$B$9/2)))^2))^2)</f>
        <v>1.2345251060542408</v>
      </c>
      <c r="BG474" s="13">
        <f>[1]Parametros!$B$6*(AJ474*1000/(H474*MIN(U474,AB474))+0.66*SQRT([1]Parametros!$B$2))</f>
        <v>3.2939603822754151</v>
      </c>
      <c r="BH474" s="13" t="str">
        <f t="shared" si="102"/>
        <v>CUMPLE</v>
      </c>
      <c r="BI474" s="13">
        <f>AX474*[1]Parametros!$B$8</f>
        <v>0</v>
      </c>
      <c r="BJ474" s="15" t="str">
        <f t="shared" si="103"/>
        <v>CUMPLE</v>
      </c>
    </row>
    <row r="475" spans="1:62" x14ac:dyDescent="0.3">
      <c r="A475" s="33" t="s">
        <v>76</v>
      </c>
      <c r="B475" s="34">
        <v>980</v>
      </c>
      <c r="C475" s="13">
        <v>1</v>
      </c>
      <c r="D475" s="13">
        <v>3.05308</v>
      </c>
      <c r="E475" s="13">
        <v>3.05308</v>
      </c>
      <c r="F475" s="13">
        <v>500</v>
      </c>
      <c r="G475" s="13">
        <v>550</v>
      </c>
      <c r="H475" s="13">
        <v>500</v>
      </c>
      <c r="I475" s="13">
        <v>550</v>
      </c>
      <c r="J475" s="14">
        <v>82.068700000000007</v>
      </c>
      <c r="K475" s="13">
        <v>980</v>
      </c>
      <c r="L475" s="14">
        <v>43.908099999999997</v>
      </c>
      <c r="M475" s="13">
        <v>980</v>
      </c>
      <c r="N475" s="14">
        <v>84.19</v>
      </c>
      <c r="O475" s="14">
        <v>166.16200000000001</v>
      </c>
      <c r="P475" s="13">
        <v>980</v>
      </c>
      <c r="Q475" s="14">
        <v>26.323799999999999</v>
      </c>
      <c r="R475" s="13">
        <f>MAX(MAX(1.4/[1]Parametros!$B$3,0.25*SQRT([1]Parametros!$B$2)/[1]Parametros!$B$3)*H475*U475,(0.85*[1]Parametros!$B$2/[1]Parametros!$B$3)*(1-SQRT(1-2*(J475*1000000/([1]Parametros!$B$5*H475*U475^2))/(0.85*[1]Parametros!$B$2)))*H475*U475)</f>
        <v>815.58333333333326</v>
      </c>
      <c r="S475" s="14">
        <v>5</v>
      </c>
      <c r="T475" s="14">
        <v>1</v>
      </c>
      <c r="U475" s="13">
        <f>IF(T475=1,I475-([1]Parametros!$B$7+[1]Parametros!$B$9+[1]Parametros!$B$12/2),I475-(ROUNDUP(S475/2,0)*([1]Parametros!$B$7+[1]Parametros!$B$9+[1]Parametros!$B$12/2)+ROUNDDOWN(S475/2,0)*([1]Parametros!$B$7+[1]Parametros!$B$9+[1]Parametros!$B$12/2+[1]Parametros!$B$12+[1]Parametros!$B$10))/S475)</f>
        <v>489.35</v>
      </c>
      <c r="V475" s="13">
        <f>S475*[1]Parametros!$B$8</f>
        <v>995</v>
      </c>
      <c r="W475" s="13">
        <f>[1]Parametros!$B$5*V475*[1]Parametros!$B$3*(U475-(V475*[1]Parametros!$B$3/(0.85*[1]Parametros!$B$2*H475))/2)/1000000</f>
        <v>177.44537938235294</v>
      </c>
      <c r="X475" s="13" t="str">
        <f t="shared" si="91"/>
        <v>CUMPLE</v>
      </c>
      <c r="Y475" s="13">
        <f>MAX(MAX(1.4/[1]Parametros!$B$3,0.25*SQRT([1]Parametros!$B$2)/[1]Parametros!$B$3)*H475*AB475,(0.85*[1]Parametros!$B$2/[1]Parametros!$B$3)*(1-SQRT(1-2*(L475*1000000/([1]Parametros!$B$5*H475*AB475^2))/(0.85*[1]Parametros!$B$2)))*H475*AB475)</f>
        <v>815.58333333333326</v>
      </c>
      <c r="Z475" s="14">
        <v>5</v>
      </c>
      <c r="AA475" s="14">
        <v>1</v>
      </c>
      <c r="AB475" s="13">
        <f>IF(AA475=1,I475-([1]Parametros!$B$7+[1]Parametros!$B$9+[1]Parametros!$B$12/2),I475-(ROUNDUP(Z475/2,0)*([1]Parametros!$B$7+[1]Parametros!$B$9+[1]Parametros!$B$12/2)+ROUNDDOWN(Z475/2,0)*([1]Parametros!$B$7+[1]Parametros!$B$9+[1]Parametros!$B$12/2+[1]Parametros!$B$12+[1]Parametros!$B$10))/Z475)</f>
        <v>489.35</v>
      </c>
      <c r="AC475" s="13">
        <f>Z475*[1]Parametros!$B$8</f>
        <v>995</v>
      </c>
      <c r="AD475" s="13">
        <f>[1]Parametros!$B$5*AC475*[1]Parametros!$B$3*(AB475-(AC475*[1]Parametros!$B$3/(0.85*[1]Parametros!$B$2*H475))/2)/1000000</f>
        <v>177.44537938235294</v>
      </c>
      <c r="AE475" s="13" t="str">
        <f t="shared" si="92"/>
        <v>CUMPLE</v>
      </c>
      <c r="AF475" s="13">
        <f>V475*1.25*[1]Parametros!$B$3*(U475-(V475*1.25*[1]Parametros!$B$3/(0.85*[1]Parametros!$B$2*H475))/2)/1000000</f>
        <v>244.15884319852941</v>
      </c>
      <c r="AG475" s="13">
        <f>AC475*1.25*[1]Parametros!$B$3*(AB475-(AC475*1.25*[1]Parametros!$B$3/(0.85*[1]Parametros!$B$2*H475))/2)/1000000</f>
        <v>244.15884319852941</v>
      </c>
      <c r="AH475" s="13">
        <f t="shared" si="93"/>
        <v>244.1326436244903</v>
      </c>
      <c r="AI475" s="13">
        <f t="shared" si="94"/>
        <v>244.1326436244903</v>
      </c>
      <c r="AJ475" s="13">
        <f>0.17*SQRT([1]Parametros!$B$2)*H475*MIN(U475,AB475)/1000</f>
        <v>220.09872869180776</v>
      </c>
      <c r="AK475" s="13">
        <f>MAX(AI475/[1]Parametros!$B$6-AJ475,0)</f>
        <v>105.41146280751263</v>
      </c>
      <c r="AL475" s="13">
        <f>0.66*SQRT([1]Parametros!$B$2)*H475*MIN(U475,AB475)/1000</f>
        <v>854.500946685842</v>
      </c>
      <c r="AM475" s="13" t="str">
        <f t="shared" si="95"/>
        <v>CUMPLE</v>
      </c>
      <c r="AN475" s="13" t="s">
        <v>64</v>
      </c>
      <c r="AO475" s="14">
        <v>2</v>
      </c>
      <c r="AP475" s="13">
        <f>ROUNDDOWN(MIN(IF(BC475+BD475=0,1000000000,AO475*BB475/(BC475+BD475)),MIN(U475,AB475)/4,8*[1]Parametros!$B$12,24*BA475,300,IF(AV475=0,1000000000,2*((H475-2*([1]Parametros!$B$7+[1]Parametros!$B$9/2))+(I475-2*([1]Parametros!$B$7+[1]Parametros!$B$9/2)))/8))/10,0)*10</f>
        <v>120</v>
      </c>
      <c r="AQ475" s="13">
        <f>ROUNDDOWN(MIN(IF(BC475+BD475=0,1000000000,AO475*BB475/(BC475+BD475)),IF(AK475&gt;0.33*SQRT([1]Parametros!$B$2)*H475*MIN(U475,AB475)/1000,MIN(U475,AB475)/4,MIN(U475,AB475)/2),600,IF(AV475=0,1000000000,2*((H475-2*([1]Parametros!$B$7+[1]Parametros!$B$9/2))+(I475-2*([1]Parametros!$B$7+[1]Parametros!$B$9/2)))/8))/10,0)*10</f>
        <v>130</v>
      </c>
      <c r="AR475" s="13">
        <f>[1]Parametros!$B$6*(AJ475+MAX(BE475-BD475,0)*[1]Parametros!$B$4*MIN(U475,AB475)/1000)</f>
        <v>266.11500669010121</v>
      </c>
      <c r="AS475" s="13" t="str">
        <f t="shared" si="96"/>
        <v>CUMPLE</v>
      </c>
      <c r="AT475" s="13">
        <f>[1]Parametros!$B$6*0.083*SQRT([1]Parametros!$B$2)*(H475*I475)^2/(2*(H475+I475))/1000000</f>
        <v>11.862178757598967</v>
      </c>
      <c r="AU475" s="13" t="str">
        <f t="shared" si="97"/>
        <v>DISEÑAR</v>
      </c>
      <c r="AV475" s="13">
        <f>IF(Q475&lt;=AT475,0,Q475*1000000/([1]Parametros!$B$6*2*0.85*(H475-2*([1]Parametros!$B$7+[1]Parametros!$B$9/2))*(I475-2*([1]Parametros!$B$7+[1]Parametros!$B$9/2))*[1]Parametros!$B$4))</f>
        <v>0.26392072518859522</v>
      </c>
      <c r="AW475" s="13">
        <f>AV475*2*((H475-2*([1]Parametros!$B$7+[1]Parametros!$B$9/2))+(I475-2*([1]Parametros!$B$7+[1]Parametros!$B$9/2)))*[1]Parametros!$B$4/[1]Parametros!$B$3</f>
        <v>456.37171799611889</v>
      </c>
      <c r="AX475" s="14">
        <v>8</v>
      </c>
      <c r="AY475" s="13" t="str">
        <f t="shared" si="98"/>
        <v>CUMPLE</v>
      </c>
      <c r="AZ475" s="13" t="str">
        <f t="shared" si="99"/>
        <v>CUMPLE</v>
      </c>
      <c r="BA475" s="14">
        <v>9.5</v>
      </c>
      <c r="BB475" s="14">
        <v>71</v>
      </c>
      <c r="BC475" s="13">
        <f>MAX(IF(AK475=0,0,AK475*1000/([1]Parametros!$B$4*MIN(U475,AB475))),MAX(0.062*SQRT([1]Parametros!$B$2)*H475/[1]Parametros!$B$4,0.35*H475/[1]Parametros!$B$4))</f>
        <v>0.5128837710252796</v>
      </c>
      <c r="BD475" s="13">
        <f t="shared" si="100"/>
        <v>0.52784145037719044</v>
      </c>
      <c r="BE475" s="13">
        <f t="shared" si="101"/>
        <v>1.1833333333333333</v>
      </c>
      <c r="BF475" s="13">
        <f>SQRT((AI475*1000/(H475*MIN(U475,AB475)))^2+(Q475*1000000*2*((H475-2*([1]Parametros!$B$7+[1]Parametros!$B$9/2))+(I475-2*([1]Parametros!$B$7+[1]Parametros!$B$9/2)))/(1.7*((H475-2*([1]Parametros!$B$7+[1]Parametros!$B$9/2))*(I475-2*([1]Parametros!$B$7+[1]Parametros!$B$9/2)))^2))^2)</f>
        <v>1.2614560092616427</v>
      </c>
      <c r="BG475" s="13">
        <f>[1]Parametros!$B$6*(AJ475*1000/(H475*MIN(U475,AB475))+0.66*SQRT([1]Parametros!$B$2))</f>
        <v>3.2939603822754151</v>
      </c>
      <c r="BH475" s="13" t="str">
        <f t="shared" si="102"/>
        <v>CUMPLE</v>
      </c>
      <c r="BI475" s="13">
        <f>AX475*[1]Parametros!$B$8</f>
        <v>1592</v>
      </c>
      <c r="BJ475" s="15" t="str">
        <f t="shared" si="103"/>
        <v>CUMPLE</v>
      </c>
    </row>
    <row r="476" spans="1:62" x14ac:dyDescent="0.3">
      <c r="A476" s="33" t="s">
        <v>76</v>
      </c>
      <c r="B476" s="34">
        <v>981</v>
      </c>
      <c r="C476" s="13">
        <v>1</v>
      </c>
      <c r="D476" s="13">
        <v>2</v>
      </c>
      <c r="E476" s="13">
        <v>2</v>
      </c>
      <c r="F476" s="13">
        <v>500</v>
      </c>
      <c r="G476" s="13">
        <v>550</v>
      </c>
      <c r="H476" s="13">
        <v>500</v>
      </c>
      <c r="I476" s="13">
        <v>550</v>
      </c>
      <c r="J476" s="14">
        <v>54.054000000000002</v>
      </c>
      <c r="K476" s="13">
        <v>981</v>
      </c>
      <c r="L476" s="14">
        <v>19.023199999999999</v>
      </c>
      <c r="M476" s="13">
        <v>981</v>
      </c>
      <c r="N476" s="14">
        <v>64.278999999999996</v>
      </c>
      <c r="O476" s="14">
        <v>149.67099999999999</v>
      </c>
      <c r="P476" s="13">
        <v>981</v>
      </c>
      <c r="Q476" s="14">
        <v>21.577100000000002</v>
      </c>
      <c r="R476" s="13">
        <f>MAX(MAX(1.4/[1]Parametros!$B$3,0.25*SQRT([1]Parametros!$B$2)/[1]Parametros!$B$3)*H476*U476,(0.85*[1]Parametros!$B$2/[1]Parametros!$B$3)*(1-SQRT(1-2*(J476*1000000/([1]Parametros!$B$5*H476*U476^2))/(0.85*[1]Parametros!$B$2)))*H476*U476)</f>
        <v>815.58333333333326</v>
      </c>
      <c r="S476" s="14">
        <v>5</v>
      </c>
      <c r="T476" s="14">
        <v>1</v>
      </c>
      <c r="U476" s="13">
        <f>IF(T476=1,I476-([1]Parametros!$B$7+[1]Parametros!$B$9+[1]Parametros!$B$12/2),I476-(ROUNDUP(S476/2,0)*([1]Parametros!$B$7+[1]Parametros!$B$9+[1]Parametros!$B$12/2)+ROUNDDOWN(S476/2,0)*([1]Parametros!$B$7+[1]Parametros!$B$9+[1]Parametros!$B$12/2+[1]Parametros!$B$12+[1]Parametros!$B$10))/S476)</f>
        <v>489.35</v>
      </c>
      <c r="V476" s="13">
        <f>S476*[1]Parametros!$B$8</f>
        <v>995</v>
      </c>
      <c r="W476" s="13">
        <f>[1]Parametros!$B$5*V476*[1]Parametros!$B$3*(U476-(V476*[1]Parametros!$B$3/(0.85*[1]Parametros!$B$2*H476))/2)/1000000</f>
        <v>177.44537938235294</v>
      </c>
      <c r="X476" s="13" t="str">
        <f t="shared" si="91"/>
        <v>CUMPLE</v>
      </c>
      <c r="Y476" s="13">
        <f>MAX(MAX(1.4/[1]Parametros!$B$3,0.25*SQRT([1]Parametros!$B$2)/[1]Parametros!$B$3)*H476*AB476,(0.85*[1]Parametros!$B$2/[1]Parametros!$B$3)*(1-SQRT(1-2*(L476*1000000/([1]Parametros!$B$5*H476*AB476^2))/(0.85*[1]Parametros!$B$2)))*H476*AB476)</f>
        <v>815.58333333333326</v>
      </c>
      <c r="Z476" s="14">
        <v>5</v>
      </c>
      <c r="AA476" s="14">
        <v>1</v>
      </c>
      <c r="AB476" s="13">
        <f>IF(AA476=1,I476-([1]Parametros!$B$7+[1]Parametros!$B$9+[1]Parametros!$B$12/2),I476-(ROUNDUP(Z476/2,0)*([1]Parametros!$B$7+[1]Parametros!$B$9+[1]Parametros!$B$12/2)+ROUNDDOWN(Z476/2,0)*([1]Parametros!$B$7+[1]Parametros!$B$9+[1]Parametros!$B$12/2+[1]Parametros!$B$12+[1]Parametros!$B$10))/Z476)</f>
        <v>489.35</v>
      </c>
      <c r="AC476" s="13">
        <f>Z476*[1]Parametros!$B$8</f>
        <v>995</v>
      </c>
      <c r="AD476" s="13">
        <f>[1]Parametros!$B$5*AC476*[1]Parametros!$B$3*(AB476-(AC476*[1]Parametros!$B$3/(0.85*[1]Parametros!$B$2*H476))/2)/1000000</f>
        <v>177.44537938235294</v>
      </c>
      <c r="AE476" s="13" t="str">
        <f t="shared" si="92"/>
        <v>CUMPLE</v>
      </c>
      <c r="AF476" s="13">
        <f>V476*1.25*[1]Parametros!$B$3*(U476-(V476*1.25*[1]Parametros!$B$3/(0.85*[1]Parametros!$B$2*H476))/2)/1000000</f>
        <v>244.15884319852941</v>
      </c>
      <c r="AG476" s="13">
        <f>AC476*1.25*[1]Parametros!$B$3*(AB476-(AC476*1.25*[1]Parametros!$B$3/(0.85*[1]Parametros!$B$2*H476))/2)/1000000</f>
        <v>244.15884319852941</v>
      </c>
      <c r="AH476" s="13">
        <f t="shared" si="93"/>
        <v>308.43784319852944</v>
      </c>
      <c r="AI476" s="13">
        <f t="shared" si="94"/>
        <v>308.43784319852944</v>
      </c>
      <c r="AJ476" s="13">
        <f>0.17*SQRT([1]Parametros!$B$2)*H476*MIN(U476,AB476)/1000</f>
        <v>220.09872869180776</v>
      </c>
      <c r="AK476" s="13">
        <f>MAX(AI476/[1]Parametros!$B$6-AJ476,0)</f>
        <v>191.15172890623148</v>
      </c>
      <c r="AL476" s="13">
        <f>0.66*SQRT([1]Parametros!$B$2)*H476*MIN(U476,AB476)/1000</f>
        <v>854.500946685842</v>
      </c>
      <c r="AM476" s="13" t="str">
        <f t="shared" si="95"/>
        <v>CUMPLE</v>
      </c>
      <c r="AN476" s="13" t="s">
        <v>64</v>
      </c>
      <c r="AO476" s="14">
        <v>2</v>
      </c>
      <c r="AP476" s="13">
        <f>ROUNDDOWN(MIN(IF(BC476+BD476=0,1000000000,AO476*BB476/(BC476+BD476)),MIN(U476,AB476)/4,8*[1]Parametros!$B$12,24*BA476,300,IF(AV476=0,1000000000,2*((H476-2*([1]Parametros!$B$7+[1]Parametros!$B$9/2))+(I476-2*([1]Parametros!$B$7+[1]Parametros!$B$9/2)))/8))/10,0)*10</f>
        <v>100</v>
      </c>
      <c r="AQ476" s="13">
        <f>ROUNDDOWN(MIN(IF(BC476+BD476=0,1000000000,AO476*BB476/(BC476+BD476)),IF(AK476&gt;0.33*SQRT([1]Parametros!$B$2)*H476*MIN(U476,AB476)/1000,MIN(U476,AB476)/4,MIN(U476,AB476)/2),600,IF(AV476=0,1000000000,2*((H476-2*([1]Parametros!$B$7+[1]Parametros!$B$9/2))+(I476-2*([1]Parametros!$B$7+[1]Parametros!$B$9/2)))/8))/10,0)*10</f>
        <v>100</v>
      </c>
      <c r="AR476" s="13">
        <f>[1]Parametros!$B$6*(AJ476+MAX(BE476-BD476,0)*[1]Parametros!$B$4*MIN(U476,AB476)/1000)</f>
        <v>317.26762762972237</v>
      </c>
      <c r="AS476" s="13" t="str">
        <f t="shared" si="96"/>
        <v>CUMPLE</v>
      </c>
      <c r="AT476" s="13">
        <f>[1]Parametros!$B$6*0.083*SQRT([1]Parametros!$B$2)*(H476*I476)^2/(2*(H476+I476))/1000000</f>
        <v>11.862178757598967</v>
      </c>
      <c r="AU476" s="13" t="str">
        <f t="shared" si="97"/>
        <v>DISEÑAR</v>
      </c>
      <c r="AV476" s="13">
        <f>IF(Q476&lt;=AT476,0,Q476*1000000/([1]Parametros!$B$6*2*0.85*(H476-2*([1]Parametros!$B$7+[1]Parametros!$B$9/2))*(I476-2*([1]Parametros!$B$7+[1]Parametros!$B$9/2))*[1]Parametros!$B$4))</f>
        <v>0.21633061638011375</v>
      </c>
      <c r="AW476" s="13">
        <f>AV476*2*((H476-2*([1]Parametros!$B$7+[1]Parametros!$B$9/2))+(I476-2*([1]Parametros!$B$7+[1]Parametros!$B$9/2)))*[1]Parametros!$B$4/[1]Parametros!$B$3</f>
        <v>374.07890184449269</v>
      </c>
      <c r="AX476" s="14">
        <v>8</v>
      </c>
      <c r="AY476" s="13" t="str">
        <f t="shared" si="98"/>
        <v>CUMPLE</v>
      </c>
      <c r="AZ476" s="13" t="str">
        <f t="shared" si="99"/>
        <v>CUMPLE</v>
      </c>
      <c r="BA476" s="14">
        <v>9.5</v>
      </c>
      <c r="BB476" s="14">
        <v>71</v>
      </c>
      <c r="BC476" s="13">
        <f>MAX(IF(AK476=0,0,AK476*1000/([1]Parametros!$B$4*MIN(U476,AB476))),MAX(0.062*SQRT([1]Parametros!$B$2)*H476/[1]Parametros!$B$4,0.35*H476/[1]Parametros!$B$4))</f>
        <v>0.9300565322620945</v>
      </c>
      <c r="BD476" s="13">
        <f t="shared" si="100"/>
        <v>0.4326612327602275</v>
      </c>
      <c r="BE476" s="13">
        <f t="shared" si="101"/>
        <v>1.42</v>
      </c>
      <c r="BF476" s="13">
        <f>SQRT((AI476*1000/(H476*MIN(U476,AB476)))^2+(Q476*1000000*2*((H476-2*([1]Parametros!$B$7+[1]Parametros!$B$9/2))+(I476-2*([1]Parametros!$B$7+[1]Parametros!$B$9/2)))/(1.7*((H476-2*([1]Parametros!$B$7+[1]Parametros!$B$9/2))*(I476-2*([1]Parametros!$B$7+[1]Parametros!$B$9/2)))^2))^2)</f>
        <v>1.4104446310016319</v>
      </c>
      <c r="BG476" s="13">
        <f>[1]Parametros!$B$6*(AJ476*1000/(H476*MIN(U476,AB476))+0.66*SQRT([1]Parametros!$B$2))</f>
        <v>3.2939603822754151</v>
      </c>
      <c r="BH476" s="13" t="str">
        <f t="shared" si="102"/>
        <v>CUMPLE</v>
      </c>
      <c r="BI476" s="13">
        <f>AX476*[1]Parametros!$B$8</f>
        <v>1592</v>
      </c>
      <c r="BJ476" s="15" t="str">
        <f t="shared" si="103"/>
        <v>CUMPLE</v>
      </c>
    </row>
    <row r="477" spans="1:62" x14ac:dyDescent="0.3">
      <c r="A477" s="33" t="s">
        <v>76</v>
      </c>
      <c r="B477" s="34">
        <v>982</v>
      </c>
      <c r="C477" s="13">
        <v>1</v>
      </c>
      <c r="D477" s="13">
        <v>1.9</v>
      </c>
      <c r="E477" s="13">
        <v>1.9</v>
      </c>
      <c r="F477" s="13">
        <v>500</v>
      </c>
      <c r="G477" s="13">
        <v>550</v>
      </c>
      <c r="H477" s="13">
        <v>500</v>
      </c>
      <c r="I477" s="13">
        <v>550</v>
      </c>
      <c r="J477" s="14">
        <v>48.5503</v>
      </c>
      <c r="K477" s="13">
        <v>982</v>
      </c>
      <c r="L477" s="14">
        <v>11.731199999999999</v>
      </c>
      <c r="M477" s="13">
        <v>982</v>
      </c>
      <c r="N477" s="14">
        <v>52.475000000000001</v>
      </c>
      <c r="O477" s="14">
        <v>98.174999999999997</v>
      </c>
      <c r="P477" s="13">
        <v>982</v>
      </c>
      <c r="Q477" s="14">
        <v>9.3759999999999994</v>
      </c>
      <c r="R477" s="13">
        <f>MAX(MAX(1.4/[1]Parametros!$B$3,0.25*SQRT([1]Parametros!$B$2)/[1]Parametros!$B$3)*H477*U477,(0.85*[1]Parametros!$B$2/[1]Parametros!$B$3)*(1-SQRT(1-2*(J477*1000000/([1]Parametros!$B$5*H477*U477^2))/(0.85*[1]Parametros!$B$2)))*H477*U477)</f>
        <v>815.58333333333326</v>
      </c>
      <c r="S477" s="14">
        <v>5</v>
      </c>
      <c r="T477" s="14">
        <v>1</v>
      </c>
      <c r="U477" s="13">
        <f>IF(T477=1,I477-([1]Parametros!$B$7+[1]Parametros!$B$9+[1]Parametros!$B$12/2),I477-(ROUNDUP(S477/2,0)*([1]Parametros!$B$7+[1]Parametros!$B$9+[1]Parametros!$B$12/2)+ROUNDDOWN(S477/2,0)*([1]Parametros!$B$7+[1]Parametros!$B$9+[1]Parametros!$B$12/2+[1]Parametros!$B$12+[1]Parametros!$B$10))/S477)</f>
        <v>489.35</v>
      </c>
      <c r="V477" s="13">
        <f>S477*[1]Parametros!$B$8</f>
        <v>995</v>
      </c>
      <c r="W477" s="13">
        <f>[1]Parametros!$B$5*V477*[1]Parametros!$B$3*(U477-(V477*[1]Parametros!$B$3/(0.85*[1]Parametros!$B$2*H477))/2)/1000000</f>
        <v>177.44537938235294</v>
      </c>
      <c r="X477" s="13" t="str">
        <f t="shared" si="91"/>
        <v>CUMPLE</v>
      </c>
      <c r="Y477" s="13">
        <f>MAX(MAX(1.4/[1]Parametros!$B$3,0.25*SQRT([1]Parametros!$B$2)/[1]Parametros!$B$3)*H477*AB477,(0.85*[1]Parametros!$B$2/[1]Parametros!$B$3)*(1-SQRT(1-2*(L477*1000000/([1]Parametros!$B$5*H477*AB477^2))/(0.85*[1]Parametros!$B$2)))*H477*AB477)</f>
        <v>815.58333333333326</v>
      </c>
      <c r="Z477" s="14">
        <v>5</v>
      </c>
      <c r="AA477" s="14">
        <v>1</v>
      </c>
      <c r="AB477" s="13">
        <f>IF(AA477=1,I477-([1]Parametros!$B$7+[1]Parametros!$B$9+[1]Parametros!$B$12/2),I477-(ROUNDUP(Z477/2,0)*([1]Parametros!$B$7+[1]Parametros!$B$9+[1]Parametros!$B$12/2)+ROUNDDOWN(Z477/2,0)*([1]Parametros!$B$7+[1]Parametros!$B$9+[1]Parametros!$B$12/2+[1]Parametros!$B$12+[1]Parametros!$B$10))/Z477)</f>
        <v>489.35</v>
      </c>
      <c r="AC477" s="13">
        <f>Z477*[1]Parametros!$B$8</f>
        <v>995</v>
      </c>
      <c r="AD477" s="13">
        <f>[1]Parametros!$B$5*AC477*[1]Parametros!$B$3*(AB477-(AC477*[1]Parametros!$B$3/(0.85*[1]Parametros!$B$2*H477))/2)/1000000</f>
        <v>177.44537938235294</v>
      </c>
      <c r="AE477" s="13" t="str">
        <f t="shared" si="92"/>
        <v>CUMPLE</v>
      </c>
      <c r="AF477" s="13">
        <f>V477*1.25*[1]Parametros!$B$3*(U477-(V477*1.25*[1]Parametros!$B$3/(0.85*[1]Parametros!$B$2*H477))/2)/1000000</f>
        <v>244.15884319852941</v>
      </c>
      <c r="AG477" s="13">
        <f>AC477*1.25*[1]Parametros!$B$3*(AB477-(AC477*1.25*[1]Parametros!$B$3/(0.85*[1]Parametros!$B$2*H477))/2)/1000000</f>
        <v>244.15884319852941</v>
      </c>
      <c r="AH477" s="13">
        <f t="shared" si="93"/>
        <v>309.48430863003097</v>
      </c>
      <c r="AI477" s="13">
        <f t="shared" si="94"/>
        <v>309.48430863003097</v>
      </c>
      <c r="AJ477" s="13">
        <f>0.17*SQRT([1]Parametros!$B$2)*H477*MIN(U477,AB477)/1000</f>
        <v>220.09872869180776</v>
      </c>
      <c r="AK477" s="13">
        <f>MAX(AI477/[1]Parametros!$B$6-AJ477,0)</f>
        <v>192.54701614823352</v>
      </c>
      <c r="AL477" s="13">
        <f>0.66*SQRT([1]Parametros!$B$2)*H477*MIN(U477,AB477)/1000</f>
        <v>854.500946685842</v>
      </c>
      <c r="AM477" s="13" t="str">
        <f t="shared" si="95"/>
        <v>CUMPLE</v>
      </c>
      <c r="AN477" s="13" t="s">
        <v>64</v>
      </c>
      <c r="AO477" s="14">
        <v>2</v>
      </c>
      <c r="AP477" s="13">
        <f>ROUNDDOWN(MIN(IF(BC477+BD477=0,1000000000,AO477*BB477/(BC477+BD477)),MIN(U477,AB477)/4,8*[1]Parametros!$B$12,24*BA477,300,IF(AV477=0,1000000000,2*((H477-2*([1]Parametros!$B$7+[1]Parametros!$B$9/2))+(I477-2*([1]Parametros!$B$7+[1]Parametros!$B$9/2)))/8))/10,0)*10</f>
        <v>120</v>
      </c>
      <c r="AQ477" s="13">
        <f>ROUNDDOWN(MIN(IF(BC477+BD477=0,1000000000,AO477*BB477/(BC477+BD477)),IF(AK477&gt;0.33*SQRT([1]Parametros!$B$2)*H477*MIN(U477,AB477)/1000,MIN(U477,AB477)/4,MIN(U477,AB477)/2),600,IF(AV477=0,1000000000,2*((H477-2*([1]Parametros!$B$7+[1]Parametros!$B$9/2))+(I477-2*([1]Parametros!$B$7+[1]Parametros!$B$9/2)))/8))/10,0)*10</f>
        <v>150</v>
      </c>
      <c r="AR477" s="13">
        <f>[1]Parametros!$B$6*(AJ477+MAX(BE477-BD477,0)*[1]Parametros!$B$4*MIN(U477,AB477)/1000)</f>
        <v>347.47925901885583</v>
      </c>
      <c r="AS477" s="13" t="str">
        <f t="shared" si="96"/>
        <v>CUMPLE</v>
      </c>
      <c r="AT477" s="13">
        <f>[1]Parametros!$B$6*0.083*SQRT([1]Parametros!$B$2)*(H477*I477)^2/(2*(H477+I477))/1000000</f>
        <v>11.862178757598967</v>
      </c>
      <c r="AU477" s="13" t="str">
        <f t="shared" si="97"/>
        <v>DESPRECIABLE</v>
      </c>
      <c r="AV477" s="13">
        <f>IF(Q477&lt;=AT477,0,Q477*1000000/([1]Parametros!$B$6*2*0.85*(H477-2*([1]Parametros!$B$7+[1]Parametros!$B$9/2))*(I477-2*([1]Parametros!$B$7+[1]Parametros!$B$9/2))*[1]Parametros!$B$4))</f>
        <v>0</v>
      </c>
      <c r="AW477" s="13">
        <f>AV477*2*((H477-2*([1]Parametros!$B$7+[1]Parametros!$B$9/2))+(I477-2*([1]Parametros!$B$7+[1]Parametros!$B$9/2)))*[1]Parametros!$B$4/[1]Parametros!$B$3</f>
        <v>0</v>
      </c>
      <c r="AX477" s="14">
        <v>0</v>
      </c>
      <c r="AY477" s="13" t="str">
        <f t="shared" si="98"/>
        <v>DESPRECIABLE</v>
      </c>
      <c r="AZ477" s="13" t="str">
        <f t="shared" si="99"/>
        <v>CUMPLE</v>
      </c>
      <c r="BA477" s="14">
        <v>9.5</v>
      </c>
      <c r="BB477" s="14">
        <v>71</v>
      </c>
      <c r="BC477" s="13">
        <f>MAX(IF(AK477=0,0,AK477*1000/([1]Parametros!$B$4*MIN(U477,AB477))),MAX(0.062*SQRT([1]Parametros!$B$2)*H477/[1]Parametros!$B$4,0.35*H477/[1]Parametros!$B$4))</f>
        <v>0.93684535923860868</v>
      </c>
      <c r="BD477" s="13">
        <f t="shared" si="100"/>
        <v>0</v>
      </c>
      <c r="BE477" s="13">
        <f t="shared" si="101"/>
        <v>1.1833333333333333</v>
      </c>
      <c r="BF477" s="13">
        <f>SQRT((AI477*1000/(H477*MIN(U477,AB477)))^2+(Q477*1000000*2*((H477-2*([1]Parametros!$B$7+[1]Parametros!$B$9/2))+(I477-2*([1]Parametros!$B$7+[1]Parametros!$B$9/2)))/(1.7*((H477-2*([1]Parametros!$B$7+[1]Parametros!$B$9/2))*(I477-2*([1]Parametros!$B$7+[1]Parametros!$B$9/2)))^2))^2)</f>
        <v>1.2944079978036902</v>
      </c>
      <c r="BG477" s="13">
        <f>[1]Parametros!$B$6*(AJ477*1000/(H477*MIN(U477,AB477))+0.66*SQRT([1]Parametros!$B$2))</f>
        <v>3.2939603822754151</v>
      </c>
      <c r="BH477" s="13" t="str">
        <f t="shared" si="102"/>
        <v>CUMPLE</v>
      </c>
      <c r="BI477" s="13">
        <f>AX477*[1]Parametros!$B$8</f>
        <v>0</v>
      </c>
      <c r="BJ477" s="15" t="str">
        <f t="shared" si="103"/>
        <v>CUMPLE</v>
      </c>
    </row>
    <row r="478" spans="1:62" x14ac:dyDescent="0.3">
      <c r="A478" s="33" t="s">
        <v>76</v>
      </c>
      <c r="B478" s="34">
        <v>983</v>
      </c>
      <c r="C478" s="13">
        <v>1</v>
      </c>
      <c r="D478" s="13">
        <v>3.57612</v>
      </c>
      <c r="E478" s="13">
        <v>3.57612</v>
      </c>
      <c r="F478" s="13">
        <v>500</v>
      </c>
      <c r="G478" s="13">
        <v>550</v>
      </c>
      <c r="H478" s="13">
        <v>500</v>
      </c>
      <c r="I478" s="13">
        <v>550</v>
      </c>
      <c r="J478" s="14">
        <v>78.652299999999997</v>
      </c>
      <c r="K478" s="13">
        <v>983</v>
      </c>
      <c r="L478" s="14">
        <v>41.437600000000003</v>
      </c>
      <c r="M478" s="13">
        <v>983</v>
      </c>
      <c r="N478" s="14">
        <v>75.991</v>
      </c>
      <c r="O478" s="14">
        <v>154.10499999999999</v>
      </c>
      <c r="P478" s="13">
        <v>983</v>
      </c>
      <c r="Q478" s="14">
        <v>8.1875</v>
      </c>
      <c r="R478" s="13">
        <f>MAX(MAX(1.4/[1]Parametros!$B$3,0.25*SQRT([1]Parametros!$B$2)/[1]Parametros!$B$3)*H478*U478,(0.85*[1]Parametros!$B$2/[1]Parametros!$B$3)*(1-SQRT(1-2*(J478*1000000/([1]Parametros!$B$5*H478*U478^2))/(0.85*[1]Parametros!$B$2)))*H478*U478)</f>
        <v>815.58333333333326</v>
      </c>
      <c r="S478" s="14">
        <v>5</v>
      </c>
      <c r="T478" s="14">
        <v>1</v>
      </c>
      <c r="U478" s="13">
        <f>IF(T478=1,I478-([1]Parametros!$B$7+[1]Parametros!$B$9+[1]Parametros!$B$12/2),I478-(ROUNDUP(S478/2,0)*([1]Parametros!$B$7+[1]Parametros!$B$9+[1]Parametros!$B$12/2)+ROUNDDOWN(S478/2,0)*([1]Parametros!$B$7+[1]Parametros!$B$9+[1]Parametros!$B$12/2+[1]Parametros!$B$12+[1]Parametros!$B$10))/S478)</f>
        <v>489.35</v>
      </c>
      <c r="V478" s="13">
        <f>S478*[1]Parametros!$B$8</f>
        <v>995</v>
      </c>
      <c r="W478" s="13">
        <f>[1]Parametros!$B$5*V478*[1]Parametros!$B$3*(U478-(V478*[1]Parametros!$B$3/(0.85*[1]Parametros!$B$2*H478))/2)/1000000</f>
        <v>177.44537938235294</v>
      </c>
      <c r="X478" s="13" t="str">
        <f t="shared" si="91"/>
        <v>CUMPLE</v>
      </c>
      <c r="Y478" s="13">
        <f>MAX(MAX(1.4/[1]Parametros!$B$3,0.25*SQRT([1]Parametros!$B$2)/[1]Parametros!$B$3)*H478*AB478,(0.85*[1]Parametros!$B$2/[1]Parametros!$B$3)*(1-SQRT(1-2*(L478*1000000/([1]Parametros!$B$5*H478*AB478^2))/(0.85*[1]Parametros!$B$2)))*H478*AB478)</f>
        <v>815.58333333333326</v>
      </c>
      <c r="Z478" s="14">
        <v>5</v>
      </c>
      <c r="AA478" s="14">
        <v>1</v>
      </c>
      <c r="AB478" s="13">
        <f>IF(AA478=1,I478-([1]Parametros!$B$7+[1]Parametros!$B$9+[1]Parametros!$B$12/2),I478-(ROUNDUP(Z478/2,0)*([1]Parametros!$B$7+[1]Parametros!$B$9+[1]Parametros!$B$12/2)+ROUNDDOWN(Z478/2,0)*([1]Parametros!$B$7+[1]Parametros!$B$9+[1]Parametros!$B$12/2+[1]Parametros!$B$12+[1]Parametros!$B$10))/Z478)</f>
        <v>489.35</v>
      </c>
      <c r="AC478" s="13">
        <f>Z478*[1]Parametros!$B$8</f>
        <v>995</v>
      </c>
      <c r="AD478" s="13">
        <f>[1]Parametros!$B$5*AC478*[1]Parametros!$B$3*(AB478-(AC478*[1]Parametros!$B$3/(0.85*[1]Parametros!$B$2*H478))/2)/1000000</f>
        <v>177.44537938235294</v>
      </c>
      <c r="AE478" s="13" t="str">
        <f t="shared" si="92"/>
        <v>CUMPLE</v>
      </c>
      <c r="AF478" s="13">
        <f>V478*1.25*[1]Parametros!$B$3*(U478-(V478*1.25*[1]Parametros!$B$3/(0.85*[1]Parametros!$B$2*H478))/2)/1000000</f>
        <v>244.15884319852941</v>
      </c>
      <c r="AG478" s="13">
        <f>AC478*1.25*[1]Parametros!$B$3*(AB478-(AC478*1.25*[1]Parametros!$B$3/(0.85*[1]Parametros!$B$2*H478))/2)/1000000</f>
        <v>244.15884319852941</v>
      </c>
      <c r="AH478" s="13">
        <f t="shared" si="93"/>
        <v>212.54058066201884</v>
      </c>
      <c r="AI478" s="13">
        <f t="shared" si="94"/>
        <v>212.54058066201884</v>
      </c>
      <c r="AJ478" s="13">
        <f>0.17*SQRT([1]Parametros!$B$2)*H478*MIN(U478,AB478)/1000</f>
        <v>220.09872869180776</v>
      </c>
      <c r="AK478" s="13">
        <f>MAX(AI478/[1]Parametros!$B$6-AJ478,0)</f>
        <v>63.288712190884041</v>
      </c>
      <c r="AL478" s="13">
        <f>0.66*SQRT([1]Parametros!$B$2)*H478*MIN(U478,AB478)/1000</f>
        <v>854.500946685842</v>
      </c>
      <c r="AM478" s="13" t="str">
        <f t="shared" si="95"/>
        <v>CUMPLE</v>
      </c>
      <c r="AN478" s="13" t="s">
        <v>64</v>
      </c>
      <c r="AO478" s="14">
        <v>2</v>
      </c>
      <c r="AP478" s="13">
        <f>ROUNDDOWN(MIN(IF(BC478+BD478=0,1000000000,AO478*BB478/(BC478+BD478)),MIN(U478,AB478)/4,8*[1]Parametros!$B$12,24*BA478,300,IF(AV478=0,1000000000,2*((H478-2*([1]Parametros!$B$7+[1]Parametros!$B$9/2))+(I478-2*([1]Parametros!$B$7+[1]Parametros!$B$9/2)))/8))/10,0)*10</f>
        <v>120</v>
      </c>
      <c r="AQ478" s="13">
        <f>ROUNDDOWN(MIN(IF(BC478+BD478=0,1000000000,AO478*BB478/(BC478+BD478)),IF(AK478&gt;0.33*SQRT([1]Parametros!$B$2)*H478*MIN(U478,AB478)/1000,MIN(U478,AB478)/4,MIN(U478,AB478)/2),600,IF(AV478=0,1000000000,2*((H478-2*([1]Parametros!$B$7+[1]Parametros!$B$9/2))+(I478-2*([1]Parametros!$B$7+[1]Parametros!$B$9/2)))/8))/10,0)*10</f>
        <v>240</v>
      </c>
      <c r="AR478" s="13">
        <f>[1]Parametros!$B$6*(AJ478+MAX(BE478-BD478,0)*[1]Parametros!$B$4*MIN(U478,AB478)/1000)</f>
        <v>347.47925901885583</v>
      </c>
      <c r="AS478" s="13" t="str">
        <f t="shared" si="96"/>
        <v>CUMPLE</v>
      </c>
      <c r="AT478" s="13">
        <f>[1]Parametros!$B$6*0.083*SQRT([1]Parametros!$B$2)*(H478*I478)^2/(2*(H478+I478))/1000000</f>
        <v>11.862178757598967</v>
      </c>
      <c r="AU478" s="13" t="str">
        <f t="shared" si="97"/>
        <v>DESPRECIABLE</v>
      </c>
      <c r="AV478" s="13">
        <f>IF(Q478&lt;=AT478,0,Q478*1000000/([1]Parametros!$B$6*2*0.85*(H478-2*([1]Parametros!$B$7+[1]Parametros!$B$9/2))*(I478-2*([1]Parametros!$B$7+[1]Parametros!$B$9/2))*[1]Parametros!$B$4))</f>
        <v>0</v>
      </c>
      <c r="AW478" s="13">
        <f>AV478*2*((H478-2*([1]Parametros!$B$7+[1]Parametros!$B$9/2))+(I478-2*([1]Parametros!$B$7+[1]Parametros!$B$9/2)))*[1]Parametros!$B$4/[1]Parametros!$B$3</f>
        <v>0</v>
      </c>
      <c r="AX478" s="14">
        <v>0</v>
      </c>
      <c r="AY478" s="13" t="str">
        <f t="shared" si="98"/>
        <v>DESPRECIABLE</v>
      </c>
      <c r="AZ478" s="13" t="str">
        <f t="shared" si="99"/>
        <v>CUMPLE</v>
      </c>
      <c r="BA478" s="14">
        <v>9.5</v>
      </c>
      <c r="BB478" s="14">
        <v>71</v>
      </c>
      <c r="BC478" s="13">
        <f>MAX(IF(AK478=0,0,AK478*1000/([1]Parametros!$B$4*MIN(U478,AB478))),MAX(0.062*SQRT([1]Parametros!$B$2)*H478/[1]Parametros!$B$4,0.35*H478/[1]Parametros!$B$4))</f>
        <v>0.41666666666666669</v>
      </c>
      <c r="BD478" s="13">
        <f t="shared" si="100"/>
        <v>0</v>
      </c>
      <c r="BE478" s="13">
        <f t="shared" si="101"/>
        <v>1.1833333333333333</v>
      </c>
      <c r="BF478" s="13">
        <f>SQRT((AI478*1000/(H478*MIN(U478,AB478)))^2+(Q478*1000000*2*((H478-2*([1]Parametros!$B$7+[1]Parametros!$B$9/2))+(I478-2*([1]Parametros!$B$7+[1]Parametros!$B$9/2)))/(1.7*((H478-2*([1]Parametros!$B$7+[1]Parametros!$B$9/2))*(I478-2*([1]Parametros!$B$7+[1]Parametros!$B$9/2)))^2))^2)</f>
        <v>0.90122504488486954</v>
      </c>
      <c r="BG478" s="13">
        <f>[1]Parametros!$B$6*(AJ478*1000/(H478*MIN(U478,AB478))+0.66*SQRT([1]Parametros!$B$2))</f>
        <v>3.2939603822754151</v>
      </c>
      <c r="BH478" s="13" t="str">
        <f t="shared" si="102"/>
        <v>CUMPLE</v>
      </c>
      <c r="BI478" s="13">
        <f>AX478*[1]Parametros!$B$8</f>
        <v>0</v>
      </c>
      <c r="BJ478" s="15" t="str">
        <f t="shared" si="103"/>
        <v>CUMPLE</v>
      </c>
    </row>
    <row r="479" spans="1:62" x14ac:dyDescent="0.3">
      <c r="A479" s="33" t="s">
        <v>76</v>
      </c>
      <c r="B479" s="34">
        <v>984</v>
      </c>
      <c r="C479" s="13">
        <v>1</v>
      </c>
      <c r="D479" s="13">
        <v>2.1</v>
      </c>
      <c r="E479" s="13">
        <v>2.1</v>
      </c>
      <c r="F479" s="13">
        <v>500</v>
      </c>
      <c r="G479" s="13">
        <v>550</v>
      </c>
      <c r="H479" s="13">
        <v>500</v>
      </c>
      <c r="I479" s="13">
        <v>550</v>
      </c>
      <c r="J479" s="14">
        <v>99.7226</v>
      </c>
      <c r="K479" s="13">
        <v>984</v>
      </c>
      <c r="L479" s="14">
        <v>51.279899999999998</v>
      </c>
      <c r="M479" s="13">
        <v>984</v>
      </c>
      <c r="N479" s="14">
        <v>88.361999999999995</v>
      </c>
      <c r="O479" s="14">
        <v>157.51900000000001</v>
      </c>
      <c r="P479" s="13">
        <v>984</v>
      </c>
      <c r="Q479" s="14">
        <v>20.668299999999999</v>
      </c>
      <c r="R479" s="13">
        <f>MAX(MAX(1.4/[1]Parametros!$B$3,0.25*SQRT([1]Parametros!$B$2)/[1]Parametros!$B$3)*H479*U479,(0.85*[1]Parametros!$B$2/[1]Parametros!$B$3)*(1-SQRT(1-2*(J479*1000000/([1]Parametros!$B$5*H479*U479^2))/(0.85*[1]Parametros!$B$2)))*H479*U479)</f>
        <v>815.58333333333326</v>
      </c>
      <c r="S479" s="14">
        <v>5</v>
      </c>
      <c r="T479" s="14">
        <v>1</v>
      </c>
      <c r="U479" s="13">
        <f>IF(T479=1,I479-([1]Parametros!$B$7+[1]Parametros!$B$9+[1]Parametros!$B$12/2),I479-(ROUNDUP(S479/2,0)*([1]Parametros!$B$7+[1]Parametros!$B$9+[1]Parametros!$B$12/2)+ROUNDDOWN(S479/2,0)*([1]Parametros!$B$7+[1]Parametros!$B$9+[1]Parametros!$B$12/2+[1]Parametros!$B$12+[1]Parametros!$B$10))/S479)</f>
        <v>489.35</v>
      </c>
      <c r="V479" s="13">
        <f>S479*[1]Parametros!$B$8</f>
        <v>995</v>
      </c>
      <c r="W479" s="13">
        <f>[1]Parametros!$B$5*V479*[1]Parametros!$B$3*(U479-(V479*[1]Parametros!$B$3/(0.85*[1]Parametros!$B$2*H479))/2)/1000000</f>
        <v>177.44537938235294</v>
      </c>
      <c r="X479" s="13" t="str">
        <f t="shared" si="91"/>
        <v>CUMPLE</v>
      </c>
      <c r="Y479" s="13">
        <f>MAX(MAX(1.4/[1]Parametros!$B$3,0.25*SQRT([1]Parametros!$B$2)/[1]Parametros!$B$3)*H479*AB479,(0.85*[1]Parametros!$B$2/[1]Parametros!$B$3)*(1-SQRT(1-2*(L479*1000000/([1]Parametros!$B$5*H479*AB479^2))/(0.85*[1]Parametros!$B$2)))*H479*AB479)</f>
        <v>815.58333333333326</v>
      </c>
      <c r="Z479" s="14">
        <v>5</v>
      </c>
      <c r="AA479" s="14">
        <v>1</v>
      </c>
      <c r="AB479" s="13">
        <f>IF(AA479=1,I479-([1]Parametros!$B$7+[1]Parametros!$B$9+[1]Parametros!$B$12/2),I479-(ROUNDUP(Z479/2,0)*([1]Parametros!$B$7+[1]Parametros!$B$9+[1]Parametros!$B$12/2)+ROUNDDOWN(Z479/2,0)*([1]Parametros!$B$7+[1]Parametros!$B$9+[1]Parametros!$B$12/2+[1]Parametros!$B$12+[1]Parametros!$B$10))/Z479)</f>
        <v>489.35</v>
      </c>
      <c r="AC479" s="13">
        <f>Z479*[1]Parametros!$B$8</f>
        <v>995</v>
      </c>
      <c r="AD479" s="13">
        <f>[1]Parametros!$B$5*AC479*[1]Parametros!$B$3*(AB479-(AC479*[1]Parametros!$B$3/(0.85*[1]Parametros!$B$2*H479))/2)/1000000</f>
        <v>177.44537938235294</v>
      </c>
      <c r="AE479" s="13" t="str">
        <f t="shared" si="92"/>
        <v>CUMPLE</v>
      </c>
      <c r="AF479" s="13">
        <f>V479*1.25*[1]Parametros!$B$3*(U479-(V479*1.25*[1]Parametros!$B$3/(0.85*[1]Parametros!$B$2*H479))/2)/1000000</f>
        <v>244.15884319852941</v>
      </c>
      <c r="AG479" s="13">
        <f>AC479*1.25*[1]Parametros!$B$3*(AB479-(AC479*1.25*[1]Parametros!$B$3/(0.85*[1]Parametros!$B$2*H479))/2)/1000000</f>
        <v>244.15884319852941</v>
      </c>
      <c r="AH479" s="13">
        <f t="shared" si="93"/>
        <v>320.89423161764705</v>
      </c>
      <c r="AI479" s="13">
        <f t="shared" si="94"/>
        <v>320.89423161764705</v>
      </c>
      <c r="AJ479" s="13">
        <f>0.17*SQRT([1]Parametros!$B$2)*H479*MIN(U479,AB479)/1000</f>
        <v>220.09872869180776</v>
      </c>
      <c r="AK479" s="13">
        <f>MAX(AI479/[1]Parametros!$B$6-AJ479,0)</f>
        <v>207.76024679838832</v>
      </c>
      <c r="AL479" s="13">
        <f>0.66*SQRT([1]Parametros!$B$2)*H479*MIN(U479,AB479)/1000</f>
        <v>854.500946685842</v>
      </c>
      <c r="AM479" s="13" t="str">
        <f t="shared" si="95"/>
        <v>CUMPLE</v>
      </c>
      <c r="AN479" s="13" t="s">
        <v>64</v>
      </c>
      <c r="AO479" s="14">
        <v>2</v>
      </c>
      <c r="AP479" s="13">
        <f>ROUNDDOWN(MIN(IF(BC479+BD479=0,1000000000,AO479*BB479/(BC479+BD479)),MIN(U479,AB479)/4,8*[1]Parametros!$B$12,24*BA479,300,IF(AV479=0,1000000000,2*((H479-2*([1]Parametros!$B$7+[1]Parametros!$B$9/2))+(I479-2*([1]Parametros!$B$7+[1]Parametros!$B$9/2)))/8))/10,0)*10</f>
        <v>90</v>
      </c>
      <c r="AQ479" s="13">
        <f>ROUNDDOWN(MIN(IF(BC479+BD479=0,1000000000,AO479*BB479/(BC479+BD479)),IF(AK479&gt;0.33*SQRT([1]Parametros!$B$2)*H479*MIN(U479,AB479)/1000,MIN(U479,AB479)/4,MIN(U479,AB479)/2),600,IF(AV479=0,1000000000,2*((H479-2*([1]Parametros!$B$7+[1]Parametros!$B$9/2))+(I479-2*([1]Parametros!$B$7+[1]Parametros!$B$9/2)))/8))/10,0)*10</f>
        <v>90</v>
      </c>
      <c r="AR479" s="13">
        <f>[1]Parametros!$B$6*(AJ479+MAX(BE479-BD479,0)*[1]Parametros!$B$4*MIN(U479,AB479)/1000)</f>
        <v>344.39733320252617</v>
      </c>
      <c r="AS479" s="13" t="str">
        <f t="shared" si="96"/>
        <v>CUMPLE</v>
      </c>
      <c r="AT479" s="13">
        <f>[1]Parametros!$B$6*0.083*SQRT([1]Parametros!$B$2)*(H479*I479)^2/(2*(H479+I479))/1000000</f>
        <v>11.862178757598967</v>
      </c>
      <c r="AU479" s="13" t="str">
        <f t="shared" si="97"/>
        <v>DISEÑAR</v>
      </c>
      <c r="AV479" s="13">
        <f>IF(Q479&lt;=AT479,0,Q479*1000000/([1]Parametros!$B$6*2*0.85*(H479-2*([1]Parametros!$B$7+[1]Parametros!$B$9/2))*(I479-2*([1]Parametros!$B$7+[1]Parametros!$B$9/2))*[1]Parametros!$B$4))</f>
        <v>0.20721904605016916</v>
      </c>
      <c r="AW479" s="13">
        <f>AV479*2*((H479-2*([1]Parametros!$B$7+[1]Parametros!$B$9/2))+(I479-2*([1]Parametros!$B$7+[1]Parametros!$B$9/2)))*[1]Parametros!$B$4/[1]Parametros!$B$3</f>
        <v>358.32317442995259</v>
      </c>
      <c r="AX479" s="14">
        <v>8</v>
      </c>
      <c r="AY479" s="13" t="str">
        <f t="shared" si="98"/>
        <v>CUMPLE</v>
      </c>
      <c r="AZ479" s="13" t="str">
        <f t="shared" si="99"/>
        <v>CUMPLE</v>
      </c>
      <c r="BA479" s="14">
        <v>9.5</v>
      </c>
      <c r="BB479" s="14">
        <v>71</v>
      </c>
      <c r="BC479" s="13">
        <f>MAX(IF(AK479=0,0,AK479*1000/([1]Parametros!$B$4*MIN(U479,AB479))),MAX(0.062*SQRT([1]Parametros!$B$2)*H479/[1]Parametros!$B$4,0.35*H479/[1]Parametros!$B$4))</f>
        <v>1.0108659533705464</v>
      </c>
      <c r="BD479" s="13">
        <f t="shared" si="100"/>
        <v>0.41443809210033833</v>
      </c>
      <c r="BE479" s="13">
        <f t="shared" si="101"/>
        <v>1.5777777777777777</v>
      </c>
      <c r="BF479" s="13">
        <f>SQRT((AI479*1000/(H479*MIN(U479,AB479)))^2+(Q479*1000000*2*((H479-2*([1]Parametros!$B$7+[1]Parametros!$B$9/2))+(I479-2*([1]Parametros!$B$7+[1]Parametros!$B$9/2)))/(1.7*((H479-2*([1]Parametros!$B$7+[1]Parametros!$B$9/2))*(I479-2*([1]Parametros!$B$7+[1]Parametros!$B$9/2)))^2))^2)</f>
        <v>1.4447475109251375</v>
      </c>
      <c r="BG479" s="13">
        <f>[1]Parametros!$B$6*(AJ479*1000/(H479*MIN(U479,AB479))+0.66*SQRT([1]Parametros!$B$2))</f>
        <v>3.2939603822754151</v>
      </c>
      <c r="BH479" s="13" t="str">
        <f t="shared" si="102"/>
        <v>CUMPLE</v>
      </c>
      <c r="BI479" s="13">
        <f>AX479*[1]Parametros!$B$8</f>
        <v>1592</v>
      </c>
      <c r="BJ479" s="15" t="str">
        <f t="shared" si="103"/>
        <v>CUMPLE</v>
      </c>
    </row>
    <row r="480" spans="1:62" x14ac:dyDescent="0.3">
      <c r="A480" s="33" t="s">
        <v>76</v>
      </c>
      <c r="B480" s="34">
        <v>985</v>
      </c>
      <c r="C480" s="13">
        <v>1</v>
      </c>
      <c r="D480" s="13">
        <v>2.2000000000000002</v>
      </c>
      <c r="E480" s="13">
        <v>2.2000000000000002</v>
      </c>
      <c r="F480" s="13">
        <v>500</v>
      </c>
      <c r="G480" s="13">
        <v>550</v>
      </c>
      <c r="H480" s="13">
        <v>500</v>
      </c>
      <c r="I480" s="13">
        <v>550</v>
      </c>
      <c r="J480" s="14">
        <v>102.11239999999999</v>
      </c>
      <c r="K480" s="13">
        <v>985</v>
      </c>
      <c r="L480" s="14">
        <v>51.971499999999999</v>
      </c>
      <c r="M480" s="13">
        <v>985</v>
      </c>
      <c r="N480" s="14">
        <v>88.665999999999997</v>
      </c>
      <c r="O480" s="14">
        <v>161.51900000000001</v>
      </c>
      <c r="P480" s="13">
        <v>985</v>
      </c>
      <c r="Q480" s="14">
        <v>20.0259</v>
      </c>
      <c r="R480" s="13">
        <f>MAX(MAX(1.4/[1]Parametros!$B$3,0.25*SQRT([1]Parametros!$B$2)/[1]Parametros!$B$3)*H480*U480,(0.85*[1]Parametros!$B$2/[1]Parametros!$B$3)*(1-SQRT(1-2*(J480*1000000/([1]Parametros!$B$5*H480*U480^2))/(0.85*[1]Parametros!$B$2)))*H480*U480)</f>
        <v>815.58333333333326</v>
      </c>
      <c r="S480" s="14">
        <v>5</v>
      </c>
      <c r="T480" s="14">
        <v>1</v>
      </c>
      <c r="U480" s="13">
        <f>IF(T480=1,I480-([1]Parametros!$B$7+[1]Parametros!$B$9+[1]Parametros!$B$12/2),I480-(ROUNDUP(S480/2,0)*([1]Parametros!$B$7+[1]Parametros!$B$9+[1]Parametros!$B$12/2)+ROUNDDOWN(S480/2,0)*([1]Parametros!$B$7+[1]Parametros!$B$9+[1]Parametros!$B$12/2+[1]Parametros!$B$12+[1]Parametros!$B$10))/S480)</f>
        <v>489.35</v>
      </c>
      <c r="V480" s="13">
        <f>S480*[1]Parametros!$B$8</f>
        <v>995</v>
      </c>
      <c r="W480" s="13">
        <f>[1]Parametros!$B$5*V480*[1]Parametros!$B$3*(U480-(V480*[1]Parametros!$B$3/(0.85*[1]Parametros!$B$2*H480))/2)/1000000</f>
        <v>177.44537938235294</v>
      </c>
      <c r="X480" s="13" t="str">
        <f t="shared" si="91"/>
        <v>CUMPLE</v>
      </c>
      <c r="Y480" s="13">
        <f>MAX(MAX(1.4/[1]Parametros!$B$3,0.25*SQRT([1]Parametros!$B$2)/[1]Parametros!$B$3)*H480*AB480,(0.85*[1]Parametros!$B$2/[1]Parametros!$B$3)*(1-SQRT(1-2*(L480*1000000/([1]Parametros!$B$5*H480*AB480^2))/(0.85*[1]Parametros!$B$2)))*H480*AB480)</f>
        <v>815.58333333333326</v>
      </c>
      <c r="Z480" s="14">
        <v>5</v>
      </c>
      <c r="AA480" s="14">
        <v>1</v>
      </c>
      <c r="AB480" s="13">
        <f>IF(AA480=1,I480-([1]Parametros!$B$7+[1]Parametros!$B$9+[1]Parametros!$B$12/2),I480-(ROUNDUP(Z480/2,0)*([1]Parametros!$B$7+[1]Parametros!$B$9+[1]Parametros!$B$12/2)+ROUNDDOWN(Z480/2,0)*([1]Parametros!$B$7+[1]Parametros!$B$9+[1]Parametros!$B$12/2+[1]Parametros!$B$12+[1]Parametros!$B$10))/Z480)</f>
        <v>489.35</v>
      </c>
      <c r="AC480" s="13">
        <f>Z480*[1]Parametros!$B$8</f>
        <v>995</v>
      </c>
      <c r="AD480" s="13">
        <f>[1]Parametros!$B$5*AC480*[1]Parametros!$B$3*(AB480-(AC480*[1]Parametros!$B$3/(0.85*[1]Parametros!$B$2*H480))/2)/1000000</f>
        <v>177.44537938235294</v>
      </c>
      <c r="AE480" s="13" t="str">
        <f t="shared" si="92"/>
        <v>CUMPLE</v>
      </c>
      <c r="AF480" s="13">
        <f>V480*1.25*[1]Parametros!$B$3*(U480-(V480*1.25*[1]Parametros!$B$3/(0.85*[1]Parametros!$B$2*H480))/2)/1000000</f>
        <v>244.15884319852941</v>
      </c>
      <c r="AG480" s="13">
        <f>AC480*1.25*[1]Parametros!$B$3*(AB480-(AC480*1.25*[1]Parametros!$B$3/(0.85*[1]Parametros!$B$2*H480))/2)/1000000</f>
        <v>244.15884319852941</v>
      </c>
      <c r="AH480" s="13">
        <f t="shared" si="93"/>
        <v>310.62858472593581</v>
      </c>
      <c r="AI480" s="13">
        <f t="shared" si="94"/>
        <v>310.62858472593581</v>
      </c>
      <c r="AJ480" s="13">
        <f>0.17*SQRT([1]Parametros!$B$2)*H480*MIN(U480,AB480)/1000</f>
        <v>220.09872869180776</v>
      </c>
      <c r="AK480" s="13">
        <f>MAX(AI480/[1]Parametros!$B$6-AJ480,0)</f>
        <v>194.07271760943996</v>
      </c>
      <c r="AL480" s="13">
        <f>0.66*SQRT([1]Parametros!$B$2)*H480*MIN(U480,AB480)/1000</f>
        <v>854.500946685842</v>
      </c>
      <c r="AM480" s="13" t="str">
        <f t="shared" si="95"/>
        <v>CUMPLE</v>
      </c>
      <c r="AN480" s="13" t="s">
        <v>64</v>
      </c>
      <c r="AO480" s="14">
        <v>2</v>
      </c>
      <c r="AP480" s="13">
        <f>ROUNDDOWN(MIN(IF(BC480+BD480=0,1000000000,AO480*BB480/(BC480+BD480)),MIN(U480,AB480)/4,8*[1]Parametros!$B$12,24*BA480,300,IF(AV480=0,1000000000,2*((H480-2*([1]Parametros!$B$7+[1]Parametros!$B$9/2))+(I480-2*([1]Parametros!$B$7+[1]Parametros!$B$9/2)))/8))/10,0)*10</f>
        <v>100</v>
      </c>
      <c r="AQ480" s="13">
        <f>ROUNDDOWN(MIN(IF(BC480+BD480=0,1000000000,AO480*BB480/(BC480+BD480)),IF(AK480&gt;0.33*SQRT([1]Parametros!$B$2)*H480*MIN(U480,AB480)/1000,MIN(U480,AB480)/4,MIN(U480,AB480)/2),600,IF(AV480=0,1000000000,2*((H480-2*([1]Parametros!$B$7+[1]Parametros!$B$9/2))+(I480-2*([1]Parametros!$B$7+[1]Parametros!$B$9/2)))/8))/10,0)*10</f>
        <v>100</v>
      </c>
      <c r="AR480" s="13">
        <f>[1]Parametros!$B$6*(AJ480+MAX(BE480-BD480,0)*[1]Parametros!$B$4*MIN(U480,AB480)/1000)</f>
        <v>322.06223282397104</v>
      </c>
      <c r="AS480" s="13" t="str">
        <f t="shared" si="96"/>
        <v>CUMPLE</v>
      </c>
      <c r="AT480" s="13">
        <f>[1]Parametros!$B$6*0.083*SQRT([1]Parametros!$B$2)*(H480*I480)^2/(2*(H480+I480))/1000000</f>
        <v>11.862178757598967</v>
      </c>
      <c r="AU480" s="13" t="str">
        <f t="shared" si="97"/>
        <v>DISEÑAR</v>
      </c>
      <c r="AV480" s="13">
        <f>IF(Q480&lt;=AT480,0,Q480*1000000/([1]Parametros!$B$6*2*0.85*(H480-2*([1]Parametros!$B$7+[1]Parametros!$B$9/2))*(I480-2*([1]Parametros!$B$7+[1]Parametros!$B$9/2))*[1]Parametros!$B$4))</f>
        <v>0.20077838498067488</v>
      </c>
      <c r="AW480" s="13">
        <f>AV480*2*((H480-2*([1]Parametros!$B$7+[1]Parametros!$B$9/2))+(I480-2*([1]Parametros!$B$7+[1]Parametros!$B$9/2)))*[1]Parametros!$B$4/[1]Parametros!$B$3</f>
        <v>347.18598330858299</v>
      </c>
      <c r="AX480" s="14">
        <v>8</v>
      </c>
      <c r="AY480" s="13" t="str">
        <f t="shared" si="98"/>
        <v>CUMPLE</v>
      </c>
      <c r="AZ480" s="13" t="str">
        <f t="shared" si="99"/>
        <v>CUMPLE</v>
      </c>
      <c r="BA480" s="14">
        <v>9.5</v>
      </c>
      <c r="BB480" s="14">
        <v>71</v>
      </c>
      <c r="BC480" s="13">
        <f>MAX(IF(AK480=0,0,AK480*1000/([1]Parametros!$B$4*MIN(U480,AB480))),MAX(0.062*SQRT([1]Parametros!$B$2)*H480/[1]Parametros!$B$4,0.35*H480/[1]Parametros!$B$4))</f>
        <v>0.94426872191702294</v>
      </c>
      <c r="BD480" s="13">
        <f t="shared" si="100"/>
        <v>0.40155676996134976</v>
      </c>
      <c r="BE480" s="13">
        <f t="shared" si="101"/>
        <v>1.42</v>
      </c>
      <c r="BF480" s="13">
        <f>SQRT((AI480*1000/(H480*MIN(U480,AB480)))^2+(Q480*1000000*2*((H480-2*([1]Parametros!$B$7+[1]Parametros!$B$9/2))+(I480-2*([1]Parametros!$B$7+[1]Parametros!$B$9/2)))/(1.7*((H480-2*([1]Parametros!$B$7+[1]Parametros!$B$9/2))*(I480-2*([1]Parametros!$B$7+[1]Parametros!$B$9/2)))^2))^2)</f>
        <v>1.3987601831279826</v>
      </c>
      <c r="BG480" s="13">
        <f>[1]Parametros!$B$6*(AJ480*1000/(H480*MIN(U480,AB480))+0.66*SQRT([1]Parametros!$B$2))</f>
        <v>3.2939603822754151</v>
      </c>
      <c r="BH480" s="13" t="str">
        <f t="shared" si="102"/>
        <v>CUMPLE</v>
      </c>
      <c r="BI480" s="13">
        <f>AX480*[1]Parametros!$B$8</f>
        <v>1592</v>
      </c>
      <c r="BJ480" s="15" t="str">
        <f t="shared" si="103"/>
        <v>CUMPLE</v>
      </c>
    </row>
    <row r="481" spans="1:62" x14ac:dyDescent="0.3">
      <c r="A481" s="33" t="s">
        <v>76</v>
      </c>
      <c r="B481" s="34">
        <v>986</v>
      </c>
      <c r="C481" s="13">
        <v>1</v>
      </c>
      <c r="D481" s="13">
        <v>3.57612</v>
      </c>
      <c r="E481" s="13">
        <v>3.57612</v>
      </c>
      <c r="F481" s="13">
        <v>500</v>
      </c>
      <c r="G481" s="13">
        <v>550</v>
      </c>
      <c r="H481" s="13">
        <v>500</v>
      </c>
      <c r="I481" s="13">
        <v>550</v>
      </c>
      <c r="J481" s="14">
        <v>78.558300000000003</v>
      </c>
      <c r="K481" s="13">
        <v>986</v>
      </c>
      <c r="L481" s="14">
        <v>40.812100000000001</v>
      </c>
      <c r="M481" s="13">
        <v>986</v>
      </c>
      <c r="N481" s="14">
        <v>75.77</v>
      </c>
      <c r="O481" s="14">
        <v>152.62200000000001</v>
      </c>
      <c r="P481" s="13">
        <v>986</v>
      </c>
      <c r="Q481" s="14">
        <v>8.2873999999999999</v>
      </c>
      <c r="R481" s="13">
        <f>MAX(MAX(1.4/[1]Parametros!$B$3,0.25*SQRT([1]Parametros!$B$2)/[1]Parametros!$B$3)*H481*U481,(0.85*[1]Parametros!$B$2/[1]Parametros!$B$3)*(1-SQRT(1-2*(J481*1000000/([1]Parametros!$B$5*H481*U481^2))/(0.85*[1]Parametros!$B$2)))*H481*U481)</f>
        <v>815.58333333333326</v>
      </c>
      <c r="S481" s="14">
        <v>5</v>
      </c>
      <c r="T481" s="14">
        <v>1</v>
      </c>
      <c r="U481" s="13">
        <f>IF(T481=1,I481-([1]Parametros!$B$7+[1]Parametros!$B$9+[1]Parametros!$B$12/2),I481-(ROUNDUP(S481/2,0)*([1]Parametros!$B$7+[1]Parametros!$B$9+[1]Parametros!$B$12/2)+ROUNDDOWN(S481/2,0)*([1]Parametros!$B$7+[1]Parametros!$B$9+[1]Parametros!$B$12/2+[1]Parametros!$B$12+[1]Parametros!$B$10))/S481)</f>
        <v>489.35</v>
      </c>
      <c r="V481" s="13">
        <f>S481*[1]Parametros!$B$8</f>
        <v>995</v>
      </c>
      <c r="W481" s="13">
        <f>[1]Parametros!$B$5*V481*[1]Parametros!$B$3*(U481-(V481*[1]Parametros!$B$3/(0.85*[1]Parametros!$B$2*H481))/2)/1000000</f>
        <v>177.44537938235294</v>
      </c>
      <c r="X481" s="13" t="str">
        <f t="shared" si="91"/>
        <v>CUMPLE</v>
      </c>
      <c r="Y481" s="13">
        <f>MAX(MAX(1.4/[1]Parametros!$B$3,0.25*SQRT([1]Parametros!$B$2)/[1]Parametros!$B$3)*H481*AB481,(0.85*[1]Parametros!$B$2/[1]Parametros!$B$3)*(1-SQRT(1-2*(L481*1000000/([1]Parametros!$B$5*H481*AB481^2))/(0.85*[1]Parametros!$B$2)))*H481*AB481)</f>
        <v>815.58333333333326</v>
      </c>
      <c r="Z481" s="14">
        <v>5</v>
      </c>
      <c r="AA481" s="14">
        <v>1</v>
      </c>
      <c r="AB481" s="13">
        <f>IF(AA481=1,I481-([1]Parametros!$B$7+[1]Parametros!$B$9+[1]Parametros!$B$12/2),I481-(ROUNDUP(Z481/2,0)*([1]Parametros!$B$7+[1]Parametros!$B$9+[1]Parametros!$B$12/2)+ROUNDDOWN(Z481/2,0)*([1]Parametros!$B$7+[1]Parametros!$B$9+[1]Parametros!$B$12/2+[1]Parametros!$B$12+[1]Parametros!$B$10))/Z481)</f>
        <v>489.35</v>
      </c>
      <c r="AC481" s="13">
        <f>Z481*[1]Parametros!$B$8</f>
        <v>995</v>
      </c>
      <c r="AD481" s="13">
        <f>[1]Parametros!$B$5*AC481*[1]Parametros!$B$3*(AB481-(AC481*[1]Parametros!$B$3/(0.85*[1]Parametros!$B$2*H481))/2)/1000000</f>
        <v>177.44537938235294</v>
      </c>
      <c r="AE481" s="13" t="str">
        <f t="shared" si="92"/>
        <v>CUMPLE</v>
      </c>
      <c r="AF481" s="13">
        <f>V481*1.25*[1]Parametros!$B$3*(U481-(V481*1.25*[1]Parametros!$B$3/(0.85*[1]Parametros!$B$2*H481))/2)/1000000</f>
        <v>244.15884319852941</v>
      </c>
      <c r="AG481" s="13">
        <f>AC481*1.25*[1]Parametros!$B$3*(AB481-(AC481*1.25*[1]Parametros!$B$3/(0.85*[1]Parametros!$B$2*H481))/2)/1000000</f>
        <v>244.15884319852941</v>
      </c>
      <c r="AH481" s="13">
        <f t="shared" si="93"/>
        <v>212.31958066201884</v>
      </c>
      <c r="AI481" s="13">
        <f t="shared" si="94"/>
        <v>212.31958066201884</v>
      </c>
      <c r="AJ481" s="13">
        <f>0.17*SQRT([1]Parametros!$B$2)*H481*MIN(U481,AB481)/1000</f>
        <v>220.09872869180776</v>
      </c>
      <c r="AK481" s="13">
        <f>MAX(AI481/[1]Parametros!$B$6-AJ481,0)</f>
        <v>62.99404552421737</v>
      </c>
      <c r="AL481" s="13">
        <f>0.66*SQRT([1]Parametros!$B$2)*H481*MIN(U481,AB481)/1000</f>
        <v>854.500946685842</v>
      </c>
      <c r="AM481" s="13" t="str">
        <f t="shared" si="95"/>
        <v>CUMPLE</v>
      </c>
      <c r="AN481" s="13" t="s">
        <v>64</v>
      </c>
      <c r="AO481" s="14">
        <v>2</v>
      </c>
      <c r="AP481" s="13">
        <f>ROUNDDOWN(MIN(IF(BC481+BD481=0,1000000000,AO481*BB481/(BC481+BD481)),MIN(U481,AB481)/4,8*[1]Parametros!$B$12,24*BA481,300,IF(AV481=0,1000000000,2*((H481-2*([1]Parametros!$B$7+[1]Parametros!$B$9/2))+(I481-2*([1]Parametros!$B$7+[1]Parametros!$B$9/2)))/8))/10,0)*10</f>
        <v>120</v>
      </c>
      <c r="AQ481" s="13">
        <f>ROUNDDOWN(MIN(IF(BC481+BD481=0,1000000000,AO481*BB481/(BC481+BD481)),IF(AK481&gt;0.33*SQRT([1]Parametros!$B$2)*H481*MIN(U481,AB481)/1000,MIN(U481,AB481)/4,MIN(U481,AB481)/2),600,IF(AV481=0,1000000000,2*((H481-2*([1]Parametros!$B$7+[1]Parametros!$B$9/2))+(I481-2*([1]Parametros!$B$7+[1]Parametros!$B$9/2)))/8))/10,0)*10</f>
        <v>240</v>
      </c>
      <c r="AR481" s="13">
        <f>[1]Parametros!$B$6*(AJ481+MAX(BE481-BD481,0)*[1]Parametros!$B$4*MIN(U481,AB481)/1000)</f>
        <v>347.47925901885583</v>
      </c>
      <c r="AS481" s="13" t="str">
        <f t="shared" si="96"/>
        <v>CUMPLE</v>
      </c>
      <c r="AT481" s="13">
        <f>[1]Parametros!$B$6*0.083*SQRT([1]Parametros!$B$2)*(H481*I481)^2/(2*(H481+I481))/1000000</f>
        <v>11.862178757598967</v>
      </c>
      <c r="AU481" s="13" t="str">
        <f t="shared" si="97"/>
        <v>DESPRECIABLE</v>
      </c>
      <c r="AV481" s="13">
        <f>IF(Q481&lt;=AT481,0,Q481*1000000/([1]Parametros!$B$6*2*0.85*(H481-2*([1]Parametros!$B$7+[1]Parametros!$B$9/2))*(I481-2*([1]Parametros!$B$7+[1]Parametros!$B$9/2))*[1]Parametros!$B$4))</f>
        <v>0</v>
      </c>
      <c r="AW481" s="13">
        <f>AV481*2*((H481-2*([1]Parametros!$B$7+[1]Parametros!$B$9/2))+(I481-2*([1]Parametros!$B$7+[1]Parametros!$B$9/2)))*[1]Parametros!$B$4/[1]Parametros!$B$3</f>
        <v>0</v>
      </c>
      <c r="AX481" s="14">
        <v>0</v>
      </c>
      <c r="AY481" s="13" t="str">
        <f t="shared" si="98"/>
        <v>DESPRECIABLE</v>
      </c>
      <c r="AZ481" s="13" t="str">
        <f t="shared" si="99"/>
        <v>CUMPLE</v>
      </c>
      <c r="BA481" s="14">
        <v>9.5</v>
      </c>
      <c r="BB481" s="14">
        <v>71</v>
      </c>
      <c r="BC481" s="13">
        <f>MAX(IF(AK481=0,0,AK481*1000/([1]Parametros!$B$4*MIN(U481,AB481))),MAX(0.062*SQRT([1]Parametros!$B$2)*H481/[1]Parametros!$B$4,0.35*H481/[1]Parametros!$B$4))</f>
        <v>0.41666666666666669</v>
      </c>
      <c r="BD481" s="13">
        <f t="shared" si="100"/>
        <v>0</v>
      </c>
      <c r="BE481" s="13">
        <f t="shared" si="101"/>
        <v>1.1833333333333333</v>
      </c>
      <c r="BF481" s="13">
        <f>SQRT((AI481*1000/(H481*MIN(U481,AB481)))^2+(Q481*1000000*2*((H481-2*([1]Parametros!$B$7+[1]Parametros!$B$9/2))+(I481-2*([1]Parametros!$B$7+[1]Parametros!$B$9/2)))/(1.7*((H481-2*([1]Parametros!$B$7+[1]Parametros!$B$9/2))*(I481-2*([1]Parametros!$B$7+[1]Parametros!$B$9/2)))^2))^2)</f>
        <v>0.90113986127507206</v>
      </c>
      <c r="BG481" s="13">
        <f>[1]Parametros!$B$6*(AJ481*1000/(H481*MIN(U481,AB481))+0.66*SQRT([1]Parametros!$B$2))</f>
        <v>3.2939603822754151</v>
      </c>
      <c r="BH481" s="13" t="str">
        <f t="shared" si="102"/>
        <v>CUMPLE</v>
      </c>
      <c r="BI481" s="13">
        <f>AX481*[1]Parametros!$B$8</f>
        <v>0</v>
      </c>
      <c r="BJ481" s="15" t="str">
        <f t="shared" si="103"/>
        <v>CUMPLE</v>
      </c>
    </row>
    <row r="482" spans="1:62" x14ac:dyDescent="0.3">
      <c r="A482" s="33" t="s">
        <v>76</v>
      </c>
      <c r="B482" s="34">
        <v>987</v>
      </c>
      <c r="C482" s="13">
        <v>1</v>
      </c>
      <c r="D482" s="13">
        <v>1.9</v>
      </c>
      <c r="E482" s="13">
        <v>1.9</v>
      </c>
      <c r="F482" s="13">
        <v>500</v>
      </c>
      <c r="G482" s="13">
        <v>550</v>
      </c>
      <c r="H482" s="13">
        <v>500</v>
      </c>
      <c r="I482" s="13">
        <v>550</v>
      </c>
      <c r="J482" s="14">
        <v>48.395699999999998</v>
      </c>
      <c r="K482" s="13">
        <v>987</v>
      </c>
      <c r="L482" s="14">
        <v>11.697699999999999</v>
      </c>
      <c r="M482" s="13">
        <v>987</v>
      </c>
      <c r="N482" s="14">
        <v>52.360999999999997</v>
      </c>
      <c r="O482" s="14">
        <v>98.162999999999997</v>
      </c>
      <c r="P482" s="13">
        <v>987</v>
      </c>
      <c r="Q482" s="14">
        <v>9.3237000000000005</v>
      </c>
      <c r="R482" s="13">
        <f>MAX(MAX(1.4/[1]Parametros!$B$3,0.25*SQRT([1]Parametros!$B$2)/[1]Parametros!$B$3)*H482*U482,(0.85*[1]Parametros!$B$2/[1]Parametros!$B$3)*(1-SQRT(1-2*(J482*1000000/([1]Parametros!$B$5*H482*U482^2))/(0.85*[1]Parametros!$B$2)))*H482*U482)</f>
        <v>815.58333333333326</v>
      </c>
      <c r="S482" s="14">
        <v>5</v>
      </c>
      <c r="T482" s="14">
        <v>1</v>
      </c>
      <c r="U482" s="13">
        <f>IF(T482=1,I482-([1]Parametros!$B$7+[1]Parametros!$B$9+[1]Parametros!$B$12/2),I482-(ROUNDUP(S482/2,0)*([1]Parametros!$B$7+[1]Parametros!$B$9+[1]Parametros!$B$12/2)+ROUNDDOWN(S482/2,0)*([1]Parametros!$B$7+[1]Parametros!$B$9+[1]Parametros!$B$12/2+[1]Parametros!$B$12+[1]Parametros!$B$10))/S482)</f>
        <v>489.35</v>
      </c>
      <c r="V482" s="13">
        <f>S482*[1]Parametros!$B$8</f>
        <v>995</v>
      </c>
      <c r="W482" s="13">
        <f>[1]Parametros!$B$5*V482*[1]Parametros!$B$3*(U482-(V482*[1]Parametros!$B$3/(0.85*[1]Parametros!$B$2*H482))/2)/1000000</f>
        <v>177.44537938235294</v>
      </c>
      <c r="X482" s="13" t="str">
        <f t="shared" si="91"/>
        <v>CUMPLE</v>
      </c>
      <c r="Y482" s="13">
        <f>MAX(MAX(1.4/[1]Parametros!$B$3,0.25*SQRT([1]Parametros!$B$2)/[1]Parametros!$B$3)*H482*AB482,(0.85*[1]Parametros!$B$2/[1]Parametros!$B$3)*(1-SQRT(1-2*(L482*1000000/([1]Parametros!$B$5*H482*AB482^2))/(0.85*[1]Parametros!$B$2)))*H482*AB482)</f>
        <v>815.58333333333326</v>
      </c>
      <c r="Z482" s="14">
        <v>5</v>
      </c>
      <c r="AA482" s="14">
        <v>1</v>
      </c>
      <c r="AB482" s="13">
        <f>IF(AA482=1,I482-([1]Parametros!$B$7+[1]Parametros!$B$9+[1]Parametros!$B$12/2),I482-(ROUNDUP(Z482/2,0)*([1]Parametros!$B$7+[1]Parametros!$B$9+[1]Parametros!$B$12/2)+ROUNDDOWN(Z482/2,0)*([1]Parametros!$B$7+[1]Parametros!$B$9+[1]Parametros!$B$12/2+[1]Parametros!$B$12+[1]Parametros!$B$10))/Z482)</f>
        <v>489.35</v>
      </c>
      <c r="AC482" s="13">
        <f>Z482*[1]Parametros!$B$8</f>
        <v>995</v>
      </c>
      <c r="AD482" s="13">
        <f>[1]Parametros!$B$5*AC482*[1]Parametros!$B$3*(AB482-(AC482*[1]Parametros!$B$3/(0.85*[1]Parametros!$B$2*H482))/2)/1000000</f>
        <v>177.44537938235294</v>
      </c>
      <c r="AE482" s="13" t="str">
        <f t="shared" si="92"/>
        <v>CUMPLE</v>
      </c>
      <c r="AF482" s="13">
        <f>V482*1.25*[1]Parametros!$B$3*(U482-(V482*1.25*[1]Parametros!$B$3/(0.85*[1]Parametros!$B$2*H482))/2)/1000000</f>
        <v>244.15884319852941</v>
      </c>
      <c r="AG482" s="13">
        <f>AC482*1.25*[1]Parametros!$B$3*(AB482-(AC482*1.25*[1]Parametros!$B$3/(0.85*[1]Parametros!$B$2*H482))/2)/1000000</f>
        <v>244.15884319852941</v>
      </c>
      <c r="AH482" s="13">
        <f t="shared" si="93"/>
        <v>309.37030863003093</v>
      </c>
      <c r="AI482" s="13">
        <f t="shared" si="94"/>
        <v>309.37030863003093</v>
      </c>
      <c r="AJ482" s="13">
        <f>0.17*SQRT([1]Parametros!$B$2)*H482*MIN(U482,AB482)/1000</f>
        <v>220.09872869180776</v>
      </c>
      <c r="AK482" s="13">
        <f>MAX(AI482/[1]Parametros!$B$6-AJ482,0)</f>
        <v>192.39501614823348</v>
      </c>
      <c r="AL482" s="13">
        <f>0.66*SQRT([1]Parametros!$B$2)*H482*MIN(U482,AB482)/1000</f>
        <v>854.500946685842</v>
      </c>
      <c r="AM482" s="13" t="str">
        <f t="shared" si="95"/>
        <v>CUMPLE</v>
      </c>
      <c r="AN482" s="13" t="s">
        <v>64</v>
      </c>
      <c r="AO482" s="14">
        <v>2</v>
      </c>
      <c r="AP482" s="13">
        <f>ROUNDDOWN(MIN(IF(BC482+BD482=0,1000000000,AO482*BB482/(BC482+BD482)),MIN(U482,AB482)/4,8*[1]Parametros!$B$12,24*BA482,300,IF(AV482=0,1000000000,2*((H482-2*([1]Parametros!$B$7+[1]Parametros!$B$9/2))+(I482-2*([1]Parametros!$B$7+[1]Parametros!$B$9/2)))/8))/10,0)*10</f>
        <v>120</v>
      </c>
      <c r="AQ482" s="13">
        <f>ROUNDDOWN(MIN(IF(BC482+BD482=0,1000000000,AO482*BB482/(BC482+BD482)),IF(AK482&gt;0.33*SQRT([1]Parametros!$B$2)*H482*MIN(U482,AB482)/1000,MIN(U482,AB482)/4,MIN(U482,AB482)/2),600,IF(AV482=0,1000000000,2*((H482-2*([1]Parametros!$B$7+[1]Parametros!$B$9/2))+(I482-2*([1]Parametros!$B$7+[1]Parametros!$B$9/2)))/8))/10,0)*10</f>
        <v>150</v>
      </c>
      <c r="AR482" s="13">
        <f>[1]Parametros!$B$6*(AJ482+MAX(BE482-BD482,0)*[1]Parametros!$B$4*MIN(U482,AB482)/1000)</f>
        <v>347.47925901885583</v>
      </c>
      <c r="AS482" s="13" t="str">
        <f t="shared" si="96"/>
        <v>CUMPLE</v>
      </c>
      <c r="AT482" s="13">
        <f>[1]Parametros!$B$6*0.083*SQRT([1]Parametros!$B$2)*(H482*I482)^2/(2*(H482+I482))/1000000</f>
        <v>11.862178757598967</v>
      </c>
      <c r="AU482" s="13" t="str">
        <f t="shared" si="97"/>
        <v>DESPRECIABLE</v>
      </c>
      <c r="AV482" s="13">
        <f>IF(Q482&lt;=AT482,0,Q482*1000000/([1]Parametros!$B$6*2*0.85*(H482-2*([1]Parametros!$B$7+[1]Parametros!$B$9/2))*(I482-2*([1]Parametros!$B$7+[1]Parametros!$B$9/2))*[1]Parametros!$B$4))</f>
        <v>0</v>
      </c>
      <c r="AW482" s="13">
        <f>AV482*2*((H482-2*([1]Parametros!$B$7+[1]Parametros!$B$9/2))+(I482-2*([1]Parametros!$B$7+[1]Parametros!$B$9/2)))*[1]Parametros!$B$4/[1]Parametros!$B$3</f>
        <v>0</v>
      </c>
      <c r="AX482" s="14">
        <v>0</v>
      </c>
      <c r="AY482" s="13" t="str">
        <f t="shared" si="98"/>
        <v>DESPRECIABLE</v>
      </c>
      <c r="AZ482" s="13" t="str">
        <f t="shared" si="99"/>
        <v>CUMPLE</v>
      </c>
      <c r="BA482" s="14">
        <v>9.5</v>
      </c>
      <c r="BB482" s="14">
        <v>71</v>
      </c>
      <c r="BC482" s="13">
        <f>MAX(IF(AK482=0,0,AK482*1000/([1]Parametros!$B$4*MIN(U482,AB482))),MAX(0.062*SQRT([1]Parametros!$B$2)*H482/[1]Parametros!$B$4,0.35*H482/[1]Parametros!$B$4))</f>
        <v>0.93610579703996799</v>
      </c>
      <c r="BD482" s="13">
        <f t="shared" si="100"/>
        <v>0</v>
      </c>
      <c r="BE482" s="13">
        <f t="shared" si="101"/>
        <v>1.1833333333333333</v>
      </c>
      <c r="BF482" s="13">
        <f>SQRT((AI482*1000/(H482*MIN(U482,AB482)))^2+(Q482*1000000*2*((H482-2*([1]Parametros!$B$7+[1]Parametros!$B$9/2))+(I482-2*([1]Parametros!$B$7+[1]Parametros!$B$9/2)))/(1.7*((H482-2*([1]Parametros!$B$7+[1]Parametros!$B$9/2))*(I482-2*([1]Parametros!$B$7+[1]Parametros!$B$9/2)))^2))^2)</f>
        <v>1.2936277892114756</v>
      </c>
      <c r="BG482" s="13">
        <f>[1]Parametros!$B$6*(AJ482*1000/(H482*MIN(U482,AB482))+0.66*SQRT([1]Parametros!$B$2))</f>
        <v>3.2939603822754151</v>
      </c>
      <c r="BH482" s="13" t="str">
        <f t="shared" si="102"/>
        <v>CUMPLE</v>
      </c>
      <c r="BI482" s="13">
        <f>AX482*[1]Parametros!$B$8</f>
        <v>0</v>
      </c>
      <c r="BJ482" s="15" t="str">
        <f t="shared" si="103"/>
        <v>CUMPLE</v>
      </c>
    </row>
    <row r="483" spans="1:62" x14ac:dyDescent="0.3">
      <c r="A483" s="33" t="s">
        <v>76</v>
      </c>
      <c r="B483" s="34">
        <v>988</v>
      </c>
      <c r="C483" s="13">
        <v>1</v>
      </c>
      <c r="D483" s="13">
        <v>2</v>
      </c>
      <c r="E483" s="13">
        <v>2</v>
      </c>
      <c r="F483" s="13">
        <v>500</v>
      </c>
      <c r="G483" s="13">
        <v>550</v>
      </c>
      <c r="H483" s="13">
        <v>500</v>
      </c>
      <c r="I483" s="13">
        <v>550</v>
      </c>
      <c r="J483" s="14">
        <v>54.0045</v>
      </c>
      <c r="K483" s="13">
        <v>988</v>
      </c>
      <c r="L483" s="14">
        <v>19.054099999999998</v>
      </c>
      <c r="M483" s="13">
        <v>988</v>
      </c>
      <c r="N483" s="14">
        <v>64.137</v>
      </c>
      <c r="O483" s="14">
        <v>149.53100000000001</v>
      </c>
      <c r="P483" s="13">
        <v>988</v>
      </c>
      <c r="Q483" s="14">
        <v>21.543500000000002</v>
      </c>
      <c r="R483" s="13">
        <f>MAX(MAX(1.4/[1]Parametros!$B$3,0.25*SQRT([1]Parametros!$B$2)/[1]Parametros!$B$3)*H483*U483,(0.85*[1]Parametros!$B$2/[1]Parametros!$B$3)*(1-SQRT(1-2*(J483*1000000/([1]Parametros!$B$5*H483*U483^2))/(0.85*[1]Parametros!$B$2)))*H483*U483)</f>
        <v>815.58333333333326</v>
      </c>
      <c r="S483" s="14">
        <v>5</v>
      </c>
      <c r="T483" s="14">
        <v>1</v>
      </c>
      <c r="U483" s="13">
        <f>IF(T483=1,I483-([1]Parametros!$B$7+[1]Parametros!$B$9+[1]Parametros!$B$12/2),I483-(ROUNDUP(S483/2,0)*([1]Parametros!$B$7+[1]Parametros!$B$9+[1]Parametros!$B$12/2)+ROUNDDOWN(S483/2,0)*([1]Parametros!$B$7+[1]Parametros!$B$9+[1]Parametros!$B$12/2+[1]Parametros!$B$12+[1]Parametros!$B$10))/S483)</f>
        <v>489.35</v>
      </c>
      <c r="V483" s="13">
        <f>S483*[1]Parametros!$B$8</f>
        <v>995</v>
      </c>
      <c r="W483" s="13">
        <f>[1]Parametros!$B$5*V483*[1]Parametros!$B$3*(U483-(V483*[1]Parametros!$B$3/(0.85*[1]Parametros!$B$2*H483))/2)/1000000</f>
        <v>177.44537938235294</v>
      </c>
      <c r="X483" s="13" t="str">
        <f t="shared" si="91"/>
        <v>CUMPLE</v>
      </c>
      <c r="Y483" s="13">
        <f>MAX(MAX(1.4/[1]Parametros!$B$3,0.25*SQRT([1]Parametros!$B$2)/[1]Parametros!$B$3)*H483*AB483,(0.85*[1]Parametros!$B$2/[1]Parametros!$B$3)*(1-SQRT(1-2*(L483*1000000/([1]Parametros!$B$5*H483*AB483^2))/(0.85*[1]Parametros!$B$2)))*H483*AB483)</f>
        <v>815.58333333333326</v>
      </c>
      <c r="Z483" s="14">
        <v>5</v>
      </c>
      <c r="AA483" s="14">
        <v>1</v>
      </c>
      <c r="AB483" s="13">
        <f>IF(AA483=1,I483-([1]Parametros!$B$7+[1]Parametros!$B$9+[1]Parametros!$B$12/2),I483-(ROUNDUP(Z483/2,0)*([1]Parametros!$B$7+[1]Parametros!$B$9+[1]Parametros!$B$12/2)+ROUNDDOWN(Z483/2,0)*([1]Parametros!$B$7+[1]Parametros!$B$9+[1]Parametros!$B$12/2+[1]Parametros!$B$12+[1]Parametros!$B$10))/Z483)</f>
        <v>489.35</v>
      </c>
      <c r="AC483" s="13">
        <f>Z483*[1]Parametros!$B$8</f>
        <v>995</v>
      </c>
      <c r="AD483" s="13">
        <f>[1]Parametros!$B$5*AC483*[1]Parametros!$B$3*(AB483-(AC483*[1]Parametros!$B$3/(0.85*[1]Parametros!$B$2*H483))/2)/1000000</f>
        <v>177.44537938235294</v>
      </c>
      <c r="AE483" s="13" t="str">
        <f t="shared" si="92"/>
        <v>CUMPLE</v>
      </c>
      <c r="AF483" s="13">
        <f>V483*1.25*[1]Parametros!$B$3*(U483-(V483*1.25*[1]Parametros!$B$3/(0.85*[1]Parametros!$B$2*H483))/2)/1000000</f>
        <v>244.15884319852941</v>
      </c>
      <c r="AG483" s="13">
        <f>AC483*1.25*[1]Parametros!$B$3*(AB483-(AC483*1.25*[1]Parametros!$B$3/(0.85*[1]Parametros!$B$2*H483))/2)/1000000</f>
        <v>244.15884319852941</v>
      </c>
      <c r="AH483" s="13">
        <f t="shared" si="93"/>
        <v>308.29584319852938</v>
      </c>
      <c r="AI483" s="13">
        <f t="shared" si="94"/>
        <v>308.29584319852938</v>
      </c>
      <c r="AJ483" s="13">
        <f>0.17*SQRT([1]Parametros!$B$2)*H483*MIN(U483,AB483)/1000</f>
        <v>220.09872869180776</v>
      </c>
      <c r="AK483" s="13">
        <f>MAX(AI483/[1]Parametros!$B$6-AJ483,0)</f>
        <v>190.96239557289806</v>
      </c>
      <c r="AL483" s="13">
        <f>0.66*SQRT([1]Parametros!$B$2)*H483*MIN(U483,AB483)/1000</f>
        <v>854.500946685842</v>
      </c>
      <c r="AM483" s="13" t="str">
        <f t="shared" si="95"/>
        <v>CUMPLE</v>
      </c>
      <c r="AN483" s="13" t="s">
        <v>64</v>
      </c>
      <c r="AO483" s="14">
        <v>2</v>
      </c>
      <c r="AP483" s="13">
        <f>ROUNDDOWN(MIN(IF(BC483+BD483=0,1000000000,AO483*BB483/(BC483+BD483)),MIN(U483,AB483)/4,8*[1]Parametros!$B$12,24*BA483,300,IF(AV483=0,1000000000,2*((H483-2*([1]Parametros!$B$7+[1]Parametros!$B$9/2))+(I483-2*([1]Parametros!$B$7+[1]Parametros!$B$9/2)))/8))/10,0)*10</f>
        <v>100</v>
      </c>
      <c r="AQ483" s="13">
        <f>ROUNDDOWN(MIN(IF(BC483+BD483=0,1000000000,AO483*BB483/(BC483+BD483)),IF(AK483&gt;0.33*SQRT([1]Parametros!$B$2)*H483*MIN(U483,AB483)/1000,MIN(U483,AB483)/4,MIN(U483,AB483)/2),600,IF(AV483=0,1000000000,2*((H483-2*([1]Parametros!$B$7+[1]Parametros!$B$9/2))+(I483-2*([1]Parametros!$B$7+[1]Parametros!$B$9/2)))/8))/10,0)*10</f>
        <v>100</v>
      </c>
      <c r="AR483" s="13">
        <f>[1]Parametros!$B$6*(AJ483+MAX(BE483-BD483,0)*[1]Parametros!$B$4*MIN(U483,AB483)/1000)</f>
        <v>317.37148189385772</v>
      </c>
      <c r="AS483" s="13" t="str">
        <f t="shared" si="96"/>
        <v>CUMPLE</v>
      </c>
      <c r="AT483" s="13">
        <f>[1]Parametros!$B$6*0.083*SQRT([1]Parametros!$B$2)*(H483*I483)^2/(2*(H483+I483))/1000000</f>
        <v>11.862178757598967</v>
      </c>
      <c r="AU483" s="13" t="str">
        <f t="shared" si="97"/>
        <v>DISEÑAR</v>
      </c>
      <c r="AV483" s="13">
        <f>IF(Q483&lt;=AT483,0,Q483*1000000/([1]Parametros!$B$6*2*0.85*(H483-2*([1]Parametros!$B$7+[1]Parametros!$B$9/2))*(I483-2*([1]Parametros!$B$7+[1]Parametros!$B$9/2))*[1]Parametros!$B$4))</f>
        <v>0.21599374494185875</v>
      </c>
      <c r="AW483" s="13">
        <f>AV483*2*((H483-2*([1]Parametros!$B$7+[1]Parametros!$B$9/2))+(I483-2*([1]Parametros!$B$7+[1]Parametros!$B$9/2)))*[1]Parametros!$B$4/[1]Parametros!$B$3</f>
        <v>373.49638375346217</v>
      </c>
      <c r="AX483" s="14">
        <v>8</v>
      </c>
      <c r="AY483" s="13" t="str">
        <f t="shared" si="98"/>
        <v>CUMPLE</v>
      </c>
      <c r="AZ483" s="13" t="str">
        <f t="shared" si="99"/>
        <v>CUMPLE</v>
      </c>
      <c r="BA483" s="14">
        <v>9.5</v>
      </c>
      <c r="BB483" s="14">
        <v>71</v>
      </c>
      <c r="BC483" s="13">
        <f>MAX(IF(AK483=0,0,AK483*1000/([1]Parametros!$B$4*MIN(U483,AB483))),MAX(0.062*SQRT([1]Parametros!$B$2)*H483/[1]Parametros!$B$4,0.35*H483/[1]Parametros!$B$4))</f>
        <v>0.92913532320764702</v>
      </c>
      <c r="BD483" s="13">
        <f t="shared" si="100"/>
        <v>0.43198748988371749</v>
      </c>
      <c r="BE483" s="13">
        <f t="shared" si="101"/>
        <v>1.42</v>
      </c>
      <c r="BF483" s="13">
        <f>SQRT((AI483*1000/(H483*MIN(U483,AB483)))^2+(Q483*1000000*2*((H483-2*([1]Parametros!$B$7+[1]Parametros!$B$9/2))+(I483-2*([1]Parametros!$B$7+[1]Parametros!$B$9/2)))/(1.7*((H483-2*([1]Parametros!$B$7+[1]Parametros!$B$9/2))*(I483-2*([1]Parametros!$B$7+[1]Parametros!$B$9/2)))^2))^2)</f>
        <v>1.409484179879045</v>
      </c>
      <c r="BG483" s="13">
        <f>[1]Parametros!$B$6*(AJ483*1000/(H483*MIN(U483,AB483))+0.66*SQRT([1]Parametros!$B$2))</f>
        <v>3.2939603822754151</v>
      </c>
      <c r="BH483" s="13" t="str">
        <f t="shared" si="102"/>
        <v>CUMPLE</v>
      </c>
      <c r="BI483" s="13">
        <f>AX483*[1]Parametros!$B$8</f>
        <v>1592</v>
      </c>
      <c r="BJ483" s="15" t="str">
        <f t="shared" si="103"/>
        <v>CUMPLE</v>
      </c>
    </row>
    <row r="484" spans="1:62" x14ac:dyDescent="0.3">
      <c r="A484" s="33" t="s">
        <v>76</v>
      </c>
      <c r="B484" s="34">
        <v>989</v>
      </c>
      <c r="C484" s="13">
        <v>1</v>
      </c>
      <c r="D484" s="13">
        <v>3.05308</v>
      </c>
      <c r="E484" s="13">
        <v>3.05308</v>
      </c>
      <c r="F484" s="13">
        <v>500</v>
      </c>
      <c r="G484" s="13">
        <v>550</v>
      </c>
      <c r="H484" s="13">
        <v>500</v>
      </c>
      <c r="I484" s="13">
        <v>550</v>
      </c>
      <c r="J484" s="14">
        <v>82.311099999999996</v>
      </c>
      <c r="K484" s="13">
        <v>989</v>
      </c>
      <c r="L484" s="14">
        <v>44.018900000000002</v>
      </c>
      <c r="M484" s="13">
        <v>989</v>
      </c>
      <c r="N484" s="14">
        <v>84.418000000000006</v>
      </c>
      <c r="O484" s="14">
        <v>166.37899999999999</v>
      </c>
      <c r="P484" s="13">
        <v>989</v>
      </c>
      <c r="Q484" s="14">
        <v>26.293500000000002</v>
      </c>
      <c r="R484" s="13">
        <f>MAX(MAX(1.4/[1]Parametros!$B$3,0.25*SQRT([1]Parametros!$B$2)/[1]Parametros!$B$3)*H484*U484,(0.85*[1]Parametros!$B$2/[1]Parametros!$B$3)*(1-SQRT(1-2*(J484*1000000/([1]Parametros!$B$5*H484*U484^2))/(0.85*[1]Parametros!$B$2)))*H484*U484)</f>
        <v>815.58333333333326</v>
      </c>
      <c r="S484" s="14">
        <v>5</v>
      </c>
      <c r="T484" s="14">
        <v>1</v>
      </c>
      <c r="U484" s="13">
        <f>IF(T484=1,I484-([1]Parametros!$B$7+[1]Parametros!$B$9+[1]Parametros!$B$12/2),I484-(ROUNDUP(S484/2,0)*([1]Parametros!$B$7+[1]Parametros!$B$9+[1]Parametros!$B$12/2)+ROUNDDOWN(S484/2,0)*([1]Parametros!$B$7+[1]Parametros!$B$9+[1]Parametros!$B$12/2+[1]Parametros!$B$12+[1]Parametros!$B$10))/S484)</f>
        <v>489.35</v>
      </c>
      <c r="V484" s="13">
        <f>S484*[1]Parametros!$B$8</f>
        <v>995</v>
      </c>
      <c r="W484" s="13">
        <f>[1]Parametros!$B$5*V484*[1]Parametros!$B$3*(U484-(V484*[1]Parametros!$B$3/(0.85*[1]Parametros!$B$2*H484))/2)/1000000</f>
        <v>177.44537938235294</v>
      </c>
      <c r="X484" s="13" t="str">
        <f t="shared" si="91"/>
        <v>CUMPLE</v>
      </c>
      <c r="Y484" s="13">
        <f>MAX(MAX(1.4/[1]Parametros!$B$3,0.25*SQRT([1]Parametros!$B$2)/[1]Parametros!$B$3)*H484*AB484,(0.85*[1]Parametros!$B$2/[1]Parametros!$B$3)*(1-SQRT(1-2*(L484*1000000/([1]Parametros!$B$5*H484*AB484^2))/(0.85*[1]Parametros!$B$2)))*H484*AB484)</f>
        <v>815.58333333333326</v>
      </c>
      <c r="Z484" s="14">
        <v>5</v>
      </c>
      <c r="AA484" s="14">
        <v>1</v>
      </c>
      <c r="AB484" s="13">
        <f>IF(AA484=1,I484-([1]Parametros!$B$7+[1]Parametros!$B$9+[1]Parametros!$B$12/2),I484-(ROUNDUP(Z484/2,0)*([1]Parametros!$B$7+[1]Parametros!$B$9+[1]Parametros!$B$12/2)+ROUNDDOWN(Z484/2,0)*([1]Parametros!$B$7+[1]Parametros!$B$9+[1]Parametros!$B$12/2+[1]Parametros!$B$12+[1]Parametros!$B$10))/Z484)</f>
        <v>489.35</v>
      </c>
      <c r="AC484" s="13">
        <f>Z484*[1]Parametros!$B$8</f>
        <v>995</v>
      </c>
      <c r="AD484" s="13">
        <f>[1]Parametros!$B$5*AC484*[1]Parametros!$B$3*(AB484-(AC484*[1]Parametros!$B$3/(0.85*[1]Parametros!$B$2*H484))/2)/1000000</f>
        <v>177.44537938235294</v>
      </c>
      <c r="AE484" s="13" t="str">
        <f t="shared" si="92"/>
        <v>CUMPLE</v>
      </c>
      <c r="AF484" s="13">
        <f>V484*1.25*[1]Parametros!$B$3*(U484-(V484*1.25*[1]Parametros!$B$3/(0.85*[1]Parametros!$B$2*H484))/2)/1000000</f>
        <v>244.15884319852941</v>
      </c>
      <c r="AG484" s="13">
        <f>AC484*1.25*[1]Parametros!$B$3*(AB484-(AC484*1.25*[1]Parametros!$B$3/(0.85*[1]Parametros!$B$2*H484))/2)/1000000</f>
        <v>244.15884319852941</v>
      </c>
      <c r="AH484" s="13">
        <f t="shared" si="93"/>
        <v>244.36064362449031</v>
      </c>
      <c r="AI484" s="13">
        <f t="shared" si="94"/>
        <v>244.36064362449031</v>
      </c>
      <c r="AJ484" s="13">
        <f>0.17*SQRT([1]Parametros!$B$2)*H484*MIN(U484,AB484)/1000</f>
        <v>220.09872869180776</v>
      </c>
      <c r="AK484" s="13">
        <f>MAX(AI484/[1]Parametros!$B$6-AJ484,0)</f>
        <v>105.71546280751267</v>
      </c>
      <c r="AL484" s="13">
        <f>0.66*SQRT([1]Parametros!$B$2)*H484*MIN(U484,AB484)/1000</f>
        <v>854.500946685842</v>
      </c>
      <c r="AM484" s="13" t="str">
        <f t="shared" si="95"/>
        <v>CUMPLE</v>
      </c>
      <c r="AN484" s="13" t="s">
        <v>64</v>
      </c>
      <c r="AO484" s="14">
        <v>2</v>
      </c>
      <c r="AP484" s="13">
        <f>ROUNDDOWN(MIN(IF(BC484+BD484=0,1000000000,AO484*BB484/(BC484+BD484)),MIN(U484,AB484)/4,8*[1]Parametros!$B$12,24*BA484,300,IF(AV484=0,1000000000,2*((H484-2*([1]Parametros!$B$7+[1]Parametros!$B$9/2))+(I484-2*([1]Parametros!$B$7+[1]Parametros!$B$9/2)))/8))/10,0)*10</f>
        <v>120</v>
      </c>
      <c r="AQ484" s="13">
        <f>ROUNDDOWN(MIN(IF(BC484+BD484=0,1000000000,AO484*BB484/(BC484+BD484)),IF(AK484&gt;0.33*SQRT([1]Parametros!$B$2)*H484*MIN(U484,AB484)/1000,MIN(U484,AB484)/4,MIN(U484,AB484)/2),600,IF(AV484=0,1000000000,2*((H484-2*([1]Parametros!$B$7+[1]Parametros!$B$9/2))+(I484-2*([1]Parametros!$B$7+[1]Parametros!$B$9/2)))/8))/10,0)*10</f>
        <v>130</v>
      </c>
      <c r="AR484" s="13">
        <f>[1]Parametros!$B$6*(AJ484+MAX(BE484-BD484,0)*[1]Parametros!$B$4*MIN(U484,AB484)/1000)</f>
        <v>266.20866098186616</v>
      </c>
      <c r="AS484" s="13" t="str">
        <f t="shared" si="96"/>
        <v>CUMPLE</v>
      </c>
      <c r="AT484" s="13">
        <f>[1]Parametros!$B$6*0.083*SQRT([1]Parametros!$B$2)*(H484*I484)^2/(2*(H484+I484))/1000000</f>
        <v>11.862178757598967</v>
      </c>
      <c r="AU484" s="13" t="str">
        <f t="shared" si="97"/>
        <v>DISEÑAR</v>
      </c>
      <c r="AV484" s="13">
        <f>IF(Q484&lt;=AT484,0,Q484*1000000/([1]Parametros!$B$6*2*0.85*(H484-2*([1]Parametros!$B$7+[1]Parametros!$B$9/2))*(I484-2*([1]Parametros!$B$7+[1]Parametros!$B$9/2))*[1]Parametros!$B$4))</f>
        <v>0.26361693933802599</v>
      </c>
      <c r="AW484" s="13">
        <f>AV484*2*((H484-2*([1]Parametros!$B$7+[1]Parametros!$B$9/2))+(I484-2*([1]Parametros!$B$7+[1]Parametros!$B$9/2)))*[1]Parametros!$B$4/[1]Parametros!$B$3</f>
        <v>455.84641150331453</v>
      </c>
      <c r="AX484" s="14">
        <v>8</v>
      </c>
      <c r="AY484" s="13" t="str">
        <f t="shared" si="98"/>
        <v>CUMPLE</v>
      </c>
      <c r="AZ484" s="13" t="str">
        <f t="shared" si="99"/>
        <v>CUMPLE</v>
      </c>
      <c r="BA484" s="14">
        <v>9.5</v>
      </c>
      <c r="BB484" s="14">
        <v>71</v>
      </c>
      <c r="BC484" s="13">
        <f>MAX(IF(AK484=0,0,AK484*1000/([1]Parametros!$B$4*MIN(U484,AB484))),MAX(0.062*SQRT([1]Parametros!$B$2)*H484/[1]Parametros!$B$4,0.35*H484/[1]Parametros!$B$4))</f>
        <v>0.51436289542256086</v>
      </c>
      <c r="BD484" s="13">
        <f t="shared" si="100"/>
        <v>0.52723387867605198</v>
      </c>
      <c r="BE484" s="13">
        <f t="shared" si="101"/>
        <v>1.1833333333333333</v>
      </c>
      <c r="BF484" s="13">
        <f>SQRT((AI484*1000/(H484*MIN(U484,AB484)))^2+(Q484*1000000*2*((H484-2*([1]Parametros!$B$7+[1]Parametros!$B$9/2))+(I484-2*([1]Parametros!$B$7+[1]Parametros!$B$9/2)))/(1.7*((H484-2*([1]Parametros!$B$7+[1]Parametros!$B$9/2))*(I484-2*([1]Parametros!$B$7+[1]Parametros!$B$9/2)))^2))^2)</f>
        <v>1.2616501602369135</v>
      </c>
      <c r="BG484" s="13">
        <f>[1]Parametros!$B$6*(AJ484*1000/(H484*MIN(U484,AB484))+0.66*SQRT([1]Parametros!$B$2))</f>
        <v>3.2939603822754151</v>
      </c>
      <c r="BH484" s="13" t="str">
        <f t="shared" si="102"/>
        <v>CUMPLE</v>
      </c>
      <c r="BI484" s="13">
        <f>AX484*[1]Parametros!$B$8</f>
        <v>1592</v>
      </c>
      <c r="BJ484" s="15" t="str">
        <f t="shared" si="103"/>
        <v>CUMPLE</v>
      </c>
    </row>
    <row r="485" spans="1:62" x14ac:dyDescent="0.3">
      <c r="A485" s="33" t="s">
        <v>76</v>
      </c>
      <c r="B485" s="34">
        <v>990</v>
      </c>
      <c r="C485" s="13">
        <v>1</v>
      </c>
      <c r="D485" s="13">
        <v>2</v>
      </c>
      <c r="E485" s="13">
        <v>2</v>
      </c>
      <c r="F485" s="13">
        <v>500</v>
      </c>
      <c r="G485" s="13">
        <v>550</v>
      </c>
      <c r="H485" s="13">
        <v>500</v>
      </c>
      <c r="I485" s="13">
        <v>550</v>
      </c>
      <c r="J485" s="14">
        <v>61.749600000000001</v>
      </c>
      <c r="K485" s="13">
        <v>990</v>
      </c>
      <c r="L485" s="14">
        <v>4.8323</v>
      </c>
      <c r="M485" s="13">
        <v>990</v>
      </c>
      <c r="N485" s="14">
        <v>57.287999999999997</v>
      </c>
      <c r="O485" s="14">
        <v>78.885000000000005</v>
      </c>
      <c r="P485" s="13">
        <v>990</v>
      </c>
      <c r="Q485" s="14">
        <v>2.5223</v>
      </c>
      <c r="R485" s="13">
        <f>MAX(MAX(1.4/[1]Parametros!$B$3,0.25*SQRT([1]Parametros!$B$2)/[1]Parametros!$B$3)*H485*U485,(0.85*[1]Parametros!$B$2/[1]Parametros!$B$3)*(1-SQRT(1-2*(J485*1000000/([1]Parametros!$B$5*H485*U485^2))/(0.85*[1]Parametros!$B$2)))*H485*U485)</f>
        <v>815.58333333333326</v>
      </c>
      <c r="S485" s="14">
        <v>5</v>
      </c>
      <c r="T485" s="14">
        <v>1</v>
      </c>
      <c r="U485" s="13">
        <f>IF(T485=1,I485-([1]Parametros!$B$7+[1]Parametros!$B$9+[1]Parametros!$B$12/2),I485-(ROUNDUP(S485/2,0)*([1]Parametros!$B$7+[1]Parametros!$B$9+[1]Parametros!$B$12/2)+ROUNDDOWN(S485/2,0)*([1]Parametros!$B$7+[1]Parametros!$B$9+[1]Parametros!$B$12/2+[1]Parametros!$B$12+[1]Parametros!$B$10))/S485)</f>
        <v>489.35</v>
      </c>
      <c r="V485" s="13">
        <f>S485*[1]Parametros!$B$8</f>
        <v>995</v>
      </c>
      <c r="W485" s="13">
        <f>[1]Parametros!$B$5*V485*[1]Parametros!$B$3*(U485-(V485*[1]Parametros!$B$3/(0.85*[1]Parametros!$B$2*H485))/2)/1000000</f>
        <v>177.44537938235294</v>
      </c>
      <c r="X485" s="13" t="str">
        <f t="shared" si="91"/>
        <v>CUMPLE</v>
      </c>
      <c r="Y485" s="13">
        <f>MAX(MAX(1.4/[1]Parametros!$B$3,0.25*SQRT([1]Parametros!$B$2)/[1]Parametros!$B$3)*H485*AB485,(0.85*[1]Parametros!$B$2/[1]Parametros!$B$3)*(1-SQRT(1-2*(L485*1000000/([1]Parametros!$B$5*H485*AB485^2))/(0.85*[1]Parametros!$B$2)))*H485*AB485)</f>
        <v>815.58333333333326</v>
      </c>
      <c r="Z485" s="14">
        <v>5</v>
      </c>
      <c r="AA485" s="14">
        <v>1</v>
      </c>
      <c r="AB485" s="13">
        <f>IF(AA485=1,I485-([1]Parametros!$B$7+[1]Parametros!$B$9+[1]Parametros!$B$12/2),I485-(ROUNDUP(Z485/2,0)*([1]Parametros!$B$7+[1]Parametros!$B$9+[1]Parametros!$B$12/2)+ROUNDDOWN(Z485/2,0)*([1]Parametros!$B$7+[1]Parametros!$B$9+[1]Parametros!$B$12/2+[1]Parametros!$B$12+[1]Parametros!$B$10))/Z485)</f>
        <v>489.35</v>
      </c>
      <c r="AC485" s="13">
        <f>Z485*[1]Parametros!$B$8</f>
        <v>995</v>
      </c>
      <c r="AD485" s="13">
        <f>[1]Parametros!$B$5*AC485*[1]Parametros!$B$3*(AB485-(AC485*[1]Parametros!$B$3/(0.85*[1]Parametros!$B$2*H485))/2)/1000000</f>
        <v>177.44537938235294</v>
      </c>
      <c r="AE485" s="13" t="str">
        <f t="shared" si="92"/>
        <v>CUMPLE</v>
      </c>
      <c r="AF485" s="13">
        <f>V485*1.25*[1]Parametros!$B$3*(U485-(V485*1.25*[1]Parametros!$B$3/(0.85*[1]Parametros!$B$2*H485))/2)/1000000</f>
        <v>244.15884319852941</v>
      </c>
      <c r="AG485" s="13">
        <f>AC485*1.25*[1]Parametros!$B$3*(AB485-(AC485*1.25*[1]Parametros!$B$3/(0.85*[1]Parametros!$B$2*H485))/2)/1000000</f>
        <v>244.15884319852941</v>
      </c>
      <c r="AH485" s="13">
        <f t="shared" si="93"/>
        <v>301.44684319852939</v>
      </c>
      <c r="AI485" s="13">
        <f t="shared" si="94"/>
        <v>301.44684319852939</v>
      </c>
      <c r="AJ485" s="13">
        <f>0.17*SQRT([1]Parametros!$B$2)*H485*MIN(U485,AB485)/1000</f>
        <v>220.09872869180776</v>
      </c>
      <c r="AK485" s="13">
        <f>MAX(AI485/[1]Parametros!$B$6-AJ485,0)</f>
        <v>181.83039557289811</v>
      </c>
      <c r="AL485" s="13">
        <f>0.66*SQRT([1]Parametros!$B$2)*H485*MIN(U485,AB485)/1000</f>
        <v>854.500946685842</v>
      </c>
      <c r="AM485" s="13" t="str">
        <f t="shared" si="95"/>
        <v>CUMPLE</v>
      </c>
      <c r="AN485" s="13" t="s">
        <v>64</v>
      </c>
      <c r="AO485" s="14">
        <v>2</v>
      </c>
      <c r="AP485" s="13">
        <f>ROUNDDOWN(MIN(IF(BC485+BD485=0,1000000000,AO485*BB485/(BC485+BD485)),MIN(U485,AB485)/4,8*[1]Parametros!$B$12,24*BA485,300,IF(AV485=0,1000000000,2*((H485-2*([1]Parametros!$B$7+[1]Parametros!$B$9/2))+(I485-2*([1]Parametros!$B$7+[1]Parametros!$B$9/2)))/8))/10,0)*10</f>
        <v>120</v>
      </c>
      <c r="AQ485" s="13">
        <f>ROUNDDOWN(MIN(IF(BC485+BD485=0,1000000000,AO485*BB485/(BC485+BD485)),IF(AK485&gt;0.33*SQRT([1]Parametros!$B$2)*H485*MIN(U485,AB485)/1000,MIN(U485,AB485)/4,MIN(U485,AB485)/2),600,IF(AV485=0,1000000000,2*((H485-2*([1]Parametros!$B$7+[1]Parametros!$B$9/2))+(I485-2*([1]Parametros!$B$7+[1]Parametros!$B$9/2)))/8))/10,0)*10</f>
        <v>160</v>
      </c>
      <c r="AR485" s="13">
        <f>[1]Parametros!$B$6*(AJ485+MAX(BE485-BD485,0)*[1]Parametros!$B$4*MIN(U485,AB485)/1000)</f>
        <v>347.47925901885583</v>
      </c>
      <c r="AS485" s="13" t="str">
        <f t="shared" si="96"/>
        <v>CUMPLE</v>
      </c>
      <c r="AT485" s="13">
        <f>[1]Parametros!$B$6*0.083*SQRT([1]Parametros!$B$2)*(H485*I485)^2/(2*(H485+I485))/1000000</f>
        <v>11.862178757598967</v>
      </c>
      <c r="AU485" s="13" t="str">
        <f t="shared" si="97"/>
        <v>DESPRECIABLE</v>
      </c>
      <c r="AV485" s="13">
        <f>IF(Q485&lt;=AT485,0,Q485*1000000/([1]Parametros!$B$6*2*0.85*(H485-2*([1]Parametros!$B$7+[1]Parametros!$B$9/2))*(I485-2*([1]Parametros!$B$7+[1]Parametros!$B$9/2))*[1]Parametros!$B$4))</f>
        <v>0</v>
      </c>
      <c r="AW485" s="13">
        <f>AV485*2*((H485-2*([1]Parametros!$B$7+[1]Parametros!$B$9/2))+(I485-2*([1]Parametros!$B$7+[1]Parametros!$B$9/2)))*[1]Parametros!$B$4/[1]Parametros!$B$3</f>
        <v>0</v>
      </c>
      <c r="AX485" s="14">
        <v>0</v>
      </c>
      <c r="AY485" s="13" t="str">
        <f t="shared" si="98"/>
        <v>DESPRECIABLE</v>
      </c>
      <c r="AZ485" s="13" t="str">
        <f t="shared" si="99"/>
        <v>CUMPLE</v>
      </c>
      <c r="BA485" s="14">
        <v>9.5</v>
      </c>
      <c r="BB485" s="14">
        <v>71</v>
      </c>
      <c r="BC485" s="13">
        <f>MAX(IF(AK485=0,0,AK485*1000/([1]Parametros!$B$4*MIN(U485,AB485))),MAX(0.062*SQRT([1]Parametros!$B$2)*H485/[1]Parametros!$B$4,0.35*H485/[1]Parametros!$B$4))</f>
        <v>0.88470320479984688</v>
      </c>
      <c r="BD485" s="13">
        <f t="shared" si="100"/>
        <v>0</v>
      </c>
      <c r="BE485" s="13">
        <f t="shared" si="101"/>
        <v>1.1833333333333333</v>
      </c>
      <c r="BF485" s="13">
        <f>SQRT((AI485*1000/(H485*MIN(U485,AB485)))^2+(Q485*1000000*2*((H485-2*([1]Parametros!$B$7+[1]Parametros!$B$9/2))+(I485-2*([1]Parametros!$B$7+[1]Parametros!$B$9/2)))/(1.7*((H485-2*([1]Parametros!$B$7+[1]Parametros!$B$9/2))*(I485-2*([1]Parametros!$B$7+[1]Parametros!$B$9/2)))^2))^2)</f>
        <v>1.2342471962703681</v>
      </c>
      <c r="BG485" s="13">
        <f>[1]Parametros!$B$6*(AJ485*1000/(H485*MIN(U485,AB485))+0.66*SQRT([1]Parametros!$B$2))</f>
        <v>3.2939603822754151</v>
      </c>
      <c r="BH485" s="13" t="str">
        <f t="shared" si="102"/>
        <v>CUMPLE</v>
      </c>
      <c r="BI485" s="13">
        <f>AX485*[1]Parametros!$B$8</f>
        <v>0</v>
      </c>
      <c r="BJ485" s="15" t="str">
        <f t="shared" si="103"/>
        <v>CUMPLE</v>
      </c>
    </row>
    <row r="486" spans="1:62" x14ac:dyDescent="0.3">
      <c r="A486" s="35" t="s">
        <v>77</v>
      </c>
      <c r="B486" s="36">
        <v>23</v>
      </c>
      <c r="C486" s="13">
        <v>1</v>
      </c>
      <c r="D486" s="13">
        <v>2.35</v>
      </c>
      <c r="E486" s="13">
        <v>2.35</v>
      </c>
      <c r="F486" s="13">
        <v>500</v>
      </c>
      <c r="G486" s="13">
        <v>550</v>
      </c>
      <c r="H486" s="13">
        <v>500</v>
      </c>
      <c r="I486" s="13">
        <v>550</v>
      </c>
      <c r="J486" s="14">
        <v>265.95319999999998</v>
      </c>
      <c r="K486" s="13">
        <v>23</v>
      </c>
      <c r="L486" s="14">
        <v>123.3379</v>
      </c>
      <c r="M486" s="13">
        <v>23</v>
      </c>
      <c r="N486" s="14">
        <v>204.202</v>
      </c>
      <c r="O486" s="14">
        <v>363.05</v>
      </c>
      <c r="P486" s="13">
        <v>23</v>
      </c>
      <c r="Q486" s="14">
        <v>11.8626</v>
      </c>
      <c r="R486" s="13">
        <f>MAX(MAX(1.4/[1]Parametros!$B$3,0.25*SQRT([1]Parametros!$B$2)/[1]Parametros!$B$3)*H486*U486,(0.85*[1]Parametros!$B$2/[1]Parametros!$B$3)*(1-SQRT(1-2*(J486*1000000/([1]Parametros!$B$5*H486*U486^2))/(0.85*[1]Parametros!$B$2)))*H486*U486)</f>
        <v>1521.23865576771</v>
      </c>
      <c r="S486" s="14">
        <v>8</v>
      </c>
      <c r="T486" s="14">
        <v>1</v>
      </c>
      <c r="U486" s="13">
        <f>IF(T486=1,I486-([1]Parametros!$B$7+[1]Parametros!$B$9+[1]Parametros!$B$12/2),I486-(ROUNDUP(S486/2,0)*([1]Parametros!$B$7+[1]Parametros!$B$9+[1]Parametros!$B$12/2)+ROUNDDOWN(S486/2,0)*([1]Parametros!$B$7+[1]Parametros!$B$9+[1]Parametros!$B$12/2+[1]Parametros!$B$12+[1]Parametros!$B$10))/S486)</f>
        <v>489.35</v>
      </c>
      <c r="V486" s="13">
        <f>S486*[1]Parametros!$B$8</f>
        <v>1592</v>
      </c>
      <c r="W486" s="13">
        <f>[1]Parametros!$B$5*V486*[1]Parametros!$B$3*(U486-(V486*[1]Parametros!$B$3/(0.85*[1]Parametros!$B$2*H486))/2)/1000000</f>
        <v>277.57271985882352</v>
      </c>
      <c r="X486" s="13" t="str">
        <f t="shared" si="91"/>
        <v>CUMPLE</v>
      </c>
      <c r="Y486" s="13">
        <f>MAX(MAX(1.4/[1]Parametros!$B$3,0.25*SQRT([1]Parametros!$B$2)/[1]Parametros!$B$3)*H486*AB486,(0.85*[1]Parametros!$B$2/[1]Parametros!$B$3)*(1-SQRT(1-2*(L486*1000000/([1]Parametros!$B$5*H486*AB486^2))/(0.85*[1]Parametros!$B$2)))*H486*AB486)</f>
        <v>815.58333333333326</v>
      </c>
      <c r="Z486" s="14">
        <v>5</v>
      </c>
      <c r="AA486" s="14">
        <v>1</v>
      </c>
      <c r="AB486" s="13">
        <f>IF(AA486=1,I486-([1]Parametros!$B$7+[1]Parametros!$B$9+[1]Parametros!$B$12/2),I486-(ROUNDUP(Z486/2,0)*([1]Parametros!$B$7+[1]Parametros!$B$9+[1]Parametros!$B$12/2)+ROUNDDOWN(Z486/2,0)*([1]Parametros!$B$7+[1]Parametros!$B$9+[1]Parametros!$B$12/2+[1]Parametros!$B$12+[1]Parametros!$B$10))/Z486)</f>
        <v>489.35</v>
      </c>
      <c r="AC486" s="13">
        <f>Z486*[1]Parametros!$B$8</f>
        <v>995</v>
      </c>
      <c r="AD486" s="13">
        <f>[1]Parametros!$B$5*AC486*[1]Parametros!$B$3*(AB486-(AC486*[1]Parametros!$B$3/(0.85*[1]Parametros!$B$2*H486))/2)/1000000</f>
        <v>177.44537938235294</v>
      </c>
      <c r="AE486" s="13" t="str">
        <f t="shared" si="92"/>
        <v>CUMPLE</v>
      </c>
      <c r="AF486" s="13">
        <f>V486*1.25*[1]Parametros!$B$3*(U486-(V486*1.25*[1]Parametros!$B$3/(0.85*[1]Parametros!$B$2*H486))/2)/1000000</f>
        <v>379.64740058823531</v>
      </c>
      <c r="AG486" s="13">
        <f>AC486*1.25*[1]Parametros!$B$3*(AB486-(AC486*1.25*[1]Parametros!$B$3/(0.85*[1]Parametros!$B$2*H486))/2)/1000000</f>
        <v>244.15884319852941</v>
      </c>
      <c r="AH486" s="13">
        <f t="shared" si="93"/>
        <v>469.65146544117647</v>
      </c>
      <c r="AI486" s="13">
        <f t="shared" si="94"/>
        <v>469.65146544117647</v>
      </c>
      <c r="AJ486" s="13">
        <f>0.17*SQRT([1]Parametros!$B$2)*H486*MIN(U486,AB486)/1000</f>
        <v>220.09872869180776</v>
      </c>
      <c r="AK486" s="13">
        <f>MAX(AI486/[1]Parametros!$B$6-AJ486,0)</f>
        <v>406.10322522976082</v>
      </c>
      <c r="AL486" s="13">
        <f>0.66*SQRT([1]Parametros!$B$2)*H486*MIN(U486,AB486)/1000</f>
        <v>854.500946685842</v>
      </c>
      <c r="AM486" s="13" t="str">
        <f t="shared" si="95"/>
        <v>CUMPLE</v>
      </c>
      <c r="AN486" s="13" t="s">
        <v>68</v>
      </c>
      <c r="AO486" s="14">
        <v>2</v>
      </c>
      <c r="AP486" s="13">
        <f>ROUNDDOWN(MIN(IF(BC486+BD486=0,1000000000,AO486*BB486/(BC486+BD486)),MIN(U486,AB486)/4,8*[1]Parametros!$B$12,24*BA486,300,IF(AV486=0,1000000000,2*((H486-2*([1]Parametros!$B$7+[1]Parametros!$B$9/2))+(I486-2*([1]Parametros!$B$7+[1]Parametros!$B$9/2)))/8))/10,0)*10</f>
        <v>110</v>
      </c>
      <c r="AQ486" s="13">
        <f>ROUNDDOWN(MIN(IF(BC486+BD486=0,1000000000,AO486*BB486/(BC486+BD486)),IF(AK486&gt;0.33*SQRT([1]Parametros!$B$2)*H486*MIN(U486,AB486)/1000,MIN(U486,AB486)/4,MIN(U486,AB486)/2),600,IF(AV486=0,1000000000,2*((H486-2*([1]Parametros!$B$7+[1]Parametros!$B$9/2))+(I486-2*([1]Parametros!$B$7+[1]Parametros!$B$9/2)))/8))/10,0)*10</f>
        <v>110</v>
      </c>
      <c r="AR486" s="13">
        <f>[1]Parametros!$B$6*(AJ486+MAX(BE486-BD486,0)*[1]Parametros!$B$4*MIN(U486,AB486)/1000)</f>
        <v>489.94860493051124</v>
      </c>
      <c r="AS486" s="13" t="str">
        <f t="shared" si="96"/>
        <v>CUMPLE</v>
      </c>
      <c r="AT486" s="13">
        <f>[1]Parametros!$B$6*0.083*SQRT([1]Parametros!$B$2)*(H486*I486)^2/(2*(H486+I486))/1000000</f>
        <v>11.862178757598967</v>
      </c>
      <c r="AU486" s="13" t="str">
        <f t="shared" si="97"/>
        <v>DISEÑAR</v>
      </c>
      <c r="AV486" s="13">
        <f>IF(Q486&lt;=AT486,0,Q486*1000000/([1]Parametros!$B$6*2*0.85*(H486-2*([1]Parametros!$B$7+[1]Parametros!$B$9/2))*(I486-2*([1]Parametros!$B$7+[1]Parametros!$B$9/2))*[1]Parametros!$B$4))</f>
        <v>0.11893366438820496</v>
      </c>
      <c r="AW486" s="13">
        <f>AV486*2*((H486-2*([1]Parametros!$B$7+[1]Parametros!$B$9/2))+(I486-2*([1]Parametros!$B$7+[1]Parametros!$B$9/2)))*[1]Parametros!$B$4/[1]Parametros!$B$3</f>
        <v>205.660092460084</v>
      </c>
      <c r="AX486" s="14">
        <v>8</v>
      </c>
      <c r="AY486" s="13" t="str">
        <f t="shared" si="98"/>
        <v>CUMPLE</v>
      </c>
      <c r="AZ486" s="13" t="str">
        <f t="shared" si="99"/>
        <v>CUMPLE</v>
      </c>
      <c r="BA486" s="14">
        <v>12.7</v>
      </c>
      <c r="BB486" s="14">
        <v>129</v>
      </c>
      <c r="BC486" s="13">
        <f>MAX(IF(AK486=0,0,AK486*1000/([1]Parametros!$B$4*MIN(U486,AB486))),MAX(0.062*SQRT([1]Parametros!$B$2)*H486/[1]Parametros!$B$4,0.35*H486/[1]Parametros!$B$4))</f>
        <v>1.9759118034601819</v>
      </c>
      <c r="BD486" s="13">
        <f t="shared" si="100"/>
        <v>0.23786732877640993</v>
      </c>
      <c r="BE486" s="13">
        <f t="shared" si="101"/>
        <v>2.3454545454545452</v>
      </c>
      <c r="BF486" s="13">
        <f>SQRT((AI486*1000/(H486*MIN(U486,AB486)))^2+(Q486*1000000*2*((H486-2*([1]Parametros!$B$7+[1]Parametros!$B$9/2))+(I486-2*([1]Parametros!$B$7+[1]Parametros!$B$9/2)))/(1.7*((H486-2*([1]Parametros!$B$7+[1]Parametros!$B$9/2))*(I486-2*([1]Parametros!$B$7+[1]Parametros!$B$9/2)))^2))^2)</f>
        <v>1.9507483671823194</v>
      </c>
      <c r="BG486" s="13">
        <f>[1]Parametros!$B$6*(AJ486*1000/(H486*MIN(U486,AB486))+0.66*SQRT([1]Parametros!$B$2))</f>
        <v>3.2939603822754151</v>
      </c>
      <c r="BH486" s="13" t="str">
        <f t="shared" si="102"/>
        <v>CUMPLE</v>
      </c>
      <c r="BI486" s="13">
        <f>AX486*[1]Parametros!$B$8</f>
        <v>1592</v>
      </c>
      <c r="BJ486" s="15" t="str">
        <f t="shared" si="103"/>
        <v>CUMPLE</v>
      </c>
    </row>
    <row r="487" spans="1:62" x14ac:dyDescent="0.3">
      <c r="A487" s="35" t="s">
        <v>77</v>
      </c>
      <c r="B487" s="36">
        <v>24</v>
      </c>
      <c r="C487" s="13">
        <v>1</v>
      </c>
      <c r="D487" s="13">
        <v>2</v>
      </c>
      <c r="E487" s="13">
        <v>2</v>
      </c>
      <c r="F487" s="13">
        <v>500</v>
      </c>
      <c r="G487" s="13">
        <v>550</v>
      </c>
      <c r="H487" s="13">
        <v>500</v>
      </c>
      <c r="I487" s="13">
        <v>550</v>
      </c>
      <c r="J487" s="14">
        <v>271.91809999999998</v>
      </c>
      <c r="K487" s="13">
        <v>24</v>
      </c>
      <c r="L487" s="14">
        <v>111.96680000000001</v>
      </c>
      <c r="M487" s="13">
        <v>24</v>
      </c>
      <c r="N487" s="14">
        <v>203.512</v>
      </c>
      <c r="O487" s="14">
        <v>362.09800000000001</v>
      </c>
      <c r="P487" s="13">
        <v>24</v>
      </c>
      <c r="Q487" s="14">
        <v>9.2249999999999996</v>
      </c>
      <c r="R487" s="13">
        <f>MAX(MAX(1.4/[1]Parametros!$B$3,0.25*SQRT([1]Parametros!$B$2)/[1]Parametros!$B$3)*H487*U487,(0.85*[1]Parametros!$B$2/[1]Parametros!$B$3)*(1-SQRT(1-2*(J487*1000000/([1]Parametros!$B$5*H487*U487^2))/(0.85*[1]Parametros!$B$2)))*H487*U487)</f>
        <v>1557.5132913790321</v>
      </c>
      <c r="S487" s="14">
        <v>8</v>
      </c>
      <c r="T487" s="14">
        <v>1</v>
      </c>
      <c r="U487" s="13">
        <f>IF(T487=1,I487-([1]Parametros!$B$7+[1]Parametros!$B$9+[1]Parametros!$B$12/2),I487-(ROUNDUP(S487/2,0)*([1]Parametros!$B$7+[1]Parametros!$B$9+[1]Parametros!$B$12/2)+ROUNDDOWN(S487/2,0)*([1]Parametros!$B$7+[1]Parametros!$B$9+[1]Parametros!$B$12/2+[1]Parametros!$B$12+[1]Parametros!$B$10))/S487)</f>
        <v>489.35</v>
      </c>
      <c r="V487" s="13">
        <f>S487*[1]Parametros!$B$8</f>
        <v>1592</v>
      </c>
      <c r="W487" s="13">
        <f>[1]Parametros!$B$5*V487*[1]Parametros!$B$3*(U487-(V487*[1]Parametros!$B$3/(0.85*[1]Parametros!$B$2*H487))/2)/1000000</f>
        <v>277.57271985882352</v>
      </c>
      <c r="X487" s="13" t="str">
        <f t="shared" si="91"/>
        <v>CUMPLE</v>
      </c>
      <c r="Y487" s="13">
        <f>MAX(MAX(1.4/[1]Parametros!$B$3,0.25*SQRT([1]Parametros!$B$2)/[1]Parametros!$B$3)*H487*AB487,(0.85*[1]Parametros!$B$2/[1]Parametros!$B$3)*(1-SQRT(1-2*(L487*1000000/([1]Parametros!$B$5*H487*AB487^2))/(0.85*[1]Parametros!$B$2)))*H487*AB487)</f>
        <v>815.58333333333326</v>
      </c>
      <c r="Z487" s="14">
        <v>5</v>
      </c>
      <c r="AA487" s="14">
        <v>1</v>
      </c>
      <c r="AB487" s="13">
        <f>IF(AA487=1,I487-([1]Parametros!$B$7+[1]Parametros!$B$9+[1]Parametros!$B$12/2),I487-(ROUNDUP(Z487/2,0)*([1]Parametros!$B$7+[1]Parametros!$B$9+[1]Parametros!$B$12/2)+ROUNDDOWN(Z487/2,0)*([1]Parametros!$B$7+[1]Parametros!$B$9+[1]Parametros!$B$12/2+[1]Parametros!$B$12+[1]Parametros!$B$10))/Z487)</f>
        <v>489.35</v>
      </c>
      <c r="AC487" s="13">
        <f>Z487*[1]Parametros!$B$8</f>
        <v>995</v>
      </c>
      <c r="AD487" s="13">
        <f>[1]Parametros!$B$5*AC487*[1]Parametros!$B$3*(AB487-(AC487*[1]Parametros!$B$3/(0.85*[1]Parametros!$B$2*H487))/2)/1000000</f>
        <v>177.44537938235294</v>
      </c>
      <c r="AE487" s="13" t="str">
        <f t="shared" si="92"/>
        <v>CUMPLE</v>
      </c>
      <c r="AF487" s="13">
        <f>V487*1.25*[1]Parametros!$B$3*(U487-(V487*1.25*[1]Parametros!$B$3/(0.85*[1]Parametros!$B$2*H487))/2)/1000000</f>
        <v>379.64740058823531</v>
      </c>
      <c r="AG487" s="13">
        <f>AC487*1.25*[1]Parametros!$B$3*(AB487-(AC487*1.25*[1]Parametros!$B$3/(0.85*[1]Parametros!$B$2*H487))/2)/1000000</f>
        <v>244.15884319852941</v>
      </c>
      <c r="AH487" s="13">
        <f t="shared" si="93"/>
        <v>515.41512189338232</v>
      </c>
      <c r="AI487" s="13">
        <f t="shared" si="94"/>
        <v>515.41512189338232</v>
      </c>
      <c r="AJ487" s="13">
        <f>0.17*SQRT([1]Parametros!$B$2)*H487*MIN(U487,AB487)/1000</f>
        <v>220.09872869180776</v>
      </c>
      <c r="AK487" s="13">
        <f>MAX(AI487/[1]Parametros!$B$6-AJ487,0)</f>
        <v>467.121433832702</v>
      </c>
      <c r="AL487" s="13">
        <f>0.66*SQRT([1]Parametros!$B$2)*H487*MIN(U487,AB487)/1000</f>
        <v>854.500946685842</v>
      </c>
      <c r="AM487" s="13" t="str">
        <f t="shared" si="95"/>
        <v>CUMPLE</v>
      </c>
      <c r="AN487" s="13" t="s">
        <v>68</v>
      </c>
      <c r="AO487" s="14">
        <v>2</v>
      </c>
      <c r="AP487" s="13">
        <f>ROUNDDOWN(MIN(IF(BC487+BD487=0,1000000000,AO487*BB487/(BC487+BD487)),MIN(U487,AB487)/4,8*[1]Parametros!$B$12,24*BA487,300,IF(AV487=0,1000000000,2*((H487-2*([1]Parametros!$B$7+[1]Parametros!$B$9/2))+(I487-2*([1]Parametros!$B$7+[1]Parametros!$B$9/2)))/8))/10,0)*10</f>
        <v>110</v>
      </c>
      <c r="AQ487" s="13">
        <f>ROUNDDOWN(MIN(IF(BC487+BD487=0,1000000000,AO487*BB487/(BC487+BD487)),IF(AK487&gt;0.33*SQRT([1]Parametros!$B$2)*H487*MIN(U487,AB487)/1000,MIN(U487,AB487)/4,MIN(U487,AB487)/2),600,IF(AV487=0,1000000000,2*((H487-2*([1]Parametros!$B$7+[1]Parametros!$B$9/2))+(I487-2*([1]Parametros!$B$7+[1]Parametros!$B$9/2)))/8))/10,0)*10</f>
        <v>110</v>
      </c>
      <c r="AR487" s="13">
        <f>[1]Parametros!$B$6*(AJ487+MAX(BE487-BD487,0)*[1]Parametros!$B$4*MIN(U487,AB487)/1000)</f>
        <v>526.61472379158317</v>
      </c>
      <c r="AS487" s="13" t="str">
        <f t="shared" si="96"/>
        <v>CUMPLE</v>
      </c>
      <c r="AT487" s="13">
        <f>[1]Parametros!$B$6*0.083*SQRT([1]Parametros!$B$2)*(H487*I487)^2/(2*(H487+I487))/1000000</f>
        <v>11.862178757598967</v>
      </c>
      <c r="AU487" s="13" t="str">
        <f t="shared" si="97"/>
        <v>DESPRECIABLE</v>
      </c>
      <c r="AV487" s="13">
        <f>IF(Q487&lt;=AT487,0,Q487*1000000/([1]Parametros!$B$6*2*0.85*(H487-2*([1]Parametros!$B$7+[1]Parametros!$B$9/2))*(I487-2*([1]Parametros!$B$7+[1]Parametros!$B$9/2))*[1]Parametros!$B$4))</f>
        <v>0</v>
      </c>
      <c r="AW487" s="13">
        <f>AV487*2*((H487-2*([1]Parametros!$B$7+[1]Parametros!$B$9/2))+(I487-2*([1]Parametros!$B$7+[1]Parametros!$B$9/2)))*[1]Parametros!$B$4/[1]Parametros!$B$3</f>
        <v>0</v>
      </c>
      <c r="AX487" s="14">
        <v>0</v>
      </c>
      <c r="AY487" s="13" t="str">
        <f t="shared" si="98"/>
        <v>DESPRECIABLE</v>
      </c>
      <c r="AZ487" s="13" t="str">
        <f t="shared" si="99"/>
        <v>CUMPLE</v>
      </c>
      <c r="BA487" s="14">
        <v>12.7</v>
      </c>
      <c r="BB487" s="14">
        <v>129</v>
      </c>
      <c r="BC487" s="13">
        <f>MAX(IF(AK487=0,0,AK487*1000/([1]Parametros!$B$4*MIN(U487,AB487))),MAX(0.062*SQRT([1]Parametros!$B$2)*H487/[1]Parametros!$B$4,0.35*H487/[1]Parametros!$B$4))</f>
        <v>2.2727983857726821</v>
      </c>
      <c r="BD487" s="13">
        <f t="shared" si="100"/>
        <v>0</v>
      </c>
      <c r="BE487" s="13">
        <f t="shared" si="101"/>
        <v>2.3454545454545452</v>
      </c>
      <c r="BF487" s="13">
        <f>SQRT((AI487*1000/(H487*MIN(U487,AB487)))^2+(Q487*1000000*2*((H487-2*([1]Parametros!$B$7+[1]Parametros!$B$9/2))+(I487-2*([1]Parametros!$B$7+[1]Parametros!$B$9/2)))/(1.7*((H487-2*([1]Parametros!$B$7+[1]Parametros!$B$9/2))*(I487-2*([1]Parametros!$B$7+[1]Parametros!$B$9/2)))^2))^2)</f>
        <v>2.1238232040038754</v>
      </c>
      <c r="BG487" s="13">
        <f>[1]Parametros!$B$6*(AJ487*1000/(H487*MIN(U487,AB487))+0.66*SQRT([1]Parametros!$B$2))</f>
        <v>3.2939603822754151</v>
      </c>
      <c r="BH487" s="13" t="str">
        <f t="shared" si="102"/>
        <v>CUMPLE</v>
      </c>
      <c r="BI487" s="13">
        <f>AX487*[1]Parametros!$B$8</f>
        <v>0</v>
      </c>
      <c r="BJ487" s="15" t="str">
        <f t="shared" si="103"/>
        <v>CUMPLE</v>
      </c>
    </row>
    <row r="488" spans="1:62" x14ac:dyDescent="0.3">
      <c r="A488" s="35" t="s">
        <v>77</v>
      </c>
      <c r="B488" s="36">
        <v>25</v>
      </c>
      <c r="C488" s="13">
        <v>1</v>
      </c>
      <c r="D488" s="13">
        <v>1.9</v>
      </c>
      <c r="E488" s="13">
        <v>1.9</v>
      </c>
      <c r="F488" s="13">
        <v>500</v>
      </c>
      <c r="G488" s="13">
        <v>550</v>
      </c>
      <c r="H488" s="13">
        <v>500</v>
      </c>
      <c r="I488" s="13">
        <v>550</v>
      </c>
      <c r="J488" s="14">
        <v>221.01499999999999</v>
      </c>
      <c r="K488" s="13">
        <v>25</v>
      </c>
      <c r="L488" s="14">
        <v>153.126</v>
      </c>
      <c r="M488" s="13">
        <v>25</v>
      </c>
      <c r="N488" s="14">
        <v>184.47800000000001</v>
      </c>
      <c r="O488" s="14">
        <v>720.49599999999998</v>
      </c>
      <c r="P488" s="13">
        <v>25</v>
      </c>
      <c r="Q488" s="14">
        <v>0.74809999999999999</v>
      </c>
      <c r="R488" s="13">
        <f>MAX(MAX(1.4/[1]Parametros!$B$3,0.25*SQRT([1]Parametros!$B$2)/[1]Parametros!$B$3)*H488*U488,(0.85*[1]Parametros!$B$2/[1]Parametros!$B$3)*(1-SQRT(1-2*(J488*1000000/([1]Parametros!$B$5*H488*U488^2))/(0.85*[1]Parametros!$B$2)))*H488*U488)</f>
        <v>1251.3067934972241</v>
      </c>
      <c r="S488" s="14">
        <v>7</v>
      </c>
      <c r="T488" s="14">
        <v>1</v>
      </c>
      <c r="U488" s="13">
        <f>IF(T488=1,I488-([1]Parametros!$B$7+[1]Parametros!$B$9+[1]Parametros!$B$12/2),I488-(ROUNDUP(S488/2,0)*([1]Parametros!$B$7+[1]Parametros!$B$9+[1]Parametros!$B$12/2)+ROUNDDOWN(S488/2,0)*([1]Parametros!$B$7+[1]Parametros!$B$9+[1]Parametros!$B$12/2+[1]Parametros!$B$12+[1]Parametros!$B$10))/S488)</f>
        <v>489.35</v>
      </c>
      <c r="V488" s="13">
        <f>S488*[1]Parametros!$B$8</f>
        <v>1393</v>
      </c>
      <c r="W488" s="13">
        <f>[1]Parametros!$B$5*V488*[1]Parametros!$B$3*(U488-(V488*[1]Parametros!$B$3/(0.85*[1]Parametros!$B$2*H488))/2)/1000000</f>
        <v>244.72526362941178</v>
      </c>
      <c r="X488" s="13" t="str">
        <f t="shared" si="91"/>
        <v>CUMPLE</v>
      </c>
      <c r="Y488" s="13">
        <f>MAX(MAX(1.4/[1]Parametros!$B$3,0.25*SQRT([1]Parametros!$B$2)/[1]Parametros!$B$3)*H488*AB488,(0.85*[1]Parametros!$B$2/[1]Parametros!$B$3)*(1-SQRT(1-2*(L488*1000000/([1]Parametros!$B$5*H488*AB488^2))/(0.85*[1]Parametros!$B$2)))*H488*AB488)</f>
        <v>854.13201130424386</v>
      </c>
      <c r="Z488" s="14">
        <v>5</v>
      </c>
      <c r="AA488" s="14">
        <v>1</v>
      </c>
      <c r="AB488" s="13">
        <f>IF(AA488=1,I488-([1]Parametros!$B$7+[1]Parametros!$B$9+[1]Parametros!$B$12/2),I488-(ROUNDUP(Z488/2,0)*([1]Parametros!$B$7+[1]Parametros!$B$9+[1]Parametros!$B$12/2)+ROUNDDOWN(Z488/2,0)*([1]Parametros!$B$7+[1]Parametros!$B$9+[1]Parametros!$B$12/2+[1]Parametros!$B$12+[1]Parametros!$B$10))/Z488)</f>
        <v>489.35</v>
      </c>
      <c r="AC488" s="13">
        <f>Z488*[1]Parametros!$B$8</f>
        <v>995</v>
      </c>
      <c r="AD488" s="13">
        <f>[1]Parametros!$B$5*AC488*[1]Parametros!$B$3*(AB488-(AC488*[1]Parametros!$B$3/(0.85*[1]Parametros!$B$2*H488))/2)/1000000</f>
        <v>177.44537938235294</v>
      </c>
      <c r="AE488" s="13" t="str">
        <f t="shared" si="92"/>
        <v>CUMPLE</v>
      </c>
      <c r="AF488" s="13">
        <f>V488*1.25*[1]Parametros!$B$3*(U488-(V488*1.25*[1]Parametros!$B$3/(0.85*[1]Parametros!$B$2*H488))/2)/1000000</f>
        <v>335.40177716911762</v>
      </c>
      <c r="AG488" s="13">
        <f>AC488*1.25*[1]Parametros!$B$3*(AB488-(AC488*1.25*[1]Parametros!$B$3/(0.85*[1]Parametros!$B$2*H488))/2)/1000000</f>
        <v>244.15884319852941</v>
      </c>
      <c r="AH488" s="13">
        <f t="shared" si="93"/>
        <v>489.50990545665638</v>
      </c>
      <c r="AI488" s="13">
        <f t="shared" si="94"/>
        <v>720.49599999999998</v>
      </c>
      <c r="AJ488" s="13">
        <f>0.17*SQRT([1]Parametros!$B$2)*H488*MIN(U488,AB488)/1000</f>
        <v>220.09872869180776</v>
      </c>
      <c r="AK488" s="13">
        <f>MAX(AI488/[1]Parametros!$B$6-AJ488,0)</f>
        <v>740.56260464152558</v>
      </c>
      <c r="AL488" s="13">
        <f>0.66*SQRT([1]Parametros!$B$2)*H488*MIN(U488,AB488)/1000</f>
        <v>854.500946685842</v>
      </c>
      <c r="AM488" s="13" t="str">
        <f t="shared" si="95"/>
        <v>CUMPLE</v>
      </c>
      <c r="AN488" s="13" t="s">
        <v>68</v>
      </c>
      <c r="AO488" s="14">
        <v>4</v>
      </c>
      <c r="AP488" s="13">
        <f>ROUNDDOWN(MIN(IF(BC488+BD488=0,1000000000,AO488*BB488/(BC488+BD488)),MIN(U488,AB488)/4,8*[1]Parametros!$B$12,24*BA488,300,IF(AV488=0,1000000000,2*((H488-2*([1]Parametros!$B$7+[1]Parametros!$B$9/2))+(I488-2*([1]Parametros!$B$7+[1]Parametros!$B$9/2)))/8))/10,0)*10</f>
        <v>120</v>
      </c>
      <c r="AQ488" s="13">
        <f>ROUNDDOWN(MIN(IF(BC488+BD488=0,1000000000,AO488*BB488/(BC488+BD488)),IF(AK488&gt;0.33*SQRT([1]Parametros!$B$2)*H488*MIN(U488,AB488)/1000,MIN(U488,AB488)/4,MIN(U488,AB488)/2),600,IF(AV488=0,1000000000,2*((H488-2*([1]Parametros!$B$7+[1]Parametros!$B$9/2))+(I488-2*([1]Parametros!$B$7+[1]Parametros!$B$9/2)))/8))/10,0)*10</f>
        <v>120</v>
      </c>
      <c r="AR488" s="13">
        <f>[1]Parametros!$B$6*(AJ488+MAX(BE488-BD488,0)*[1]Parametros!$B$4*MIN(U488,AB488)/1000)</f>
        <v>827.89862151885586</v>
      </c>
      <c r="AS488" s="13" t="str">
        <f t="shared" si="96"/>
        <v>CUMPLE</v>
      </c>
      <c r="AT488" s="13">
        <f>[1]Parametros!$B$6*0.083*SQRT([1]Parametros!$B$2)*(H488*I488)^2/(2*(H488+I488))/1000000</f>
        <v>11.862178757598967</v>
      </c>
      <c r="AU488" s="13" t="str">
        <f t="shared" si="97"/>
        <v>DESPRECIABLE</v>
      </c>
      <c r="AV488" s="13">
        <f>IF(Q488&lt;=AT488,0,Q488*1000000/([1]Parametros!$B$6*2*0.85*(H488-2*([1]Parametros!$B$7+[1]Parametros!$B$9/2))*(I488-2*([1]Parametros!$B$7+[1]Parametros!$B$9/2))*[1]Parametros!$B$4))</f>
        <v>0</v>
      </c>
      <c r="AW488" s="13">
        <f>AV488*2*((H488-2*([1]Parametros!$B$7+[1]Parametros!$B$9/2))+(I488-2*([1]Parametros!$B$7+[1]Parametros!$B$9/2)))*[1]Parametros!$B$4/[1]Parametros!$B$3</f>
        <v>0</v>
      </c>
      <c r="AX488" s="14">
        <v>0</v>
      </c>
      <c r="AY488" s="13" t="str">
        <f t="shared" si="98"/>
        <v>DESPRECIABLE</v>
      </c>
      <c r="AZ488" s="13" t="str">
        <f t="shared" si="99"/>
        <v>CUMPLE</v>
      </c>
      <c r="BA488" s="14">
        <v>12.7</v>
      </c>
      <c r="BB488" s="14">
        <v>129</v>
      </c>
      <c r="BC488" s="13">
        <f>MAX(IF(AK488=0,0,AK488*1000/([1]Parametros!$B$4*MIN(U488,AB488))),MAX(0.062*SQRT([1]Parametros!$B$2)*H488/[1]Parametros!$B$4,0.35*H488/[1]Parametros!$B$4))</f>
        <v>3.6032375534188965</v>
      </c>
      <c r="BD488" s="13">
        <f t="shared" si="100"/>
        <v>0</v>
      </c>
      <c r="BE488" s="13">
        <f t="shared" si="101"/>
        <v>4.3</v>
      </c>
      <c r="BF488" s="13">
        <f>SQRT((AI488*1000/(H488*MIN(U488,AB488)))^2+(Q488*1000000*2*((H488-2*([1]Parametros!$B$7+[1]Parametros!$B$9/2))+(I488-2*([1]Parametros!$B$7+[1]Parametros!$B$9/2)))/(1.7*((H488-2*([1]Parametros!$B$7+[1]Parametros!$B$9/2))*(I488-2*([1]Parametros!$B$7+[1]Parametros!$B$9/2)))^2))^2)</f>
        <v>2.9447879334610163</v>
      </c>
      <c r="BG488" s="13">
        <f>[1]Parametros!$B$6*(AJ488*1000/(H488*MIN(U488,AB488))+0.66*SQRT([1]Parametros!$B$2))</f>
        <v>3.2939603822754151</v>
      </c>
      <c r="BH488" s="13" t="str">
        <f t="shared" si="102"/>
        <v>CUMPLE</v>
      </c>
      <c r="BI488" s="13">
        <f>AX488*[1]Parametros!$B$8</f>
        <v>0</v>
      </c>
      <c r="BJ488" s="15" t="str">
        <f t="shared" si="103"/>
        <v>CUMPLE</v>
      </c>
    </row>
    <row r="489" spans="1:62" x14ac:dyDescent="0.3">
      <c r="A489" s="35" t="s">
        <v>77</v>
      </c>
      <c r="B489" s="36">
        <v>26</v>
      </c>
      <c r="C489" s="13">
        <v>1</v>
      </c>
      <c r="D489" s="13">
        <v>3.4</v>
      </c>
      <c r="E489" s="13">
        <v>3.4</v>
      </c>
      <c r="F489" s="13">
        <v>500</v>
      </c>
      <c r="G489" s="13">
        <v>550</v>
      </c>
      <c r="H489" s="13">
        <v>500</v>
      </c>
      <c r="I489" s="13">
        <v>550</v>
      </c>
      <c r="J489" s="14">
        <v>189.67099999999999</v>
      </c>
      <c r="K489" s="13">
        <v>26</v>
      </c>
      <c r="L489" s="14">
        <v>125.9645</v>
      </c>
      <c r="M489" s="13">
        <v>26</v>
      </c>
      <c r="N489" s="14">
        <v>136.81800000000001</v>
      </c>
      <c r="O489" s="14">
        <v>422.01100000000002</v>
      </c>
      <c r="P489" s="13">
        <v>26</v>
      </c>
      <c r="Q489" s="14">
        <v>10.1938</v>
      </c>
      <c r="R489" s="13">
        <f>MAX(MAX(1.4/[1]Parametros!$B$3,0.25*SQRT([1]Parametros!$B$2)/[1]Parametros!$B$3)*H489*U489,(0.85*[1]Parametros!$B$2/[1]Parametros!$B$3)*(1-SQRT(1-2*(J489*1000000/([1]Parametros!$B$5*H489*U489^2))/(0.85*[1]Parametros!$B$2)))*H489*U489)</f>
        <v>1066.4015179725177</v>
      </c>
      <c r="S489" s="14">
        <v>6</v>
      </c>
      <c r="T489" s="14">
        <v>1</v>
      </c>
      <c r="U489" s="13">
        <f>IF(T489=1,I489-([1]Parametros!$B$7+[1]Parametros!$B$9+[1]Parametros!$B$12/2),I489-(ROUNDUP(S489/2,0)*([1]Parametros!$B$7+[1]Parametros!$B$9+[1]Parametros!$B$12/2)+ROUNDDOWN(S489/2,0)*([1]Parametros!$B$7+[1]Parametros!$B$9+[1]Parametros!$B$12/2+[1]Parametros!$B$12+[1]Parametros!$B$10))/S489)</f>
        <v>489.35</v>
      </c>
      <c r="V489" s="13">
        <f>S489*[1]Parametros!$B$8</f>
        <v>1194</v>
      </c>
      <c r="W489" s="13">
        <f>[1]Parametros!$B$5*V489*[1]Parametros!$B$3*(U489-(V489*[1]Parametros!$B$3/(0.85*[1]Parametros!$B$2*H489))/2)/1000000</f>
        <v>211.34948347058827</v>
      </c>
      <c r="X489" s="13" t="str">
        <f t="shared" si="91"/>
        <v>CUMPLE</v>
      </c>
      <c r="Y489" s="13">
        <f>MAX(MAX(1.4/[1]Parametros!$B$3,0.25*SQRT([1]Parametros!$B$2)/[1]Parametros!$B$3)*H489*AB489,(0.85*[1]Parametros!$B$2/[1]Parametros!$B$3)*(1-SQRT(1-2*(L489*1000000/([1]Parametros!$B$5*H489*AB489^2))/(0.85*[1]Parametros!$B$2)))*H489*AB489)</f>
        <v>815.58333333333326</v>
      </c>
      <c r="Z489" s="14">
        <v>5</v>
      </c>
      <c r="AA489" s="14">
        <v>1</v>
      </c>
      <c r="AB489" s="13">
        <f>IF(AA489=1,I489-([1]Parametros!$B$7+[1]Parametros!$B$9+[1]Parametros!$B$12/2),I489-(ROUNDUP(Z489/2,0)*([1]Parametros!$B$7+[1]Parametros!$B$9+[1]Parametros!$B$12/2)+ROUNDDOWN(Z489/2,0)*([1]Parametros!$B$7+[1]Parametros!$B$9+[1]Parametros!$B$12/2+[1]Parametros!$B$12+[1]Parametros!$B$10))/Z489)</f>
        <v>489.35</v>
      </c>
      <c r="AC489" s="13">
        <f>Z489*[1]Parametros!$B$8</f>
        <v>995</v>
      </c>
      <c r="AD489" s="13">
        <f>[1]Parametros!$B$5*AC489*[1]Parametros!$B$3*(AB489-(AC489*[1]Parametros!$B$3/(0.85*[1]Parametros!$B$2*H489))/2)/1000000</f>
        <v>177.44537938235294</v>
      </c>
      <c r="AE489" s="13" t="str">
        <f t="shared" si="92"/>
        <v>CUMPLE</v>
      </c>
      <c r="AF489" s="13">
        <f>V489*1.25*[1]Parametros!$B$3*(U489-(V489*1.25*[1]Parametros!$B$3/(0.85*[1]Parametros!$B$2*H489))/2)/1000000</f>
        <v>290.23892470588237</v>
      </c>
      <c r="AG489" s="13">
        <f>AC489*1.25*[1]Parametros!$B$3*(AB489-(AC489*1.25*[1]Parametros!$B$3/(0.85*[1]Parametros!$B$2*H489))/2)/1000000</f>
        <v>244.15884319852941</v>
      </c>
      <c r="AH489" s="13">
        <f t="shared" si="93"/>
        <v>293.99381408953286</v>
      </c>
      <c r="AI489" s="13">
        <f t="shared" si="94"/>
        <v>422.01100000000002</v>
      </c>
      <c r="AJ489" s="13">
        <f>0.17*SQRT([1]Parametros!$B$2)*H489*MIN(U489,AB489)/1000</f>
        <v>220.09872869180776</v>
      </c>
      <c r="AK489" s="13">
        <f>MAX(AI489/[1]Parametros!$B$6-AJ489,0)</f>
        <v>342.58260464152556</v>
      </c>
      <c r="AL489" s="13">
        <f>0.66*SQRT([1]Parametros!$B$2)*H489*MIN(U489,AB489)/1000</f>
        <v>854.500946685842</v>
      </c>
      <c r="AM489" s="13" t="str">
        <f t="shared" si="95"/>
        <v>CUMPLE</v>
      </c>
      <c r="AN489" s="13" t="s">
        <v>64</v>
      </c>
      <c r="AO489" s="14">
        <v>2</v>
      </c>
      <c r="AP489" s="13">
        <f>ROUNDDOWN(MIN(IF(BC489+BD489=0,1000000000,AO489*BB489/(BC489+BD489)),MIN(U489,AB489)/4,8*[1]Parametros!$B$12,24*BA489,300,IF(AV489=0,1000000000,2*((H489-2*([1]Parametros!$B$7+[1]Parametros!$B$9/2))+(I489-2*([1]Parametros!$B$7+[1]Parametros!$B$9/2)))/8))/10,0)*10</f>
        <v>80</v>
      </c>
      <c r="AQ489" s="13">
        <f>ROUNDDOWN(MIN(IF(BC489+BD489=0,1000000000,AO489*BB489/(BC489+BD489)),IF(AK489&gt;0.33*SQRT([1]Parametros!$B$2)*H489*MIN(U489,AB489)/1000,MIN(U489,AB489)/4,MIN(U489,AB489)/2),600,IF(AV489=0,1000000000,2*((H489-2*([1]Parametros!$B$7+[1]Parametros!$B$9/2))+(I489-2*([1]Parametros!$B$7+[1]Parametros!$B$9/2)))/8))/10,0)*10</f>
        <v>80</v>
      </c>
      <c r="AR489" s="13">
        <f>[1]Parametros!$B$6*(AJ489+MAX(BE489-BD489,0)*[1]Parametros!$B$4*MIN(U489,AB489)/1000)</f>
        <v>438.68186526885586</v>
      </c>
      <c r="AS489" s="13" t="str">
        <f t="shared" si="96"/>
        <v>CUMPLE</v>
      </c>
      <c r="AT489" s="13">
        <f>[1]Parametros!$B$6*0.083*SQRT([1]Parametros!$B$2)*(H489*I489)^2/(2*(H489+I489))/1000000</f>
        <v>11.862178757598967</v>
      </c>
      <c r="AU489" s="13" t="str">
        <f t="shared" si="97"/>
        <v>DESPRECIABLE</v>
      </c>
      <c r="AV489" s="13">
        <f>IF(Q489&lt;=AT489,0,Q489*1000000/([1]Parametros!$B$6*2*0.85*(H489-2*([1]Parametros!$B$7+[1]Parametros!$B$9/2))*(I489-2*([1]Parametros!$B$7+[1]Parametros!$B$9/2))*[1]Parametros!$B$4))</f>
        <v>0</v>
      </c>
      <c r="AW489" s="13">
        <f>AV489*2*((H489-2*([1]Parametros!$B$7+[1]Parametros!$B$9/2))+(I489-2*([1]Parametros!$B$7+[1]Parametros!$B$9/2)))*[1]Parametros!$B$4/[1]Parametros!$B$3</f>
        <v>0</v>
      </c>
      <c r="AX489" s="14">
        <v>0</v>
      </c>
      <c r="AY489" s="13" t="str">
        <f t="shared" si="98"/>
        <v>DESPRECIABLE</v>
      </c>
      <c r="AZ489" s="13" t="str">
        <f t="shared" si="99"/>
        <v>CUMPLE</v>
      </c>
      <c r="BA489" s="14">
        <v>9.5</v>
      </c>
      <c r="BB489" s="14">
        <v>71</v>
      </c>
      <c r="BC489" s="13">
        <f>MAX(IF(AK489=0,0,AK489*1000/([1]Parametros!$B$4*MIN(U489,AB489))),MAX(0.062*SQRT([1]Parametros!$B$2)*H489/[1]Parametros!$B$4,0.35*H489/[1]Parametros!$B$4))</f>
        <v>1.6668496335835463</v>
      </c>
      <c r="BD489" s="13">
        <f t="shared" si="100"/>
        <v>0</v>
      </c>
      <c r="BE489" s="13">
        <f t="shared" si="101"/>
        <v>1.7749999999999999</v>
      </c>
      <c r="BF489" s="13">
        <f>SQRT((AI489*1000/(H489*MIN(U489,AB489)))^2+(Q489*1000000*2*((H489-2*([1]Parametros!$B$7+[1]Parametros!$B$9/2))+(I489-2*([1]Parametros!$B$7+[1]Parametros!$B$9/2)))/(1.7*((H489-2*([1]Parametros!$B$7+[1]Parametros!$B$9/2))*(I489-2*([1]Parametros!$B$7+[1]Parametros!$B$9/2)))^2))^2)</f>
        <v>1.7504866410444062</v>
      </c>
      <c r="BG489" s="13">
        <f>[1]Parametros!$B$6*(AJ489*1000/(H489*MIN(U489,AB489))+0.66*SQRT([1]Parametros!$B$2))</f>
        <v>3.2939603822754151</v>
      </c>
      <c r="BH489" s="13" t="str">
        <f t="shared" si="102"/>
        <v>CUMPLE</v>
      </c>
      <c r="BI489" s="13">
        <f>AX489*[1]Parametros!$B$8</f>
        <v>0</v>
      </c>
      <c r="BJ489" s="15" t="str">
        <f t="shared" si="103"/>
        <v>CUMPLE</v>
      </c>
    </row>
    <row r="490" spans="1:62" x14ac:dyDescent="0.3">
      <c r="A490" s="35" t="s">
        <v>77</v>
      </c>
      <c r="B490" s="36">
        <v>27</v>
      </c>
      <c r="C490" s="13">
        <v>1</v>
      </c>
      <c r="D490" s="13">
        <v>2.2000000000000002</v>
      </c>
      <c r="E490" s="13">
        <v>2.2000000000000002</v>
      </c>
      <c r="F490" s="13">
        <v>500</v>
      </c>
      <c r="G490" s="13">
        <v>550</v>
      </c>
      <c r="H490" s="13">
        <v>500</v>
      </c>
      <c r="I490" s="13">
        <v>550</v>
      </c>
      <c r="J490" s="14">
        <v>173.92590000000001</v>
      </c>
      <c r="K490" s="13">
        <v>27</v>
      </c>
      <c r="L490" s="14">
        <v>78.334500000000006</v>
      </c>
      <c r="M490" s="13">
        <v>27</v>
      </c>
      <c r="N490" s="14">
        <v>114.22799999999999</v>
      </c>
      <c r="O490" s="14">
        <v>281.43799999999999</v>
      </c>
      <c r="P490" s="13">
        <v>27</v>
      </c>
      <c r="Q490" s="14">
        <v>1.67E-2</v>
      </c>
      <c r="R490" s="13">
        <f>MAX(MAX(1.4/[1]Parametros!$B$3,0.25*SQRT([1]Parametros!$B$2)/[1]Parametros!$B$3)*H490*U490,(0.85*[1]Parametros!$B$2/[1]Parametros!$B$3)*(1-SQRT(1-2*(J490*1000000/([1]Parametros!$B$5*H490*U490^2))/(0.85*[1]Parametros!$B$2)))*H490*U490)</f>
        <v>974.51843563580883</v>
      </c>
      <c r="S490" s="14">
        <v>5</v>
      </c>
      <c r="T490" s="14">
        <v>1</v>
      </c>
      <c r="U490" s="13">
        <f>IF(T490=1,I490-([1]Parametros!$B$7+[1]Parametros!$B$9+[1]Parametros!$B$12/2),I490-(ROUNDUP(S490/2,0)*([1]Parametros!$B$7+[1]Parametros!$B$9+[1]Parametros!$B$12/2)+ROUNDDOWN(S490/2,0)*([1]Parametros!$B$7+[1]Parametros!$B$9+[1]Parametros!$B$12/2+[1]Parametros!$B$12+[1]Parametros!$B$10))/S490)</f>
        <v>489.35</v>
      </c>
      <c r="V490" s="13">
        <f>S490*[1]Parametros!$B$8</f>
        <v>995</v>
      </c>
      <c r="W490" s="13">
        <f>[1]Parametros!$B$5*V490*[1]Parametros!$B$3*(U490-(V490*[1]Parametros!$B$3/(0.85*[1]Parametros!$B$2*H490))/2)/1000000</f>
        <v>177.44537938235294</v>
      </c>
      <c r="X490" s="13" t="str">
        <f t="shared" si="91"/>
        <v>CUMPLE</v>
      </c>
      <c r="Y490" s="13">
        <f>MAX(MAX(1.4/[1]Parametros!$B$3,0.25*SQRT([1]Parametros!$B$2)/[1]Parametros!$B$3)*H490*AB490,(0.85*[1]Parametros!$B$2/[1]Parametros!$B$3)*(1-SQRT(1-2*(L490*1000000/([1]Parametros!$B$5*H490*AB490^2))/(0.85*[1]Parametros!$B$2)))*H490*AB490)</f>
        <v>815.58333333333326</v>
      </c>
      <c r="Z490" s="14">
        <v>5</v>
      </c>
      <c r="AA490" s="14">
        <v>1</v>
      </c>
      <c r="AB490" s="13">
        <f>IF(AA490=1,I490-([1]Parametros!$B$7+[1]Parametros!$B$9+[1]Parametros!$B$12/2),I490-(ROUNDUP(Z490/2,0)*([1]Parametros!$B$7+[1]Parametros!$B$9+[1]Parametros!$B$12/2)+ROUNDDOWN(Z490/2,0)*([1]Parametros!$B$7+[1]Parametros!$B$9+[1]Parametros!$B$12/2+[1]Parametros!$B$12+[1]Parametros!$B$10))/Z490)</f>
        <v>489.35</v>
      </c>
      <c r="AC490" s="13">
        <f>Z490*[1]Parametros!$B$8</f>
        <v>995</v>
      </c>
      <c r="AD490" s="13">
        <f>[1]Parametros!$B$5*AC490*[1]Parametros!$B$3*(AB490-(AC490*[1]Parametros!$B$3/(0.85*[1]Parametros!$B$2*H490))/2)/1000000</f>
        <v>177.44537938235294</v>
      </c>
      <c r="AE490" s="13" t="str">
        <f t="shared" si="92"/>
        <v>CUMPLE</v>
      </c>
      <c r="AF490" s="13">
        <f>V490*1.25*[1]Parametros!$B$3*(U490-(V490*1.25*[1]Parametros!$B$3/(0.85*[1]Parametros!$B$2*H490))/2)/1000000</f>
        <v>244.15884319852941</v>
      </c>
      <c r="AG490" s="13">
        <f>AC490*1.25*[1]Parametros!$B$3*(AB490-(AC490*1.25*[1]Parametros!$B$3/(0.85*[1]Parametros!$B$2*H490))/2)/1000000</f>
        <v>244.15884319852941</v>
      </c>
      <c r="AH490" s="13">
        <f t="shared" si="93"/>
        <v>336.19058472593582</v>
      </c>
      <c r="AI490" s="13">
        <f t="shared" si="94"/>
        <v>336.19058472593582</v>
      </c>
      <c r="AJ490" s="13">
        <f>0.17*SQRT([1]Parametros!$B$2)*H490*MIN(U490,AB490)/1000</f>
        <v>220.09872869180776</v>
      </c>
      <c r="AK490" s="13">
        <f>MAX(AI490/[1]Parametros!$B$6-AJ490,0)</f>
        <v>228.15538427610664</v>
      </c>
      <c r="AL490" s="13">
        <f>0.66*SQRT([1]Parametros!$B$2)*H490*MIN(U490,AB490)/1000</f>
        <v>854.500946685842</v>
      </c>
      <c r="AM490" s="13" t="str">
        <f t="shared" si="95"/>
        <v>CUMPLE</v>
      </c>
      <c r="AN490" s="13" t="s">
        <v>64</v>
      </c>
      <c r="AO490" s="14">
        <v>2</v>
      </c>
      <c r="AP490" s="13">
        <f>ROUNDDOWN(MIN(IF(BC490+BD490=0,1000000000,AO490*BB490/(BC490+BD490)),MIN(U490,AB490)/4,8*[1]Parametros!$B$12,24*BA490,300,IF(AV490=0,1000000000,2*((H490-2*([1]Parametros!$B$7+[1]Parametros!$B$9/2))+(I490-2*([1]Parametros!$B$7+[1]Parametros!$B$9/2)))/8))/10,0)*10</f>
        <v>120</v>
      </c>
      <c r="AQ490" s="13">
        <f>ROUNDDOWN(MIN(IF(BC490+BD490=0,1000000000,AO490*BB490/(BC490+BD490)),IF(AK490&gt;0.33*SQRT([1]Parametros!$B$2)*H490*MIN(U490,AB490)/1000,MIN(U490,AB490)/4,MIN(U490,AB490)/2),600,IF(AV490=0,1000000000,2*((H490-2*([1]Parametros!$B$7+[1]Parametros!$B$9/2))+(I490-2*([1]Parametros!$B$7+[1]Parametros!$B$9/2)))/8))/10,0)*10</f>
        <v>120</v>
      </c>
      <c r="AR490" s="13">
        <f>[1]Parametros!$B$6*(AJ490+MAX(BE490-BD490,0)*[1]Parametros!$B$4*MIN(U490,AB490)/1000)</f>
        <v>347.47925901885583</v>
      </c>
      <c r="AS490" s="13" t="str">
        <f t="shared" si="96"/>
        <v>CUMPLE</v>
      </c>
      <c r="AT490" s="13">
        <f>[1]Parametros!$B$6*0.083*SQRT([1]Parametros!$B$2)*(H490*I490)^2/(2*(H490+I490))/1000000</f>
        <v>11.862178757598967</v>
      </c>
      <c r="AU490" s="13" t="str">
        <f t="shared" si="97"/>
        <v>DESPRECIABLE</v>
      </c>
      <c r="AV490" s="13">
        <f>IF(Q490&lt;=AT490,0,Q490*1000000/([1]Parametros!$B$6*2*0.85*(H490-2*([1]Parametros!$B$7+[1]Parametros!$B$9/2))*(I490-2*([1]Parametros!$B$7+[1]Parametros!$B$9/2))*[1]Parametros!$B$4))</f>
        <v>0</v>
      </c>
      <c r="AW490" s="13">
        <f>AV490*2*((H490-2*([1]Parametros!$B$7+[1]Parametros!$B$9/2))+(I490-2*([1]Parametros!$B$7+[1]Parametros!$B$9/2)))*[1]Parametros!$B$4/[1]Parametros!$B$3</f>
        <v>0</v>
      </c>
      <c r="AX490" s="14">
        <v>0</v>
      </c>
      <c r="AY490" s="13" t="str">
        <f t="shared" si="98"/>
        <v>DESPRECIABLE</v>
      </c>
      <c r="AZ490" s="13" t="str">
        <f t="shared" si="99"/>
        <v>CUMPLE</v>
      </c>
      <c r="BA490" s="14">
        <v>9.5</v>
      </c>
      <c r="BB490" s="14">
        <v>71</v>
      </c>
      <c r="BC490" s="13">
        <f>MAX(IF(AK490=0,0,AK490*1000/([1]Parametros!$B$4*MIN(U490,AB490))),MAX(0.062*SQRT([1]Parametros!$B$2)*H490/[1]Parametros!$B$4,0.35*H490/[1]Parametros!$B$4))</f>
        <v>1.1100993264929018</v>
      </c>
      <c r="BD490" s="13">
        <f t="shared" si="100"/>
        <v>0</v>
      </c>
      <c r="BE490" s="13">
        <f t="shared" si="101"/>
        <v>1.1833333333333333</v>
      </c>
      <c r="BF490" s="13">
        <f>SQRT((AI490*1000/(H490*MIN(U490,AB490)))^2+(Q490*1000000*2*((H490-2*([1]Parametros!$B$7+[1]Parametros!$B$9/2))+(I490-2*([1]Parametros!$B$7+[1]Parametros!$B$9/2)))/(1.7*((H490-2*([1]Parametros!$B$7+[1]Parametros!$B$9/2))*(I490-2*([1]Parametros!$B$7+[1]Parametros!$B$9/2)))^2))^2)</f>
        <v>1.3740292472563163</v>
      </c>
      <c r="BG490" s="13">
        <f>[1]Parametros!$B$6*(AJ490*1000/(H490*MIN(U490,AB490))+0.66*SQRT([1]Parametros!$B$2))</f>
        <v>3.2939603822754151</v>
      </c>
      <c r="BH490" s="13" t="str">
        <f t="shared" si="102"/>
        <v>CUMPLE</v>
      </c>
      <c r="BI490" s="13">
        <f>AX490*[1]Parametros!$B$8</f>
        <v>0</v>
      </c>
      <c r="BJ490" s="15" t="str">
        <f t="shared" si="103"/>
        <v>CUMPLE</v>
      </c>
    </row>
    <row r="491" spans="1:62" x14ac:dyDescent="0.3">
      <c r="A491" s="35" t="s">
        <v>77</v>
      </c>
      <c r="B491" s="36">
        <v>28</v>
      </c>
      <c r="C491" s="13">
        <v>1</v>
      </c>
      <c r="D491" s="13">
        <v>2.1</v>
      </c>
      <c r="E491" s="13">
        <v>2.1</v>
      </c>
      <c r="F491" s="13">
        <v>500</v>
      </c>
      <c r="G491" s="13">
        <v>550</v>
      </c>
      <c r="H491" s="13">
        <v>500</v>
      </c>
      <c r="I491" s="13">
        <v>550</v>
      </c>
      <c r="J491" s="14">
        <v>173.5934</v>
      </c>
      <c r="K491" s="13">
        <v>28</v>
      </c>
      <c r="L491" s="14">
        <v>78.405000000000001</v>
      </c>
      <c r="M491" s="13">
        <v>28</v>
      </c>
      <c r="N491" s="14">
        <v>113.773</v>
      </c>
      <c r="O491" s="14">
        <v>280.66000000000003</v>
      </c>
      <c r="P491" s="13">
        <v>28</v>
      </c>
      <c r="Q491" s="14">
        <v>1.67E-2</v>
      </c>
      <c r="R491" s="13">
        <f>MAX(MAX(1.4/[1]Parametros!$B$3,0.25*SQRT([1]Parametros!$B$2)/[1]Parametros!$B$3)*H491*U491,(0.85*[1]Parametros!$B$2/[1]Parametros!$B$3)*(1-SQRT(1-2*(J491*1000000/([1]Parametros!$B$5*H491*U491^2))/(0.85*[1]Parametros!$B$2)))*H491*U491)</f>
        <v>972.58513844510014</v>
      </c>
      <c r="S491" s="14">
        <v>5</v>
      </c>
      <c r="T491" s="14">
        <v>1</v>
      </c>
      <c r="U491" s="13">
        <f>IF(T491=1,I491-([1]Parametros!$B$7+[1]Parametros!$B$9+[1]Parametros!$B$12/2),I491-(ROUNDUP(S491/2,0)*([1]Parametros!$B$7+[1]Parametros!$B$9+[1]Parametros!$B$12/2)+ROUNDDOWN(S491/2,0)*([1]Parametros!$B$7+[1]Parametros!$B$9+[1]Parametros!$B$12/2+[1]Parametros!$B$12+[1]Parametros!$B$10))/S491)</f>
        <v>489.35</v>
      </c>
      <c r="V491" s="13">
        <f>S491*[1]Parametros!$B$8</f>
        <v>995</v>
      </c>
      <c r="W491" s="13">
        <f>[1]Parametros!$B$5*V491*[1]Parametros!$B$3*(U491-(V491*[1]Parametros!$B$3/(0.85*[1]Parametros!$B$2*H491))/2)/1000000</f>
        <v>177.44537938235294</v>
      </c>
      <c r="X491" s="13" t="str">
        <f t="shared" si="91"/>
        <v>CUMPLE</v>
      </c>
      <c r="Y491" s="13">
        <f>MAX(MAX(1.4/[1]Parametros!$B$3,0.25*SQRT([1]Parametros!$B$2)/[1]Parametros!$B$3)*H491*AB491,(0.85*[1]Parametros!$B$2/[1]Parametros!$B$3)*(1-SQRT(1-2*(L491*1000000/([1]Parametros!$B$5*H491*AB491^2))/(0.85*[1]Parametros!$B$2)))*H491*AB491)</f>
        <v>815.58333333333326</v>
      </c>
      <c r="Z491" s="14">
        <v>5</v>
      </c>
      <c r="AA491" s="14">
        <v>1</v>
      </c>
      <c r="AB491" s="13">
        <f>IF(AA491=1,I491-([1]Parametros!$B$7+[1]Parametros!$B$9+[1]Parametros!$B$12/2),I491-(ROUNDUP(Z491/2,0)*([1]Parametros!$B$7+[1]Parametros!$B$9+[1]Parametros!$B$12/2)+ROUNDDOWN(Z491/2,0)*([1]Parametros!$B$7+[1]Parametros!$B$9+[1]Parametros!$B$12/2+[1]Parametros!$B$12+[1]Parametros!$B$10))/Z491)</f>
        <v>489.35</v>
      </c>
      <c r="AC491" s="13">
        <f>Z491*[1]Parametros!$B$8</f>
        <v>995</v>
      </c>
      <c r="AD491" s="13">
        <f>[1]Parametros!$B$5*AC491*[1]Parametros!$B$3*(AB491-(AC491*[1]Parametros!$B$3/(0.85*[1]Parametros!$B$2*H491))/2)/1000000</f>
        <v>177.44537938235294</v>
      </c>
      <c r="AE491" s="13" t="str">
        <f t="shared" si="92"/>
        <v>CUMPLE</v>
      </c>
      <c r="AF491" s="13">
        <f>V491*1.25*[1]Parametros!$B$3*(U491-(V491*1.25*[1]Parametros!$B$3/(0.85*[1]Parametros!$B$2*H491))/2)/1000000</f>
        <v>244.15884319852941</v>
      </c>
      <c r="AG491" s="13">
        <f>AC491*1.25*[1]Parametros!$B$3*(AB491-(AC491*1.25*[1]Parametros!$B$3/(0.85*[1]Parametros!$B$2*H491))/2)/1000000</f>
        <v>244.15884319852941</v>
      </c>
      <c r="AH491" s="13">
        <f t="shared" si="93"/>
        <v>346.30523161764705</v>
      </c>
      <c r="AI491" s="13">
        <f t="shared" si="94"/>
        <v>346.30523161764705</v>
      </c>
      <c r="AJ491" s="13">
        <f>0.17*SQRT([1]Parametros!$B$2)*H491*MIN(U491,AB491)/1000</f>
        <v>220.09872869180776</v>
      </c>
      <c r="AK491" s="13">
        <f>MAX(AI491/[1]Parametros!$B$6-AJ491,0)</f>
        <v>241.64158013172164</v>
      </c>
      <c r="AL491" s="13">
        <f>0.66*SQRT([1]Parametros!$B$2)*H491*MIN(U491,AB491)/1000</f>
        <v>854.500946685842</v>
      </c>
      <c r="AM491" s="13" t="str">
        <f t="shared" si="95"/>
        <v>CUMPLE</v>
      </c>
      <c r="AN491" s="13" t="s">
        <v>64</v>
      </c>
      <c r="AO491" s="14">
        <v>2</v>
      </c>
      <c r="AP491" s="13">
        <f>ROUNDDOWN(MIN(IF(BC491+BD491=0,1000000000,AO491*BB491/(BC491+BD491)),MIN(U491,AB491)/4,8*[1]Parametros!$B$12,24*BA491,300,IF(AV491=0,1000000000,2*((H491-2*([1]Parametros!$B$7+[1]Parametros!$B$9/2))+(I491-2*([1]Parametros!$B$7+[1]Parametros!$B$9/2)))/8))/10,0)*10</f>
        <v>120</v>
      </c>
      <c r="AQ491" s="13">
        <f>ROUNDDOWN(MIN(IF(BC491+BD491=0,1000000000,AO491*BB491/(BC491+BD491)),IF(AK491&gt;0.33*SQRT([1]Parametros!$B$2)*H491*MIN(U491,AB491)/1000,MIN(U491,AB491)/4,MIN(U491,AB491)/2),600,IF(AV491=0,1000000000,2*((H491-2*([1]Parametros!$B$7+[1]Parametros!$B$9/2))+(I491-2*([1]Parametros!$B$7+[1]Parametros!$B$9/2)))/8))/10,0)*10</f>
        <v>120</v>
      </c>
      <c r="AR491" s="13">
        <f>[1]Parametros!$B$6*(AJ491+MAX(BE491-BD491,0)*[1]Parametros!$B$4*MIN(U491,AB491)/1000)</f>
        <v>347.47925901885583</v>
      </c>
      <c r="AS491" s="13" t="str">
        <f t="shared" si="96"/>
        <v>CUMPLE</v>
      </c>
      <c r="AT491" s="13">
        <f>[1]Parametros!$B$6*0.083*SQRT([1]Parametros!$B$2)*(H491*I491)^2/(2*(H491+I491))/1000000</f>
        <v>11.862178757598967</v>
      </c>
      <c r="AU491" s="13" t="str">
        <f t="shared" si="97"/>
        <v>DESPRECIABLE</v>
      </c>
      <c r="AV491" s="13">
        <f>IF(Q491&lt;=AT491,0,Q491*1000000/([1]Parametros!$B$6*2*0.85*(H491-2*([1]Parametros!$B$7+[1]Parametros!$B$9/2))*(I491-2*([1]Parametros!$B$7+[1]Parametros!$B$9/2))*[1]Parametros!$B$4))</f>
        <v>0</v>
      </c>
      <c r="AW491" s="13">
        <f>AV491*2*((H491-2*([1]Parametros!$B$7+[1]Parametros!$B$9/2))+(I491-2*([1]Parametros!$B$7+[1]Parametros!$B$9/2)))*[1]Parametros!$B$4/[1]Parametros!$B$3</f>
        <v>0</v>
      </c>
      <c r="AX491" s="14">
        <v>0</v>
      </c>
      <c r="AY491" s="13" t="str">
        <f t="shared" si="98"/>
        <v>DESPRECIABLE</v>
      </c>
      <c r="AZ491" s="13" t="str">
        <f t="shared" si="99"/>
        <v>CUMPLE</v>
      </c>
      <c r="BA491" s="14">
        <v>9.5</v>
      </c>
      <c r="BB491" s="14">
        <v>71</v>
      </c>
      <c r="BC491" s="13">
        <f>MAX(IF(AK491=0,0,AK491*1000/([1]Parametros!$B$4*MIN(U491,AB491))),MAX(0.062*SQRT([1]Parametros!$B$2)*H491/[1]Parametros!$B$4,0.35*H491/[1]Parametros!$B$4))</f>
        <v>1.175716962402612</v>
      </c>
      <c r="BD491" s="13">
        <f t="shared" si="100"/>
        <v>0</v>
      </c>
      <c r="BE491" s="13">
        <f t="shared" si="101"/>
        <v>1.1833333333333333</v>
      </c>
      <c r="BF491" s="13">
        <f>SQRT((AI491*1000/(H491*MIN(U491,AB491)))^2+(Q491*1000000*2*((H491-2*([1]Parametros!$B$7+[1]Parametros!$B$9/2))+(I491-2*([1]Parametros!$B$7+[1]Parametros!$B$9/2)))/(1.7*((H491-2*([1]Parametros!$B$7+[1]Parametros!$B$9/2))*(I491-2*([1]Parametros!$B$7+[1]Parametros!$B$9/2)))^2))^2)</f>
        <v>1.4153683553312613</v>
      </c>
      <c r="BG491" s="13">
        <f>[1]Parametros!$B$6*(AJ491*1000/(H491*MIN(U491,AB491))+0.66*SQRT([1]Parametros!$B$2))</f>
        <v>3.2939603822754151</v>
      </c>
      <c r="BH491" s="13" t="str">
        <f t="shared" si="102"/>
        <v>CUMPLE</v>
      </c>
      <c r="BI491" s="13">
        <f>AX491*[1]Parametros!$B$8</f>
        <v>0</v>
      </c>
      <c r="BJ491" s="15" t="str">
        <f t="shared" si="103"/>
        <v>CUMPLE</v>
      </c>
    </row>
    <row r="492" spans="1:62" x14ac:dyDescent="0.3">
      <c r="A492" s="35" t="s">
        <v>77</v>
      </c>
      <c r="B492" s="36">
        <v>29</v>
      </c>
      <c r="C492" s="13">
        <v>1</v>
      </c>
      <c r="D492" s="13">
        <v>3.4</v>
      </c>
      <c r="E492" s="13">
        <v>3.4</v>
      </c>
      <c r="F492" s="13">
        <v>500</v>
      </c>
      <c r="G492" s="13">
        <v>550</v>
      </c>
      <c r="H492" s="13">
        <v>500</v>
      </c>
      <c r="I492" s="13">
        <v>550</v>
      </c>
      <c r="J492" s="14">
        <v>189.7193</v>
      </c>
      <c r="K492" s="13">
        <v>29</v>
      </c>
      <c r="L492" s="14">
        <v>125.98260000000001</v>
      </c>
      <c r="M492" s="13">
        <v>29</v>
      </c>
      <c r="N492" s="14">
        <v>136.839</v>
      </c>
      <c r="O492" s="14">
        <v>422.02100000000002</v>
      </c>
      <c r="P492" s="13">
        <v>29</v>
      </c>
      <c r="Q492" s="14">
        <v>10.173400000000001</v>
      </c>
      <c r="R492" s="13">
        <f>MAX(MAX(1.4/[1]Parametros!$B$3,0.25*SQRT([1]Parametros!$B$2)/[1]Parametros!$B$3)*H492*U492,(0.85*[1]Parametros!$B$2/[1]Parametros!$B$3)*(1-SQRT(1-2*(J492*1000000/([1]Parametros!$B$5*H492*U492^2))/(0.85*[1]Parametros!$B$2)))*H492*U492)</f>
        <v>1066.6843953483776</v>
      </c>
      <c r="S492" s="14">
        <v>6</v>
      </c>
      <c r="T492" s="14">
        <v>1</v>
      </c>
      <c r="U492" s="13">
        <f>IF(T492=1,I492-([1]Parametros!$B$7+[1]Parametros!$B$9+[1]Parametros!$B$12/2),I492-(ROUNDUP(S492/2,0)*([1]Parametros!$B$7+[1]Parametros!$B$9+[1]Parametros!$B$12/2)+ROUNDDOWN(S492/2,0)*([1]Parametros!$B$7+[1]Parametros!$B$9+[1]Parametros!$B$12/2+[1]Parametros!$B$12+[1]Parametros!$B$10))/S492)</f>
        <v>489.35</v>
      </c>
      <c r="V492" s="13">
        <f>S492*[1]Parametros!$B$8</f>
        <v>1194</v>
      </c>
      <c r="W492" s="13">
        <f>[1]Parametros!$B$5*V492*[1]Parametros!$B$3*(U492-(V492*[1]Parametros!$B$3/(0.85*[1]Parametros!$B$2*H492))/2)/1000000</f>
        <v>211.34948347058827</v>
      </c>
      <c r="X492" s="13" t="str">
        <f t="shared" si="91"/>
        <v>CUMPLE</v>
      </c>
      <c r="Y492" s="13">
        <f>MAX(MAX(1.4/[1]Parametros!$B$3,0.25*SQRT([1]Parametros!$B$2)/[1]Parametros!$B$3)*H492*AB492,(0.85*[1]Parametros!$B$2/[1]Parametros!$B$3)*(1-SQRT(1-2*(L492*1000000/([1]Parametros!$B$5*H492*AB492^2))/(0.85*[1]Parametros!$B$2)))*H492*AB492)</f>
        <v>815.58333333333326</v>
      </c>
      <c r="Z492" s="14">
        <v>5</v>
      </c>
      <c r="AA492" s="14">
        <v>1</v>
      </c>
      <c r="AB492" s="13">
        <f>IF(AA492=1,I492-([1]Parametros!$B$7+[1]Parametros!$B$9+[1]Parametros!$B$12/2),I492-(ROUNDUP(Z492/2,0)*([1]Parametros!$B$7+[1]Parametros!$B$9+[1]Parametros!$B$12/2)+ROUNDDOWN(Z492/2,0)*([1]Parametros!$B$7+[1]Parametros!$B$9+[1]Parametros!$B$12/2+[1]Parametros!$B$12+[1]Parametros!$B$10))/Z492)</f>
        <v>489.35</v>
      </c>
      <c r="AC492" s="13">
        <f>Z492*[1]Parametros!$B$8</f>
        <v>995</v>
      </c>
      <c r="AD492" s="13">
        <f>[1]Parametros!$B$5*AC492*[1]Parametros!$B$3*(AB492-(AC492*[1]Parametros!$B$3/(0.85*[1]Parametros!$B$2*H492))/2)/1000000</f>
        <v>177.44537938235294</v>
      </c>
      <c r="AE492" s="13" t="str">
        <f t="shared" si="92"/>
        <v>CUMPLE</v>
      </c>
      <c r="AF492" s="13">
        <f>V492*1.25*[1]Parametros!$B$3*(U492-(V492*1.25*[1]Parametros!$B$3/(0.85*[1]Parametros!$B$2*H492))/2)/1000000</f>
        <v>290.23892470588237</v>
      </c>
      <c r="AG492" s="13">
        <f>AC492*1.25*[1]Parametros!$B$3*(AB492-(AC492*1.25*[1]Parametros!$B$3/(0.85*[1]Parametros!$B$2*H492))/2)/1000000</f>
        <v>244.15884319852941</v>
      </c>
      <c r="AH492" s="13">
        <f t="shared" si="93"/>
        <v>294.01481408953288</v>
      </c>
      <c r="AI492" s="13">
        <f t="shared" si="94"/>
        <v>422.02100000000002</v>
      </c>
      <c r="AJ492" s="13">
        <f>0.17*SQRT([1]Parametros!$B$2)*H492*MIN(U492,AB492)/1000</f>
        <v>220.09872869180776</v>
      </c>
      <c r="AK492" s="13">
        <f>MAX(AI492/[1]Parametros!$B$6-AJ492,0)</f>
        <v>342.59593797485888</v>
      </c>
      <c r="AL492" s="13">
        <f>0.66*SQRT([1]Parametros!$B$2)*H492*MIN(U492,AB492)/1000</f>
        <v>854.500946685842</v>
      </c>
      <c r="AM492" s="13" t="str">
        <f t="shared" si="95"/>
        <v>CUMPLE</v>
      </c>
      <c r="AN492" s="13" t="s">
        <v>64</v>
      </c>
      <c r="AO492" s="14">
        <v>2</v>
      </c>
      <c r="AP492" s="13">
        <f>ROUNDDOWN(MIN(IF(BC492+BD492=0,1000000000,AO492*BB492/(BC492+BD492)),MIN(U492,AB492)/4,8*[1]Parametros!$B$12,24*BA492,300,IF(AV492=0,1000000000,2*((H492-2*([1]Parametros!$B$7+[1]Parametros!$B$9/2))+(I492-2*([1]Parametros!$B$7+[1]Parametros!$B$9/2)))/8))/10,0)*10</f>
        <v>80</v>
      </c>
      <c r="AQ492" s="13">
        <f>ROUNDDOWN(MIN(IF(BC492+BD492=0,1000000000,AO492*BB492/(BC492+BD492)),IF(AK492&gt;0.33*SQRT([1]Parametros!$B$2)*H492*MIN(U492,AB492)/1000,MIN(U492,AB492)/4,MIN(U492,AB492)/2),600,IF(AV492=0,1000000000,2*((H492-2*([1]Parametros!$B$7+[1]Parametros!$B$9/2))+(I492-2*([1]Parametros!$B$7+[1]Parametros!$B$9/2)))/8))/10,0)*10</f>
        <v>80</v>
      </c>
      <c r="AR492" s="13">
        <f>[1]Parametros!$B$6*(AJ492+MAX(BE492-BD492,0)*[1]Parametros!$B$4*MIN(U492,AB492)/1000)</f>
        <v>438.68186526885586</v>
      </c>
      <c r="AS492" s="13" t="str">
        <f t="shared" si="96"/>
        <v>CUMPLE</v>
      </c>
      <c r="AT492" s="13">
        <f>[1]Parametros!$B$6*0.083*SQRT([1]Parametros!$B$2)*(H492*I492)^2/(2*(H492+I492))/1000000</f>
        <v>11.862178757598967</v>
      </c>
      <c r="AU492" s="13" t="str">
        <f t="shared" si="97"/>
        <v>DESPRECIABLE</v>
      </c>
      <c r="AV492" s="13">
        <f>IF(Q492&lt;=AT492,0,Q492*1000000/([1]Parametros!$B$6*2*0.85*(H492-2*([1]Parametros!$B$7+[1]Parametros!$B$9/2))*(I492-2*([1]Parametros!$B$7+[1]Parametros!$B$9/2))*[1]Parametros!$B$4))</f>
        <v>0</v>
      </c>
      <c r="AW492" s="13">
        <f>AV492*2*((H492-2*([1]Parametros!$B$7+[1]Parametros!$B$9/2))+(I492-2*([1]Parametros!$B$7+[1]Parametros!$B$9/2)))*[1]Parametros!$B$4/[1]Parametros!$B$3</f>
        <v>0</v>
      </c>
      <c r="AX492" s="14">
        <v>0</v>
      </c>
      <c r="AY492" s="13" t="str">
        <f t="shared" si="98"/>
        <v>DESPRECIABLE</v>
      </c>
      <c r="AZ492" s="13" t="str">
        <f t="shared" si="99"/>
        <v>CUMPLE</v>
      </c>
      <c r="BA492" s="14">
        <v>9.5</v>
      </c>
      <c r="BB492" s="14">
        <v>71</v>
      </c>
      <c r="BC492" s="13">
        <f>MAX(IF(AK492=0,0,AK492*1000/([1]Parametros!$B$4*MIN(U492,AB492))),MAX(0.062*SQRT([1]Parametros!$B$2)*H492/[1]Parametros!$B$4,0.35*H492/[1]Parametros!$B$4))</f>
        <v>1.6669145074606204</v>
      </c>
      <c r="BD492" s="13">
        <f t="shared" si="100"/>
        <v>0</v>
      </c>
      <c r="BE492" s="13">
        <f t="shared" si="101"/>
        <v>1.7749999999999999</v>
      </c>
      <c r="BF492" s="13">
        <f>SQRT((AI492*1000/(H492*MIN(U492,AB492)))^2+(Q492*1000000*2*((H492-2*([1]Parametros!$B$7+[1]Parametros!$B$9/2))+(I492-2*([1]Parametros!$B$7+[1]Parametros!$B$9/2)))/(1.7*((H492-2*([1]Parametros!$B$7+[1]Parametros!$B$9/2))*(I492-2*([1]Parametros!$B$7+[1]Parametros!$B$9/2)))^2))^2)</f>
        <v>1.7504248866951952</v>
      </c>
      <c r="BG492" s="13">
        <f>[1]Parametros!$B$6*(AJ492*1000/(H492*MIN(U492,AB492))+0.66*SQRT([1]Parametros!$B$2))</f>
        <v>3.2939603822754151</v>
      </c>
      <c r="BH492" s="13" t="str">
        <f t="shared" si="102"/>
        <v>CUMPLE</v>
      </c>
      <c r="BI492" s="13">
        <f>AX492*[1]Parametros!$B$8</f>
        <v>0</v>
      </c>
      <c r="BJ492" s="15" t="str">
        <f t="shared" si="103"/>
        <v>CUMPLE</v>
      </c>
    </row>
    <row r="493" spans="1:62" x14ac:dyDescent="0.3">
      <c r="A493" s="35" t="s">
        <v>77</v>
      </c>
      <c r="B493" s="36">
        <v>30</v>
      </c>
      <c r="C493" s="13">
        <v>1</v>
      </c>
      <c r="D493" s="13">
        <v>1.9</v>
      </c>
      <c r="E493" s="13">
        <v>1.9</v>
      </c>
      <c r="F493" s="13">
        <v>500</v>
      </c>
      <c r="G493" s="13">
        <v>550</v>
      </c>
      <c r="H493" s="13">
        <v>500</v>
      </c>
      <c r="I493" s="13">
        <v>550</v>
      </c>
      <c r="J493" s="14">
        <v>221.04419999999999</v>
      </c>
      <c r="K493" s="13">
        <v>30</v>
      </c>
      <c r="L493" s="14">
        <v>153.1628</v>
      </c>
      <c r="M493" s="13">
        <v>30</v>
      </c>
      <c r="N493" s="14">
        <v>184.512</v>
      </c>
      <c r="O493" s="14">
        <v>720.57500000000005</v>
      </c>
      <c r="P493" s="13">
        <v>30</v>
      </c>
      <c r="Q493" s="14">
        <v>0.74109999999999998</v>
      </c>
      <c r="R493" s="13">
        <f>MAX(MAX(1.4/[1]Parametros!$B$3,0.25*SQRT([1]Parametros!$B$2)/[1]Parametros!$B$3)*H493*U493,(0.85*[1]Parametros!$B$2/[1]Parametros!$B$3)*(1-SQRT(1-2*(J493*1000000/([1]Parametros!$B$5*H493*U493^2))/(0.85*[1]Parametros!$B$2)))*H493*U493)</f>
        <v>1251.4803146064742</v>
      </c>
      <c r="S493" s="14">
        <v>7</v>
      </c>
      <c r="T493" s="14">
        <v>1</v>
      </c>
      <c r="U493" s="13">
        <f>IF(T493=1,I493-([1]Parametros!$B$7+[1]Parametros!$B$9+[1]Parametros!$B$12/2),I493-(ROUNDUP(S493/2,0)*([1]Parametros!$B$7+[1]Parametros!$B$9+[1]Parametros!$B$12/2)+ROUNDDOWN(S493/2,0)*([1]Parametros!$B$7+[1]Parametros!$B$9+[1]Parametros!$B$12/2+[1]Parametros!$B$12+[1]Parametros!$B$10))/S493)</f>
        <v>489.35</v>
      </c>
      <c r="V493" s="13">
        <f>S493*[1]Parametros!$B$8</f>
        <v>1393</v>
      </c>
      <c r="W493" s="13">
        <f>[1]Parametros!$B$5*V493*[1]Parametros!$B$3*(U493-(V493*[1]Parametros!$B$3/(0.85*[1]Parametros!$B$2*H493))/2)/1000000</f>
        <v>244.72526362941178</v>
      </c>
      <c r="X493" s="13" t="str">
        <f t="shared" si="91"/>
        <v>CUMPLE</v>
      </c>
      <c r="Y493" s="13">
        <f>MAX(MAX(1.4/[1]Parametros!$B$3,0.25*SQRT([1]Parametros!$B$2)/[1]Parametros!$B$3)*H493*AB493,(0.85*[1]Parametros!$B$2/[1]Parametros!$B$3)*(1-SQRT(1-2*(L493*1000000/([1]Parametros!$B$5*H493*AB493^2))/(0.85*[1]Parametros!$B$2)))*H493*AB493)</f>
        <v>854.34402003176933</v>
      </c>
      <c r="Z493" s="14">
        <v>5</v>
      </c>
      <c r="AA493" s="14">
        <v>1</v>
      </c>
      <c r="AB493" s="13">
        <f>IF(AA493=1,I493-([1]Parametros!$B$7+[1]Parametros!$B$9+[1]Parametros!$B$12/2),I493-(ROUNDUP(Z493/2,0)*([1]Parametros!$B$7+[1]Parametros!$B$9+[1]Parametros!$B$12/2)+ROUNDDOWN(Z493/2,0)*([1]Parametros!$B$7+[1]Parametros!$B$9+[1]Parametros!$B$12/2+[1]Parametros!$B$12+[1]Parametros!$B$10))/Z493)</f>
        <v>489.35</v>
      </c>
      <c r="AC493" s="13">
        <f>Z493*[1]Parametros!$B$8</f>
        <v>995</v>
      </c>
      <c r="AD493" s="13">
        <f>[1]Parametros!$B$5*AC493*[1]Parametros!$B$3*(AB493-(AC493*[1]Parametros!$B$3/(0.85*[1]Parametros!$B$2*H493))/2)/1000000</f>
        <v>177.44537938235294</v>
      </c>
      <c r="AE493" s="13" t="str">
        <f t="shared" si="92"/>
        <v>CUMPLE</v>
      </c>
      <c r="AF493" s="13">
        <f>V493*1.25*[1]Parametros!$B$3*(U493-(V493*1.25*[1]Parametros!$B$3/(0.85*[1]Parametros!$B$2*H493))/2)/1000000</f>
        <v>335.40177716911762</v>
      </c>
      <c r="AG493" s="13">
        <f>AC493*1.25*[1]Parametros!$B$3*(AB493-(AC493*1.25*[1]Parametros!$B$3/(0.85*[1]Parametros!$B$2*H493))/2)/1000000</f>
        <v>244.15884319852941</v>
      </c>
      <c r="AH493" s="13">
        <f t="shared" si="93"/>
        <v>489.54390545665638</v>
      </c>
      <c r="AI493" s="13">
        <f t="shared" si="94"/>
        <v>720.57500000000005</v>
      </c>
      <c r="AJ493" s="13">
        <f>0.17*SQRT([1]Parametros!$B$2)*H493*MIN(U493,AB493)/1000</f>
        <v>220.09872869180776</v>
      </c>
      <c r="AK493" s="13">
        <f>MAX(AI493/[1]Parametros!$B$6-AJ493,0)</f>
        <v>740.667937974859</v>
      </c>
      <c r="AL493" s="13">
        <f>0.66*SQRT([1]Parametros!$B$2)*H493*MIN(U493,AB493)/1000</f>
        <v>854.500946685842</v>
      </c>
      <c r="AM493" s="13" t="str">
        <f t="shared" si="95"/>
        <v>CUMPLE</v>
      </c>
      <c r="AN493" s="13" t="s">
        <v>68</v>
      </c>
      <c r="AO493" s="14">
        <v>4</v>
      </c>
      <c r="AP493" s="13">
        <f>ROUNDDOWN(MIN(IF(BC493+BD493=0,1000000000,AO493*BB493/(BC493+BD493)),MIN(U493,AB493)/4,8*[1]Parametros!$B$12,24*BA493,300,IF(AV493=0,1000000000,2*((H493-2*([1]Parametros!$B$7+[1]Parametros!$B$9/2))+(I493-2*([1]Parametros!$B$7+[1]Parametros!$B$9/2)))/8))/10,0)*10</f>
        <v>120</v>
      </c>
      <c r="AQ493" s="13">
        <f>ROUNDDOWN(MIN(IF(BC493+BD493=0,1000000000,AO493*BB493/(BC493+BD493)),IF(AK493&gt;0.33*SQRT([1]Parametros!$B$2)*H493*MIN(U493,AB493)/1000,MIN(U493,AB493)/4,MIN(U493,AB493)/2),600,IF(AV493=0,1000000000,2*((H493-2*([1]Parametros!$B$7+[1]Parametros!$B$9/2))+(I493-2*([1]Parametros!$B$7+[1]Parametros!$B$9/2)))/8))/10,0)*10</f>
        <v>120</v>
      </c>
      <c r="AR493" s="13">
        <f>[1]Parametros!$B$6*(AJ493+MAX(BE493-BD493,0)*[1]Parametros!$B$4*MIN(U493,AB493)/1000)</f>
        <v>827.89862151885586</v>
      </c>
      <c r="AS493" s="13" t="str">
        <f t="shared" si="96"/>
        <v>CUMPLE</v>
      </c>
      <c r="AT493" s="13">
        <f>[1]Parametros!$B$6*0.083*SQRT([1]Parametros!$B$2)*(H493*I493)^2/(2*(H493+I493))/1000000</f>
        <v>11.862178757598967</v>
      </c>
      <c r="AU493" s="13" t="str">
        <f t="shared" si="97"/>
        <v>DESPRECIABLE</v>
      </c>
      <c r="AV493" s="13">
        <f>IF(Q493&lt;=AT493,0,Q493*1000000/([1]Parametros!$B$6*2*0.85*(H493-2*([1]Parametros!$B$7+[1]Parametros!$B$9/2))*(I493-2*([1]Parametros!$B$7+[1]Parametros!$B$9/2))*[1]Parametros!$B$4))</f>
        <v>0</v>
      </c>
      <c r="AW493" s="13">
        <f>AV493*2*((H493-2*([1]Parametros!$B$7+[1]Parametros!$B$9/2))+(I493-2*([1]Parametros!$B$7+[1]Parametros!$B$9/2)))*[1]Parametros!$B$4/[1]Parametros!$B$3</f>
        <v>0</v>
      </c>
      <c r="AX493" s="14">
        <v>0</v>
      </c>
      <c r="AY493" s="13" t="str">
        <f t="shared" si="98"/>
        <v>DESPRECIABLE</v>
      </c>
      <c r="AZ493" s="13" t="str">
        <f t="shared" si="99"/>
        <v>CUMPLE</v>
      </c>
      <c r="BA493" s="14">
        <v>12.7</v>
      </c>
      <c r="BB493" s="14">
        <v>129</v>
      </c>
      <c r="BC493" s="13">
        <f>MAX(IF(AK493=0,0,AK493*1000/([1]Parametros!$B$4*MIN(U493,AB493))),MAX(0.062*SQRT([1]Parametros!$B$2)*H493/[1]Parametros!$B$4,0.35*H493/[1]Parametros!$B$4))</f>
        <v>3.6037500570477796</v>
      </c>
      <c r="BD493" s="13">
        <f t="shared" si="100"/>
        <v>0</v>
      </c>
      <c r="BE493" s="13">
        <f t="shared" si="101"/>
        <v>4.3</v>
      </c>
      <c r="BF493" s="13">
        <f>SQRT((AI493*1000/(H493*MIN(U493,AB493)))^2+(Q493*1000000*2*((H493-2*([1]Parametros!$B$7+[1]Parametros!$B$9/2))+(I493-2*([1]Parametros!$B$7+[1]Parametros!$B$9/2)))/(1.7*((H493-2*([1]Parametros!$B$7+[1]Parametros!$B$9/2))*(I493-2*([1]Parametros!$B$7+[1]Parametros!$B$9/2)))^2))^2)</f>
        <v>2.945109280369286</v>
      </c>
      <c r="BG493" s="13">
        <f>[1]Parametros!$B$6*(AJ493*1000/(H493*MIN(U493,AB493))+0.66*SQRT([1]Parametros!$B$2))</f>
        <v>3.2939603822754151</v>
      </c>
      <c r="BH493" s="13" t="str">
        <f t="shared" si="102"/>
        <v>CUMPLE</v>
      </c>
      <c r="BI493" s="13">
        <f>AX493*[1]Parametros!$B$8</f>
        <v>0</v>
      </c>
      <c r="BJ493" s="15" t="str">
        <f t="shared" si="103"/>
        <v>CUMPLE</v>
      </c>
    </row>
    <row r="494" spans="1:62" x14ac:dyDescent="0.3">
      <c r="A494" s="35" t="s">
        <v>77</v>
      </c>
      <c r="B494" s="36">
        <v>31</v>
      </c>
      <c r="C494" s="13">
        <v>1</v>
      </c>
      <c r="D494" s="13">
        <v>2</v>
      </c>
      <c r="E494" s="13">
        <v>2</v>
      </c>
      <c r="F494" s="13">
        <v>500</v>
      </c>
      <c r="G494" s="13">
        <v>550</v>
      </c>
      <c r="H494" s="13">
        <v>500</v>
      </c>
      <c r="I494" s="13">
        <v>550</v>
      </c>
      <c r="J494" s="14">
        <v>271.7568</v>
      </c>
      <c r="K494" s="13">
        <v>31</v>
      </c>
      <c r="L494" s="14">
        <v>111.8245</v>
      </c>
      <c r="M494" s="13">
        <v>31</v>
      </c>
      <c r="N494" s="14">
        <v>203.381</v>
      </c>
      <c r="O494" s="14">
        <v>362.19900000000001</v>
      </c>
      <c r="P494" s="13">
        <v>31</v>
      </c>
      <c r="Q494" s="14">
        <v>9.1229999999999993</v>
      </c>
      <c r="R494" s="13">
        <f>MAX(MAX(1.4/[1]Parametros!$B$3,0.25*SQRT([1]Parametros!$B$2)/[1]Parametros!$B$3)*H494*U494,(0.85*[1]Parametros!$B$2/[1]Parametros!$B$3)*(1-SQRT(1-2*(J494*1000000/([1]Parametros!$B$5*H494*U494^2))/(0.85*[1]Parametros!$B$2)))*H494*U494)</f>
        <v>1556.5309634943958</v>
      </c>
      <c r="S494" s="14">
        <v>8</v>
      </c>
      <c r="T494" s="14">
        <v>1</v>
      </c>
      <c r="U494" s="13">
        <f>IF(T494=1,I494-([1]Parametros!$B$7+[1]Parametros!$B$9+[1]Parametros!$B$12/2),I494-(ROUNDUP(S494/2,0)*([1]Parametros!$B$7+[1]Parametros!$B$9+[1]Parametros!$B$12/2)+ROUNDDOWN(S494/2,0)*([1]Parametros!$B$7+[1]Parametros!$B$9+[1]Parametros!$B$12/2+[1]Parametros!$B$12+[1]Parametros!$B$10))/S494)</f>
        <v>489.35</v>
      </c>
      <c r="V494" s="13">
        <f>S494*[1]Parametros!$B$8</f>
        <v>1592</v>
      </c>
      <c r="W494" s="13">
        <f>[1]Parametros!$B$5*V494*[1]Parametros!$B$3*(U494-(V494*[1]Parametros!$B$3/(0.85*[1]Parametros!$B$2*H494))/2)/1000000</f>
        <v>277.57271985882352</v>
      </c>
      <c r="X494" s="13" t="str">
        <f t="shared" si="91"/>
        <v>CUMPLE</v>
      </c>
      <c r="Y494" s="13">
        <f>MAX(MAX(1.4/[1]Parametros!$B$3,0.25*SQRT([1]Parametros!$B$2)/[1]Parametros!$B$3)*H494*AB494,(0.85*[1]Parametros!$B$2/[1]Parametros!$B$3)*(1-SQRT(1-2*(L494*1000000/([1]Parametros!$B$5*H494*AB494^2))/(0.85*[1]Parametros!$B$2)))*H494*AB494)</f>
        <v>815.58333333333326</v>
      </c>
      <c r="Z494" s="14">
        <v>5</v>
      </c>
      <c r="AA494" s="14">
        <v>1</v>
      </c>
      <c r="AB494" s="13">
        <f>IF(AA494=1,I494-([1]Parametros!$B$7+[1]Parametros!$B$9+[1]Parametros!$B$12/2),I494-(ROUNDUP(Z494/2,0)*([1]Parametros!$B$7+[1]Parametros!$B$9+[1]Parametros!$B$12/2)+ROUNDDOWN(Z494/2,0)*([1]Parametros!$B$7+[1]Parametros!$B$9+[1]Parametros!$B$12/2+[1]Parametros!$B$12+[1]Parametros!$B$10))/Z494)</f>
        <v>489.35</v>
      </c>
      <c r="AC494" s="13">
        <f>Z494*[1]Parametros!$B$8</f>
        <v>995</v>
      </c>
      <c r="AD494" s="13">
        <f>[1]Parametros!$B$5*AC494*[1]Parametros!$B$3*(AB494-(AC494*[1]Parametros!$B$3/(0.85*[1]Parametros!$B$2*H494))/2)/1000000</f>
        <v>177.44537938235294</v>
      </c>
      <c r="AE494" s="13" t="str">
        <f t="shared" si="92"/>
        <v>CUMPLE</v>
      </c>
      <c r="AF494" s="13">
        <f>V494*1.25*[1]Parametros!$B$3*(U494-(V494*1.25*[1]Parametros!$B$3/(0.85*[1]Parametros!$B$2*H494))/2)/1000000</f>
        <v>379.64740058823531</v>
      </c>
      <c r="AG494" s="13">
        <f>AC494*1.25*[1]Parametros!$B$3*(AB494-(AC494*1.25*[1]Parametros!$B$3/(0.85*[1]Parametros!$B$2*H494))/2)/1000000</f>
        <v>244.15884319852941</v>
      </c>
      <c r="AH494" s="13">
        <f t="shared" si="93"/>
        <v>515.28412189338235</v>
      </c>
      <c r="AI494" s="13">
        <f t="shared" si="94"/>
        <v>515.28412189338235</v>
      </c>
      <c r="AJ494" s="13">
        <f>0.17*SQRT([1]Parametros!$B$2)*H494*MIN(U494,AB494)/1000</f>
        <v>220.09872869180776</v>
      </c>
      <c r="AK494" s="13">
        <f>MAX(AI494/[1]Parametros!$B$6-AJ494,0)</f>
        <v>466.94676716603533</v>
      </c>
      <c r="AL494" s="13">
        <f>0.66*SQRT([1]Parametros!$B$2)*H494*MIN(U494,AB494)/1000</f>
        <v>854.500946685842</v>
      </c>
      <c r="AM494" s="13" t="str">
        <f t="shared" si="95"/>
        <v>CUMPLE</v>
      </c>
      <c r="AN494" s="13" t="s">
        <v>68</v>
      </c>
      <c r="AO494" s="14">
        <v>2</v>
      </c>
      <c r="AP494" s="13">
        <f>ROUNDDOWN(MIN(IF(BC494+BD494=0,1000000000,AO494*BB494/(BC494+BD494)),MIN(U494,AB494)/4,8*[1]Parametros!$B$12,24*BA494,300,IF(AV494=0,1000000000,2*((H494-2*([1]Parametros!$B$7+[1]Parametros!$B$9/2))+(I494-2*([1]Parametros!$B$7+[1]Parametros!$B$9/2)))/8))/10,0)*10</f>
        <v>110</v>
      </c>
      <c r="AQ494" s="13">
        <f>ROUNDDOWN(MIN(IF(BC494+BD494=0,1000000000,AO494*BB494/(BC494+BD494)),IF(AK494&gt;0.33*SQRT([1]Parametros!$B$2)*H494*MIN(U494,AB494)/1000,MIN(U494,AB494)/4,MIN(U494,AB494)/2),600,IF(AV494=0,1000000000,2*((H494-2*([1]Parametros!$B$7+[1]Parametros!$B$9/2))+(I494-2*([1]Parametros!$B$7+[1]Parametros!$B$9/2)))/8))/10,0)*10</f>
        <v>110</v>
      </c>
      <c r="AR494" s="13">
        <f>[1]Parametros!$B$6*(AJ494+MAX(BE494-BD494,0)*[1]Parametros!$B$4*MIN(U494,AB494)/1000)</f>
        <v>526.61472379158317</v>
      </c>
      <c r="AS494" s="13" t="str">
        <f t="shared" si="96"/>
        <v>CUMPLE</v>
      </c>
      <c r="AT494" s="13">
        <f>[1]Parametros!$B$6*0.083*SQRT([1]Parametros!$B$2)*(H494*I494)^2/(2*(H494+I494))/1000000</f>
        <v>11.862178757598967</v>
      </c>
      <c r="AU494" s="13" t="str">
        <f t="shared" si="97"/>
        <v>DESPRECIABLE</v>
      </c>
      <c r="AV494" s="13">
        <f>IF(Q494&lt;=AT494,0,Q494*1000000/([1]Parametros!$B$6*2*0.85*(H494-2*([1]Parametros!$B$7+[1]Parametros!$B$9/2))*(I494-2*([1]Parametros!$B$7+[1]Parametros!$B$9/2))*[1]Parametros!$B$4))</f>
        <v>0</v>
      </c>
      <c r="AW494" s="13">
        <f>AV494*2*((H494-2*([1]Parametros!$B$7+[1]Parametros!$B$9/2))+(I494-2*([1]Parametros!$B$7+[1]Parametros!$B$9/2)))*[1]Parametros!$B$4/[1]Parametros!$B$3</f>
        <v>0</v>
      </c>
      <c r="AX494" s="14">
        <v>0</v>
      </c>
      <c r="AY494" s="13" t="str">
        <f t="shared" si="98"/>
        <v>DESPRECIABLE</v>
      </c>
      <c r="AZ494" s="13" t="str">
        <f t="shared" si="99"/>
        <v>CUMPLE</v>
      </c>
      <c r="BA494" s="14">
        <v>12.7</v>
      </c>
      <c r="BB494" s="14">
        <v>129</v>
      </c>
      <c r="BC494" s="13">
        <f>MAX(IF(AK494=0,0,AK494*1000/([1]Parametros!$B$4*MIN(U494,AB494))),MAX(0.062*SQRT([1]Parametros!$B$2)*H494/[1]Parametros!$B$4,0.35*H494/[1]Parametros!$B$4))</f>
        <v>2.271948537983016</v>
      </c>
      <c r="BD494" s="13">
        <f t="shared" si="100"/>
        <v>0</v>
      </c>
      <c r="BE494" s="13">
        <f t="shared" si="101"/>
        <v>2.3454545454545452</v>
      </c>
      <c r="BF494" s="13">
        <f>SQRT((AI494*1000/(H494*MIN(U494,AB494)))^2+(Q494*1000000*2*((H494-2*([1]Parametros!$B$7+[1]Parametros!$B$9/2))+(I494-2*([1]Parametros!$B$7+[1]Parametros!$B$9/2)))/(1.7*((H494-2*([1]Parametros!$B$7+[1]Parametros!$B$9/2))*(I494-2*([1]Parametros!$B$7+[1]Parametros!$B$9/2)))^2))^2)</f>
        <v>2.1229132663256043</v>
      </c>
      <c r="BG494" s="13">
        <f>[1]Parametros!$B$6*(AJ494*1000/(H494*MIN(U494,AB494))+0.66*SQRT([1]Parametros!$B$2))</f>
        <v>3.2939603822754151</v>
      </c>
      <c r="BH494" s="13" t="str">
        <f t="shared" si="102"/>
        <v>CUMPLE</v>
      </c>
      <c r="BI494" s="13">
        <f>AX494*[1]Parametros!$B$8</f>
        <v>0</v>
      </c>
      <c r="BJ494" s="15" t="str">
        <f t="shared" si="103"/>
        <v>CUMPLE</v>
      </c>
    </row>
    <row r="495" spans="1:62" x14ac:dyDescent="0.3">
      <c r="A495" s="35" t="s">
        <v>77</v>
      </c>
      <c r="B495" s="36">
        <v>32</v>
      </c>
      <c r="C495" s="13">
        <v>1</v>
      </c>
      <c r="D495" s="13">
        <v>2.35</v>
      </c>
      <c r="E495" s="13">
        <v>2.35</v>
      </c>
      <c r="F495" s="13">
        <v>500</v>
      </c>
      <c r="G495" s="13">
        <v>550</v>
      </c>
      <c r="H495" s="13">
        <v>500</v>
      </c>
      <c r="I495" s="13">
        <v>550</v>
      </c>
      <c r="J495" s="14">
        <v>265.95030000000003</v>
      </c>
      <c r="K495" s="13">
        <v>32</v>
      </c>
      <c r="L495" s="14">
        <v>123.1936</v>
      </c>
      <c r="M495" s="13">
        <v>32</v>
      </c>
      <c r="N495" s="14">
        <v>204.19800000000001</v>
      </c>
      <c r="O495" s="14">
        <v>363.30799999999999</v>
      </c>
      <c r="P495" s="13">
        <v>32</v>
      </c>
      <c r="Q495" s="14">
        <v>11.7432</v>
      </c>
      <c r="R495" s="13">
        <f>MAX(MAX(1.4/[1]Parametros!$B$3,0.25*SQRT([1]Parametros!$B$2)/[1]Parametros!$B$3)*H495*U495,(0.85*[1]Parametros!$B$2/[1]Parametros!$B$3)*(1-SQRT(1-2*(J495*1000000/([1]Parametros!$B$5*H495*U495^2))/(0.85*[1]Parametros!$B$2)))*H495*U495)</f>
        <v>1521.2210457831654</v>
      </c>
      <c r="S495" s="14">
        <v>8</v>
      </c>
      <c r="T495" s="14">
        <v>1</v>
      </c>
      <c r="U495" s="13">
        <f>IF(T495=1,I495-([1]Parametros!$B$7+[1]Parametros!$B$9+[1]Parametros!$B$12/2),I495-(ROUNDUP(S495/2,0)*([1]Parametros!$B$7+[1]Parametros!$B$9+[1]Parametros!$B$12/2)+ROUNDDOWN(S495/2,0)*([1]Parametros!$B$7+[1]Parametros!$B$9+[1]Parametros!$B$12/2+[1]Parametros!$B$12+[1]Parametros!$B$10))/S495)</f>
        <v>489.35</v>
      </c>
      <c r="V495" s="13">
        <f>S495*[1]Parametros!$B$8</f>
        <v>1592</v>
      </c>
      <c r="W495" s="13">
        <f>[1]Parametros!$B$5*V495*[1]Parametros!$B$3*(U495-(V495*[1]Parametros!$B$3/(0.85*[1]Parametros!$B$2*H495))/2)/1000000</f>
        <v>277.57271985882352</v>
      </c>
      <c r="X495" s="13" t="str">
        <f t="shared" si="91"/>
        <v>CUMPLE</v>
      </c>
      <c r="Y495" s="13">
        <f>MAX(MAX(1.4/[1]Parametros!$B$3,0.25*SQRT([1]Parametros!$B$2)/[1]Parametros!$B$3)*H495*AB495,(0.85*[1]Parametros!$B$2/[1]Parametros!$B$3)*(1-SQRT(1-2*(L495*1000000/([1]Parametros!$B$5*H495*AB495^2))/(0.85*[1]Parametros!$B$2)))*H495*AB495)</f>
        <v>815.58333333333326</v>
      </c>
      <c r="Z495" s="14">
        <v>5</v>
      </c>
      <c r="AA495" s="14">
        <v>1</v>
      </c>
      <c r="AB495" s="13">
        <f>IF(AA495=1,I495-([1]Parametros!$B$7+[1]Parametros!$B$9+[1]Parametros!$B$12/2),I495-(ROUNDUP(Z495/2,0)*([1]Parametros!$B$7+[1]Parametros!$B$9+[1]Parametros!$B$12/2)+ROUNDDOWN(Z495/2,0)*([1]Parametros!$B$7+[1]Parametros!$B$9+[1]Parametros!$B$12/2+[1]Parametros!$B$12+[1]Parametros!$B$10))/Z495)</f>
        <v>489.35</v>
      </c>
      <c r="AC495" s="13">
        <f>Z495*[1]Parametros!$B$8</f>
        <v>995</v>
      </c>
      <c r="AD495" s="13">
        <f>[1]Parametros!$B$5*AC495*[1]Parametros!$B$3*(AB495-(AC495*[1]Parametros!$B$3/(0.85*[1]Parametros!$B$2*H495))/2)/1000000</f>
        <v>177.44537938235294</v>
      </c>
      <c r="AE495" s="13" t="str">
        <f t="shared" si="92"/>
        <v>CUMPLE</v>
      </c>
      <c r="AF495" s="13">
        <f>V495*1.25*[1]Parametros!$B$3*(U495-(V495*1.25*[1]Parametros!$B$3/(0.85*[1]Parametros!$B$2*H495))/2)/1000000</f>
        <v>379.64740058823531</v>
      </c>
      <c r="AG495" s="13">
        <f>AC495*1.25*[1]Parametros!$B$3*(AB495-(AC495*1.25*[1]Parametros!$B$3/(0.85*[1]Parametros!$B$2*H495))/2)/1000000</f>
        <v>244.15884319852941</v>
      </c>
      <c r="AH495" s="13">
        <f t="shared" si="93"/>
        <v>469.64746544117645</v>
      </c>
      <c r="AI495" s="13">
        <f t="shared" si="94"/>
        <v>469.64746544117645</v>
      </c>
      <c r="AJ495" s="13">
        <f>0.17*SQRT([1]Parametros!$B$2)*H495*MIN(U495,AB495)/1000</f>
        <v>220.09872869180776</v>
      </c>
      <c r="AK495" s="13">
        <f>MAX(AI495/[1]Parametros!$B$6-AJ495,0)</f>
        <v>406.09789189642754</v>
      </c>
      <c r="AL495" s="13">
        <f>0.66*SQRT([1]Parametros!$B$2)*H495*MIN(U495,AB495)/1000</f>
        <v>854.500946685842</v>
      </c>
      <c r="AM495" s="13" t="str">
        <f t="shared" si="95"/>
        <v>CUMPLE</v>
      </c>
      <c r="AN495" s="13" t="s">
        <v>68</v>
      </c>
      <c r="AO495" s="14">
        <v>2</v>
      </c>
      <c r="AP495" s="13">
        <f>ROUNDDOWN(MIN(IF(BC495+BD495=0,1000000000,AO495*BB495/(BC495+BD495)),MIN(U495,AB495)/4,8*[1]Parametros!$B$12,24*BA495,300,IF(AV495=0,1000000000,2*((H495-2*([1]Parametros!$B$7+[1]Parametros!$B$9/2))+(I495-2*([1]Parametros!$B$7+[1]Parametros!$B$9/2)))/8))/10,0)*10</f>
        <v>120</v>
      </c>
      <c r="AQ495" s="13">
        <f>ROUNDDOWN(MIN(IF(BC495+BD495=0,1000000000,AO495*BB495/(BC495+BD495)),IF(AK495&gt;0.33*SQRT([1]Parametros!$B$2)*H495*MIN(U495,AB495)/1000,MIN(U495,AB495)/4,MIN(U495,AB495)/2),600,IF(AV495=0,1000000000,2*((H495-2*([1]Parametros!$B$7+[1]Parametros!$B$9/2))+(I495-2*([1]Parametros!$B$7+[1]Parametros!$B$9/2)))/8))/10,0)*10</f>
        <v>130</v>
      </c>
      <c r="AR495" s="13">
        <f>[1]Parametros!$B$6*(AJ495+MAX(BE495-BD495,0)*[1]Parametros!$B$4*MIN(U495,AB495)/1000)</f>
        <v>496.48633401885581</v>
      </c>
      <c r="AS495" s="13" t="str">
        <f t="shared" si="96"/>
        <v>CUMPLE</v>
      </c>
      <c r="AT495" s="13">
        <f>[1]Parametros!$B$6*0.083*SQRT([1]Parametros!$B$2)*(H495*I495)^2/(2*(H495+I495))/1000000</f>
        <v>11.862178757598967</v>
      </c>
      <c r="AU495" s="13" t="str">
        <f t="shared" si="97"/>
        <v>DESPRECIABLE</v>
      </c>
      <c r="AV495" s="13">
        <f>IF(Q495&lt;=AT495,0,Q495*1000000/([1]Parametros!$B$6*2*0.85*(H495-2*([1]Parametros!$B$7+[1]Parametros!$B$9/2))*(I495-2*([1]Parametros!$B$7+[1]Parametros!$B$9/2))*[1]Parametros!$B$4))</f>
        <v>0</v>
      </c>
      <c r="AW495" s="13">
        <f>AV495*2*((H495-2*([1]Parametros!$B$7+[1]Parametros!$B$9/2))+(I495-2*([1]Parametros!$B$7+[1]Parametros!$B$9/2)))*[1]Parametros!$B$4/[1]Parametros!$B$3</f>
        <v>0</v>
      </c>
      <c r="AX495" s="14">
        <v>0</v>
      </c>
      <c r="AY495" s="13" t="str">
        <f t="shared" si="98"/>
        <v>DESPRECIABLE</v>
      </c>
      <c r="AZ495" s="13" t="str">
        <f t="shared" si="99"/>
        <v>CUMPLE</v>
      </c>
      <c r="BA495" s="14">
        <v>12.7</v>
      </c>
      <c r="BB495" s="14">
        <v>129</v>
      </c>
      <c r="BC495" s="13">
        <f>MAX(IF(AK495=0,0,AK495*1000/([1]Parametros!$B$4*MIN(U495,AB495))),MAX(0.062*SQRT([1]Parametros!$B$2)*H495/[1]Parametros!$B$4,0.35*H495/[1]Parametros!$B$4))</f>
        <v>1.9758858539093529</v>
      </c>
      <c r="BD495" s="13">
        <f t="shared" si="100"/>
        <v>0</v>
      </c>
      <c r="BE495" s="13">
        <f t="shared" si="101"/>
        <v>2.15</v>
      </c>
      <c r="BF495" s="13">
        <f>SQRT((AI495*1000/(H495*MIN(U495,AB495)))^2+(Q495*1000000*2*((H495-2*([1]Parametros!$B$7+[1]Parametros!$B$9/2))+(I495-2*([1]Parametros!$B$7+[1]Parametros!$B$9/2)))/(1.7*((H495-2*([1]Parametros!$B$7+[1]Parametros!$B$9/2))*(I495-2*([1]Parametros!$B$7+[1]Parametros!$B$9/2)))^2))^2)</f>
        <v>1.9501111334819967</v>
      </c>
      <c r="BG495" s="13">
        <f>[1]Parametros!$B$6*(AJ495*1000/(H495*MIN(U495,AB495))+0.66*SQRT([1]Parametros!$B$2))</f>
        <v>3.2939603822754151</v>
      </c>
      <c r="BH495" s="13" t="str">
        <f t="shared" si="102"/>
        <v>CUMPLE</v>
      </c>
      <c r="BI495" s="13">
        <f>AX495*[1]Parametros!$B$8</f>
        <v>0</v>
      </c>
      <c r="BJ495" s="15" t="str">
        <f t="shared" si="103"/>
        <v>CUMPLE</v>
      </c>
    </row>
    <row r="496" spans="1:62" ht="28.8" x14ac:dyDescent="0.3">
      <c r="A496" s="35" t="s">
        <v>77</v>
      </c>
      <c r="B496" s="36">
        <v>146</v>
      </c>
      <c r="C496" s="13">
        <v>1</v>
      </c>
      <c r="D496" s="13">
        <v>0.9</v>
      </c>
      <c r="E496" s="13">
        <v>0.9</v>
      </c>
      <c r="F496" s="13">
        <v>500</v>
      </c>
      <c r="G496" s="13">
        <v>550</v>
      </c>
      <c r="H496" s="13">
        <v>500</v>
      </c>
      <c r="I496" s="13">
        <v>550</v>
      </c>
      <c r="J496" s="14">
        <v>92.430499999999995</v>
      </c>
      <c r="K496" s="13">
        <v>146</v>
      </c>
      <c r="L496" s="14">
        <v>5.8360000000000003</v>
      </c>
      <c r="M496" s="13">
        <v>146</v>
      </c>
      <c r="N496" s="14">
        <v>72.314999999999998</v>
      </c>
      <c r="O496" s="14">
        <v>72.314999999999998</v>
      </c>
      <c r="P496" s="13">
        <v>146</v>
      </c>
      <c r="Q496" s="14">
        <v>175.76009999999999</v>
      </c>
      <c r="R496" s="13">
        <f>MAX(MAX(1.4/[1]Parametros!$B$3,0.25*SQRT([1]Parametros!$B$2)/[1]Parametros!$B$3)*H496*U496,(0.85*[1]Parametros!$B$2/[1]Parametros!$B$3)*(1-SQRT(1-2*(J496*1000000/([1]Parametros!$B$5*H496*U496^2))/(0.85*[1]Parametros!$B$2)))*H496*U496)</f>
        <v>815.58333333333326</v>
      </c>
      <c r="S496" s="14">
        <v>5</v>
      </c>
      <c r="T496" s="14">
        <v>1</v>
      </c>
      <c r="U496" s="13">
        <f>IF(T496=1,I496-([1]Parametros!$B$7+[1]Parametros!$B$9+[1]Parametros!$B$12/2),I496-(ROUNDUP(S496/2,0)*([1]Parametros!$B$7+[1]Parametros!$B$9+[1]Parametros!$B$12/2)+ROUNDDOWN(S496/2,0)*([1]Parametros!$B$7+[1]Parametros!$B$9+[1]Parametros!$B$12/2+[1]Parametros!$B$12+[1]Parametros!$B$10))/S496)</f>
        <v>489.35</v>
      </c>
      <c r="V496" s="13">
        <f>S496*[1]Parametros!$B$8</f>
        <v>995</v>
      </c>
      <c r="W496" s="13">
        <f>[1]Parametros!$B$5*V496*[1]Parametros!$B$3*(U496-(V496*[1]Parametros!$B$3/(0.85*[1]Parametros!$B$2*H496))/2)/1000000</f>
        <v>177.44537938235294</v>
      </c>
      <c r="X496" s="13" t="str">
        <f t="shared" si="91"/>
        <v>CUMPLE</v>
      </c>
      <c r="Y496" s="13">
        <f>MAX(MAX(1.4/[1]Parametros!$B$3,0.25*SQRT([1]Parametros!$B$2)/[1]Parametros!$B$3)*H496*AB496,(0.85*[1]Parametros!$B$2/[1]Parametros!$B$3)*(1-SQRT(1-2*(L496*1000000/([1]Parametros!$B$5*H496*AB496^2))/(0.85*[1]Parametros!$B$2)))*H496*AB496)</f>
        <v>815.58333333333326</v>
      </c>
      <c r="Z496" s="14">
        <v>5</v>
      </c>
      <c r="AA496" s="14">
        <v>1</v>
      </c>
      <c r="AB496" s="13">
        <f>IF(AA496=1,I496-([1]Parametros!$B$7+[1]Parametros!$B$9+[1]Parametros!$B$12/2),I496-(ROUNDUP(Z496/2,0)*([1]Parametros!$B$7+[1]Parametros!$B$9+[1]Parametros!$B$12/2)+ROUNDDOWN(Z496/2,0)*([1]Parametros!$B$7+[1]Parametros!$B$9+[1]Parametros!$B$12/2+[1]Parametros!$B$12+[1]Parametros!$B$10))/Z496)</f>
        <v>489.35</v>
      </c>
      <c r="AC496" s="13">
        <f>Z496*[1]Parametros!$B$8</f>
        <v>995</v>
      </c>
      <c r="AD496" s="13">
        <f>[1]Parametros!$B$5*AC496*[1]Parametros!$B$3*(AB496-(AC496*[1]Parametros!$B$3/(0.85*[1]Parametros!$B$2*H496))/2)/1000000</f>
        <v>177.44537938235294</v>
      </c>
      <c r="AE496" s="13" t="str">
        <f t="shared" si="92"/>
        <v>CUMPLE</v>
      </c>
      <c r="AF496" s="13">
        <f>V496*1.25*[1]Parametros!$B$3*(U496-(V496*1.25*[1]Parametros!$B$3/(0.85*[1]Parametros!$B$2*H496))/2)/1000000</f>
        <v>244.15884319852941</v>
      </c>
      <c r="AG496" s="13">
        <f>AC496*1.25*[1]Parametros!$B$3*(AB496-(AC496*1.25*[1]Parametros!$B$3/(0.85*[1]Parametros!$B$2*H496))/2)/1000000</f>
        <v>244.15884319852941</v>
      </c>
      <c r="AH496" s="13">
        <f t="shared" si="93"/>
        <v>614.89020710784303</v>
      </c>
      <c r="AI496" s="13">
        <f t="shared" si="94"/>
        <v>614.89020710784303</v>
      </c>
      <c r="AJ496" s="13">
        <f>0.17*SQRT([1]Parametros!$B$2)*H496*MIN(U496,AB496)/1000</f>
        <v>220.09872869180776</v>
      </c>
      <c r="AK496" s="13">
        <f>MAX(AI496/[1]Parametros!$B$6-AJ496,0)</f>
        <v>599.75488078531623</v>
      </c>
      <c r="AL496" s="13">
        <f>0.66*SQRT([1]Parametros!$B$2)*H496*MIN(U496,AB496)/1000</f>
        <v>854.500946685842</v>
      </c>
      <c r="AM496" s="13" t="str">
        <f t="shared" si="95"/>
        <v>CUMPLE</v>
      </c>
      <c r="AN496" s="13" t="s">
        <v>70</v>
      </c>
      <c r="AO496" s="14">
        <v>4</v>
      </c>
      <c r="AP496" s="13">
        <f>ROUNDDOWN(MIN(IF(BC496+BD496=0,1000000000,AO496*BB496/(BC496+BD496)),MIN(U496,AB496)/4,8*[1]Parametros!$B$12,24*BA496,300,IF(AV496=0,1000000000,2*((H496-2*([1]Parametros!$B$7+[1]Parametros!$B$9/2))+(I496-2*([1]Parametros!$B$7+[1]Parametros!$B$9/2)))/8))/10,0)*10</f>
        <v>80</v>
      </c>
      <c r="AQ496" s="13">
        <f>ROUNDDOWN(MIN(IF(BC496+BD496=0,1000000000,AO496*BB496/(BC496+BD496)),IF(AK496&gt;0.33*SQRT([1]Parametros!$B$2)*H496*MIN(U496,AB496)/1000,MIN(U496,AB496)/4,MIN(U496,AB496)/2),600,IF(AV496=0,1000000000,2*((H496-2*([1]Parametros!$B$7+[1]Parametros!$B$9/2))+(I496-2*([1]Parametros!$B$7+[1]Parametros!$B$9/2)))/8))/10,0)*10</f>
        <v>80</v>
      </c>
      <c r="AR496" s="13">
        <f>[1]Parametros!$B$6*(AJ496+MAX(BE496-BD496,0)*[1]Parametros!$B$4*MIN(U496,AB496)/1000)</f>
        <v>616.0538896779118</v>
      </c>
      <c r="AS496" s="13" t="str">
        <f t="shared" si="96"/>
        <v>NO CUMPLE</v>
      </c>
      <c r="AT496" s="13">
        <f>[1]Parametros!$B$6*0.083*SQRT([1]Parametros!$B$2)*(H496*I496)^2/(2*(H496+I496))/1000000</f>
        <v>11.862178757598967</v>
      </c>
      <c r="AU496" s="13" t="str">
        <f t="shared" si="97"/>
        <v>DISEÑAR</v>
      </c>
      <c r="AV496" s="13">
        <f>IF(Q496&lt;=AT496,0,Q496*1000000/([1]Parametros!$B$6*2*0.85*(H496-2*([1]Parametros!$B$7+[1]Parametros!$B$9/2))*(I496-2*([1]Parametros!$B$7+[1]Parametros!$B$9/2))*[1]Parametros!$B$4))</f>
        <v>1.7621594546083779</v>
      </c>
      <c r="AW496" s="13">
        <f>AV496*2*((H496-2*([1]Parametros!$B$7+[1]Parametros!$B$9/2))+(I496-2*([1]Parametros!$B$7+[1]Parametros!$B$9/2)))*[1]Parametros!$B$4/[1]Parametros!$B$3</f>
        <v>3047.126128908807</v>
      </c>
      <c r="AX496" s="14">
        <v>16</v>
      </c>
      <c r="AY496" s="13" t="str">
        <f t="shared" si="98"/>
        <v>NO CUMPLE</v>
      </c>
      <c r="AZ496" s="13" t="str">
        <f t="shared" si="99"/>
        <v>NO CUMPLE</v>
      </c>
      <c r="BA496" s="14">
        <v>12.7</v>
      </c>
      <c r="BB496" s="14">
        <v>129</v>
      </c>
      <c r="BC496" s="13">
        <f>MAX(IF(AK496=0,0,AK496*1000/([1]Parametros!$B$4*MIN(U496,AB496))),MAX(0.062*SQRT([1]Parametros!$B$2)*H496/[1]Parametros!$B$4,0.35*H496/[1]Parametros!$B$4))</f>
        <v>2.9181318307828956</v>
      </c>
      <c r="BD496" s="13">
        <f t="shared" si="100"/>
        <v>3.5243189092167557</v>
      </c>
      <c r="BE496" s="13">
        <f t="shared" si="101"/>
        <v>6.45</v>
      </c>
      <c r="BF496" s="13">
        <f>SQRT((AI496*1000/(H496*MIN(U496,AB496)))^2+(Q496*1000000*2*((H496-2*([1]Parametros!$B$7+[1]Parametros!$B$9/2))+(I496-2*([1]Parametros!$B$7+[1]Parametros!$B$9/2)))/(1.7*((H496-2*([1]Parametros!$B$7+[1]Parametros!$B$9/2))*(I496-2*([1]Parametros!$B$7+[1]Parametros!$B$9/2)))^2))^2)</f>
        <v>5.7334207973767262</v>
      </c>
      <c r="BG496" s="13">
        <f>[1]Parametros!$B$6*(AJ496*1000/(H496*MIN(U496,AB496))+0.66*SQRT([1]Parametros!$B$2))</f>
        <v>3.2939603822754151</v>
      </c>
      <c r="BH496" s="13" t="str">
        <f t="shared" si="102"/>
        <v>NO CUMPLE</v>
      </c>
      <c r="BI496" s="13">
        <f>AX496*[1]Parametros!$B$8</f>
        <v>3184</v>
      </c>
      <c r="BJ496" s="15" t="str">
        <f t="shared" si="103"/>
        <v>CUMPLE</v>
      </c>
    </row>
    <row r="497" spans="1:62" ht="28.8" x14ac:dyDescent="0.3">
      <c r="A497" s="35" t="s">
        <v>77</v>
      </c>
      <c r="B497" s="36">
        <v>151</v>
      </c>
      <c r="C497" s="13">
        <v>1</v>
      </c>
      <c r="D497" s="13">
        <v>0.9</v>
      </c>
      <c r="E497" s="13">
        <v>0.9</v>
      </c>
      <c r="F497" s="13">
        <v>500</v>
      </c>
      <c r="G497" s="13">
        <v>550</v>
      </c>
      <c r="H497" s="13">
        <v>500</v>
      </c>
      <c r="I497" s="13">
        <v>550</v>
      </c>
      <c r="J497" s="14">
        <v>92.428600000000003</v>
      </c>
      <c r="K497" s="13">
        <v>151</v>
      </c>
      <c r="L497" s="14">
        <v>5.8361000000000001</v>
      </c>
      <c r="M497" s="13">
        <v>151</v>
      </c>
      <c r="N497" s="14">
        <v>72.313999999999993</v>
      </c>
      <c r="O497" s="14">
        <v>72.313999999999993</v>
      </c>
      <c r="P497" s="13">
        <v>151</v>
      </c>
      <c r="Q497" s="14">
        <v>175.76499999999999</v>
      </c>
      <c r="R497" s="13">
        <f>MAX(MAX(1.4/[1]Parametros!$B$3,0.25*SQRT([1]Parametros!$B$2)/[1]Parametros!$B$3)*H497*U497,(0.85*[1]Parametros!$B$2/[1]Parametros!$B$3)*(1-SQRT(1-2*(J497*1000000/([1]Parametros!$B$5*H497*U497^2))/(0.85*[1]Parametros!$B$2)))*H497*U497)</f>
        <v>815.58333333333326</v>
      </c>
      <c r="S497" s="14">
        <v>5</v>
      </c>
      <c r="T497" s="14">
        <v>1</v>
      </c>
      <c r="U497" s="13">
        <f>IF(T497=1,I497-([1]Parametros!$B$7+[1]Parametros!$B$9+[1]Parametros!$B$12/2),I497-(ROUNDUP(S497/2,0)*([1]Parametros!$B$7+[1]Parametros!$B$9+[1]Parametros!$B$12/2)+ROUNDDOWN(S497/2,0)*([1]Parametros!$B$7+[1]Parametros!$B$9+[1]Parametros!$B$12/2+[1]Parametros!$B$12+[1]Parametros!$B$10))/S497)</f>
        <v>489.35</v>
      </c>
      <c r="V497" s="13">
        <f>S497*[1]Parametros!$B$8</f>
        <v>995</v>
      </c>
      <c r="W497" s="13">
        <f>[1]Parametros!$B$5*V497*[1]Parametros!$B$3*(U497-(V497*[1]Parametros!$B$3/(0.85*[1]Parametros!$B$2*H497))/2)/1000000</f>
        <v>177.44537938235294</v>
      </c>
      <c r="X497" s="13" t="str">
        <f t="shared" si="91"/>
        <v>CUMPLE</v>
      </c>
      <c r="Y497" s="13">
        <f>MAX(MAX(1.4/[1]Parametros!$B$3,0.25*SQRT([1]Parametros!$B$2)/[1]Parametros!$B$3)*H497*AB497,(0.85*[1]Parametros!$B$2/[1]Parametros!$B$3)*(1-SQRT(1-2*(L497*1000000/([1]Parametros!$B$5*H497*AB497^2))/(0.85*[1]Parametros!$B$2)))*H497*AB497)</f>
        <v>815.58333333333326</v>
      </c>
      <c r="Z497" s="14">
        <v>5</v>
      </c>
      <c r="AA497" s="14">
        <v>1</v>
      </c>
      <c r="AB497" s="13">
        <f>IF(AA497=1,I497-([1]Parametros!$B$7+[1]Parametros!$B$9+[1]Parametros!$B$12/2),I497-(ROUNDUP(Z497/2,0)*([1]Parametros!$B$7+[1]Parametros!$B$9+[1]Parametros!$B$12/2)+ROUNDDOWN(Z497/2,0)*([1]Parametros!$B$7+[1]Parametros!$B$9+[1]Parametros!$B$12/2+[1]Parametros!$B$12+[1]Parametros!$B$10))/Z497)</f>
        <v>489.35</v>
      </c>
      <c r="AC497" s="13">
        <f>Z497*[1]Parametros!$B$8</f>
        <v>995</v>
      </c>
      <c r="AD497" s="13">
        <f>[1]Parametros!$B$5*AC497*[1]Parametros!$B$3*(AB497-(AC497*[1]Parametros!$B$3/(0.85*[1]Parametros!$B$2*H497))/2)/1000000</f>
        <v>177.44537938235294</v>
      </c>
      <c r="AE497" s="13" t="str">
        <f t="shared" si="92"/>
        <v>CUMPLE</v>
      </c>
      <c r="AF497" s="13">
        <f>V497*1.25*[1]Parametros!$B$3*(U497-(V497*1.25*[1]Parametros!$B$3/(0.85*[1]Parametros!$B$2*H497))/2)/1000000</f>
        <v>244.15884319852941</v>
      </c>
      <c r="AG497" s="13">
        <f>AC497*1.25*[1]Parametros!$B$3*(AB497-(AC497*1.25*[1]Parametros!$B$3/(0.85*[1]Parametros!$B$2*H497))/2)/1000000</f>
        <v>244.15884319852941</v>
      </c>
      <c r="AH497" s="13">
        <f t="shared" si="93"/>
        <v>614.88920710784305</v>
      </c>
      <c r="AI497" s="13">
        <f t="shared" si="94"/>
        <v>614.88920710784305</v>
      </c>
      <c r="AJ497" s="13">
        <f>0.17*SQRT([1]Parametros!$B$2)*H497*MIN(U497,AB497)/1000</f>
        <v>220.09872869180776</v>
      </c>
      <c r="AK497" s="13">
        <f>MAX(AI497/[1]Parametros!$B$6-AJ497,0)</f>
        <v>599.75354745198297</v>
      </c>
      <c r="AL497" s="13">
        <f>0.66*SQRT([1]Parametros!$B$2)*H497*MIN(U497,AB497)/1000</f>
        <v>854.500946685842</v>
      </c>
      <c r="AM497" s="13" t="str">
        <f t="shared" si="95"/>
        <v>CUMPLE</v>
      </c>
      <c r="AN497" s="13" t="s">
        <v>70</v>
      </c>
      <c r="AO497" s="14">
        <v>4</v>
      </c>
      <c r="AP497" s="13">
        <f>ROUNDDOWN(MIN(IF(BC497+BD497=0,1000000000,AO497*BB497/(BC497+BD497)),MIN(U497,AB497)/4,8*[1]Parametros!$B$12,24*BA497,300,IF(AV497=0,1000000000,2*((H497-2*([1]Parametros!$B$7+[1]Parametros!$B$9/2))+(I497-2*([1]Parametros!$B$7+[1]Parametros!$B$9/2)))/8))/10,0)*10</f>
        <v>80</v>
      </c>
      <c r="AQ497" s="13">
        <f>ROUNDDOWN(MIN(IF(BC497+BD497=0,1000000000,AO497*BB497/(BC497+BD497)),IF(AK497&gt;0.33*SQRT([1]Parametros!$B$2)*H497*MIN(U497,AB497)/1000,MIN(U497,AB497)/4,MIN(U497,AB497)/2),600,IF(AV497=0,1000000000,2*((H497-2*([1]Parametros!$B$7+[1]Parametros!$B$9/2))+(I497-2*([1]Parametros!$B$7+[1]Parametros!$B$9/2)))/8))/10,0)*10</f>
        <v>80</v>
      </c>
      <c r="AR497" s="13">
        <f>[1]Parametros!$B$6*(AJ497+MAX(BE497-BD497,0)*[1]Parametros!$B$4*MIN(U497,AB497)/1000)</f>
        <v>616.03874426439211</v>
      </c>
      <c r="AS497" s="13" t="str">
        <f t="shared" si="96"/>
        <v>NO CUMPLE</v>
      </c>
      <c r="AT497" s="13">
        <f>[1]Parametros!$B$6*0.083*SQRT([1]Parametros!$B$2)*(H497*I497)^2/(2*(H497+I497))/1000000</f>
        <v>11.862178757598967</v>
      </c>
      <c r="AU497" s="13" t="str">
        <f t="shared" si="97"/>
        <v>DISEÑAR</v>
      </c>
      <c r="AV497" s="13">
        <f>IF(Q497&lt;=AT497,0,Q497*1000000/([1]Parametros!$B$6*2*0.85*(H497-2*([1]Parametros!$B$7+[1]Parametros!$B$9/2))*(I497-2*([1]Parametros!$B$7+[1]Parametros!$B$9/2))*[1]Parametros!$B$4))</f>
        <v>1.7622085816931232</v>
      </c>
      <c r="AW497" s="13">
        <f>AV497*2*((H497-2*([1]Parametros!$B$7+[1]Parametros!$B$9/2))+(I497-2*([1]Parametros!$B$7+[1]Parametros!$B$9/2)))*[1]Parametros!$B$4/[1]Parametros!$B$3</f>
        <v>3047.2110794637483</v>
      </c>
      <c r="AX497" s="14">
        <v>16</v>
      </c>
      <c r="AY497" s="13" t="str">
        <f t="shared" si="98"/>
        <v>NO CUMPLE</v>
      </c>
      <c r="AZ497" s="13" t="str">
        <f t="shared" si="99"/>
        <v>NO CUMPLE</v>
      </c>
      <c r="BA497" s="14">
        <v>12.7</v>
      </c>
      <c r="BB497" s="14">
        <v>129</v>
      </c>
      <c r="BC497" s="13">
        <f>MAX(IF(AK497=0,0,AK497*1000/([1]Parametros!$B$4*MIN(U497,AB497))),MAX(0.062*SQRT([1]Parametros!$B$2)*H497/[1]Parametros!$B$4,0.35*H497/[1]Parametros!$B$4))</f>
        <v>2.918125343395189</v>
      </c>
      <c r="BD497" s="13">
        <f t="shared" si="100"/>
        <v>3.5244171633862464</v>
      </c>
      <c r="BE497" s="13">
        <f t="shared" si="101"/>
        <v>6.45</v>
      </c>
      <c r="BF497" s="13">
        <f>SQRT((AI497*1000/(H497*MIN(U497,AB497)))^2+(Q497*1000000*2*((H497-2*([1]Parametros!$B$7+[1]Parametros!$B$9/2))+(I497-2*([1]Parametros!$B$7+[1]Parametros!$B$9/2)))/(1.7*((H497-2*([1]Parametros!$B$7+[1]Parametros!$B$9/2))*(I497-2*([1]Parametros!$B$7+[1]Parametros!$B$9/2)))^2))^2)</f>
        <v>5.7335481379700548</v>
      </c>
      <c r="BG497" s="13">
        <f>[1]Parametros!$B$6*(AJ497*1000/(H497*MIN(U497,AB497))+0.66*SQRT([1]Parametros!$B$2))</f>
        <v>3.2939603822754151</v>
      </c>
      <c r="BH497" s="13" t="str">
        <f t="shared" si="102"/>
        <v>NO CUMPLE</v>
      </c>
      <c r="BI497" s="13">
        <f>AX497*[1]Parametros!$B$8</f>
        <v>3184</v>
      </c>
      <c r="BJ497" s="15" t="str">
        <f t="shared" si="103"/>
        <v>CUMPLE</v>
      </c>
    </row>
    <row r="498" spans="1:62" ht="28.8" x14ac:dyDescent="0.3">
      <c r="A498" s="35" t="s">
        <v>77</v>
      </c>
      <c r="B498" s="36">
        <v>156</v>
      </c>
      <c r="C498" s="13">
        <v>1</v>
      </c>
      <c r="D498" s="13">
        <v>0.9</v>
      </c>
      <c r="E498" s="13">
        <v>0.9</v>
      </c>
      <c r="F498" s="13">
        <v>500</v>
      </c>
      <c r="G498" s="13">
        <v>550</v>
      </c>
      <c r="H498" s="13">
        <v>500</v>
      </c>
      <c r="I498" s="13">
        <v>550</v>
      </c>
      <c r="J498" s="14">
        <v>91.298500000000004</v>
      </c>
      <c r="K498" s="13">
        <v>156</v>
      </c>
      <c r="L498" s="14">
        <v>4.9497999999999998</v>
      </c>
      <c r="M498" s="13">
        <v>156</v>
      </c>
      <c r="N498" s="14">
        <v>70.968999999999994</v>
      </c>
      <c r="O498" s="14">
        <v>70.968999999999994</v>
      </c>
      <c r="P498" s="13">
        <v>156</v>
      </c>
      <c r="Q498" s="14">
        <v>167.6935</v>
      </c>
      <c r="R498" s="13">
        <f>MAX(MAX(1.4/[1]Parametros!$B$3,0.25*SQRT([1]Parametros!$B$2)/[1]Parametros!$B$3)*H498*U498,(0.85*[1]Parametros!$B$2/[1]Parametros!$B$3)*(1-SQRT(1-2*(J498*1000000/([1]Parametros!$B$5*H498*U498^2))/(0.85*[1]Parametros!$B$2)))*H498*U498)</f>
        <v>815.58333333333326</v>
      </c>
      <c r="S498" s="14">
        <v>5</v>
      </c>
      <c r="T498" s="14">
        <v>1</v>
      </c>
      <c r="U498" s="13">
        <f>IF(T498=1,I498-([1]Parametros!$B$7+[1]Parametros!$B$9+[1]Parametros!$B$12/2),I498-(ROUNDUP(S498/2,0)*([1]Parametros!$B$7+[1]Parametros!$B$9+[1]Parametros!$B$12/2)+ROUNDDOWN(S498/2,0)*([1]Parametros!$B$7+[1]Parametros!$B$9+[1]Parametros!$B$12/2+[1]Parametros!$B$12+[1]Parametros!$B$10))/S498)</f>
        <v>489.35</v>
      </c>
      <c r="V498" s="13">
        <f>S498*[1]Parametros!$B$8</f>
        <v>995</v>
      </c>
      <c r="W498" s="13">
        <f>[1]Parametros!$B$5*V498*[1]Parametros!$B$3*(U498-(V498*[1]Parametros!$B$3/(0.85*[1]Parametros!$B$2*H498))/2)/1000000</f>
        <v>177.44537938235294</v>
      </c>
      <c r="X498" s="13" t="str">
        <f t="shared" si="91"/>
        <v>CUMPLE</v>
      </c>
      <c r="Y498" s="13">
        <f>MAX(MAX(1.4/[1]Parametros!$B$3,0.25*SQRT([1]Parametros!$B$2)/[1]Parametros!$B$3)*H498*AB498,(0.85*[1]Parametros!$B$2/[1]Parametros!$B$3)*(1-SQRT(1-2*(L498*1000000/([1]Parametros!$B$5*H498*AB498^2))/(0.85*[1]Parametros!$B$2)))*H498*AB498)</f>
        <v>815.58333333333326</v>
      </c>
      <c r="Z498" s="14">
        <v>5</v>
      </c>
      <c r="AA498" s="14">
        <v>1</v>
      </c>
      <c r="AB498" s="13">
        <f>IF(AA498=1,I498-([1]Parametros!$B$7+[1]Parametros!$B$9+[1]Parametros!$B$12/2),I498-(ROUNDUP(Z498/2,0)*([1]Parametros!$B$7+[1]Parametros!$B$9+[1]Parametros!$B$12/2)+ROUNDDOWN(Z498/2,0)*([1]Parametros!$B$7+[1]Parametros!$B$9+[1]Parametros!$B$12/2+[1]Parametros!$B$12+[1]Parametros!$B$10))/Z498)</f>
        <v>489.35</v>
      </c>
      <c r="AC498" s="13">
        <f>Z498*[1]Parametros!$B$8</f>
        <v>995</v>
      </c>
      <c r="AD498" s="13">
        <f>[1]Parametros!$B$5*AC498*[1]Parametros!$B$3*(AB498-(AC498*[1]Parametros!$B$3/(0.85*[1]Parametros!$B$2*H498))/2)/1000000</f>
        <v>177.44537938235294</v>
      </c>
      <c r="AE498" s="13" t="str">
        <f t="shared" si="92"/>
        <v>CUMPLE</v>
      </c>
      <c r="AF498" s="13">
        <f>V498*1.25*[1]Parametros!$B$3*(U498-(V498*1.25*[1]Parametros!$B$3/(0.85*[1]Parametros!$B$2*H498))/2)/1000000</f>
        <v>244.15884319852941</v>
      </c>
      <c r="AG498" s="13">
        <f>AC498*1.25*[1]Parametros!$B$3*(AB498-(AC498*1.25*[1]Parametros!$B$3/(0.85*[1]Parametros!$B$2*H498))/2)/1000000</f>
        <v>244.15884319852941</v>
      </c>
      <c r="AH498" s="13">
        <f t="shared" si="93"/>
        <v>613.54420710784302</v>
      </c>
      <c r="AI498" s="13">
        <f t="shared" si="94"/>
        <v>613.54420710784302</v>
      </c>
      <c r="AJ498" s="13">
        <f>0.17*SQRT([1]Parametros!$B$2)*H498*MIN(U498,AB498)/1000</f>
        <v>220.09872869180776</v>
      </c>
      <c r="AK498" s="13">
        <f>MAX(AI498/[1]Parametros!$B$6-AJ498,0)</f>
        <v>597.96021411864956</v>
      </c>
      <c r="AL498" s="13">
        <f>0.66*SQRT([1]Parametros!$B$2)*H498*MIN(U498,AB498)/1000</f>
        <v>854.500946685842</v>
      </c>
      <c r="AM498" s="13" t="str">
        <f t="shared" si="95"/>
        <v>CUMPLE</v>
      </c>
      <c r="AN498" s="13" t="s">
        <v>70</v>
      </c>
      <c r="AO498" s="14">
        <v>4</v>
      </c>
      <c r="AP498" s="13">
        <f>ROUNDDOWN(MIN(IF(BC498+BD498=0,1000000000,AO498*BB498/(BC498+BD498)),MIN(U498,AB498)/4,8*[1]Parametros!$B$12,24*BA498,300,IF(AV498=0,1000000000,2*((H498-2*([1]Parametros!$B$7+[1]Parametros!$B$9/2))+(I498-2*([1]Parametros!$B$7+[1]Parametros!$B$9/2)))/8))/10,0)*10</f>
        <v>80</v>
      </c>
      <c r="AQ498" s="13">
        <f>ROUNDDOWN(MIN(IF(BC498+BD498=0,1000000000,AO498*BB498/(BC498+BD498)),IF(AK498&gt;0.33*SQRT([1]Parametros!$B$2)*H498*MIN(U498,AB498)/1000,MIN(U498,AB498)/4,MIN(U498,AB498)/2),600,IF(AV498=0,1000000000,2*((H498-2*([1]Parametros!$B$7+[1]Parametros!$B$9/2))+(I498-2*([1]Parametros!$B$7+[1]Parametros!$B$9/2)))/8))/10,0)*10</f>
        <v>80</v>
      </c>
      <c r="AR498" s="13">
        <f>[1]Parametros!$B$6*(AJ498+MAX(BE498-BD498,0)*[1]Parametros!$B$4*MIN(U498,AB498)/1000)</f>
        <v>640.9869494122637</v>
      </c>
      <c r="AS498" s="13" t="str">
        <f t="shared" si="96"/>
        <v>NO CUMPLE</v>
      </c>
      <c r="AT498" s="13">
        <f>[1]Parametros!$B$6*0.083*SQRT([1]Parametros!$B$2)*(H498*I498)^2/(2*(H498+I498))/1000000</f>
        <v>11.862178757598967</v>
      </c>
      <c r="AU498" s="13" t="str">
        <f t="shared" si="97"/>
        <v>DISEÑAR</v>
      </c>
      <c r="AV498" s="13">
        <f>IF(Q498&lt;=AT498,0,Q498*1000000/([1]Parametros!$B$6*2*0.85*(H498-2*([1]Parametros!$B$7+[1]Parametros!$B$9/2))*(I498-2*([1]Parametros!$B$7+[1]Parametros!$B$9/2))*[1]Parametros!$B$4))</f>
        <v>1.6812842419944571</v>
      </c>
      <c r="AW498" s="13">
        <f>AV498*2*((H498-2*([1]Parametros!$B$7+[1]Parametros!$B$9/2))+(I498-2*([1]Parametros!$B$7+[1]Parametros!$B$9/2)))*[1]Parametros!$B$4/[1]Parametros!$B$3</f>
        <v>2907.2767112568154</v>
      </c>
      <c r="AX498" s="14">
        <v>16</v>
      </c>
      <c r="AY498" s="13" t="str">
        <f t="shared" si="98"/>
        <v>NO CUMPLE</v>
      </c>
      <c r="AZ498" s="13" t="str">
        <f t="shared" si="99"/>
        <v>NO CUMPLE</v>
      </c>
      <c r="BA498" s="14">
        <v>12.7</v>
      </c>
      <c r="BB498" s="14">
        <v>129</v>
      </c>
      <c r="BC498" s="13">
        <f>MAX(IF(AK498=0,0,AK498*1000/([1]Parametros!$B$4*MIN(U498,AB498))),MAX(0.062*SQRT([1]Parametros!$B$2)*H498/[1]Parametros!$B$4,0.35*H498/[1]Parametros!$B$4))</f>
        <v>2.9093998069287714</v>
      </c>
      <c r="BD498" s="13">
        <f t="shared" si="100"/>
        <v>3.3625684839889143</v>
      </c>
      <c r="BE498" s="13">
        <f t="shared" si="101"/>
        <v>6.45</v>
      </c>
      <c r="BF498" s="13">
        <f>SQRT((AI498*1000/(H498*MIN(U498,AB498)))^2+(Q498*1000000*2*((H498-2*([1]Parametros!$B$7+[1]Parametros!$B$9/2))+(I498-2*([1]Parametros!$B$7+[1]Parametros!$B$9/2)))/(1.7*((H498-2*([1]Parametros!$B$7+[1]Parametros!$B$9/2))*(I498-2*([1]Parametros!$B$7+[1]Parametros!$B$9/2)))^2))^2)</f>
        <v>5.5193101986871254</v>
      </c>
      <c r="BG498" s="13">
        <f>[1]Parametros!$B$6*(AJ498*1000/(H498*MIN(U498,AB498))+0.66*SQRT([1]Parametros!$B$2))</f>
        <v>3.2939603822754151</v>
      </c>
      <c r="BH498" s="13" t="str">
        <f t="shared" si="102"/>
        <v>NO CUMPLE</v>
      </c>
      <c r="BI498" s="13">
        <f>AX498*[1]Parametros!$B$8</f>
        <v>3184</v>
      </c>
      <c r="BJ498" s="15" t="str">
        <f t="shared" si="103"/>
        <v>CUMPLE</v>
      </c>
    </row>
    <row r="499" spans="1:62" x14ac:dyDescent="0.3">
      <c r="A499" s="35" t="s">
        <v>77</v>
      </c>
      <c r="B499" s="36">
        <v>161</v>
      </c>
      <c r="C499" s="13">
        <v>1</v>
      </c>
      <c r="D499" s="13">
        <v>0.9</v>
      </c>
      <c r="E499" s="13">
        <v>0.9</v>
      </c>
      <c r="F499" s="13">
        <v>500</v>
      </c>
      <c r="G499" s="13">
        <v>550</v>
      </c>
      <c r="H499" s="13">
        <v>500</v>
      </c>
      <c r="I499" s="13">
        <v>550</v>
      </c>
      <c r="J499" s="14">
        <v>89.831900000000005</v>
      </c>
      <c r="K499" s="13">
        <v>161</v>
      </c>
      <c r="L499" s="14">
        <v>4.5984999999999996</v>
      </c>
      <c r="M499" s="13">
        <v>161</v>
      </c>
      <c r="N499" s="14">
        <v>69.757000000000005</v>
      </c>
      <c r="O499" s="14">
        <v>69.757000000000005</v>
      </c>
      <c r="P499" s="13">
        <v>161</v>
      </c>
      <c r="Q499" s="14">
        <v>130.18610000000001</v>
      </c>
      <c r="R499" s="13">
        <f>MAX(MAX(1.4/[1]Parametros!$B$3,0.25*SQRT([1]Parametros!$B$2)/[1]Parametros!$B$3)*H499*U499,(0.85*[1]Parametros!$B$2/[1]Parametros!$B$3)*(1-SQRT(1-2*(J499*1000000/([1]Parametros!$B$5*H499*U499^2))/(0.85*[1]Parametros!$B$2)))*H499*U499)</f>
        <v>815.58333333333326</v>
      </c>
      <c r="S499" s="14">
        <v>5</v>
      </c>
      <c r="T499" s="14">
        <v>1</v>
      </c>
      <c r="U499" s="13">
        <f>IF(T499=1,I499-([1]Parametros!$B$7+[1]Parametros!$B$9+[1]Parametros!$B$12/2),I499-(ROUNDUP(S499/2,0)*([1]Parametros!$B$7+[1]Parametros!$B$9+[1]Parametros!$B$12/2)+ROUNDDOWN(S499/2,0)*([1]Parametros!$B$7+[1]Parametros!$B$9+[1]Parametros!$B$12/2+[1]Parametros!$B$12+[1]Parametros!$B$10))/S499)</f>
        <v>489.35</v>
      </c>
      <c r="V499" s="13">
        <f>S499*[1]Parametros!$B$8</f>
        <v>995</v>
      </c>
      <c r="W499" s="13">
        <f>[1]Parametros!$B$5*V499*[1]Parametros!$B$3*(U499-(V499*[1]Parametros!$B$3/(0.85*[1]Parametros!$B$2*H499))/2)/1000000</f>
        <v>177.44537938235294</v>
      </c>
      <c r="X499" s="13" t="str">
        <f t="shared" si="91"/>
        <v>CUMPLE</v>
      </c>
      <c r="Y499" s="13">
        <f>MAX(MAX(1.4/[1]Parametros!$B$3,0.25*SQRT([1]Parametros!$B$2)/[1]Parametros!$B$3)*H499*AB499,(0.85*[1]Parametros!$B$2/[1]Parametros!$B$3)*(1-SQRT(1-2*(L499*1000000/([1]Parametros!$B$5*H499*AB499^2))/(0.85*[1]Parametros!$B$2)))*H499*AB499)</f>
        <v>815.58333333333326</v>
      </c>
      <c r="Z499" s="14">
        <v>5</v>
      </c>
      <c r="AA499" s="14">
        <v>1</v>
      </c>
      <c r="AB499" s="13">
        <f>IF(AA499=1,I499-([1]Parametros!$B$7+[1]Parametros!$B$9+[1]Parametros!$B$12/2),I499-(ROUNDUP(Z499/2,0)*([1]Parametros!$B$7+[1]Parametros!$B$9+[1]Parametros!$B$12/2)+ROUNDDOWN(Z499/2,0)*([1]Parametros!$B$7+[1]Parametros!$B$9+[1]Parametros!$B$12/2+[1]Parametros!$B$12+[1]Parametros!$B$10))/Z499)</f>
        <v>489.35</v>
      </c>
      <c r="AC499" s="13">
        <f>Z499*[1]Parametros!$B$8</f>
        <v>995</v>
      </c>
      <c r="AD499" s="13">
        <f>[1]Parametros!$B$5*AC499*[1]Parametros!$B$3*(AB499-(AC499*[1]Parametros!$B$3/(0.85*[1]Parametros!$B$2*H499))/2)/1000000</f>
        <v>177.44537938235294</v>
      </c>
      <c r="AE499" s="13" t="str">
        <f t="shared" si="92"/>
        <v>CUMPLE</v>
      </c>
      <c r="AF499" s="13">
        <f>V499*1.25*[1]Parametros!$B$3*(U499-(V499*1.25*[1]Parametros!$B$3/(0.85*[1]Parametros!$B$2*H499))/2)/1000000</f>
        <v>244.15884319852941</v>
      </c>
      <c r="AG499" s="13">
        <f>AC499*1.25*[1]Parametros!$B$3*(AB499-(AC499*1.25*[1]Parametros!$B$3/(0.85*[1]Parametros!$B$2*H499))/2)/1000000</f>
        <v>244.15884319852941</v>
      </c>
      <c r="AH499" s="13">
        <f t="shared" si="93"/>
        <v>612.33220710784303</v>
      </c>
      <c r="AI499" s="13">
        <f t="shared" si="94"/>
        <v>612.33220710784303</v>
      </c>
      <c r="AJ499" s="13">
        <f>0.17*SQRT([1]Parametros!$B$2)*H499*MIN(U499,AB499)/1000</f>
        <v>220.09872869180776</v>
      </c>
      <c r="AK499" s="13">
        <f>MAX(AI499/[1]Parametros!$B$6-AJ499,0)</f>
        <v>596.34421411864957</v>
      </c>
      <c r="AL499" s="13">
        <f>0.66*SQRT([1]Parametros!$B$2)*H499*MIN(U499,AB499)/1000</f>
        <v>854.500946685842</v>
      </c>
      <c r="AM499" s="13" t="str">
        <f t="shared" si="95"/>
        <v>CUMPLE</v>
      </c>
      <c r="AN499" s="13" t="s">
        <v>68</v>
      </c>
      <c r="AO499" s="14">
        <v>4</v>
      </c>
      <c r="AP499" s="13">
        <f>ROUNDDOWN(MIN(IF(BC499+BD499=0,1000000000,AO499*BB499/(BC499+BD499)),MIN(U499,AB499)/4,8*[1]Parametros!$B$12,24*BA499,300,IF(AV499=0,1000000000,2*((H499-2*([1]Parametros!$B$7+[1]Parametros!$B$9/2))+(I499-2*([1]Parametros!$B$7+[1]Parametros!$B$9/2)))/8))/10,0)*10</f>
        <v>90</v>
      </c>
      <c r="AQ499" s="13">
        <f>ROUNDDOWN(MIN(IF(BC499+BD499=0,1000000000,AO499*BB499/(BC499+BD499)),IF(AK499&gt;0.33*SQRT([1]Parametros!$B$2)*H499*MIN(U499,AB499)/1000,MIN(U499,AB499)/4,MIN(U499,AB499)/2),600,IF(AV499=0,1000000000,2*((H499-2*([1]Parametros!$B$7+[1]Parametros!$B$9/2))+(I499-2*([1]Parametros!$B$7+[1]Parametros!$B$9/2)))/8))/10,0)*10</f>
        <v>90</v>
      </c>
      <c r="AR499" s="13">
        <f>[1]Parametros!$B$6*(AJ499+MAX(BE499-BD499,0)*[1]Parametros!$B$4*MIN(U499,AB499)/1000)</f>
        <v>646.44783651435489</v>
      </c>
      <c r="AS499" s="13" t="str">
        <f t="shared" si="96"/>
        <v>CUMPLE</v>
      </c>
      <c r="AT499" s="13">
        <f>[1]Parametros!$B$6*0.083*SQRT([1]Parametros!$B$2)*(H499*I499)^2/(2*(H499+I499))/1000000</f>
        <v>11.862178757598967</v>
      </c>
      <c r="AU499" s="13" t="str">
        <f t="shared" si="97"/>
        <v>DISEÑAR</v>
      </c>
      <c r="AV499" s="13">
        <f>IF(Q499&lt;=AT499,0,Q499*1000000/([1]Parametros!$B$6*2*0.85*(H499-2*([1]Parametros!$B$7+[1]Parametros!$B$9/2))*(I499-2*([1]Parametros!$B$7+[1]Parametros!$B$9/2))*[1]Parametros!$B$4))</f>
        <v>1.3052374627323935</v>
      </c>
      <c r="AW499" s="13">
        <f>AV499*2*((H499-2*([1]Parametros!$B$7+[1]Parametros!$B$9/2))+(I499-2*([1]Parametros!$B$7+[1]Parametros!$B$9/2)))*[1]Parametros!$B$4/[1]Parametros!$B$3</f>
        <v>2257.0166205568548</v>
      </c>
      <c r="AX499" s="14">
        <v>12</v>
      </c>
      <c r="AY499" s="13" t="str">
        <f t="shared" si="98"/>
        <v>NO CUMPLE</v>
      </c>
      <c r="AZ499" s="13" t="str">
        <f t="shared" si="99"/>
        <v>NO CUMPLE</v>
      </c>
      <c r="BA499" s="14">
        <v>12.7</v>
      </c>
      <c r="BB499" s="14">
        <v>129</v>
      </c>
      <c r="BC499" s="13">
        <f>MAX(IF(AK499=0,0,AK499*1000/([1]Parametros!$B$4*MIN(U499,AB499))),MAX(0.062*SQRT([1]Parametros!$B$2)*H499/[1]Parametros!$B$4,0.35*H499/[1]Parametros!$B$4))</f>
        <v>2.9015370930274349</v>
      </c>
      <c r="BD499" s="13">
        <f t="shared" si="100"/>
        <v>2.610474925464787</v>
      </c>
      <c r="BE499" s="13">
        <f t="shared" si="101"/>
        <v>5.7333333333333334</v>
      </c>
      <c r="BF499" s="13">
        <f>SQRT((AI499*1000/(H499*MIN(U499,AB499)))^2+(Q499*1000000*2*((H499-2*([1]Parametros!$B$7+[1]Parametros!$B$9/2))+(I499-2*([1]Parametros!$B$7+[1]Parametros!$B$9/2)))/(1.7*((H499-2*([1]Parametros!$B$7+[1]Parametros!$B$9/2))*(I499-2*([1]Parametros!$B$7+[1]Parametros!$B$9/2)))^2))^2)</f>
        <v>4.5643374748973846</v>
      </c>
      <c r="BG499" s="13">
        <f>[1]Parametros!$B$6*(AJ499*1000/(H499*MIN(U499,AB499))+0.66*SQRT([1]Parametros!$B$2))</f>
        <v>3.2939603822754151</v>
      </c>
      <c r="BH499" s="13" t="str">
        <f t="shared" si="102"/>
        <v>NO CUMPLE</v>
      </c>
      <c r="BI499" s="13">
        <f>AX499*[1]Parametros!$B$8</f>
        <v>2388</v>
      </c>
      <c r="BJ499" s="15" t="str">
        <f t="shared" si="103"/>
        <v>CUMPLE</v>
      </c>
    </row>
    <row r="500" spans="1:62" x14ac:dyDescent="0.3">
      <c r="A500" s="35" t="s">
        <v>77</v>
      </c>
      <c r="B500" s="36">
        <v>166</v>
      </c>
      <c r="C500" s="13">
        <v>1</v>
      </c>
      <c r="D500" s="13">
        <v>0.9</v>
      </c>
      <c r="E500" s="13">
        <v>0.9</v>
      </c>
      <c r="F500" s="13">
        <v>500</v>
      </c>
      <c r="G500" s="13">
        <v>550</v>
      </c>
      <c r="H500" s="13">
        <v>500</v>
      </c>
      <c r="I500" s="13">
        <v>550</v>
      </c>
      <c r="J500" s="14">
        <v>103.2029</v>
      </c>
      <c r="K500" s="13">
        <v>166</v>
      </c>
      <c r="L500" s="14">
        <v>4.8644999999999996</v>
      </c>
      <c r="M500" s="13">
        <v>166</v>
      </c>
      <c r="N500" s="14">
        <v>77.835999999999999</v>
      </c>
      <c r="O500" s="14">
        <v>79.956999999999994</v>
      </c>
      <c r="P500" s="13">
        <v>166</v>
      </c>
      <c r="Q500" s="14">
        <v>82.832099999999997</v>
      </c>
      <c r="R500" s="13">
        <f>MAX(MAX(1.4/[1]Parametros!$B$3,0.25*SQRT([1]Parametros!$B$2)/[1]Parametros!$B$3)*H500*U500,(0.85*[1]Parametros!$B$2/[1]Parametros!$B$3)*(1-SQRT(1-2*(J500*1000000/([1]Parametros!$B$5*H500*U500^2))/(0.85*[1]Parametros!$B$2)))*H500*U500)</f>
        <v>815.58333333333326</v>
      </c>
      <c r="S500" s="14">
        <v>5</v>
      </c>
      <c r="T500" s="14">
        <v>1</v>
      </c>
      <c r="U500" s="13">
        <f>IF(T500=1,I500-([1]Parametros!$B$7+[1]Parametros!$B$9+[1]Parametros!$B$12/2),I500-(ROUNDUP(S500/2,0)*([1]Parametros!$B$7+[1]Parametros!$B$9+[1]Parametros!$B$12/2)+ROUNDDOWN(S500/2,0)*([1]Parametros!$B$7+[1]Parametros!$B$9+[1]Parametros!$B$12/2+[1]Parametros!$B$12+[1]Parametros!$B$10))/S500)</f>
        <v>489.35</v>
      </c>
      <c r="V500" s="13">
        <f>S500*[1]Parametros!$B$8</f>
        <v>995</v>
      </c>
      <c r="W500" s="13">
        <f>[1]Parametros!$B$5*V500*[1]Parametros!$B$3*(U500-(V500*[1]Parametros!$B$3/(0.85*[1]Parametros!$B$2*H500))/2)/1000000</f>
        <v>177.44537938235294</v>
      </c>
      <c r="X500" s="13" t="str">
        <f t="shared" si="91"/>
        <v>CUMPLE</v>
      </c>
      <c r="Y500" s="13">
        <f>MAX(MAX(1.4/[1]Parametros!$B$3,0.25*SQRT([1]Parametros!$B$2)/[1]Parametros!$B$3)*H500*AB500,(0.85*[1]Parametros!$B$2/[1]Parametros!$B$3)*(1-SQRT(1-2*(L500*1000000/([1]Parametros!$B$5*H500*AB500^2))/(0.85*[1]Parametros!$B$2)))*H500*AB500)</f>
        <v>815.58333333333326</v>
      </c>
      <c r="Z500" s="14">
        <v>5</v>
      </c>
      <c r="AA500" s="14">
        <v>1</v>
      </c>
      <c r="AB500" s="13">
        <f>IF(AA500=1,I500-([1]Parametros!$B$7+[1]Parametros!$B$9+[1]Parametros!$B$12/2),I500-(ROUNDUP(Z500/2,0)*([1]Parametros!$B$7+[1]Parametros!$B$9+[1]Parametros!$B$12/2)+ROUNDDOWN(Z500/2,0)*([1]Parametros!$B$7+[1]Parametros!$B$9+[1]Parametros!$B$12/2+[1]Parametros!$B$12+[1]Parametros!$B$10))/Z500)</f>
        <v>489.35</v>
      </c>
      <c r="AC500" s="13">
        <f>Z500*[1]Parametros!$B$8</f>
        <v>995</v>
      </c>
      <c r="AD500" s="13">
        <f>[1]Parametros!$B$5*AC500*[1]Parametros!$B$3*(AB500-(AC500*[1]Parametros!$B$3/(0.85*[1]Parametros!$B$2*H500))/2)/1000000</f>
        <v>177.44537938235294</v>
      </c>
      <c r="AE500" s="13" t="str">
        <f t="shared" si="92"/>
        <v>CUMPLE</v>
      </c>
      <c r="AF500" s="13">
        <f>V500*1.25*[1]Parametros!$B$3*(U500-(V500*1.25*[1]Parametros!$B$3/(0.85*[1]Parametros!$B$2*H500))/2)/1000000</f>
        <v>244.15884319852941</v>
      </c>
      <c r="AG500" s="13">
        <f>AC500*1.25*[1]Parametros!$B$3*(AB500-(AC500*1.25*[1]Parametros!$B$3/(0.85*[1]Parametros!$B$2*H500))/2)/1000000</f>
        <v>244.15884319852941</v>
      </c>
      <c r="AH500" s="13">
        <f t="shared" si="93"/>
        <v>620.4112071078431</v>
      </c>
      <c r="AI500" s="13">
        <f t="shared" si="94"/>
        <v>620.4112071078431</v>
      </c>
      <c r="AJ500" s="13">
        <f>0.17*SQRT([1]Parametros!$B$2)*H500*MIN(U500,AB500)/1000</f>
        <v>220.09872869180776</v>
      </c>
      <c r="AK500" s="13">
        <f>MAX(AI500/[1]Parametros!$B$6-AJ500,0)</f>
        <v>607.11621411864974</v>
      </c>
      <c r="AL500" s="13">
        <f>0.66*SQRT([1]Parametros!$B$2)*H500*MIN(U500,AB500)/1000</f>
        <v>854.500946685842</v>
      </c>
      <c r="AM500" s="13" t="str">
        <f t="shared" si="95"/>
        <v>CUMPLE</v>
      </c>
      <c r="AN500" s="13" t="s">
        <v>68</v>
      </c>
      <c r="AO500" s="14">
        <v>4</v>
      </c>
      <c r="AP500" s="13">
        <f>ROUNDDOWN(MIN(IF(BC500+BD500=0,1000000000,AO500*BB500/(BC500+BD500)),MIN(U500,AB500)/4,8*[1]Parametros!$B$12,24*BA500,300,IF(AV500=0,1000000000,2*((H500-2*([1]Parametros!$B$7+[1]Parametros!$B$9/2))+(I500-2*([1]Parametros!$B$7+[1]Parametros!$B$9/2)))/8))/10,0)*10</f>
        <v>110</v>
      </c>
      <c r="AQ500" s="13">
        <f>ROUNDDOWN(MIN(IF(BC500+BD500=0,1000000000,AO500*BB500/(BC500+BD500)),IF(AK500&gt;0.33*SQRT([1]Parametros!$B$2)*H500*MIN(U500,AB500)/1000,MIN(U500,AB500)/4,MIN(U500,AB500)/2),600,IF(AV500=0,1000000000,2*((H500-2*([1]Parametros!$B$7+[1]Parametros!$B$9/2))+(I500-2*([1]Parametros!$B$7+[1]Parametros!$B$9/2)))/8))/10,0)*10</f>
        <v>110</v>
      </c>
      <c r="AR500" s="13">
        <f>[1]Parametros!$B$6*(AJ500+MAX(BE500-BD500,0)*[1]Parametros!$B$4*MIN(U500,AB500)/1000)</f>
        <v>632.12960367485152</v>
      </c>
      <c r="AS500" s="13" t="str">
        <f t="shared" si="96"/>
        <v>CUMPLE</v>
      </c>
      <c r="AT500" s="13">
        <f>[1]Parametros!$B$6*0.083*SQRT([1]Parametros!$B$2)*(H500*I500)^2/(2*(H500+I500))/1000000</f>
        <v>11.862178757598967</v>
      </c>
      <c r="AU500" s="13" t="str">
        <f t="shared" si="97"/>
        <v>DISEÑAR</v>
      </c>
      <c r="AV500" s="13">
        <f>IF(Q500&lt;=AT500,0,Q500*1000000/([1]Parametros!$B$6*2*0.85*(H500-2*([1]Parametros!$B$7+[1]Parametros!$B$9/2))*(I500-2*([1]Parametros!$B$7+[1]Parametros!$B$9/2))*[1]Parametros!$B$4))</f>
        <v>0.83046930537742414</v>
      </c>
      <c r="AW500" s="13">
        <f>AV500*2*((H500-2*([1]Parametros!$B$7+[1]Parametros!$B$9/2))+(I500-2*([1]Parametros!$B$7+[1]Parametros!$B$9/2)))*[1]Parametros!$B$4/[1]Parametros!$B$3</f>
        <v>1436.047522858642</v>
      </c>
      <c r="AX500" s="14">
        <v>8</v>
      </c>
      <c r="AY500" s="13" t="str">
        <f t="shared" si="98"/>
        <v>NO CUMPLE</v>
      </c>
      <c r="AZ500" s="13" t="str">
        <f t="shared" si="99"/>
        <v>NO CUMPLE</v>
      </c>
      <c r="BA500" s="14">
        <v>12.7</v>
      </c>
      <c r="BB500" s="14">
        <v>129</v>
      </c>
      <c r="BC500" s="13">
        <f>MAX(IF(AK500=0,0,AK500*1000/([1]Parametros!$B$4*MIN(U500,AB500))),MAX(0.062*SQRT([1]Parametros!$B$2)*H500/[1]Parametros!$B$4,0.35*H500/[1]Parametros!$B$4))</f>
        <v>2.9539486983153052</v>
      </c>
      <c r="BD500" s="13">
        <f t="shared" si="100"/>
        <v>1.6609386107548483</v>
      </c>
      <c r="BE500" s="13">
        <f t="shared" si="101"/>
        <v>4.6909090909090905</v>
      </c>
      <c r="BF500" s="13">
        <f>SQRT((AI500*1000/(H500*MIN(U500,AB500)))^2+(Q500*1000000*2*((H500-2*([1]Parametros!$B$7+[1]Parametros!$B$9/2))+(I500-2*([1]Parametros!$B$7+[1]Parametros!$B$9/2)))/(1.7*((H500-2*([1]Parametros!$B$7+[1]Parametros!$B$9/2))*(I500-2*([1]Parametros!$B$7+[1]Parametros!$B$9/2)))^2))^2)</f>
        <v>3.511104013038111</v>
      </c>
      <c r="BG500" s="13">
        <f>[1]Parametros!$B$6*(AJ500*1000/(H500*MIN(U500,AB500))+0.66*SQRT([1]Parametros!$B$2))</f>
        <v>3.2939603822754151</v>
      </c>
      <c r="BH500" s="13" t="str">
        <f t="shared" si="102"/>
        <v>NO CUMPLE</v>
      </c>
      <c r="BI500" s="13">
        <f>AX500*[1]Parametros!$B$8</f>
        <v>1592</v>
      </c>
      <c r="BJ500" s="15" t="str">
        <f t="shared" si="103"/>
        <v>CUMPLE</v>
      </c>
    </row>
    <row r="501" spans="1:62" x14ac:dyDescent="0.3">
      <c r="A501" s="35" t="s">
        <v>77</v>
      </c>
      <c r="B501" s="36">
        <v>171</v>
      </c>
      <c r="C501" s="13">
        <v>1</v>
      </c>
      <c r="D501" s="13">
        <v>0.9</v>
      </c>
      <c r="E501" s="13">
        <v>0.9</v>
      </c>
      <c r="F501" s="13">
        <v>500</v>
      </c>
      <c r="G501" s="13">
        <v>550</v>
      </c>
      <c r="H501" s="13">
        <v>500</v>
      </c>
      <c r="I501" s="13">
        <v>550</v>
      </c>
      <c r="J501" s="14">
        <v>90.387200000000007</v>
      </c>
      <c r="K501" s="13">
        <v>171</v>
      </c>
      <c r="L501" s="14">
        <v>5.0903</v>
      </c>
      <c r="M501" s="13">
        <v>171</v>
      </c>
      <c r="N501" s="14">
        <v>69.483999999999995</v>
      </c>
      <c r="O501" s="14">
        <v>70.349000000000004</v>
      </c>
      <c r="P501" s="13">
        <v>171</v>
      </c>
      <c r="Q501" s="14">
        <v>32.226199999999999</v>
      </c>
      <c r="R501" s="13">
        <f>MAX(MAX(1.4/[1]Parametros!$B$3,0.25*SQRT([1]Parametros!$B$2)/[1]Parametros!$B$3)*H501*U501,(0.85*[1]Parametros!$B$2/[1]Parametros!$B$3)*(1-SQRT(1-2*(J501*1000000/([1]Parametros!$B$5*H501*U501^2))/(0.85*[1]Parametros!$B$2)))*H501*U501)</f>
        <v>815.58333333333326</v>
      </c>
      <c r="S501" s="14">
        <v>5</v>
      </c>
      <c r="T501" s="14">
        <v>1</v>
      </c>
      <c r="U501" s="13">
        <f>IF(T501=1,I501-([1]Parametros!$B$7+[1]Parametros!$B$9+[1]Parametros!$B$12/2),I501-(ROUNDUP(S501/2,0)*([1]Parametros!$B$7+[1]Parametros!$B$9+[1]Parametros!$B$12/2)+ROUNDDOWN(S501/2,0)*([1]Parametros!$B$7+[1]Parametros!$B$9+[1]Parametros!$B$12/2+[1]Parametros!$B$12+[1]Parametros!$B$10))/S501)</f>
        <v>489.35</v>
      </c>
      <c r="V501" s="13">
        <f>S501*[1]Parametros!$B$8</f>
        <v>995</v>
      </c>
      <c r="W501" s="13">
        <f>[1]Parametros!$B$5*V501*[1]Parametros!$B$3*(U501-(V501*[1]Parametros!$B$3/(0.85*[1]Parametros!$B$2*H501))/2)/1000000</f>
        <v>177.44537938235294</v>
      </c>
      <c r="X501" s="13" t="str">
        <f t="shared" si="91"/>
        <v>CUMPLE</v>
      </c>
      <c r="Y501" s="13">
        <f>MAX(MAX(1.4/[1]Parametros!$B$3,0.25*SQRT([1]Parametros!$B$2)/[1]Parametros!$B$3)*H501*AB501,(0.85*[1]Parametros!$B$2/[1]Parametros!$B$3)*(1-SQRT(1-2*(L501*1000000/([1]Parametros!$B$5*H501*AB501^2))/(0.85*[1]Parametros!$B$2)))*H501*AB501)</f>
        <v>815.58333333333326</v>
      </c>
      <c r="Z501" s="14">
        <v>5</v>
      </c>
      <c r="AA501" s="14">
        <v>1</v>
      </c>
      <c r="AB501" s="13">
        <f>IF(AA501=1,I501-([1]Parametros!$B$7+[1]Parametros!$B$9+[1]Parametros!$B$12/2),I501-(ROUNDUP(Z501/2,0)*([1]Parametros!$B$7+[1]Parametros!$B$9+[1]Parametros!$B$12/2)+ROUNDDOWN(Z501/2,0)*([1]Parametros!$B$7+[1]Parametros!$B$9+[1]Parametros!$B$12/2+[1]Parametros!$B$12+[1]Parametros!$B$10))/Z501)</f>
        <v>489.35</v>
      </c>
      <c r="AC501" s="13">
        <f>Z501*[1]Parametros!$B$8</f>
        <v>995</v>
      </c>
      <c r="AD501" s="13">
        <f>[1]Parametros!$B$5*AC501*[1]Parametros!$B$3*(AB501-(AC501*[1]Parametros!$B$3/(0.85*[1]Parametros!$B$2*H501))/2)/1000000</f>
        <v>177.44537938235294</v>
      </c>
      <c r="AE501" s="13" t="str">
        <f t="shared" si="92"/>
        <v>CUMPLE</v>
      </c>
      <c r="AF501" s="13">
        <f>V501*1.25*[1]Parametros!$B$3*(U501-(V501*1.25*[1]Parametros!$B$3/(0.85*[1]Parametros!$B$2*H501))/2)/1000000</f>
        <v>244.15884319852941</v>
      </c>
      <c r="AG501" s="13">
        <f>AC501*1.25*[1]Parametros!$B$3*(AB501-(AC501*1.25*[1]Parametros!$B$3/(0.85*[1]Parametros!$B$2*H501))/2)/1000000</f>
        <v>244.15884319852941</v>
      </c>
      <c r="AH501" s="13">
        <f t="shared" si="93"/>
        <v>612.05920710784312</v>
      </c>
      <c r="AI501" s="13">
        <f t="shared" si="94"/>
        <v>612.05920710784312</v>
      </c>
      <c r="AJ501" s="13">
        <f>0.17*SQRT([1]Parametros!$B$2)*H501*MIN(U501,AB501)/1000</f>
        <v>220.09872869180776</v>
      </c>
      <c r="AK501" s="13">
        <f>MAX(AI501/[1]Parametros!$B$6-AJ501,0)</f>
        <v>595.98021411864977</v>
      </c>
      <c r="AL501" s="13">
        <f>0.66*SQRT([1]Parametros!$B$2)*H501*MIN(U501,AB501)/1000</f>
        <v>854.500946685842</v>
      </c>
      <c r="AM501" s="13" t="str">
        <f t="shared" si="95"/>
        <v>CUMPLE</v>
      </c>
      <c r="AN501" s="13" t="s">
        <v>64</v>
      </c>
      <c r="AO501" s="14">
        <v>4</v>
      </c>
      <c r="AP501" s="13">
        <f>ROUNDDOWN(MIN(IF(BC501+BD501=0,1000000000,AO501*BB501/(BC501+BD501)),MIN(U501,AB501)/4,8*[1]Parametros!$B$12,24*BA501,300,IF(AV501=0,1000000000,2*((H501-2*([1]Parametros!$B$7+[1]Parametros!$B$9/2))+(I501-2*([1]Parametros!$B$7+[1]Parametros!$B$9/2)))/8))/10,0)*10</f>
        <v>80</v>
      </c>
      <c r="AQ501" s="13">
        <f>ROUNDDOWN(MIN(IF(BC501+BD501=0,1000000000,AO501*BB501/(BC501+BD501)),IF(AK501&gt;0.33*SQRT([1]Parametros!$B$2)*H501*MIN(U501,AB501)/1000,MIN(U501,AB501)/4,MIN(U501,AB501)/2),600,IF(AV501=0,1000000000,2*((H501-2*([1]Parametros!$B$7+[1]Parametros!$B$9/2))+(I501-2*([1]Parametros!$B$7+[1]Parametros!$B$9/2)))/8))/10,0)*10</f>
        <v>80</v>
      </c>
      <c r="AR501" s="13">
        <f>[1]Parametros!$B$6*(AJ501+MAX(BE501-BD501,0)*[1]Parametros!$B$4*MIN(U501,AB501)/1000)</f>
        <v>612.68169929032456</v>
      </c>
      <c r="AS501" s="13" t="str">
        <f t="shared" si="96"/>
        <v>CUMPLE</v>
      </c>
      <c r="AT501" s="13">
        <f>[1]Parametros!$B$6*0.083*SQRT([1]Parametros!$B$2)*(H501*I501)^2/(2*(H501+I501))/1000000</f>
        <v>11.862178757598967</v>
      </c>
      <c r="AU501" s="13" t="str">
        <f t="shared" si="97"/>
        <v>DISEÑAR</v>
      </c>
      <c r="AV501" s="13">
        <f>IF(Q501&lt;=AT501,0,Q501*1000000/([1]Parametros!$B$6*2*0.85*(H501-2*([1]Parametros!$B$7+[1]Parametros!$B$9/2))*(I501-2*([1]Parametros!$B$7+[1]Parametros!$B$9/2))*[1]Parametros!$B$4))</f>
        <v>0.32309780784205577</v>
      </c>
      <c r="AW501" s="13">
        <f>AV501*2*((H501-2*([1]Parametros!$B$7+[1]Parametros!$B$9/2))+(I501-2*([1]Parametros!$B$7+[1]Parametros!$B$9/2)))*[1]Parametros!$B$4/[1]Parametros!$B$3</f>
        <v>558.70072932048288</v>
      </c>
      <c r="AX501" s="14">
        <v>8</v>
      </c>
      <c r="AY501" s="13" t="str">
        <f t="shared" si="98"/>
        <v>CUMPLE</v>
      </c>
      <c r="AZ501" s="13" t="str">
        <f t="shared" si="99"/>
        <v>CUMPLE</v>
      </c>
      <c r="BA501" s="14">
        <v>9.5</v>
      </c>
      <c r="BB501" s="14">
        <v>71</v>
      </c>
      <c r="BC501" s="13">
        <f>MAX(IF(AK501=0,0,AK501*1000/([1]Parametros!$B$4*MIN(U501,AB501))),MAX(0.062*SQRT([1]Parametros!$B$2)*H501/[1]Parametros!$B$4,0.35*H501/[1]Parametros!$B$4))</f>
        <v>2.8997660361833226</v>
      </c>
      <c r="BD501" s="13">
        <f t="shared" si="100"/>
        <v>0.64619561568411155</v>
      </c>
      <c r="BE501" s="13">
        <f t="shared" si="101"/>
        <v>3.55</v>
      </c>
      <c r="BF501" s="13">
        <f>SQRT((AI501*1000/(H501*MIN(U501,AB501)))^2+(Q501*1000000*2*((H501-2*([1]Parametros!$B$7+[1]Parametros!$B$9/2))+(I501-2*([1]Parametros!$B$7+[1]Parametros!$B$9/2)))/(1.7*((H501-2*([1]Parametros!$B$7+[1]Parametros!$B$9/2))*(I501-2*([1]Parametros!$B$7+[1]Parametros!$B$9/2)))^2))^2)</f>
        <v>2.6740206204058556</v>
      </c>
      <c r="BG501" s="13">
        <f>[1]Parametros!$B$6*(AJ501*1000/(H501*MIN(U501,AB501))+0.66*SQRT([1]Parametros!$B$2))</f>
        <v>3.2939603822754151</v>
      </c>
      <c r="BH501" s="13" t="str">
        <f t="shared" si="102"/>
        <v>CUMPLE</v>
      </c>
      <c r="BI501" s="13">
        <f>AX501*[1]Parametros!$B$8</f>
        <v>1592</v>
      </c>
      <c r="BJ501" s="15" t="str">
        <f t="shared" si="103"/>
        <v>CUMPLE</v>
      </c>
    </row>
    <row r="502" spans="1:62" ht="28.8" x14ac:dyDescent="0.3">
      <c r="A502" s="35" t="s">
        <v>77</v>
      </c>
      <c r="B502" s="36">
        <v>176</v>
      </c>
      <c r="C502" s="13">
        <v>1</v>
      </c>
      <c r="D502" s="13">
        <v>0.9</v>
      </c>
      <c r="E502" s="13">
        <v>0.9</v>
      </c>
      <c r="F502" s="13">
        <v>500</v>
      </c>
      <c r="G502" s="13">
        <v>550</v>
      </c>
      <c r="H502" s="13">
        <v>500</v>
      </c>
      <c r="I502" s="13">
        <v>550</v>
      </c>
      <c r="J502" s="14">
        <v>91.296000000000006</v>
      </c>
      <c r="K502" s="13">
        <v>176</v>
      </c>
      <c r="L502" s="14">
        <v>4.9512</v>
      </c>
      <c r="M502" s="13">
        <v>176</v>
      </c>
      <c r="N502" s="14">
        <v>70.968999999999994</v>
      </c>
      <c r="O502" s="14">
        <v>70.968999999999994</v>
      </c>
      <c r="P502" s="13">
        <v>176</v>
      </c>
      <c r="Q502" s="14">
        <v>167.71190000000001</v>
      </c>
      <c r="R502" s="13">
        <f>MAX(MAX(1.4/[1]Parametros!$B$3,0.25*SQRT([1]Parametros!$B$2)/[1]Parametros!$B$3)*H502*U502,(0.85*[1]Parametros!$B$2/[1]Parametros!$B$3)*(1-SQRT(1-2*(J502*1000000/([1]Parametros!$B$5*H502*U502^2))/(0.85*[1]Parametros!$B$2)))*H502*U502)</f>
        <v>815.58333333333326</v>
      </c>
      <c r="S502" s="14">
        <v>5</v>
      </c>
      <c r="T502" s="14">
        <v>1</v>
      </c>
      <c r="U502" s="13">
        <f>IF(T502=1,I502-([1]Parametros!$B$7+[1]Parametros!$B$9+[1]Parametros!$B$12/2),I502-(ROUNDUP(S502/2,0)*([1]Parametros!$B$7+[1]Parametros!$B$9+[1]Parametros!$B$12/2)+ROUNDDOWN(S502/2,0)*([1]Parametros!$B$7+[1]Parametros!$B$9+[1]Parametros!$B$12/2+[1]Parametros!$B$12+[1]Parametros!$B$10))/S502)</f>
        <v>489.35</v>
      </c>
      <c r="V502" s="13">
        <f>S502*[1]Parametros!$B$8</f>
        <v>995</v>
      </c>
      <c r="W502" s="13">
        <f>[1]Parametros!$B$5*V502*[1]Parametros!$B$3*(U502-(V502*[1]Parametros!$B$3/(0.85*[1]Parametros!$B$2*H502))/2)/1000000</f>
        <v>177.44537938235294</v>
      </c>
      <c r="X502" s="13" t="str">
        <f t="shared" si="91"/>
        <v>CUMPLE</v>
      </c>
      <c r="Y502" s="13">
        <f>MAX(MAX(1.4/[1]Parametros!$B$3,0.25*SQRT([1]Parametros!$B$2)/[1]Parametros!$B$3)*H502*AB502,(0.85*[1]Parametros!$B$2/[1]Parametros!$B$3)*(1-SQRT(1-2*(L502*1000000/([1]Parametros!$B$5*H502*AB502^2))/(0.85*[1]Parametros!$B$2)))*H502*AB502)</f>
        <v>815.58333333333326</v>
      </c>
      <c r="Z502" s="14">
        <v>5</v>
      </c>
      <c r="AA502" s="14">
        <v>1</v>
      </c>
      <c r="AB502" s="13">
        <f>IF(AA502=1,I502-([1]Parametros!$B$7+[1]Parametros!$B$9+[1]Parametros!$B$12/2),I502-(ROUNDUP(Z502/2,0)*([1]Parametros!$B$7+[1]Parametros!$B$9+[1]Parametros!$B$12/2)+ROUNDDOWN(Z502/2,0)*([1]Parametros!$B$7+[1]Parametros!$B$9+[1]Parametros!$B$12/2+[1]Parametros!$B$12+[1]Parametros!$B$10))/Z502)</f>
        <v>489.35</v>
      </c>
      <c r="AC502" s="13">
        <f>Z502*[1]Parametros!$B$8</f>
        <v>995</v>
      </c>
      <c r="AD502" s="13">
        <f>[1]Parametros!$B$5*AC502*[1]Parametros!$B$3*(AB502-(AC502*[1]Parametros!$B$3/(0.85*[1]Parametros!$B$2*H502))/2)/1000000</f>
        <v>177.44537938235294</v>
      </c>
      <c r="AE502" s="13" t="str">
        <f t="shared" si="92"/>
        <v>CUMPLE</v>
      </c>
      <c r="AF502" s="13">
        <f>V502*1.25*[1]Parametros!$B$3*(U502-(V502*1.25*[1]Parametros!$B$3/(0.85*[1]Parametros!$B$2*H502))/2)/1000000</f>
        <v>244.15884319852941</v>
      </c>
      <c r="AG502" s="13">
        <f>AC502*1.25*[1]Parametros!$B$3*(AB502-(AC502*1.25*[1]Parametros!$B$3/(0.85*[1]Parametros!$B$2*H502))/2)/1000000</f>
        <v>244.15884319852941</v>
      </c>
      <c r="AH502" s="13">
        <f t="shared" si="93"/>
        <v>613.54420710784302</v>
      </c>
      <c r="AI502" s="13">
        <f t="shared" si="94"/>
        <v>613.54420710784302</v>
      </c>
      <c r="AJ502" s="13">
        <f>0.17*SQRT([1]Parametros!$B$2)*H502*MIN(U502,AB502)/1000</f>
        <v>220.09872869180776</v>
      </c>
      <c r="AK502" s="13">
        <f>MAX(AI502/[1]Parametros!$B$6-AJ502,0)</f>
        <v>597.96021411864956</v>
      </c>
      <c r="AL502" s="13">
        <f>0.66*SQRT([1]Parametros!$B$2)*H502*MIN(U502,AB502)/1000</f>
        <v>854.500946685842</v>
      </c>
      <c r="AM502" s="13" t="str">
        <f t="shared" si="95"/>
        <v>CUMPLE</v>
      </c>
      <c r="AN502" s="13" t="s">
        <v>70</v>
      </c>
      <c r="AO502" s="14">
        <v>4</v>
      </c>
      <c r="AP502" s="13">
        <f>ROUNDDOWN(MIN(IF(BC502+BD502=0,1000000000,AO502*BB502/(BC502+BD502)),MIN(U502,AB502)/4,8*[1]Parametros!$B$12,24*BA502,300,IF(AV502=0,1000000000,2*((H502-2*([1]Parametros!$B$7+[1]Parametros!$B$9/2))+(I502-2*([1]Parametros!$B$7+[1]Parametros!$B$9/2)))/8))/10,0)*10</f>
        <v>80</v>
      </c>
      <c r="AQ502" s="13">
        <f>ROUNDDOWN(MIN(IF(BC502+BD502=0,1000000000,AO502*BB502/(BC502+BD502)),IF(AK502&gt;0.33*SQRT([1]Parametros!$B$2)*H502*MIN(U502,AB502)/1000,MIN(U502,AB502)/4,MIN(U502,AB502)/2),600,IF(AV502=0,1000000000,2*((H502-2*([1]Parametros!$B$7+[1]Parametros!$B$9/2))+(I502-2*([1]Parametros!$B$7+[1]Parametros!$B$9/2)))/8))/10,0)*10</f>
        <v>80</v>
      </c>
      <c r="AR502" s="13">
        <f>[1]Parametros!$B$6*(AJ502+MAX(BE502-BD502,0)*[1]Parametros!$B$4*MIN(U502,AB502)/1000)</f>
        <v>640.93007683904671</v>
      </c>
      <c r="AS502" s="13" t="str">
        <f t="shared" si="96"/>
        <v>NO CUMPLE</v>
      </c>
      <c r="AT502" s="13">
        <f>[1]Parametros!$B$6*0.083*SQRT([1]Parametros!$B$2)*(H502*I502)^2/(2*(H502+I502))/1000000</f>
        <v>11.862178757598967</v>
      </c>
      <c r="AU502" s="13" t="str">
        <f t="shared" si="97"/>
        <v>DISEÑAR</v>
      </c>
      <c r="AV502" s="13">
        <f>IF(Q502&lt;=AT502,0,Q502*1000000/([1]Parametros!$B$6*2*0.85*(H502-2*([1]Parametros!$B$7+[1]Parametros!$B$9/2))*(I502-2*([1]Parametros!$B$7+[1]Parametros!$B$9/2))*[1]Parametros!$B$4))</f>
        <v>1.6814687192106446</v>
      </c>
      <c r="AW502" s="13">
        <f>AV502*2*((H502-2*([1]Parametros!$B$7+[1]Parametros!$B$9/2))+(I502-2*([1]Parametros!$B$7+[1]Parametros!$B$9/2)))*[1]Parametros!$B$4/[1]Parametros!$B$3</f>
        <v>2907.5957092590465</v>
      </c>
      <c r="AX502" s="14">
        <v>16</v>
      </c>
      <c r="AY502" s="13" t="str">
        <f t="shared" si="98"/>
        <v>NO CUMPLE</v>
      </c>
      <c r="AZ502" s="13" t="str">
        <f t="shared" si="99"/>
        <v>NO CUMPLE</v>
      </c>
      <c r="BA502" s="14">
        <v>12.7</v>
      </c>
      <c r="BB502" s="14">
        <v>129</v>
      </c>
      <c r="BC502" s="13">
        <f>MAX(IF(AK502=0,0,AK502*1000/([1]Parametros!$B$4*MIN(U502,AB502))),MAX(0.062*SQRT([1]Parametros!$B$2)*H502/[1]Parametros!$B$4,0.35*H502/[1]Parametros!$B$4))</f>
        <v>2.9093998069287714</v>
      </c>
      <c r="BD502" s="13">
        <f t="shared" si="100"/>
        <v>3.3629374384212891</v>
      </c>
      <c r="BE502" s="13">
        <f t="shared" si="101"/>
        <v>6.45</v>
      </c>
      <c r="BF502" s="13">
        <f>SQRT((AI502*1000/(H502*MIN(U502,AB502)))^2+(Q502*1000000*2*((H502-2*([1]Parametros!$B$7+[1]Parametros!$B$9/2))+(I502-2*([1]Parametros!$B$7+[1]Parametros!$B$9/2)))/(1.7*((H502-2*([1]Parametros!$B$7+[1]Parametros!$B$9/2))*(I502-2*([1]Parametros!$B$7+[1]Parametros!$B$9/2)))^2))^2)</f>
        <v>5.5197907993127018</v>
      </c>
      <c r="BG502" s="13">
        <f>[1]Parametros!$B$6*(AJ502*1000/(H502*MIN(U502,AB502))+0.66*SQRT([1]Parametros!$B$2))</f>
        <v>3.2939603822754151</v>
      </c>
      <c r="BH502" s="13" t="str">
        <f t="shared" si="102"/>
        <v>NO CUMPLE</v>
      </c>
      <c r="BI502" s="13">
        <f>AX502*[1]Parametros!$B$8</f>
        <v>3184</v>
      </c>
      <c r="BJ502" s="15" t="str">
        <f t="shared" si="103"/>
        <v>CUMPLE</v>
      </c>
    </row>
    <row r="503" spans="1:62" x14ac:dyDescent="0.3">
      <c r="A503" s="35" t="s">
        <v>77</v>
      </c>
      <c r="B503" s="36">
        <v>181</v>
      </c>
      <c r="C503" s="13">
        <v>1</v>
      </c>
      <c r="D503" s="13">
        <v>0.9</v>
      </c>
      <c r="E503" s="13">
        <v>0.9</v>
      </c>
      <c r="F503" s="13">
        <v>500</v>
      </c>
      <c r="G503" s="13">
        <v>550</v>
      </c>
      <c r="H503" s="13">
        <v>500</v>
      </c>
      <c r="I503" s="13">
        <v>550</v>
      </c>
      <c r="J503" s="14">
        <v>89.833600000000004</v>
      </c>
      <c r="K503" s="13">
        <v>181</v>
      </c>
      <c r="L503" s="14">
        <v>4.5989000000000004</v>
      </c>
      <c r="M503" s="13">
        <v>181</v>
      </c>
      <c r="N503" s="14">
        <v>69.759</v>
      </c>
      <c r="O503" s="14">
        <v>69.759</v>
      </c>
      <c r="P503" s="13">
        <v>181</v>
      </c>
      <c r="Q503" s="14">
        <v>130.20050000000001</v>
      </c>
      <c r="R503" s="13">
        <f>MAX(MAX(1.4/[1]Parametros!$B$3,0.25*SQRT([1]Parametros!$B$2)/[1]Parametros!$B$3)*H503*U503,(0.85*[1]Parametros!$B$2/[1]Parametros!$B$3)*(1-SQRT(1-2*(J503*1000000/([1]Parametros!$B$5*H503*U503^2))/(0.85*[1]Parametros!$B$2)))*H503*U503)</f>
        <v>815.58333333333326</v>
      </c>
      <c r="S503" s="14">
        <v>5</v>
      </c>
      <c r="T503" s="14">
        <v>1</v>
      </c>
      <c r="U503" s="13">
        <f>IF(T503=1,I503-([1]Parametros!$B$7+[1]Parametros!$B$9+[1]Parametros!$B$12/2),I503-(ROUNDUP(S503/2,0)*([1]Parametros!$B$7+[1]Parametros!$B$9+[1]Parametros!$B$12/2)+ROUNDDOWN(S503/2,0)*([1]Parametros!$B$7+[1]Parametros!$B$9+[1]Parametros!$B$12/2+[1]Parametros!$B$12+[1]Parametros!$B$10))/S503)</f>
        <v>489.35</v>
      </c>
      <c r="V503" s="13">
        <f>S503*[1]Parametros!$B$8</f>
        <v>995</v>
      </c>
      <c r="W503" s="13">
        <f>[1]Parametros!$B$5*V503*[1]Parametros!$B$3*(U503-(V503*[1]Parametros!$B$3/(0.85*[1]Parametros!$B$2*H503))/2)/1000000</f>
        <v>177.44537938235294</v>
      </c>
      <c r="X503" s="13" t="str">
        <f t="shared" si="91"/>
        <v>CUMPLE</v>
      </c>
      <c r="Y503" s="13">
        <f>MAX(MAX(1.4/[1]Parametros!$B$3,0.25*SQRT([1]Parametros!$B$2)/[1]Parametros!$B$3)*H503*AB503,(0.85*[1]Parametros!$B$2/[1]Parametros!$B$3)*(1-SQRT(1-2*(L503*1000000/([1]Parametros!$B$5*H503*AB503^2))/(0.85*[1]Parametros!$B$2)))*H503*AB503)</f>
        <v>815.58333333333326</v>
      </c>
      <c r="Z503" s="14">
        <v>5</v>
      </c>
      <c r="AA503" s="14">
        <v>1</v>
      </c>
      <c r="AB503" s="13">
        <f>IF(AA503=1,I503-([1]Parametros!$B$7+[1]Parametros!$B$9+[1]Parametros!$B$12/2),I503-(ROUNDUP(Z503/2,0)*([1]Parametros!$B$7+[1]Parametros!$B$9+[1]Parametros!$B$12/2)+ROUNDDOWN(Z503/2,0)*([1]Parametros!$B$7+[1]Parametros!$B$9+[1]Parametros!$B$12/2+[1]Parametros!$B$12+[1]Parametros!$B$10))/Z503)</f>
        <v>489.35</v>
      </c>
      <c r="AC503" s="13">
        <f>Z503*[1]Parametros!$B$8</f>
        <v>995</v>
      </c>
      <c r="AD503" s="13">
        <f>[1]Parametros!$B$5*AC503*[1]Parametros!$B$3*(AB503-(AC503*[1]Parametros!$B$3/(0.85*[1]Parametros!$B$2*H503))/2)/1000000</f>
        <v>177.44537938235294</v>
      </c>
      <c r="AE503" s="13" t="str">
        <f t="shared" si="92"/>
        <v>CUMPLE</v>
      </c>
      <c r="AF503" s="13">
        <f>V503*1.25*[1]Parametros!$B$3*(U503-(V503*1.25*[1]Parametros!$B$3/(0.85*[1]Parametros!$B$2*H503))/2)/1000000</f>
        <v>244.15884319852941</v>
      </c>
      <c r="AG503" s="13">
        <f>AC503*1.25*[1]Parametros!$B$3*(AB503-(AC503*1.25*[1]Parametros!$B$3/(0.85*[1]Parametros!$B$2*H503))/2)/1000000</f>
        <v>244.15884319852941</v>
      </c>
      <c r="AH503" s="13">
        <f t="shared" si="93"/>
        <v>612.3342071078431</v>
      </c>
      <c r="AI503" s="13">
        <f t="shared" si="94"/>
        <v>612.3342071078431</v>
      </c>
      <c r="AJ503" s="13">
        <f>0.17*SQRT([1]Parametros!$B$2)*H503*MIN(U503,AB503)/1000</f>
        <v>220.09872869180776</v>
      </c>
      <c r="AK503" s="13">
        <f>MAX(AI503/[1]Parametros!$B$6-AJ503,0)</f>
        <v>596.34688078531633</v>
      </c>
      <c r="AL503" s="13">
        <f>0.66*SQRT([1]Parametros!$B$2)*H503*MIN(U503,AB503)/1000</f>
        <v>854.500946685842</v>
      </c>
      <c r="AM503" s="13" t="str">
        <f t="shared" si="95"/>
        <v>CUMPLE</v>
      </c>
      <c r="AN503" s="13" t="s">
        <v>68</v>
      </c>
      <c r="AO503" s="14">
        <v>4</v>
      </c>
      <c r="AP503" s="13">
        <f>ROUNDDOWN(MIN(IF(BC503+BD503=0,1000000000,AO503*BB503/(BC503+BD503)),MIN(U503,AB503)/4,8*[1]Parametros!$B$12,24*BA503,300,IF(AV503=0,1000000000,2*((H503-2*([1]Parametros!$B$7+[1]Parametros!$B$9/2))+(I503-2*([1]Parametros!$B$7+[1]Parametros!$B$9/2)))/8))/10,0)*10</f>
        <v>90</v>
      </c>
      <c r="AQ503" s="13">
        <f>ROUNDDOWN(MIN(IF(BC503+BD503=0,1000000000,AO503*BB503/(BC503+BD503)),IF(AK503&gt;0.33*SQRT([1]Parametros!$B$2)*H503*MIN(U503,AB503)/1000,MIN(U503,AB503)/4,MIN(U503,AB503)/2),600,IF(AV503=0,1000000000,2*((H503-2*([1]Parametros!$B$7+[1]Parametros!$B$9/2))+(I503-2*([1]Parametros!$B$7+[1]Parametros!$B$9/2)))/8))/10,0)*10</f>
        <v>90</v>
      </c>
      <c r="AR503" s="13">
        <f>[1]Parametros!$B$6*(AJ503+MAX(BE503-BD503,0)*[1]Parametros!$B$4*MIN(U503,AB503)/1000)</f>
        <v>646.40332754401129</v>
      </c>
      <c r="AS503" s="13" t="str">
        <f t="shared" si="96"/>
        <v>CUMPLE</v>
      </c>
      <c r="AT503" s="13">
        <f>[1]Parametros!$B$6*0.083*SQRT([1]Parametros!$B$2)*(H503*I503)^2/(2*(H503+I503))/1000000</f>
        <v>11.862178757598967</v>
      </c>
      <c r="AU503" s="13" t="str">
        <f t="shared" si="97"/>
        <v>DISEÑAR</v>
      </c>
      <c r="AV503" s="13">
        <f>IF(Q503&lt;=AT503,0,Q503*1000000/([1]Parametros!$B$6*2*0.85*(H503-2*([1]Parametros!$B$7+[1]Parametros!$B$9/2))*(I503-2*([1]Parametros!$B$7+[1]Parametros!$B$9/2))*[1]Parametros!$B$4))</f>
        <v>1.3053818362059313</v>
      </c>
      <c r="AW503" s="13">
        <f>AV503*2*((H503-2*([1]Parametros!$B$7+[1]Parametros!$B$9/2))+(I503-2*([1]Parametros!$B$7+[1]Parametros!$B$9/2)))*[1]Parametros!$B$4/[1]Parametros!$B$3</f>
        <v>2257.2662711672965</v>
      </c>
      <c r="AX503" s="14">
        <v>12</v>
      </c>
      <c r="AY503" s="13" t="str">
        <f t="shared" si="98"/>
        <v>NO CUMPLE</v>
      </c>
      <c r="AZ503" s="13" t="str">
        <f t="shared" si="99"/>
        <v>NO CUMPLE</v>
      </c>
      <c r="BA503" s="14">
        <v>12.7</v>
      </c>
      <c r="BB503" s="14">
        <v>129</v>
      </c>
      <c r="BC503" s="13">
        <f>MAX(IF(AK503=0,0,AK503*1000/([1]Parametros!$B$4*MIN(U503,AB503))),MAX(0.062*SQRT([1]Parametros!$B$2)*H503/[1]Parametros!$B$4,0.35*H503/[1]Parametros!$B$4))</f>
        <v>2.9015500678028499</v>
      </c>
      <c r="BD503" s="13">
        <f t="shared" si="100"/>
        <v>2.6107636724118626</v>
      </c>
      <c r="BE503" s="13">
        <f t="shared" si="101"/>
        <v>5.7333333333333334</v>
      </c>
      <c r="BF503" s="13">
        <f>SQRT((AI503*1000/(H503*MIN(U503,AB503)))^2+(Q503*1000000*2*((H503-2*([1]Parametros!$B$7+[1]Parametros!$B$9/2))+(I503-2*([1]Parametros!$B$7+[1]Parametros!$B$9/2)))/(1.7*((H503-2*([1]Parametros!$B$7+[1]Parametros!$B$9/2))*(I503-2*([1]Parametros!$B$7+[1]Parametros!$B$9/2)))^2))^2)</f>
        <v>4.5646950475156682</v>
      </c>
      <c r="BG503" s="13">
        <f>[1]Parametros!$B$6*(AJ503*1000/(H503*MIN(U503,AB503))+0.66*SQRT([1]Parametros!$B$2))</f>
        <v>3.2939603822754151</v>
      </c>
      <c r="BH503" s="13" t="str">
        <f t="shared" si="102"/>
        <v>NO CUMPLE</v>
      </c>
      <c r="BI503" s="13">
        <f>AX503*[1]Parametros!$B$8</f>
        <v>2388</v>
      </c>
      <c r="BJ503" s="15" t="str">
        <f t="shared" si="103"/>
        <v>CUMPLE</v>
      </c>
    </row>
    <row r="504" spans="1:62" x14ac:dyDescent="0.3">
      <c r="A504" s="35" t="s">
        <v>77</v>
      </c>
      <c r="B504" s="36">
        <v>186</v>
      </c>
      <c r="C504" s="13">
        <v>1</v>
      </c>
      <c r="D504" s="13">
        <v>0.9</v>
      </c>
      <c r="E504" s="13">
        <v>0.9</v>
      </c>
      <c r="F504" s="13">
        <v>500</v>
      </c>
      <c r="G504" s="13">
        <v>550</v>
      </c>
      <c r="H504" s="13">
        <v>500</v>
      </c>
      <c r="I504" s="13">
        <v>550</v>
      </c>
      <c r="J504" s="14">
        <v>103.2029</v>
      </c>
      <c r="K504" s="13">
        <v>186</v>
      </c>
      <c r="L504" s="14">
        <v>4.8654999999999999</v>
      </c>
      <c r="M504" s="13">
        <v>186</v>
      </c>
      <c r="N504" s="14">
        <v>77.837000000000003</v>
      </c>
      <c r="O504" s="14">
        <v>79.956999999999994</v>
      </c>
      <c r="P504" s="13">
        <v>186</v>
      </c>
      <c r="Q504" s="14">
        <v>82.844399999999993</v>
      </c>
      <c r="R504" s="13">
        <f>MAX(MAX(1.4/[1]Parametros!$B$3,0.25*SQRT([1]Parametros!$B$2)/[1]Parametros!$B$3)*H504*U504,(0.85*[1]Parametros!$B$2/[1]Parametros!$B$3)*(1-SQRT(1-2*(J504*1000000/([1]Parametros!$B$5*H504*U504^2))/(0.85*[1]Parametros!$B$2)))*H504*U504)</f>
        <v>815.58333333333326</v>
      </c>
      <c r="S504" s="14">
        <v>5</v>
      </c>
      <c r="T504" s="14">
        <v>1</v>
      </c>
      <c r="U504" s="13">
        <f>IF(T504=1,I504-([1]Parametros!$B$7+[1]Parametros!$B$9+[1]Parametros!$B$12/2),I504-(ROUNDUP(S504/2,0)*([1]Parametros!$B$7+[1]Parametros!$B$9+[1]Parametros!$B$12/2)+ROUNDDOWN(S504/2,0)*([1]Parametros!$B$7+[1]Parametros!$B$9+[1]Parametros!$B$12/2+[1]Parametros!$B$12+[1]Parametros!$B$10))/S504)</f>
        <v>489.35</v>
      </c>
      <c r="V504" s="13">
        <f>S504*[1]Parametros!$B$8</f>
        <v>995</v>
      </c>
      <c r="W504" s="13">
        <f>[1]Parametros!$B$5*V504*[1]Parametros!$B$3*(U504-(V504*[1]Parametros!$B$3/(0.85*[1]Parametros!$B$2*H504))/2)/1000000</f>
        <v>177.44537938235294</v>
      </c>
      <c r="X504" s="13" t="str">
        <f t="shared" si="91"/>
        <v>CUMPLE</v>
      </c>
      <c r="Y504" s="13">
        <f>MAX(MAX(1.4/[1]Parametros!$B$3,0.25*SQRT([1]Parametros!$B$2)/[1]Parametros!$B$3)*H504*AB504,(0.85*[1]Parametros!$B$2/[1]Parametros!$B$3)*(1-SQRT(1-2*(L504*1000000/([1]Parametros!$B$5*H504*AB504^2))/(0.85*[1]Parametros!$B$2)))*H504*AB504)</f>
        <v>815.58333333333326</v>
      </c>
      <c r="Z504" s="14">
        <v>5</v>
      </c>
      <c r="AA504" s="14">
        <v>1</v>
      </c>
      <c r="AB504" s="13">
        <f>IF(AA504=1,I504-([1]Parametros!$B$7+[1]Parametros!$B$9+[1]Parametros!$B$12/2),I504-(ROUNDUP(Z504/2,0)*([1]Parametros!$B$7+[1]Parametros!$B$9+[1]Parametros!$B$12/2)+ROUNDDOWN(Z504/2,0)*([1]Parametros!$B$7+[1]Parametros!$B$9+[1]Parametros!$B$12/2+[1]Parametros!$B$12+[1]Parametros!$B$10))/Z504)</f>
        <v>489.35</v>
      </c>
      <c r="AC504" s="13">
        <f>Z504*[1]Parametros!$B$8</f>
        <v>995</v>
      </c>
      <c r="AD504" s="13">
        <f>[1]Parametros!$B$5*AC504*[1]Parametros!$B$3*(AB504-(AC504*[1]Parametros!$B$3/(0.85*[1]Parametros!$B$2*H504))/2)/1000000</f>
        <v>177.44537938235294</v>
      </c>
      <c r="AE504" s="13" t="str">
        <f t="shared" si="92"/>
        <v>CUMPLE</v>
      </c>
      <c r="AF504" s="13">
        <f>V504*1.25*[1]Parametros!$B$3*(U504-(V504*1.25*[1]Parametros!$B$3/(0.85*[1]Parametros!$B$2*H504))/2)/1000000</f>
        <v>244.15884319852941</v>
      </c>
      <c r="AG504" s="13">
        <f>AC504*1.25*[1]Parametros!$B$3*(AB504-(AC504*1.25*[1]Parametros!$B$3/(0.85*[1]Parametros!$B$2*H504))/2)/1000000</f>
        <v>244.15884319852941</v>
      </c>
      <c r="AH504" s="13">
        <f t="shared" si="93"/>
        <v>620.41220710784307</v>
      </c>
      <c r="AI504" s="13">
        <f t="shared" si="94"/>
        <v>620.41220710784307</v>
      </c>
      <c r="AJ504" s="13">
        <f>0.17*SQRT([1]Parametros!$B$2)*H504*MIN(U504,AB504)/1000</f>
        <v>220.09872869180776</v>
      </c>
      <c r="AK504" s="13">
        <f>MAX(AI504/[1]Parametros!$B$6-AJ504,0)</f>
        <v>607.117547451983</v>
      </c>
      <c r="AL504" s="13">
        <f>0.66*SQRT([1]Parametros!$B$2)*H504*MIN(U504,AB504)/1000</f>
        <v>854.500946685842</v>
      </c>
      <c r="AM504" s="13" t="str">
        <f t="shared" si="95"/>
        <v>CUMPLE</v>
      </c>
      <c r="AN504" s="13" t="s">
        <v>68</v>
      </c>
      <c r="AO504" s="14">
        <v>4</v>
      </c>
      <c r="AP504" s="13">
        <f>ROUNDDOWN(MIN(IF(BC504+BD504=0,1000000000,AO504*BB504/(BC504+BD504)),MIN(U504,AB504)/4,8*[1]Parametros!$B$12,24*BA504,300,IF(AV504=0,1000000000,2*((H504-2*([1]Parametros!$B$7+[1]Parametros!$B$9/2))+(I504-2*([1]Parametros!$B$7+[1]Parametros!$B$9/2)))/8))/10,0)*10</f>
        <v>110</v>
      </c>
      <c r="AQ504" s="13">
        <f>ROUNDDOWN(MIN(IF(BC504+BD504=0,1000000000,AO504*BB504/(BC504+BD504)),IF(AK504&gt;0.33*SQRT([1]Parametros!$B$2)*H504*MIN(U504,AB504)/1000,MIN(U504,AB504)/4,MIN(U504,AB504)/2),600,IF(AV504=0,1000000000,2*((H504-2*([1]Parametros!$B$7+[1]Parametros!$B$9/2))+(I504-2*([1]Parametros!$B$7+[1]Parametros!$B$9/2)))/8))/10,0)*10</f>
        <v>110</v>
      </c>
      <c r="AR504" s="13">
        <f>[1]Parametros!$B$6*(AJ504+MAX(BE504-BD504,0)*[1]Parametros!$B$4*MIN(U504,AB504)/1000)</f>
        <v>632.09158559601633</v>
      </c>
      <c r="AS504" s="13" t="str">
        <f t="shared" si="96"/>
        <v>CUMPLE</v>
      </c>
      <c r="AT504" s="13">
        <f>[1]Parametros!$B$6*0.083*SQRT([1]Parametros!$B$2)*(H504*I504)^2/(2*(H504+I504))/1000000</f>
        <v>11.862178757598967</v>
      </c>
      <c r="AU504" s="13" t="str">
        <f t="shared" si="97"/>
        <v>DISEÑAR</v>
      </c>
      <c r="AV504" s="13">
        <f>IF(Q504&lt;=AT504,0,Q504*1000000/([1]Parametros!$B$6*2*0.85*(H504-2*([1]Parametros!$B$7+[1]Parametros!$B$9/2))*(I504-2*([1]Parametros!$B$7+[1]Parametros!$B$9/2))*[1]Parametros!$B$4))</f>
        <v>0.83059262438607107</v>
      </c>
      <c r="AW504" s="13">
        <f>AV504*2*((H504-2*([1]Parametros!$B$7+[1]Parametros!$B$9/2))+(I504-2*([1]Parametros!$B$7+[1]Parametros!$B$9/2)))*[1]Parametros!$B$4/[1]Parametros!$B$3</f>
        <v>1436.2607660883941</v>
      </c>
      <c r="AX504" s="14">
        <v>8</v>
      </c>
      <c r="AY504" s="13" t="str">
        <f t="shared" si="98"/>
        <v>NO CUMPLE</v>
      </c>
      <c r="AZ504" s="13" t="str">
        <f t="shared" si="99"/>
        <v>NO CUMPLE</v>
      </c>
      <c r="BA504" s="14">
        <v>12.7</v>
      </c>
      <c r="BB504" s="14">
        <v>129</v>
      </c>
      <c r="BC504" s="13">
        <f>MAX(IF(AK504=0,0,AK504*1000/([1]Parametros!$B$4*MIN(U504,AB504))),MAX(0.062*SQRT([1]Parametros!$B$2)*H504/[1]Parametros!$B$4,0.35*H504/[1]Parametros!$B$4))</f>
        <v>2.9539551857030122</v>
      </c>
      <c r="BD504" s="13">
        <f t="shared" si="100"/>
        <v>1.6611852487721421</v>
      </c>
      <c r="BE504" s="13">
        <f t="shared" si="101"/>
        <v>4.6909090909090905</v>
      </c>
      <c r="BF504" s="13">
        <f>SQRT((AI504*1000/(H504*MIN(U504,AB504)))^2+(Q504*1000000*2*((H504-2*([1]Parametros!$B$7+[1]Parametros!$B$9/2))+(I504-2*([1]Parametros!$B$7+[1]Parametros!$B$9/2)))/(1.7*((H504-2*([1]Parametros!$B$7+[1]Parametros!$B$9/2))*(I504-2*([1]Parametros!$B$7+[1]Parametros!$B$9/2)))^2))^2)</f>
        <v>3.511356427957554</v>
      </c>
      <c r="BG504" s="13">
        <f>[1]Parametros!$B$6*(AJ504*1000/(H504*MIN(U504,AB504))+0.66*SQRT([1]Parametros!$B$2))</f>
        <v>3.2939603822754151</v>
      </c>
      <c r="BH504" s="13" t="str">
        <f t="shared" si="102"/>
        <v>NO CUMPLE</v>
      </c>
      <c r="BI504" s="13">
        <f>AX504*[1]Parametros!$B$8</f>
        <v>1592</v>
      </c>
      <c r="BJ504" s="15" t="str">
        <f t="shared" si="103"/>
        <v>CUMPLE</v>
      </c>
    </row>
    <row r="505" spans="1:62" x14ac:dyDescent="0.3">
      <c r="A505" s="35" t="s">
        <v>77</v>
      </c>
      <c r="B505" s="36">
        <v>191</v>
      </c>
      <c r="C505" s="13">
        <v>1</v>
      </c>
      <c r="D505" s="13">
        <v>0.9</v>
      </c>
      <c r="E505" s="13">
        <v>0.9</v>
      </c>
      <c r="F505" s="13">
        <v>500</v>
      </c>
      <c r="G505" s="13">
        <v>550</v>
      </c>
      <c r="H505" s="13">
        <v>500</v>
      </c>
      <c r="I505" s="13">
        <v>550</v>
      </c>
      <c r="J505" s="14">
        <v>90.388900000000007</v>
      </c>
      <c r="K505" s="13">
        <v>191</v>
      </c>
      <c r="L505" s="14">
        <v>5.0909000000000004</v>
      </c>
      <c r="M505" s="13">
        <v>191</v>
      </c>
      <c r="N505" s="14">
        <v>69.484999999999999</v>
      </c>
      <c r="O505" s="14">
        <v>70.349000000000004</v>
      </c>
      <c r="P505" s="13">
        <v>191</v>
      </c>
      <c r="Q505" s="14">
        <v>32.232799999999997</v>
      </c>
      <c r="R505" s="13">
        <f>MAX(MAX(1.4/[1]Parametros!$B$3,0.25*SQRT([1]Parametros!$B$2)/[1]Parametros!$B$3)*H505*U505,(0.85*[1]Parametros!$B$2/[1]Parametros!$B$3)*(1-SQRT(1-2*(J505*1000000/([1]Parametros!$B$5*H505*U505^2))/(0.85*[1]Parametros!$B$2)))*H505*U505)</f>
        <v>815.58333333333326</v>
      </c>
      <c r="S505" s="14">
        <v>5</v>
      </c>
      <c r="T505" s="14">
        <v>1</v>
      </c>
      <c r="U505" s="13">
        <f>IF(T505=1,I505-([1]Parametros!$B$7+[1]Parametros!$B$9+[1]Parametros!$B$12/2),I505-(ROUNDUP(S505/2,0)*([1]Parametros!$B$7+[1]Parametros!$B$9+[1]Parametros!$B$12/2)+ROUNDDOWN(S505/2,0)*([1]Parametros!$B$7+[1]Parametros!$B$9+[1]Parametros!$B$12/2+[1]Parametros!$B$12+[1]Parametros!$B$10))/S505)</f>
        <v>489.35</v>
      </c>
      <c r="V505" s="13">
        <f>S505*[1]Parametros!$B$8</f>
        <v>995</v>
      </c>
      <c r="W505" s="13">
        <f>[1]Parametros!$B$5*V505*[1]Parametros!$B$3*(U505-(V505*[1]Parametros!$B$3/(0.85*[1]Parametros!$B$2*H505))/2)/1000000</f>
        <v>177.44537938235294</v>
      </c>
      <c r="X505" s="13" t="str">
        <f t="shared" si="91"/>
        <v>CUMPLE</v>
      </c>
      <c r="Y505" s="13">
        <f>MAX(MAX(1.4/[1]Parametros!$B$3,0.25*SQRT([1]Parametros!$B$2)/[1]Parametros!$B$3)*H505*AB505,(0.85*[1]Parametros!$B$2/[1]Parametros!$B$3)*(1-SQRT(1-2*(L505*1000000/([1]Parametros!$B$5*H505*AB505^2))/(0.85*[1]Parametros!$B$2)))*H505*AB505)</f>
        <v>815.58333333333326</v>
      </c>
      <c r="Z505" s="14">
        <v>5</v>
      </c>
      <c r="AA505" s="14">
        <v>1</v>
      </c>
      <c r="AB505" s="13">
        <f>IF(AA505=1,I505-([1]Parametros!$B$7+[1]Parametros!$B$9+[1]Parametros!$B$12/2),I505-(ROUNDUP(Z505/2,0)*([1]Parametros!$B$7+[1]Parametros!$B$9+[1]Parametros!$B$12/2)+ROUNDDOWN(Z505/2,0)*([1]Parametros!$B$7+[1]Parametros!$B$9+[1]Parametros!$B$12/2+[1]Parametros!$B$12+[1]Parametros!$B$10))/Z505)</f>
        <v>489.35</v>
      </c>
      <c r="AC505" s="13">
        <f>Z505*[1]Parametros!$B$8</f>
        <v>995</v>
      </c>
      <c r="AD505" s="13">
        <f>[1]Parametros!$B$5*AC505*[1]Parametros!$B$3*(AB505-(AC505*[1]Parametros!$B$3/(0.85*[1]Parametros!$B$2*H505))/2)/1000000</f>
        <v>177.44537938235294</v>
      </c>
      <c r="AE505" s="13" t="str">
        <f t="shared" si="92"/>
        <v>CUMPLE</v>
      </c>
      <c r="AF505" s="13">
        <f>V505*1.25*[1]Parametros!$B$3*(U505-(V505*1.25*[1]Parametros!$B$3/(0.85*[1]Parametros!$B$2*H505))/2)/1000000</f>
        <v>244.15884319852941</v>
      </c>
      <c r="AG505" s="13">
        <f>AC505*1.25*[1]Parametros!$B$3*(AB505-(AC505*1.25*[1]Parametros!$B$3/(0.85*[1]Parametros!$B$2*H505))/2)/1000000</f>
        <v>244.15884319852941</v>
      </c>
      <c r="AH505" s="13">
        <f t="shared" si="93"/>
        <v>612.0602071078431</v>
      </c>
      <c r="AI505" s="13">
        <f t="shared" si="94"/>
        <v>612.0602071078431</v>
      </c>
      <c r="AJ505" s="13">
        <f>0.17*SQRT([1]Parametros!$B$2)*H505*MIN(U505,AB505)/1000</f>
        <v>220.09872869180776</v>
      </c>
      <c r="AK505" s="13">
        <f>MAX(AI505/[1]Parametros!$B$6-AJ505,0)</f>
        <v>595.98154745198303</v>
      </c>
      <c r="AL505" s="13">
        <f>0.66*SQRT([1]Parametros!$B$2)*H505*MIN(U505,AB505)/1000</f>
        <v>854.500946685842</v>
      </c>
      <c r="AM505" s="13" t="str">
        <f t="shared" si="95"/>
        <v>CUMPLE</v>
      </c>
      <c r="AN505" s="13" t="s">
        <v>64</v>
      </c>
      <c r="AO505" s="14">
        <v>4</v>
      </c>
      <c r="AP505" s="13">
        <f>ROUNDDOWN(MIN(IF(BC505+BD505=0,1000000000,AO505*BB505/(BC505+BD505)),MIN(U505,AB505)/4,8*[1]Parametros!$B$12,24*BA505,300,IF(AV505=0,1000000000,2*((H505-2*([1]Parametros!$B$7+[1]Parametros!$B$9/2))+(I505-2*([1]Parametros!$B$7+[1]Parametros!$B$9/2)))/8))/10,0)*10</f>
        <v>80</v>
      </c>
      <c r="AQ505" s="13">
        <f>ROUNDDOWN(MIN(IF(BC505+BD505=0,1000000000,AO505*BB505/(BC505+BD505)),IF(AK505&gt;0.33*SQRT([1]Parametros!$B$2)*H505*MIN(U505,AB505)/1000,MIN(U505,AB505)/4,MIN(U505,AB505)/2),600,IF(AV505=0,1000000000,2*((H505-2*([1]Parametros!$B$7+[1]Parametros!$B$9/2))+(I505-2*([1]Parametros!$B$7+[1]Parametros!$B$9/2)))/8))/10,0)*10</f>
        <v>80</v>
      </c>
      <c r="AR505" s="13">
        <f>[1]Parametros!$B$6*(AJ505+MAX(BE505-BD505,0)*[1]Parametros!$B$4*MIN(U505,AB505)/1000)</f>
        <v>612.66129934558376</v>
      </c>
      <c r="AS505" s="13" t="str">
        <f t="shared" si="96"/>
        <v>CUMPLE</v>
      </c>
      <c r="AT505" s="13">
        <f>[1]Parametros!$B$6*0.083*SQRT([1]Parametros!$B$2)*(H505*I505)^2/(2*(H505+I505))/1000000</f>
        <v>11.862178757598967</v>
      </c>
      <c r="AU505" s="13" t="str">
        <f t="shared" si="97"/>
        <v>DISEÑAR</v>
      </c>
      <c r="AV505" s="13">
        <f>IF(Q505&lt;=AT505,0,Q505*1000000/([1]Parametros!$B$6*2*0.85*(H505-2*([1]Parametros!$B$7+[1]Parametros!$B$9/2))*(I505-2*([1]Parametros!$B$7+[1]Parametros!$B$9/2))*[1]Parametros!$B$4))</f>
        <v>0.32316397901742722</v>
      </c>
      <c r="AW505" s="13">
        <f>AV505*2*((H505-2*([1]Parametros!$B$7+[1]Parametros!$B$9/2))+(I505-2*([1]Parametros!$B$7+[1]Parametros!$B$9/2)))*[1]Parametros!$B$4/[1]Parametros!$B$3</f>
        <v>558.8151525169352</v>
      </c>
      <c r="AX505" s="14">
        <v>8</v>
      </c>
      <c r="AY505" s="13" t="str">
        <f t="shared" si="98"/>
        <v>CUMPLE</v>
      </c>
      <c r="AZ505" s="13" t="str">
        <f t="shared" si="99"/>
        <v>CUMPLE</v>
      </c>
      <c r="BA505" s="14">
        <v>9.5</v>
      </c>
      <c r="BB505" s="14">
        <v>71</v>
      </c>
      <c r="BC505" s="13">
        <f>MAX(IF(AK505=0,0,AK505*1000/([1]Parametros!$B$4*MIN(U505,AB505))),MAX(0.062*SQRT([1]Parametros!$B$2)*H505/[1]Parametros!$B$4,0.35*H505/[1]Parametros!$B$4))</f>
        <v>2.8997725235710301</v>
      </c>
      <c r="BD505" s="13">
        <f t="shared" si="100"/>
        <v>0.64632795803485443</v>
      </c>
      <c r="BE505" s="13">
        <f t="shared" si="101"/>
        <v>3.55</v>
      </c>
      <c r="BF505" s="13">
        <f>SQRT((AI505*1000/(H505*MIN(U505,AB505)))^2+(Q505*1000000*2*((H505-2*([1]Parametros!$B$7+[1]Parametros!$B$9/2))+(I505-2*([1]Parametros!$B$7+[1]Parametros!$B$9/2)))/(1.7*((H505-2*([1]Parametros!$B$7+[1]Parametros!$B$9/2))*(I505-2*([1]Parametros!$B$7+[1]Parametros!$B$9/2)))^2))^2)</f>
        <v>2.6740928281571152</v>
      </c>
      <c r="BG505" s="13">
        <f>[1]Parametros!$B$6*(AJ505*1000/(H505*MIN(U505,AB505))+0.66*SQRT([1]Parametros!$B$2))</f>
        <v>3.2939603822754151</v>
      </c>
      <c r="BH505" s="13" t="str">
        <f t="shared" si="102"/>
        <v>CUMPLE</v>
      </c>
      <c r="BI505" s="13">
        <f>AX505*[1]Parametros!$B$8</f>
        <v>1592</v>
      </c>
      <c r="BJ505" s="15" t="str">
        <f t="shared" si="103"/>
        <v>CUMPLE</v>
      </c>
    </row>
    <row r="506" spans="1:62" x14ac:dyDescent="0.3">
      <c r="A506" s="35" t="s">
        <v>77</v>
      </c>
      <c r="B506" s="36">
        <v>223</v>
      </c>
      <c r="C506" s="13">
        <v>1</v>
      </c>
      <c r="D506" s="13">
        <v>2.35</v>
      </c>
      <c r="E506" s="13">
        <v>2.35</v>
      </c>
      <c r="F506" s="13">
        <v>500</v>
      </c>
      <c r="G506" s="13">
        <v>550</v>
      </c>
      <c r="H506" s="13">
        <v>500</v>
      </c>
      <c r="I506" s="13">
        <v>550</v>
      </c>
      <c r="J506" s="14">
        <v>266.17219999999998</v>
      </c>
      <c r="K506" s="13">
        <v>223</v>
      </c>
      <c r="L506" s="14">
        <v>132.66999999999999</v>
      </c>
      <c r="M506" s="13">
        <v>223</v>
      </c>
      <c r="N506" s="14">
        <v>208.91</v>
      </c>
      <c r="O506" s="14">
        <v>358.28300000000002</v>
      </c>
      <c r="P506" s="13">
        <v>223</v>
      </c>
      <c r="Q506" s="14">
        <v>11.0434</v>
      </c>
      <c r="R506" s="13">
        <f>MAX(MAX(1.4/[1]Parametros!$B$3,0.25*SQRT([1]Parametros!$B$2)/[1]Parametros!$B$3)*H506*U506,(0.85*[1]Parametros!$B$2/[1]Parametros!$B$3)*(1-SQRT(1-2*(J506*1000000/([1]Parametros!$B$5*H506*U506^2))/(0.85*[1]Parametros!$B$2)))*H506*U506)</f>
        <v>1522.568585814314</v>
      </c>
      <c r="S506" s="14">
        <v>8</v>
      </c>
      <c r="T506" s="14">
        <v>1</v>
      </c>
      <c r="U506" s="13">
        <f>IF(T506=1,I506-([1]Parametros!$B$7+[1]Parametros!$B$9+[1]Parametros!$B$12/2),I506-(ROUNDUP(S506/2,0)*([1]Parametros!$B$7+[1]Parametros!$B$9+[1]Parametros!$B$12/2)+ROUNDDOWN(S506/2,0)*([1]Parametros!$B$7+[1]Parametros!$B$9+[1]Parametros!$B$12/2+[1]Parametros!$B$12+[1]Parametros!$B$10))/S506)</f>
        <v>489.35</v>
      </c>
      <c r="V506" s="13">
        <f>S506*[1]Parametros!$B$8</f>
        <v>1592</v>
      </c>
      <c r="W506" s="13">
        <f>[1]Parametros!$B$5*V506*[1]Parametros!$B$3*(U506-(V506*[1]Parametros!$B$3/(0.85*[1]Parametros!$B$2*H506))/2)/1000000</f>
        <v>277.57271985882352</v>
      </c>
      <c r="X506" s="13" t="str">
        <f t="shared" si="91"/>
        <v>CUMPLE</v>
      </c>
      <c r="Y506" s="13">
        <f>MAX(MAX(1.4/[1]Parametros!$B$3,0.25*SQRT([1]Parametros!$B$2)/[1]Parametros!$B$3)*H506*AB506,(0.85*[1]Parametros!$B$2/[1]Parametros!$B$3)*(1-SQRT(1-2*(L506*1000000/([1]Parametros!$B$5*H506*AB506^2))/(0.85*[1]Parametros!$B$2)))*H506*AB506)</f>
        <v>815.58333333333326</v>
      </c>
      <c r="Z506" s="14">
        <v>5</v>
      </c>
      <c r="AA506" s="14">
        <v>1</v>
      </c>
      <c r="AB506" s="13">
        <f>IF(AA506=1,I506-([1]Parametros!$B$7+[1]Parametros!$B$9+[1]Parametros!$B$12/2),I506-(ROUNDUP(Z506/2,0)*([1]Parametros!$B$7+[1]Parametros!$B$9+[1]Parametros!$B$12/2)+ROUNDDOWN(Z506/2,0)*([1]Parametros!$B$7+[1]Parametros!$B$9+[1]Parametros!$B$12/2+[1]Parametros!$B$12+[1]Parametros!$B$10))/Z506)</f>
        <v>489.35</v>
      </c>
      <c r="AC506" s="13">
        <f>Z506*[1]Parametros!$B$8</f>
        <v>995</v>
      </c>
      <c r="AD506" s="13">
        <f>[1]Parametros!$B$5*AC506*[1]Parametros!$B$3*(AB506-(AC506*[1]Parametros!$B$3/(0.85*[1]Parametros!$B$2*H506))/2)/1000000</f>
        <v>177.44537938235294</v>
      </c>
      <c r="AE506" s="13" t="str">
        <f t="shared" si="92"/>
        <v>CUMPLE</v>
      </c>
      <c r="AF506" s="13">
        <f>V506*1.25*[1]Parametros!$B$3*(U506-(V506*1.25*[1]Parametros!$B$3/(0.85*[1]Parametros!$B$2*H506))/2)/1000000</f>
        <v>379.64740058823531</v>
      </c>
      <c r="AG506" s="13">
        <f>AC506*1.25*[1]Parametros!$B$3*(AB506-(AC506*1.25*[1]Parametros!$B$3/(0.85*[1]Parametros!$B$2*H506))/2)/1000000</f>
        <v>244.15884319852941</v>
      </c>
      <c r="AH506" s="13">
        <f t="shared" si="93"/>
        <v>474.35946544117644</v>
      </c>
      <c r="AI506" s="13">
        <f t="shared" si="94"/>
        <v>474.35946544117644</v>
      </c>
      <c r="AJ506" s="13">
        <f>0.17*SQRT([1]Parametros!$B$2)*H506*MIN(U506,AB506)/1000</f>
        <v>220.09872869180776</v>
      </c>
      <c r="AK506" s="13">
        <f>MAX(AI506/[1]Parametros!$B$6-AJ506,0)</f>
        <v>412.38055856309416</v>
      </c>
      <c r="AL506" s="13">
        <f>0.66*SQRT([1]Parametros!$B$2)*H506*MIN(U506,AB506)/1000</f>
        <v>854.500946685842</v>
      </c>
      <c r="AM506" s="13" t="str">
        <f t="shared" si="95"/>
        <v>CUMPLE</v>
      </c>
      <c r="AN506" s="13" t="s">
        <v>68</v>
      </c>
      <c r="AO506" s="14">
        <v>2</v>
      </c>
      <c r="AP506" s="13">
        <f>ROUNDDOWN(MIN(IF(BC506+BD506=0,1000000000,AO506*BB506/(BC506+BD506)),MIN(U506,AB506)/4,8*[1]Parametros!$B$12,24*BA506,300,IF(AV506=0,1000000000,2*((H506-2*([1]Parametros!$B$7+[1]Parametros!$B$9/2))+(I506-2*([1]Parametros!$B$7+[1]Parametros!$B$9/2)))/8))/10,0)*10</f>
        <v>120</v>
      </c>
      <c r="AQ506" s="13">
        <f>ROUNDDOWN(MIN(IF(BC506+BD506=0,1000000000,AO506*BB506/(BC506+BD506)),IF(AK506&gt;0.33*SQRT([1]Parametros!$B$2)*H506*MIN(U506,AB506)/1000,MIN(U506,AB506)/4,MIN(U506,AB506)/2),600,IF(AV506=0,1000000000,2*((H506-2*([1]Parametros!$B$7+[1]Parametros!$B$9/2))+(I506-2*([1]Parametros!$B$7+[1]Parametros!$B$9/2)))/8))/10,0)*10</f>
        <v>120</v>
      </c>
      <c r="AR506" s="13">
        <f>[1]Parametros!$B$6*(AJ506+MAX(BE506-BD506,0)*[1]Parametros!$B$4*MIN(U506,AB506)/1000)</f>
        <v>496.48633401885581</v>
      </c>
      <c r="AS506" s="13" t="str">
        <f t="shared" si="96"/>
        <v>CUMPLE</v>
      </c>
      <c r="AT506" s="13">
        <f>[1]Parametros!$B$6*0.083*SQRT([1]Parametros!$B$2)*(H506*I506)^2/(2*(H506+I506))/1000000</f>
        <v>11.862178757598967</v>
      </c>
      <c r="AU506" s="13" t="str">
        <f t="shared" si="97"/>
        <v>DESPRECIABLE</v>
      </c>
      <c r="AV506" s="13">
        <f>IF(Q506&lt;=AT506,0,Q506*1000000/([1]Parametros!$B$6*2*0.85*(H506-2*([1]Parametros!$B$7+[1]Parametros!$B$9/2))*(I506-2*([1]Parametros!$B$7+[1]Parametros!$B$9/2))*[1]Parametros!$B$4))</f>
        <v>0</v>
      </c>
      <c r="AW506" s="13">
        <f>AV506*2*((H506-2*([1]Parametros!$B$7+[1]Parametros!$B$9/2))+(I506-2*([1]Parametros!$B$7+[1]Parametros!$B$9/2)))*[1]Parametros!$B$4/[1]Parametros!$B$3</f>
        <v>0</v>
      </c>
      <c r="AX506" s="14">
        <v>0</v>
      </c>
      <c r="AY506" s="13" t="str">
        <f t="shared" si="98"/>
        <v>DESPRECIABLE</v>
      </c>
      <c r="AZ506" s="13" t="str">
        <f t="shared" si="99"/>
        <v>CUMPLE</v>
      </c>
      <c r="BA506" s="14">
        <v>12.7</v>
      </c>
      <c r="BB506" s="14">
        <v>129</v>
      </c>
      <c r="BC506" s="13">
        <f>MAX(IF(AK506=0,0,AK506*1000/([1]Parametros!$B$4*MIN(U506,AB506))),MAX(0.062*SQRT([1]Parametros!$B$2)*H506/[1]Parametros!$B$4,0.35*H506/[1]Parametros!$B$4))</f>
        <v>2.0064544247864959</v>
      </c>
      <c r="BD506" s="13">
        <f t="shared" si="100"/>
        <v>0</v>
      </c>
      <c r="BE506" s="13">
        <f t="shared" si="101"/>
        <v>2.15</v>
      </c>
      <c r="BF506" s="13">
        <f>SQRT((AI506*1000/(H506*MIN(U506,AB506)))^2+(Q506*1000000*2*((H506-2*([1]Parametros!$B$7+[1]Parametros!$B$9/2))+(I506-2*([1]Parametros!$B$7+[1]Parametros!$B$9/2)))/(1.7*((H506-2*([1]Parametros!$B$7+[1]Parametros!$B$9/2))*(I506-2*([1]Parametros!$B$7+[1]Parametros!$B$9/2)))^2))^2)</f>
        <v>1.9655857302889796</v>
      </c>
      <c r="BG506" s="13">
        <f>[1]Parametros!$B$6*(AJ506*1000/(H506*MIN(U506,AB506))+0.66*SQRT([1]Parametros!$B$2))</f>
        <v>3.2939603822754151</v>
      </c>
      <c r="BH506" s="13" t="str">
        <f t="shared" si="102"/>
        <v>CUMPLE</v>
      </c>
      <c r="BI506" s="13">
        <f>AX506*[1]Parametros!$B$8</f>
        <v>0</v>
      </c>
      <c r="BJ506" s="15" t="str">
        <f t="shared" si="103"/>
        <v>CUMPLE</v>
      </c>
    </row>
    <row r="507" spans="1:62" x14ac:dyDescent="0.3">
      <c r="A507" s="35" t="s">
        <v>77</v>
      </c>
      <c r="B507" s="36">
        <v>224</v>
      </c>
      <c r="C507" s="13">
        <v>1</v>
      </c>
      <c r="D507" s="13">
        <v>2</v>
      </c>
      <c r="E507" s="13">
        <v>2</v>
      </c>
      <c r="F507" s="13">
        <v>500</v>
      </c>
      <c r="G507" s="13">
        <v>550</v>
      </c>
      <c r="H507" s="13">
        <v>500</v>
      </c>
      <c r="I507" s="13">
        <v>550</v>
      </c>
      <c r="J507" s="14">
        <v>278.32339999999999</v>
      </c>
      <c r="K507" s="13">
        <v>224</v>
      </c>
      <c r="L507" s="14">
        <v>119.5688</v>
      </c>
      <c r="M507" s="13">
        <v>224</v>
      </c>
      <c r="N507" s="14">
        <v>209.78800000000001</v>
      </c>
      <c r="O507" s="14">
        <v>358.63600000000002</v>
      </c>
      <c r="P507" s="13">
        <v>224</v>
      </c>
      <c r="Q507" s="14">
        <v>9.3027999999999995</v>
      </c>
      <c r="R507" s="13">
        <f>MAX(MAX(1.4/[1]Parametros!$B$3,0.25*SQRT([1]Parametros!$B$2)/[1]Parametros!$B$3)*H507*U507,(0.85*[1]Parametros!$B$2/[1]Parametros!$B$3)*(1-SQRT(1-2*(J507*1000000/([1]Parametros!$B$5*H507*U507^2))/(0.85*[1]Parametros!$B$2)))*H507*U507)</f>
        <v>1596.5855787268201</v>
      </c>
      <c r="S507" s="14">
        <v>9</v>
      </c>
      <c r="T507" s="14">
        <v>1</v>
      </c>
      <c r="U507" s="13">
        <f>IF(T507=1,I507-([1]Parametros!$B$7+[1]Parametros!$B$9+[1]Parametros!$B$12/2),I507-(ROUNDUP(S507/2,0)*([1]Parametros!$B$7+[1]Parametros!$B$9+[1]Parametros!$B$12/2)+ROUNDDOWN(S507/2,0)*([1]Parametros!$B$7+[1]Parametros!$B$9+[1]Parametros!$B$12/2+[1]Parametros!$B$12+[1]Parametros!$B$10))/S507)</f>
        <v>489.35</v>
      </c>
      <c r="V507" s="13">
        <f>S507*[1]Parametros!$B$8</f>
        <v>1791</v>
      </c>
      <c r="W507" s="13">
        <f>[1]Parametros!$B$5*V507*[1]Parametros!$B$3*(U507-(V507*[1]Parametros!$B$3/(0.85*[1]Parametros!$B$2*H507))/2)/1000000</f>
        <v>309.89185215882355</v>
      </c>
      <c r="X507" s="13" t="str">
        <f t="shared" si="91"/>
        <v>CUMPLE</v>
      </c>
      <c r="Y507" s="13">
        <f>MAX(MAX(1.4/[1]Parametros!$B$3,0.25*SQRT([1]Parametros!$B$2)/[1]Parametros!$B$3)*H507*AB507,(0.85*[1]Parametros!$B$2/[1]Parametros!$B$3)*(1-SQRT(1-2*(L507*1000000/([1]Parametros!$B$5*H507*AB507^2))/(0.85*[1]Parametros!$B$2)))*H507*AB507)</f>
        <v>815.58333333333326</v>
      </c>
      <c r="Z507" s="14">
        <v>5</v>
      </c>
      <c r="AA507" s="14">
        <v>1</v>
      </c>
      <c r="AB507" s="13">
        <f>IF(AA507=1,I507-([1]Parametros!$B$7+[1]Parametros!$B$9+[1]Parametros!$B$12/2),I507-(ROUNDUP(Z507/2,0)*([1]Parametros!$B$7+[1]Parametros!$B$9+[1]Parametros!$B$12/2)+ROUNDDOWN(Z507/2,0)*([1]Parametros!$B$7+[1]Parametros!$B$9+[1]Parametros!$B$12/2+[1]Parametros!$B$12+[1]Parametros!$B$10))/Z507)</f>
        <v>489.35</v>
      </c>
      <c r="AC507" s="13">
        <f>Z507*[1]Parametros!$B$8</f>
        <v>995</v>
      </c>
      <c r="AD507" s="13">
        <f>[1]Parametros!$B$5*AC507*[1]Parametros!$B$3*(AB507-(AC507*[1]Parametros!$B$3/(0.85*[1]Parametros!$B$2*H507))/2)/1000000</f>
        <v>177.44537938235294</v>
      </c>
      <c r="AE507" s="13" t="str">
        <f t="shared" si="92"/>
        <v>CUMPLE</v>
      </c>
      <c r="AF507" s="13">
        <f>V507*1.25*[1]Parametros!$B$3*(U507-(V507*1.25*[1]Parametros!$B$3/(0.85*[1]Parametros!$B$2*H507))/2)/1000000</f>
        <v>422.97579496323533</v>
      </c>
      <c r="AG507" s="13">
        <f>AC507*1.25*[1]Parametros!$B$3*(AB507-(AC507*1.25*[1]Parametros!$B$3/(0.85*[1]Parametros!$B$2*H507))/2)/1000000</f>
        <v>244.15884319852941</v>
      </c>
      <c r="AH507" s="13">
        <f t="shared" si="93"/>
        <v>543.3553190808824</v>
      </c>
      <c r="AI507" s="13">
        <f t="shared" si="94"/>
        <v>543.3553190808824</v>
      </c>
      <c r="AJ507" s="13">
        <f>0.17*SQRT([1]Parametros!$B$2)*H507*MIN(U507,AB507)/1000</f>
        <v>220.09872869180776</v>
      </c>
      <c r="AK507" s="13">
        <f>MAX(AI507/[1]Parametros!$B$6-AJ507,0)</f>
        <v>504.3750300827021</v>
      </c>
      <c r="AL507" s="13">
        <f>0.66*SQRT([1]Parametros!$B$2)*H507*MIN(U507,AB507)/1000</f>
        <v>854.500946685842</v>
      </c>
      <c r="AM507" s="13" t="str">
        <f t="shared" si="95"/>
        <v>CUMPLE</v>
      </c>
      <c r="AN507" s="13" t="s">
        <v>68</v>
      </c>
      <c r="AO507" s="14">
        <v>2</v>
      </c>
      <c r="AP507" s="13">
        <f>ROUNDDOWN(MIN(IF(BC507+BD507=0,1000000000,AO507*BB507/(BC507+BD507)),MIN(U507,AB507)/4,8*[1]Parametros!$B$12,24*BA507,300,IF(AV507=0,1000000000,2*((H507-2*([1]Parametros!$B$7+[1]Parametros!$B$9/2))+(I507-2*([1]Parametros!$B$7+[1]Parametros!$B$9/2)))/8))/10,0)*10</f>
        <v>100</v>
      </c>
      <c r="AQ507" s="13">
        <f>ROUNDDOWN(MIN(IF(BC507+BD507=0,1000000000,AO507*BB507/(BC507+BD507)),IF(AK507&gt;0.33*SQRT([1]Parametros!$B$2)*H507*MIN(U507,AB507)/1000,MIN(U507,AB507)/4,MIN(U507,AB507)/2),600,IF(AV507=0,1000000000,2*((H507-2*([1]Parametros!$B$7+[1]Parametros!$B$9/2))+(I507-2*([1]Parametros!$B$7+[1]Parametros!$B$9/2)))/8))/10,0)*10</f>
        <v>100</v>
      </c>
      <c r="AR507" s="13">
        <f>[1]Parametros!$B$6*(AJ507+MAX(BE507-BD507,0)*[1]Parametros!$B$4*MIN(U507,AB507)/1000)</f>
        <v>562.76879151885601</v>
      </c>
      <c r="AS507" s="13" t="str">
        <f t="shared" si="96"/>
        <v>CUMPLE</v>
      </c>
      <c r="AT507" s="13">
        <f>[1]Parametros!$B$6*0.083*SQRT([1]Parametros!$B$2)*(H507*I507)^2/(2*(H507+I507))/1000000</f>
        <v>11.862178757598967</v>
      </c>
      <c r="AU507" s="13" t="str">
        <f t="shared" si="97"/>
        <v>DESPRECIABLE</v>
      </c>
      <c r="AV507" s="13">
        <f>IF(Q507&lt;=AT507,0,Q507*1000000/([1]Parametros!$B$6*2*0.85*(H507-2*([1]Parametros!$B$7+[1]Parametros!$B$9/2))*(I507-2*([1]Parametros!$B$7+[1]Parametros!$B$9/2))*[1]Parametros!$B$4))</f>
        <v>0</v>
      </c>
      <c r="AW507" s="13">
        <f>AV507*2*((H507-2*([1]Parametros!$B$7+[1]Parametros!$B$9/2))+(I507-2*([1]Parametros!$B$7+[1]Parametros!$B$9/2)))*[1]Parametros!$B$4/[1]Parametros!$B$3</f>
        <v>0</v>
      </c>
      <c r="AX507" s="14">
        <v>0</v>
      </c>
      <c r="AY507" s="13" t="str">
        <f t="shared" si="98"/>
        <v>DESPRECIABLE</v>
      </c>
      <c r="AZ507" s="13" t="str">
        <f t="shared" si="99"/>
        <v>CUMPLE</v>
      </c>
      <c r="BA507" s="14">
        <v>12.7</v>
      </c>
      <c r="BB507" s="14">
        <v>129</v>
      </c>
      <c r="BC507" s="13">
        <f>MAX(IF(AK507=0,0,AK507*1000/([1]Parametros!$B$4*MIN(U507,AB507))),MAX(0.062*SQRT([1]Parametros!$B$2)*H507/[1]Parametros!$B$4,0.35*H507/[1]Parametros!$B$4))</f>
        <v>2.454057277548459</v>
      </c>
      <c r="BD507" s="13">
        <f t="shared" si="100"/>
        <v>0</v>
      </c>
      <c r="BE507" s="13">
        <f t="shared" si="101"/>
        <v>2.58</v>
      </c>
      <c r="BF507" s="13">
        <f>SQRT((AI507*1000/(H507*MIN(U507,AB507)))^2+(Q507*1000000*2*((H507-2*([1]Parametros!$B$7+[1]Parametros!$B$9/2))+(I507-2*([1]Parametros!$B$7+[1]Parametros!$B$9/2)))/(1.7*((H507-2*([1]Parametros!$B$7+[1]Parametros!$B$9/2))*(I507-2*([1]Parametros!$B$7+[1]Parametros!$B$9/2)))^2))^2)</f>
        <v>2.2374106764033646</v>
      </c>
      <c r="BG507" s="13">
        <f>[1]Parametros!$B$6*(AJ507*1000/(H507*MIN(U507,AB507))+0.66*SQRT([1]Parametros!$B$2))</f>
        <v>3.2939603822754151</v>
      </c>
      <c r="BH507" s="13" t="str">
        <f t="shared" si="102"/>
        <v>CUMPLE</v>
      </c>
      <c r="BI507" s="13">
        <f>AX507*[1]Parametros!$B$8</f>
        <v>0</v>
      </c>
      <c r="BJ507" s="15" t="str">
        <f t="shared" si="103"/>
        <v>CUMPLE</v>
      </c>
    </row>
    <row r="508" spans="1:62" x14ac:dyDescent="0.3">
      <c r="A508" s="35" t="s">
        <v>77</v>
      </c>
      <c r="B508" s="36">
        <v>225</v>
      </c>
      <c r="C508" s="13">
        <v>1</v>
      </c>
      <c r="D508" s="13">
        <v>1.9</v>
      </c>
      <c r="E508" s="13">
        <v>1.9</v>
      </c>
      <c r="F508" s="13">
        <v>500</v>
      </c>
      <c r="G508" s="13">
        <v>550</v>
      </c>
      <c r="H508" s="13">
        <v>500</v>
      </c>
      <c r="I508" s="13">
        <v>550</v>
      </c>
      <c r="J508" s="14">
        <v>180.75030000000001</v>
      </c>
      <c r="K508" s="13">
        <v>225</v>
      </c>
      <c r="L508" s="14">
        <v>119.429</v>
      </c>
      <c r="M508" s="13">
        <v>225</v>
      </c>
      <c r="N508" s="14">
        <v>153.815</v>
      </c>
      <c r="O508" s="14">
        <v>595.57299999999998</v>
      </c>
      <c r="P508" s="13">
        <v>225</v>
      </c>
      <c r="Q508" s="14">
        <v>0.40400000000000003</v>
      </c>
      <c r="R508" s="13">
        <f>MAX(MAX(1.4/[1]Parametros!$B$3,0.25*SQRT([1]Parametros!$B$2)/[1]Parametros!$B$3)*H508*U508,(0.85*[1]Parametros!$B$2/[1]Parametros!$B$3)*(1-SQRT(1-2*(J508*1000000/([1]Parametros!$B$5*H508*U508^2))/(0.85*[1]Parametros!$B$2)))*H508*U508)</f>
        <v>1014.262661772391</v>
      </c>
      <c r="S508" s="14">
        <v>6</v>
      </c>
      <c r="T508" s="14">
        <v>1</v>
      </c>
      <c r="U508" s="13">
        <f>IF(T508=1,I508-([1]Parametros!$B$7+[1]Parametros!$B$9+[1]Parametros!$B$12/2),I508-(ROUNDUP(S508/2,0)*([1]Parametros!$B$7+[1]Parametros!$B$9+[1]Parametros!$B$12/2)+ROUNDDOWN(S508/2,0)*([1]Parametros!$B$7+[1]Parametros!$B$9+[1]Parametros!$B$12/2+[1]Parametros!$B$12+[1]Parametros!$B$10))/S508)</f>
        <v>489.35</v>
      </c>
      <c r="V508" s="13">
        <f>S508*[1]Parametros!$B$8</f>
        <v>1194</v>
      </c>
      <c r="W508" s="13">
        <f>[1]Parametros!$B$5*V508*[1]Parametros!$B$3*(U508-(V508*[1]Parametros!$B$3/(0.85*[1]Parametros!$B$2*H508))/2)/1000000</f>
        <v>211.34948347058827</v>
      </c>
      <c r="X508" s="13" t="str">
        <f t="shared" si="91"/>
        <v>CUMPLE</v>
      </c>
      <c r="Y508" s="13">
        <f>MAX(MAX(1.4/[1]Parametros!$B$3,0.25*SQRT([1]Parametros!$B$2)/[1]Parametros!$B$3)*H508*AB508,(0.85*[1]Parametros!$B$2/[1]Parametros!$B$3)*(1-SQRT(1-2*(L508*1000000/([1]Parametros!$B$5*H508*AB508^2))/(0.85*[1]Parametros!$B$2)))*H508*AB508)</f>
        <v>815.58333333333326</v>
      </c>
      <c r="Z508" s="14">
        <v>5</v>
      </c>
      <c r="AA508" s="14">
        <v>1</v>
      </c>
      <c r="AB508" s="13">
        <f>IF(AA508=1,I508-([1]Parametros!$B$7+[1]Parametros!$B$9+[1]Parametros!$B$12/2),I508-(ROUNDUP(Z508/2,0)*([1]Parametros!$B$7+[1]Parametros!$B$9+[1]Parametros!$B$12/2)+ROUNDDOWN(Z508/2,0)*([1]Parametros!$B$7+[1]Parametros!$B$9+[1]Parametros!$B$12/2+[1]Parametros!$B$12+[1]Parametros!$B$10))/Z508)</f>
        <v>489.35</v>
      </c>
      <c r="AC508" s="13">
        <f>Z508*[1]Parametros!$B$8</f>
        <v>995</v>
      </c>
      <c r="AD508" s="13">
        <f>[1]Parametros!$B$5*AC508*[1]Parametros!$B$3*(AB508-(AC508*[1]Parametros!$B$3/(0.85*[1]Parametros!$B$2*H508))/2)/1000000</f>
        <v>177.44537938235294</v>
      </c>
      <c r="AE508" s="13" t="str">
        <f t="shared" si="92"/>
        <v>CUMPLE</v>
      </c>
      <c r="AF508" s="13">
        <f>V508*1.25*[1]Parametros!$B$3*(U508-(V508*1.25*[1]Parametros!$B$3/(0.85*[1]Parametros!$B$2*H508))/2)/1000000</f>
        <v>290.23892470588237</v>
      </c>
      <c r="AG508" s="13">
        <f>AC508*1.25*[1]Parametros!$B$3*(AB508-(AC508*1.25*[1]Parametros!$B$3/(0.85*[1]Parametros!$B$2*H508))/2)/1000000</f>
        <v>244.15884319852941</v>
      </c>
      <c r="AH508" s="13">
        <f t="shared" si="93"/>
        <v>435.07698310758519</v>
      </c>
      <c r="AI508" s="13">
        <f t="shared" si="94"/>
        <v>595.57299999999998</v>
      </c>
      <c r="AJ508" s="13">
        <f>0.17*SQRT([1]Parametros!$B$2)*H508*MIN(U508,AB508)/1000</f>
        <v>220.09872869180776</v>
      </c>
      <c r="AK508" s="13">
        <f>MAX(AI508/[1]Parametros!$B$6-AJ508,0)</f>
        <v>573.9986046415255</v>
      </c>
      <c r="AL508" s="13">
        <f>0.66*SQRT([1]Parametros!$B$2)*H508*MIN(U508,AB508)/1000</f>
        <v>854.500946685842</v>
      </c>
      <c r="AM508" s="13" t="str">
        <f t="shared" si="95"/>
        <v>CUMPLE</v>
      </c>
      <c r="AN508" s="13" t="s">
        <v>68</v>
      </c>
      <c r="AO508" s="14">
        <v>2</v>
      </c>
      <c r="AP508" s="13">
        <f>ROUNDDOWN(MIN(IF(BC508+BD508=0,1000000000,AO508*BB508/(BC508+BD508)),MIN(U508,AB508)/4,8*[1]Parametros!$B$12,24*BA508,300,IF(AV508=0,1000000000,2*((H508-2*([1]Parametros!$B$7+[1]Parametros!$B$9/2))+(I508-2*([1]Parametros!$B$7+[1]Parametros!$B$9/2)))/8))/10,0)*10</f>
        <v>90</v>
      </c>
      <c r="AQ508" s="13">
        <f>ROUNDDOWN(MIN(IF(BC508+BD508=0,1000000000,AO508*BB508/(BC508+BD508)),IF(AK508&gt;0.33*SQRT([1]Parametros!$B$2)*H508*MIN(U508,AB508)/1000,MIN(U508,AB508)/4,MIN(U508,AB508)/2),600,IF(AV508=0,1000000000,2*((H508-2*([1]Parametros!$B$7+[1]Parametros!$B$9/2))+(I508-2*([1]Parametros!$B$7+[1]Parametros!$B$9/2)))/8))/10,0)*10</f>
        <v>90</v>
      </c>
      <c r="AR508" s="13">
        <f>[1]Parametros!$B$6*(AJ508+MAX(BE508-BD508,0)*[1]Parametros!$B$4*MIN(U508,AB508)/1000)</f>
        <v>606.95709651885591</v>
      </c>
      <c r="AS508" s="13" t="str">
        <f t="shared" si="96"/>
        <v>CUMPLE</v>
      </c>
      <c r="AT508" s="13">
        <f>[1]Parametros!$B$6*0.083*SQRT([1]Parametros!$B$2)*(H508*I508)^2/(2*(H508+I508))/1000000</f>
        <v>11.862178757598967</v>
      </c>
      <c r="AU508" s="13" t="str">
        <f t="shared" si="97"/>
        <v>DESPRECIABLE</v>
      </c>
      <c r="AV508" s="13">
        <f>IF(Q508&lt;=AT508,0,Q508*1000000/([1]Parametros!$B$6*2*0.85*(H508-2*([1]Parametros!$B$7+[1]Parametros!$B$9/2))*(I508-2*([1]Parametros!$B$7+[1]Parametros!$B$9/2))*[1]Parametros!$B$4))</f>
        <v>0</v>
      </c>
      <c r="AW508" s="13">
        <f>AV508*2*((H508-2*([1]Parametros!$B$7+[1]Parametros!$B$9/2))+(I508-2*([1]Parametros!$B$7+[1]Parametros!$B$9/2)))*[1]Parametros!$B$4/[1]Parametros!$B$3</f>
        <v>0</v>
      </c>
      <c r="AX508" s="14">
        <v>0</v>
      </c>
      <c r="AY508" s="13" t="str">
        <f t="shared" si="98"/>
        <v>DESPRECIABLE</v>
      </c>
      <c r="AZ508" s="13" t="str">
        <f t="shared" si="99"/>
        <v>CUMPLE</v>
      </c>
      <c r="BA508" s="14">
        <v>12.7</v>
      </c>
      <c r="BB508" s="14">
        <v>129</v>
      </c>
      <c r="BC508" s="13">
        <f>MAX(IF(AK508=0,0,AK508*1000/([1]Parametros!$B$4*MIN(U508,AB508))),MAX(0.062*SQRT([1]Parametros!$B$2)*H508/[1]Parametros!$B$4,0.35*H508/[1]Parametros!$B$4))</f>
        <v>2.7928136188506891</v>
      </c>
      <c r="BD508" s="13">
        <f t="shared" si="100"/>
        <v>0</v>
      </c>
      <c r="BE508" s="13">
        <f t="shared" si="101"/>
        <v>2.8666666666666667</v>
      </c>
      <c r="BF508" s="13">
        <f>SQRT((AI508*1000/(H508*MIN(U508,AB508)))^2+(Q508*1000000*2*((H508-2*([1]Parametros!$B$7+[1]Parametros!$B$9/2))+(I508-2*([1]Parametros!$B$7+[1]Parametros!$B$9/2)))/(1.7*((H508-2*([1]Parametros!$B$7+[1]Parametros!$B$9/2))*(I508-2*([1]Parametros!$B$7+[1]Parametros!$B$9/2)))^2))^2)</f>
        <v>2.4341679855875609</v>
      </c>
      <c r="BG508" s="13">
        <f>[1]Parametros!$B$6*(AJ508*1000/(H508*MIN(U508,AB508))+0.66*SQRT([1]Parametros!$B$2))</f>
        <v>3.2939603822754151</v>
      </c>
      <c r="BH508" s="13" t="str">
        <f t="shared" si="102"/>
        <v>CUMPLE</v>
      </c>
      <c r="BI508" s="13">
        <f>AX508*[1]Parametros!$B$8</f>
        <v>0</v>
      </c>
      <c r="BJ508" s="15" t="str">
        <f t="shared" si="103"/>
        <v>CUMPLE</v>
      </c>
    </row>
    <row r="509" spans="1:62" x14ac:dyDescent="0.3">
      <c r="A509" s="35" t="s">
        <v>77</v>
      </c>
      <c r="B509" s="36">
        <v>226</v>
      </c>
      <c r="C509" s="13">
        <v>1</v>
      </c>
      <c r="D509" s="13">
        <v>3.4</v>
      </c>
      <c r="E509" s="13">
        <v>3.4</v>
      </c>
      <c r="F509" s="13">
        <v>500</v>
      </c>
      <c r="G509" s="13">
        <v>550</v>
      </c>
      <c r="H509" s="13">
        <v>500</v>
      </c>
      <c r="I509" s="13">
        <v>550</v>
      </c>
      <c r="J509" s="14">
        <v>194.50890000000001</v>
      </c>
      <c r="K509" s="13">
        <v>226</v>
      </c>
      <c r="L509" s="14">
        <v>119.12390000000001</v>
      </c>
      <c r="M509" s="13">
        <v>226</v>
      </c>
      <c r="N509" s="14">
        <v>137.999</v>
      </c>
      <c r="O509" s="14">
        <v>394.96699999999998</v>
      </c>
      <c r="P509" s="13">
        <v>226</v>
      </c>
      <c r="Q509" s="14">
        <v>7.9367999999999999</v>
      </c>
      <c r="R509" s="13">
        <f>MAX(MAX(1.4/[1]Parametros!$B$3,0.25*SQRT([1]Parametros!$B$2)/[1]Parametros!$B$3)*H509*U509,(0.85*[1]Parametros!$B$2/[1]Parametros!$B$3)*(1-SQRT(1-2*(J509*1000000/([1]Parametros!$B$5*H509*U509^2))/(0.85*[1]Parametros!$B$2)))*H509*U509)</f>
        <v>1094.7666427269105</v>
      </c>
      <c r="S509" s="14">
        <v>6</v>
      </c>
      <c r="T509" s="14">
        <v>1</v>
      </c>
      <c r="U509" s="13">
        <f>IF(T509=1,I509-([1]Parametros!$B$7+[1]Parametros!$B$9+[1]Parametros!$B$12/2),I509-(ROUNDUP(S509/2,0)*([1]Parametros!$B$7+[1]Parametros!$B$9+[1]Parametros!$B$12/2)+ROUNDDOWN(S509/2,0)*([1]Parametros!$B$7+[1]Parametros!$B$9+[1]Parametros!$B$12/2+[1]Parametros!$B$12+[1]Parametros!$B$10))/S509)</f>
        <v>489.35</v>
      </c>
      <c r="V509" s="13">
        <f>S509*[1]Parametros!$B$8</f>
        <v>1194</v>
      </c>
      <c r="W509" s="13">
        <f>[1]Parametros!$B$5*V509*[1]Parametros!$B$3*(U509-(V509*[1]Parametros!$B$3/(0.85*[1]Parametros!$B$2*H509))/2)/1000000</f>
        <v>211.34948347058827</v>
      </c>
      <c r="X509" s="13" t="str">
        <f t="shared" si="91"/>
        <v>CUMPLE</v>
      </c>
      <c r="Y509" s="13">
        <f>MAX(MAX(1.4/[1]Parametros!$B$3,0.25*SQRT([1]Parametros!$B$2)/[1]Parametros!$B$3)*H509*AB509,(0.85*[1]Parametros!$B$2/[1]Parametros!$B$3)*(1-SQRT(1-2*(L509*1000000/([1]Parametros!$B$5*H509*AB509^2))/(0.85*[1]Parametros!$B$2)))*H509*AB509)</f>
        <v>815.58333333333326</v>
      </c>
      <c r="Z509" s="14">
        <v>5</v>
      </c>
      <c r="AA509" s="14">
        <v>1</v>
      </c>
      <c r="AB509" s="13">
        <f>IF(AA509=1,I509-([1]Parametros!$B$7+[1]Parametros!$B$9+[1]Parametros!$B$12/2),I509-(ROUNDUP(Z509/2,0)*([1]Parametros!$B$7+[1]Parametros!$B$9+[1]Parametros!$B$12/2)+ROUNDDOWN(Z509/2,0)*([1]Parametros!$B$7+[1]Parametros!$B$9+[1]Parametros!$B$12/2+[1]Parametros!$B$12+[1]Parametros!$B$10))/Z509)</f>
        <v>489.35</v>
      </c>
      <c r="AC509" s="13">
        <f>Z509*[1]Parametros!$B$8</f>
        <v>995</v>
      </c>
      <c r="AD509" s="13">
        <f>[1]Parametros!$B$5*AC509*[1]Parametros!$B$3*(AB509-(AC509*[1]Parametros!$B$3/(0.85*[1]Parametros!$B$2*H509))/2)/1000000</f>
        <v>177.44537938235294</v>
      </c>
      <c r="AE509" s="13" t="str">
        <f t="shared" si="92"/>
        <v>CUMPLE</v>
      </c>
      <c r="AF509" s="13">
        <f>V509*1.25*[1]Parametros!$B$3*(U509-(V509*1.25*[1]Parametros!$B$3/(0.85*[1]Parametros!$B$2*H509))/2)/1000000</f>
        <v>290.23892470588237</v>
      </c>
      <c r="AG509" s="13">
        <f>AC509*1.25*[1]Parametros!$B$3*(AB509-(AC509*1.25*[1]Parametros!$B$3/(0.85*[1]Parametros!$B$2*H509))/2)/1000000</f>
        <v>244.15884319852941</v>
      </c>
      <c r="AH509" s="13">
        <f t="shared" si="93"/>
        <v>295.1748140895329</v>
      </c>
      <c r="AI509" s="13">
        <f t="shared" si="94"/>
        <v>394.96699999999998</v>
      </c>
      <c r="AJ509" s="13">
        <f>0.17*SQRT([1]Parametros!$B$2)*H509*MIN(U509,AB509)/1000</f>
        <v>220.09872869180776</v>
      </c>
      <c r="AK509" s="13">
        <f>MAX(AI509/[1]Parametros!$B$6-AJ509,0)</f>
        <v>306.52393797485888</v>
      </c>
      <c r="AL509" s="13">
        <f>0.66*SQRT([1]Parametros!$B$2)*H509*MIN(U509,AB509)/1000</f>
        <v>854.500946685842</v>
      </c>
      <c r="AM509" s="13" t="str">
        <f t="shared" si="95"/>
        <v>CUMPLE</v>
      </c>
      <c r="AN509" s="13" t="s">
        <v>64</v>
      </c>
      <c r="AO509" s="14">
        <v>2</v>
      </c>
      <c r="AP509" s="13">
        <f>ROUNDDOWN(MIN(IF(BC509+BD509=0,1000000000,AO509*BB509/(BC509+BD509)),MIN(U509,AB509)/4,8*[1]Parametros!$B$12,24*BA509,300,IF(AV509=0,1000000000,2*((H509-2*([1]Parametros!$B$7+[1]Parametros!$B$9/2))+(I509-2*([1]Parametros!$B$7+[1]Parametros!$B$9/2)))/8))/10,0)*10</f>
        <v>90</v>
      </c>
      <c r="AQ509" s="13">
        <f>ROUNDDOWN(MIN(IF(BC509+BD509=0,1000000000,AO509*BB509/(BC509+BD509)),IF(AK509&gt;0.33*SQRT([1]Parametros!$B$2)*H509*MIN(U509,AB509)/1000,MIN(U509,AB509)/4,MIN(U509,AB509)/2),600,IF(AV509=0,1000000000,2*((H509-2*([1]Parametros!$B$7+[1]Parametros!$B$9/2))+(I509-2*([1]Parametros!$B$7+[1]Parametros!$B$9/2)))/8))/10,0)*10</f>
        <v>90</v>
      </c>
      <c r="AR509" s="13">
        <f>[1]Parametros!$B$6*(AJ509+MAX(BE509-BD509,0)*[1]Parametros!$B$4*MIN(U509,AB509)/1000)</f>
        <v>408.28099651885583</v>
      </c>
      <c r="AS509" s="13" t="str">
        <f t="shared" si="96"/>
        <v>CUMPLE</v>
      </c>
      <c r="AT509" s="13">
        <f>[1]Parametros!$B$6*0.083*SQRT([1]Parametros!$B$2)*(H509*I509)^2/(2*(H509+I509))/1000000</f>
        <v>11.862178757598967</v>
      </c>
      <c r="AU509" s="13" t="str">
        <f t="shared" si="97"/>
        <v>DESPRECIABLE</v>
      </c>
      <c r="AV509" s="13">
        <f>IF(Q509&lt;=AT509,0,Q509*1000000/([1]Parametros!$B$6*2*0.85*(H509-2*([1]Parametros!$B$7+[1]Parametros!$B$9/2))*(I509-2*([1]Parametros!$B$7+[1]Parametros!$B$9/2))*[1]Parametros!$B$4))</f>
        <v>0</v>
      </c>
      <c r="AW509" s="13">
        <f>AV509*2*((H509-2*([1]Parametros!$B$7+[1]Parametros!$B$9/2))+(I509-2*([1]Parametros!$B$7+[1]Parametros!$B$9/2)))*[1]Parametros!$B$4/[1]Parametros!$B$3</f>
        <v>0</v>
      </c>
      <c r="AX509" s="14">
        <v>0</v>
      </c>
      <c r="AY509" s="13" t="str">
        <f t="shared" si="98"/>
        <v>DESPRECIABLE</v>
      </c>
      <c r="AZ509" s="13" t="str">
        <f t="shared" si="99"/>
        <v>CUMPLE</v>
      </c>
      <c r="BA509" s="14">
        <v>9.5</v>
      </c>
      <c r="BB509" s="14">
        <v>71</v>
      </c>
      <c r="BC509" s="13">
        <f>MAX(IF(AK509=0,0,AK509*1000/([1]Parametros!$B$4*MIN(U509,AB509))),MAX(0.062*SQRT([1]Parametros!$B$2)*H509/[1]Parametros!$B$4,0.35*H509/[1]Parametros!$B$4))</f>
        <v>1.49140472042534</v>
      </c>
      <c r="BD509" s="13">
        <f t="shared" si="100"/>
        <v>0</v>
      </c>
      <c r="BE509" s="13">
        <f t="shared" si="101"/>
        <v>1.5777777777777777</v>
      </c>
      <c r="BF509" s="13">
        <f>SQRT((AI509*1000/(H509*MIN(U509,AB509)))^2+(Q509*1000000*2*((H509-2*([1]Parametros!$B$7+[1]Parametros!$B$9/2))+(I509-2*([1]Parametros!$B$7+[1]Parametros!$B$9/2)))/(1.7*((H509-2*([1]Parametros!$B$7+[1]Parametros!$B$9/2))*(I509-2*([1]Parametros!$B$7+[1]Parametros!$B$9/2)))^2))^2)</f>
        <v>1.6309386586415753</v>
      </c>
      <c r="BG509" s="13">
        <f>[1]Parametros!$B$6*(AJ509*1000/(H509*MIN(U509,AB509))+0.66*SQRT([1]Parametros!$B$2))</f>
        <v>3.2939603822754151</v>
      </c>
      <c r="BH509" s="13" t="str">
        <f t="shared" si="102"/>
        <v>CUMPLE</v>
      </c>
      <c r="BI509" s="13">
        <f>AX509*[1]Parametros!$B$8</f>
        <v>0</v>
      </c>
      <c r="BJ509" s="15" t="str">
        <f t="shared" si="103"/>
        <v>CUMPLE</v>
      </c>
    </row>
    <row r="510" spans="1:62" x14ac:dyDescent="0.3">
      <c r="A510" s="35" t="s">
        <v>77</v>
      </c>
      <c r="B510" s="36">
        <v>227</v>
      </c>
      <c r="C510" s="13">
        <v>1</v>
      </c>
      <c r="D510" s="13">
        <v>2.2000000000000002</v>
      </c>
      <c r="E510" s="13">
        <v>2.2000000000000002</v>
      </c>
      <c r="F510" s="13">
        <v>500</v>
      </c>
      <c r="G510" s="13">
        <v>550</v>
      </c>
      <c r="H510" s="13">
        <v>500</v>
      </c>
      <c r="I510" s="13">
        <v>550</v>
      </c>
      <c r="J510" s="14">
        <v>159.05000000000001</v>
      </c>
      <c r="K510" s="13">
        <v>227</v>
      </c>
      <c r="L510" s="14">
        <v>66.694900000000004</v>
      </c>
      <c r="M510" s="13">
        <v>227</v>
      </c>
      <c r="N510" s="14">
        <v>109.07599999999999</v>
      </c>
      <c r="O510" s="14">
        <v>255.72399999999999</v>
      </c>
      <c r="P510" s="13">
        <v>227</v>
      </c>
      <c r="Q510" s="14">
        <v>4.1000000000000003E-3</v>
      </c>
      <c r="R510" s="13">
        <f>MAX(MAX(1.4/[1]Parametros!$B$3,0.25*SQRT([1]Parametros!$B$2)/[1]Parametros!$B$3)*H510*U510,(0.85*[1]Parametros!$B$2/[1]Parametros!$B$3)*(1-SQRT(1-2*(J510*1000000/([1]Parametros!$B$5*H510*U510^2))/(0.85*[1]Parametros!$B$2)))*H510*U510)</f>
        <v>888.30540845278199</v>
      </c>
      <c r="S510" s="14">
        <v>5</v>
      </c>
      <c r="T510" s="14">
        <v>1</v>
      </c>
      <c r="U510" s="13">
        <f>IF(T510=1,I510-([1]Parametros!$B$7+[1]Parametros!$B$9+[1]Parametros!$B$12/2),I510-(ROUNDUP(S510/2,0)*([1]Parametros!$B$7+[1]Parametros!$B$9+[1]Parametros!$B$12/2)+ROUNDDOWN(S510/2,0)*([1]Parametros!$B$7+[1]Parametros!$B$9+[1]Parametros!$B$12/2+[1]Parametros!$B$12+[1]Parametros!$B$10))/S510)</f>
        <v>489.35</v>
      </c>
      <c r="V510" s="13">
        <f>S510*[1]Parametros!$B$8</f>
        <v>995</v>
      </c>
      <c r="W510" s="13">
        <f>[1]Parametros!$B$5*V510*[1]Parametros!$B$3*(U510-(V510*[1]Parametros!$B$3/(0.85*[1]Parametros!$B$2*H510))/2)/1000000</f>
        <v>177.44537938235294</v>
      </c>
      <c r="X510" s="13" t="str">
        <f t="shared" si="91"/>
        <v>CUMPLE</v>
      </c>
      <c r="Y510" s="13">
        <f>MAX(MAX(1.4/[1]Parametros!$B$3,0.25*SQRT([1]Parametros!$B$2)/[1]Parametros!$B$3)*H510*AB510,(0.85*[1]Parametros!$B$2/[1]Parametros!$B$3)*(1-SQRT(1-2*(L510*1000000/([1]Parametros!$B$5*H510*AB510^2))/(0.85*[1]Parametros!$B$2)))*H510*AB510)</f>
        <v>815.58333333333326</v>
      </c>
      <c r="Z510" s="14">
        <v>5</v>
      </c>
      <c r="AA510" s="14">
        <v>1</v>
      </c>
      <c r="AB510" s="13">
        <f>IF(AA510=1,I510-([1]Parametros!$B$7+[1]Parametros!$B$9+[1]Parametros!$B$12/2),I510-(ROUNDUP(Z510/2,0)*([1]Parametros!$B$7+[1]Parametros!$B$9+[1]Parametros!$B$12/2)+ROUNDDOWN(Z510/2,0)*([1]Parametros!$B$7+[1]Parametros!$B$9+[1]Parametros!$B$12/2+[1]Parametros!$B$12+[1]Parametros!$B$10))/Z510)</f>
        <v>489.35</v>
      </c>
      <c r="AC510" s="13">
        <f>Z510*[1]Parametros!$B$8</f>
        <v>995</v>
      </c>
      <c r="AD510" s="13">
        <f>[1]Parametros!$B$5*AC510*[1]Parametros!$B$3*(AB510-(AC510*[1]Parametros!$B$3/(0.85*[1]Parametros!$B$2*H510))/2)/1000000</f>
        <v>177.44537938235294</v>
      </c>
      <c r="AE510" s="13" t="str">
        <f t="shared" si="92"/>
        <v>CUMPLE</v>
      </c>
      <c r="AF510" s="13">
        <f>V510*1.25*[1]Parametros!$B$3*(U510-(V510*1.25*[1]Parametros!$B$3/(0.85*[1]Parametros!$B$2*H510))/2)/1000000</f>
        <v>244.15884319852941</v>
      </c>
      <c r="AG510" s="13">
        <f>AC510*1.25*[1]Parametros!$B$3*(AB510-(AC510*1.25*[1]Parametros!$B$3/(0.85*[1]Parametros!$B$2*H510))/2)/1000000</f>
        <v>244.15884319852941</v>
      </c>
      <c r="AH510" s="13">
        <f t="shared" si="93"/>
        <v>331.03858472593583</v>
      </c>
      <c r="AI510" s="13">
        <f t="shared" si="94"/>
        <v>331.03858472593583</v>
      </c>
      <c r="AJ510" s="13">
        <f>0.17*SQRT([1]Parametros!$B$2)*H510*MIN(U510,AB510)/1000</f>
        <v>220.09872869180776</v>
      </c>
      <c r="AK510" s="13">
        <f>MAX(AI510/[1]Parametros!$B$6-AJ510,0)</f>
        <v>221.28605094277333</v>
      </c>
      <c r="AL510" s="13">
        <f>0.66*SQRT([1]Parametros!$B$2)*H510*MIN(U510,AB510)/1000</f>
        <v>854.500946685842</v>
      </c>
      <c r="AM510" s="13" t="str">
        <f t="shared" si="95"/>
        <v>CUMPLE</v>
      </c>
      <c r="AN510" s="13" t="s">
        <v>64</v>
      </c>
      <c r="AO510" s="14">
        <v>2</v>
      </c>
      <c r="AP510" s="13">
        <f>ROUNDDOWN(MIN(IF(BC510+BD510=0,1000000000,AO510*BB510/(BC510+BD510)),MIN(U510,AB510)/4,8*[1]Parametros!$B$12,24*BA510,300,IF(AV510=0,1000000000,2*((H510-2*([1]Parametros!$B$7+[1]Parametros!$B$9/2))+(I510-2*([1]Parametros!$B$7+[1]Parametros!$B$9/2)))/8))/10,0)*10</f>
        <v>120</v>
      </c>
      <c r="AQ510" s="13">
        <f>ROUNDDOWN(MIN(IF(BC510+BD510=0,1000000000,AO510*BB510/(BC510+BD510)),IF(AK510&gt;0.33*SQRT([1]Parametros!$B$2)*H510*MIN(U510,AB510)/1000,MIN(U510,AB510)/4,MIN(U510,AB510)/2),600,IF(AV510=0,1000000000,2*((H510-2*([1]Parametros!$B$7+[1]Parametros!$B$9/2))+(I510-2*([1]Parametros!$B$7+[1]Parametros!$B$9/2)))/8))/10,0)*10</f>
        <v>130</v>
      </c>
      <c r="AR510" s="13">
        <f>[1]Parametros!$B$6*(AJ510+MAX(BE510-BD510,0)*[1]Parametros!$B$4*MIN(U510,AB510)/1000)</f>
        <v>347.47925901885583</v>
      </c>
      <c r="AS510" s="13" t="str">
        <f t="shared" si="96"/>
        <v>CUMPLE</v>
      </c>
      <c r="AT510" s="13">
        <f>[1]Parametros!$B$6*0.083*SQRT([1]Parametros!$B$2)*(H510*I510)^2/(2*(H510+I510))/1000000</f>
        <v>11.862178757598967</v>
      </c>
      <c r="AU510" s="13" t="str">
        <f t="shared" si="97"/>
        <v>DESPRECIABLE</v>
      </c>
      <c r="AV510" s="13">
        <f>IF(Q510&lt;=AT510,0,Q510*1000000/([1]Parametros!$B$6*2*0.85*(H510-2*([1]Parametros!$B$7+[1]Parametros!$B$9/2))*(I510-2*([1]Parametros!$B$7+[1]Parametros!$B$9/2))*[1]Parametros!$B$4))</f>
        <v>0</v>
      </c>
      <c r="AW510" s="13">
        <f>AV510*2*((H510-2*([1]Parametros!$B$7+[1]Parametros!$B$9/2))+(I510-2*([1]Parametros!$B$7+[1]Parametros!$B$9/2)))*[1]Parametros!$B$4/[1]Parametros!$B$3</f>
        <v>0</v>
      </c>
      <c r="AX510" s="14">
        <v>0</v>
      </c>
      <c r="AY510" s="13" t="str">
        <f t="shared" si="98"/>
        <v>DESPRECIABLE</v>
      </c>
      <c r="AZ510" s="13" t="str">
        <f t="shared" si="99"/>
        <v>CUMPLE</v>
      </c>
      <c r="BA510" s="14">
        <v>9.5</v>
      </c>
      <c r="BB510" s="14">
        <v>71</v>
      </c>
      <c r="BC510" s="13">
        <f>MAX(IF(AK510=0,0,AK510*1000/([1]Parametros!$B$4*MIN(U510,AB510))),MAX(0.062*SQRT([1]Parametros!$B$2)*H510/[1]Parametros!$B$4,0.35*H510/[1]Parametros!$B$4))</f>
        <v>1.0766763050245141</v>
      </c>
      <c r="BD510" s="13">
        <f t="shared" si="100"/>
        <v>0</v>
      </c>
      <c r="BE510" s="13">
        <f t="shared" si="101"/>
        <v>1.1833333333333333</v>
      </c>
      <c r="BF510" s="13">
        <f>SQRT((AI510*1000/(H510*MIN(U510,AB510)))^2+(Q510*1000000*2*((H510-2*([1]Parametros!$B$7+[1]Parametros!$B$9/2))+(I510-2*([1]Parametros!$B$7+[1]Parametros!$B$9/2)))/(1.7*((H510-2*([1]Parametros!$B$7+[1]Parametros!$B$9/2))*(I510-2*([1]Parametros!$B$7+[1]Parametros!$B$9/2)))^2))^2)</f>
        <v>1.3529726618273772</v>
      </c>
      <c r="BG510" s="13">
        <f>[1]Parametros!$B$6*(AJ510*1000/(H510*MIN(U510,AB510))+0.66*SQRT([1]Parametros!$B$2))</f>
        <v>3.2939603822754151</v>
      </c>
      <c r="BH510" s="13" t="str">
        <f t="shared" si="102"/>
        <v>CUMPLE</v>
      </c>
      <c r="BI510" s="13">
        <f>AX510*[1]Parametros!$B$8</f>
        <v>0</v>
      </c>
      <c r="BJ510" s="15" t="str">
        <f t="shared" si="103"/>
        <v>CUMPLE</v>
      </c>
    </row>
    <row r="511" spans="1:62" x14ac:dyDescent="0.3">
      <c r="A511" s="35" t="s">
        <v>77</v>
      </c>
      <c r="B511" s="36">
        <v>228</v>
      </c>
      <c r="C511" s="13">
        <v>1</v>
      </c>
      <c r="D511" s="13">
        <v>2.1</v>
      </c>
      <c r="E511" s="13">
        <v>2.1</v>
      </c>
      <c r="F511" s="13">
        <v>500</v>
      </c>
      <c r="G511" s="13">
        <v>550</v>
      </c>
      <c r="H511" s="13">
        <v>500</v>
      </c>
      <c r="I511" s="13">
        <v>550</v>
      </c>
      <c r="J511" s="14">
        <v>158.80170000000001</v>
      </c>
      <c r="K511" s="13">
        <v>228</v>
      </c>
      <c r="L511" s="14">
        <v>66.657700000000006</v>
      </c>
      <c r="M511" s="13">
        <v>228</v>
      </c>
      <c r="N511" s="14">
        <v>108.655</v>
      </c>
      <c r="O511" s="14">
        <v>255.02</v>
      </c>
      <c r="P511" s="13">
        <v>228</v>
      </c>
      <c r="Q511" s="14">
        <v>4.1000000000000003E-3</v>
      </c>
      <c r="R511" s="13">
        <f>MAX(MAX(1.4/[1]Parametros!$B$3,0.25*SQRT([1]Parametros!$B$2)/[1]Parametros!$B$3)*H511*U511,(0.85*[1]Parametros!$B$2/[1]Parametros!$B$3)*(1-SQRT(1-2*(J511*1000000/([1]Parametros!$B$5*H511*U511^2))/(0.85*[1]Parametros!$B$2)))*H511*U511)</f>
        <v>886.87124946844403</v>
      </c>
      <c r="S511" s="14">
        <v>5</v>
      </c>
      <c r="T511" s="14">
        <v>1</v>
      </c>
      <c r="U511" s="13">
        <f>IF(T511=1,I511-([1]Parametros!$B$7+[1]Parametros!$B$9+[1]Parametros!$B$12/2),I511-(ROUNDUP(S511/2,0)*([1]Parametros!$B$7+[1]Parametros!$B$9+[1]Parametros!$B$12/2)+ROUNDDOWN(S511/2,0)*([1]Parametros!$B$7+[1]Parametros!$B$9+[1]Parametros!$B$12/2+[1]Parametros!$B$12+[1]Parametros!$B$10))/S511)</f>
        <v>489.35</v>
      </c>
      <c r="V511" s="13">
        <f>S511*[1]Parametros!$B$8</f>
        <v>995</v>
      </c>
      <c r="W511" s="13">
        <f>[1]Parametros!$B$5*V511*[1]Parametros!$B$3*(U511-(V511*[1]Parametros!$B$3/(0.85*[1]Parametros!$B$2*H511))/2)/1000000</f>
        <v>177.44537938235294</v>
      </c>
      <c r="X511" s="13" t="str">
        <f t="shared" si="91"/>
        <v>CUMPLE</v>
      </c>
      <c r="Y511" s="13">
        <f>MAX(MAX(1.4/[1]Parametros!$B$3,0.25*SQRT([1]Parametros!$B$2)/[1]Parametros!$B$3)*H511*AB511,(0.85*[1]Parametros!$B$2/[1]Parametros!$B$3)*(1-SQRT(1-2*(L511*1000000/([1]Parametros!$B$5*H511*AB511^2))/(0.85*[1]Parametros!$B$2)))*H511*AB511)</f>
        <v>815.58333333333326</v>
      </c>
      <c r="Z511" s="14">
        <v>5</v>
      </c>
      <c r="AA511" s="14">
        <v>1</v>
      </c>
      <c r="AB511" s="13">
        <f>IF(AA511=1,I511-([1]Parametros!$B$7+[1]Parametros!$B$9+[1]Parametros!$B$12/2),I511-(ROUNDUP(Z511/2,0)*([1]Parametros!$B$7+[1]Parametros!$B$9+[1]Parametros!$B$12/2)+ROUNDDOWN(Z511/2,0)*([1]Parametros!$B$7+[1]Parametros!$B$9+[1]Parametros!$B$12/2+[1]Parametros!$B$12+[1]Parametros!$B$10))/Z511)</f>
        <v>489.35</v>
      </c>
      <c r="AC511" s="13">
        <f>Z511*[1]Parametros!$B$8</f>
        <v>995</v>
      </c>
      <c r="AD511" s="13">
        <f>[1]Parametros!$B$5*AC511*[1]Parametros!$B$3*(AB511-(AC511*[1]Parametros!$B$3/(0.85*[1]Parametros!$B$2*H511))/2)/1000000</f>
        <v>177.44537938235294</v>
      </c>
      <c r="AE511" s="13" t="str">
        <f t="shared" si="92"/>
        <v>CUMPLE</v>
      </c>
      <c r="AF511" s="13">
        <f>V511*1.25*[1]Parametros!$B$3*(U511-(V511*1.25*[1]Parametros!$B$3/(0.85*[1]Parametros!$B$2*H511))/2)/1000000</f>
        <v>244.15884319852941</v>
      </c>
      <c r="AG511" s="13">
        <f>AC511*1.25*[1]Parametros!$B$3*(AB511-(AC511*1.25*[1]Parametros!$B$3/(0.85*[1]Parametros!$B$2*H511))/2)/1000000</f>
        <v>244.15884319852941</v>
      </c>
      <c r="AH511" s="13">
        <f t="shared" si="93"/>
        <v>341.18723161764706</v>
      </c>
      <c r="AI511" s="13">
        <f t="shared" si="94"/>
        <v>341.18723161764706</v>
      </c>
      <c r="AJ511" s="13">
        <f>0.17*SQRT([1]Parametros!$B$2)*H511*MIN(U511,AB511)/1000</f>
        <v>220.09872869180776</v>
      </c>
      <c r="AK511" s="13">
        <f>MAX(AI511/[1]Parametros!$B$6-AJ511,0)</f>
        <v>234.81758013172163</v>
      </c>
      <c r="AL511" s="13">
        <f>0.66*SQRT([1]Parametros!$B$2)*H511*MIN(U511,AB511)/1000</f>
        <v>854.500946685842</v>
      </c>
      <c r="AM511" s="13" t="str">
        <f t="shared" si="95"/>
        <v>CUMPLE</v>
      </c>
      <c r="AN511" s="13" t="s">
        <v>64</v>
      </c>
      <c r="AO511" s="14">
        <v>2</v>
      </c>
      <c r="AP511" s="13">
        <f>ROUNDDOWN(MIN(IF(BC511+BD511=0,1000000000,AO511*BB511/(BC511+BD511)),MIN(U511,AB511)/4,8*[1]Parametros!$B$12,24*BA511,300,IF(AV511=0,1000000000,2*((H511-2*([1]Parametros!$B$7+[1]Parametros!$B$9/2))+(I511-2*([1]Parametros!$B$7+[1]Parametros!$B$9/2)))/8))/10,0)*10</f>
        <v>120</v>
      </c>
      <c r="AQ511" s="13">
        <f>ROUNDDOWN(MIN(IF(BC511+BD511=0,1000000000,AO511*BB511/(BC511+BD511)),IF(AK511&gt;0.33*SQRT([1]Parametros!$B$2)*H511*MIN(U511,AB511)/1000,MIN(U511,AB511)/4,MIN(U511,AB511)/2),600,IF(AV511=0,1000000000,2*((H511-2*([1]Parametros!$B$7+[1]Parametros!$B$9/2))+(I511-2*([1]Parametros!$B$7+[1]Parametros!$B$9/2)))/8))/10,0)*10</f>
        <v>120</v>
      </c>
      <c r="AR511" s="13">
        <f>[1]Parametros!$B$6*(AJ511+MAX(BE511-BD511,0)*[1]Parametros!$B$4*MIN(U511,AB511)/1000)</f>
        <v>347.47925901885583</v>
      </c>
      <c r="AS511" s="13" t="str">
        <f t="shared" si="96"/>
        <v>CUMPLE</v>
      </c>
      <c r="AT511" s="13">
        <f>[1]Parametros!$B$6*0.083*SQRT([1]Parametros!$B$2)*(H511*I511)^2/(2*(H511+I511))/1000000</f>
        <v>11.862178757598967</v>
      </c>
      <c r="AU511" s="13" t="str">
        <f t="shared" si="97"/>
        <v>DESPRECIABLE</v>
      </c>
      <c r="AV511" s="13">
        <f>IF(Q511&lt;=AT511,0,Q511*1000000/([1]Parametros!$B$6*2*0.85*(H511-2*([1]Parametros!$B$7+[1]Parametros!$B$9/2))*(I511-2*([1]Parametros!$B$7+[1]Parametros!$B$9/2))*[1]Parametros!$B$4))</f>
        <v>0</v>
      </c>
      <c r="AW511" s="13">
        <f>AV511*2*((H511-2*([1]Parametros!$B$7+[1]Parametros!$B$9/2))+(I511-2*([1]Parametros!$B$7+[1]Parametros!$B$9/2)))*[1]Parametros!$B$4/[1]Parametros!$B$3</f>
        <v>0</v>
      </c>
      <c r="AX511" s="14">
        <v>0</v>
      </c>
      <c r="AY511" s="13" t="str">
        <f t="shared" si="98"/>
        <v>DESPRECIABLE</v>
      </c>
      <c r="AZ511" s="13" t="str">
        <f t="shared" si="99"/>
        <v>CUMPLE</v>
      </c>
      <c r="BA511" s="14">
        <v>9.5</v>
      </c>
      <c r="BB511" s="14">
        <v>71</v>
      </c>
      <c r="BC511" s="13">
        <f>MAX(IF(AK511=0,0,AK511*1000/([1]Parametros!$B$4*MIN(U511,AB511))),MAX(0.062*SQRT([1]Parametros!$B$2)*H511/[1]Parametros!$B$4,0.35*H511/[1]Parametros!$B$4))</f>
        <v>1.142514512116275</v>
      </c>
      <c r="BD511" s="13">
        <f t="shared" si="100"/>
        <v>0</v>
      </c>
      <c r="BE511" s="13">
        <f t="shared" si="101"/>
        <v>1.1833333333333333</v>
      </c>
      <c r="BF511" s="13">
        <f>SQRT((AI511*1000/(H511*MIN(U511,AB511)))^2+(Q511*1000000*2*((H511-2*([1]Parametros!$B$7+[1]Parametros!$B$9/2))+(I511-2*([1]Parametros!$B$7+[1]Parametros!$B$9/2)))/(1.7*((H511-2*([1]Parametros!$B$7+[1]Parametros!$B$9/2))*(I511-2*([1]Parametros!$B$7+[1]Parametros!$B$9/2)))^2))^2)</f>
        <v>1.3944507321363335</v>
      </c>
      <c r="BG511" s="13">
        <f>[1]Parametros!$B$6*(AJ511*1000/(H511*MIN(U511,AB511))+0.66*SQRT([1]Parametros!$B$2))</f>
        <v>3.2939603822754151</v>
      </c>
      <c r="BH511" s="13" t="str">
        <f t="shared" si="102"/>
        <v>CUMPLE</v>
      </c>
      <c r="BI511" s="13">
        <f>AX511*[1]Parametros!$B$8</f>
        <v>0</v>
      </c>
      <c r="BJ511" s="15" t="str">
        <f t="shared" si="103"/>
        <v>CUMPLE</v>
      </c>
    </row>
    <row r="512" spans="1:62" x14ac:dyDescent="0.3">
      <c r="A512" s="35" t="s">
        <v>77</v>
      </c>
      <c r="B512" s="36">
        <v>229</v>
      </c>
      <c r="C512" s="13">
        <v>1</v>
      </c>
      <c r="D512" s="13">
        <v>3.4</v>
      </c>
      <c r="E512" s="13">
        <v>3.4</v>
      </c>
      <c r="F512" s="13">
        <v>500</v>
      </c>
      <c r="G512" s="13">
        <v>550</v>
      </c>
      <c r="H512" s="13">
        <v>500</v>
      </c>
      <c r="I512" s="13">
        <v>550</v>
      </c>
      <c r="J512" s="14">
        <v>194.57810000000001</v>
      </c>
      <c r="K512" s="13">
        <v>229</v>
      </c>
      <c r="L512" s="14">
        <v>119.17919999999999</v>
      </c>
      <c r="M512" s="13">
        <v>229</v>
      </c>
      <c r="N512" s="14">
        <v>138.036</v>
      </c>
      <c r="O512" s="14">
        <v>395.03800000000001</v>
      </c>
      <c r="P512" s="13">
        <v>229</v>
      </c>
      <c r="Q512" s="14">
        <v>7.9387999999999996</v>
      </c>
      <c r="R512" s="13">
        <f>MAX(MAX(1.4/[1]Parametros!$B$3,0.25*SQRT([1]Parametros!$B$2)/[1]Parametros!$B$3)*H512*U512,(0.85*[1]Parametros!$B$2/[1]Parametros!$B$3)*(1-SQRT(1-2*(J512*1000000/([1]Parametros!$B$5*H512*U512^2))/(0.85*[1]Parametros!$B$2)))*H512*U512)</f>
        <v>1095.172826783999</v>
      </c>
      <c r="S512" s="14">
        <v>6</v>
      </c>
      <c r="T512" s="14">
        <v>1</v>
      </c>
      <c r="U512" s="13">
        <f>IF(T512=1,I512-([1]Parametros!$B$7+[1]Parametros!$B$9+[1]Parametros!$B$12/2),I512-(ROUNDUP(S512/2,0)*([1]Parametros!$B$7+[1]Parametros!$B$9+[1]Parametros!$B$12/2)+ROUNDDOWN(S512/2,0)*([1]Parametros!$B$7+[1]Parametros!$B$9+[1]Parametros!$B$12/2+[1]Parametros!$B$12+[1]Parametros!$B$10))/S512)</f>
        <v>489.35</v>
      </c>
      <c r="V512" s="13">
        <f>S512*[1]Parametros!$B$8</f>
        <v>1194</v>
      </c>
      <c r="W512" s="13">
        <f>[1]Parametros!$B$5*V512*[1]Parametros!$B$3*(U512-(V512*[1]Parametros!$B$3/(0.85*[1]Parametros!$B$2*H512))/2)/1000000</f>
        <v>211.34948347058827</v>
      </c>
      <c r="X512" s="13" t="str">
        <f t="shared" si="91"/>
        <v>CUMPLE</v>
      </c>
      <c r="Y512" s="13">
        <f>MAX(MAX(1.4/[1]Parametros!$B$3,0.25*SQRT([1]Parametros!$B$2)/[1]Parametros!$B$3)*H512*AB512,(0.85*[1]Parametros!$B$2/[1]Parametros!$B$3)*(1-SQRT(1-2*(L512*1000000/([1]Parametros!$B$5*H512*AB512^2))/(0.85*[1]Parametros!$B$2)))*H512*AB512)</f>
        <v>815.58333333333326</v>
      </c>
      <c r="Z512" s="14">
        <v>5</v>
      </c>
      <c r="AA512" s="14">
        <v>1</v>
      </c>
      <c r="AB512" s="13">
        <f>IF(AA512=1,I512-([1]Parametros!$B$7+[1]Parametros!$B$9+[1]Parametros!$B$12/2),I512-(ROUNDUP(Z512/2,0)*([1]Parametros!$B$7+[1]Parametros!$B$9+[1]Parametros!$B$12/2)+ROUNDDOWN(Z512/2,0)*([1]Parametros!$B$7+[1]Parametros!$B$9+[1]Parametros!$B$12/2+[1]Parametros!$B$12+[1]Parametros!$B$10))/Z512)</f>
        <v>489.35</v>
      </c>
      <c r="AC512" s="13">
        <f>Z512*[1]Parametros!$B$8</f>
        <v>995</v>
      </c>
      <c r="AD512" s="13">
        <f>[1]Parametros!$B$5*AC512*[1]Parametros!$B$3*(AB512-(AC512*[1]Parametros!$B$3/(0.85*[1]Parametros!$B$2*H512))/2)/1000000</f>
        <v>177.44537938235294</v>
      </c>
      <c r="AE512" s="13" t="str">
        <f t="shared" si="92"/>
        <v>CUMPLE</v>
      </c>
      <c r="AF512" s="13">
        <f>V512*1.25*[1]Parametros!$B$3*(U512-(V512*1.25*[1]Parametros!$B$3/(0.85*[1]Parametros!$B$2*H512))/2)/1000000</f>
        <v>290.23892470588237</v>
      </c>
      <c r="AG512" s="13">
        <f>AC512*1.25*[1]Parametros!$B$3*(AB512-(AC512*1.25*[1]Parametros!$B$3/(0.85*[1]Parametros!$B$2*H512))/2)/1000000</f>
        <v>244.15884319852941</v>
      </c>
      <c r="AH512" s="13">
        <f t="shared" si="93"/>
        <v>295.21181408953288</v>
      </c>
      <c r="AI512" s="13">
        <f t="shared" si="94"/>
        <v>395.03800000000001</v>
      </c>
      <c r="AJ512" s="13">
        <f>0.17*SQRT([1]Parametros!$B$2)*H512*MIN(U512,AB512)/1000</f>
        <v>220.09872869180776</v>
      </c>
      <c r="AK512" s="13">
        <f>MAX(AI512/[1]Parametros!$B$6-AJ512,0)</f>
        <v>306.61860464152562</v>
      </c>
      <c r="AL512" s="13">
        <f>0.66*SQRT([1]Parametros!$B$2)*H512*MIN(U512,AB512)/1000</f>
        <v>854.500946685842</v>
      </c>
      <c r="AM512" s="13" t="str">
        <f t="shared" si="95"/>
        <v>CUMPLE</v>
      </c>
      <c r="AN512" s="13" t="s">
        <v>64</v>
      </c>
      <c r="AO512" s="14">
        <v>2</v>
      </c>
      <c r="AP512" s="13">
        <f>ROUNDDOWN(MIN(IF(BC512+BD512=0,1000000000,AO512*BB512/(BC512+BD512)),MIN(U512,AB512)/4,8*[1]Parametros!$B$12,24*BA512,300,IF(AV512=0,1000000000,2*((H512-2*([1]Parametros!$B$7+[1]Parametros!$B$9/2))+(I512-2*([1]Parametros!$B$7+[1]Parametros!$B$9/2)))/8))/10,0)*10</f>
        <v>90</v>
      </c>
      <c r="AQ512" s="13">
        <f>ROUNDDOWN(MIN(IF(BC512+BD512=0,1000000000,AO512*BB512/(BC512+BD512)),IF(AK512&gt;0.33*SQRT([1]Parametros!$B$2)*H512*MIN(U512,AB512)/1000,MIN(U512,AB512)/4,MIN(U512,AB512)/2),600,IF(AV512=0,1000000000,2*((H512-2*([1]Parametros!$B$7+[1]Parametros!$B$9/2))+(I512-2*([1]Parametros!$B$7+[1]Parametros!$B$9/2)))/8))/10,0)*10</f>
        <v>90</v>
      </c>
      <c r="AR512" s="13">
        <f>[1]Parametros!$B$6*(AJ512+MAX(BE512-BD512,0)*[1]Parametros!$B$4*MIN(U512,AB512)/1000)</f>
        <v>408.28099651885583</v>
      </c>
      <c r="AS512" s="13" t="str">
        <f t="shared" si="96"/>
        <v>CUMPLE</v>
      </c>
      <c r="AT512" s="13">
        <f>[1]Parametros!$B$6*0.083*SQRT([1]Parametros!$B$2)*(H512*I512)^2/(2*(H512+I512))/1000000</f>
        <v>11.862178757598967</v>
      </c>
      <c r="AU512" s="13" t="str">
        <f t="shared" si="97"/>
        <v>DESPRECIABLE</v>
      </c>
      <c r="AV512" s="13">
        <f>IF(Q512&lt;=AT512,0,Q512*1000000/([1]Parametros!$B$6*2*0.85*(H512-2*([1]Parametros!$B$7+[1]Parametros!$B$9/2))*(I512-2*([1]Parametros!$B$7+[1]Parametros!$B$9/2))*[1]Parametros!$B$4))</f>
        <v>0</v>
      </c>
      <c r="AW512" s="13">
        <f>AV512*2*((H512-2*([1]Parametros!$B$7+[1]Parametros!$B$9/2))+(I512-2*([1]Parametros!$B$7+[1]Parametros!$B$9/2)))*[1]Parametros!$B$4/[1]Parametros!$B$3</f>
        <v>0</v>
      </c>
      <c r="AX512" s="14">
        <v>0</v>
      </c>
      <c r="AY512" s="13" t="str">
        <f t="shared" si="98"/>
        <v>DESPRECIABLE</v>
      </c>
      <c r="AZ512" s="13" t="str">
        <f t="shared" si="99"/>
        <v>CUMPLE</v>
      </c>
      <c r="BA512" s="14">
        <v>9.5</v>
      </c>
      <c r="BB512" s="14">
        <v>71</v>
      </c>
      <c r="BC512" s="13">
        <f>MAX(IF(AK512=0,0,AK512*1000/([1]Parametros!$B$4*MIN(U512,AB512))),MAX(0.062*SQRT([1]Parametros!$B$2)*H512/[1]Parametros!$B$4,0.35*H512/[1]Parametros!$B$4))</f>
        <v>1.491865324952564</v>
      </c>
      <c r="BD512" s="13">
        <f t="shared" si="100"/>
        <v>0</v>
      </c>
      <c r="BE512" s="13">
        <f t="shared" si="101"/>
        <v>1.5777777777777777</v>
      </c>
      <c r="BF512" s="13">
        <f>SQRT((AI512*1000/(H512*MIN(U512,AB512)))^2+(Q512*1000000*2*((H512-2*([1]Parametros!$B$7+[1]Parametros!$B$9/2))+(I512-2*([1]Parametros!$B$7+[1]Parametros!$B$9/2)))/(1.7*((H512-2*([1]Parametros!$B$7+[1]Parametros!$B$9/2))*(I512-2*([1]Parametros!$B$7+[1]Parametros!$B$9/2)))^2))^2)</f>
        <v>1.6312342375315507</v>
      </c>
      <c r="BG512" s="13">
        <f>[1]Parametros!$B$6*(AJ512*1000/(H512*MIN(U512,AB512))+0.66*SQRT([1]Parametros!$B$2))</f>
        <v>3.2939603822754151</v>
      </c>
      <c r="BH512" s="13" t="str">
        <f t="shared" si="102"/>
        <v>CUMPLE</v>
      </c>
      <c r="BI512" s="13">
        <f>AX512*[1]Parametros!$B$8</f>
        <v>0</v>
      </c>
      <c r="BJ512" s="15" t="str">
        <f t="shared" si="103"/>
        <v>CUMPLE</v>
      </c>
    </row>
    <row r="513" spans="1:62" x14ac:dyDescent="0.3">
      <c r="A513" s="35" t="s">
        <v>77</v>
      </c>
      <c r="B513" s="36">
        <v>230</v>
      </c>
      <c r="C513" s="13">
        <v>1</v>
      </c>
      <c r="D513" s="13">
        <v>1.9</v>
      </c>
      <c r="E513" s="13">
        <v>1.9</v>
      </c>
      <c r="F513" s="13">
        <v>500</v>
      </c>
      <c r="G513" s="13">
        <v>550</v>
      </c>
      <c r="H513" s="13">
        <v>500</v>
      </c>
      <c r="I513" s="13">
        <v>550</v>
      </c>
      <c r="J513" s="14">
        <v>180.8938</v>
      </c>
      <c r="K513" s="13">
        <v>230</v>
      </c>
      <c r="L513" s="14">
        <v>119.4918</v>
      </c>
      <c r="M513" s="13">
        <v>230</v>
      </c>
      <c r="N513" s="14">
        <v>153.91800000000001</v>
      </c>
      <c r="O513" s="14">
        <v>595.57799999999997</v>
      </c>
      <c r="P513" s="13">
        <v>230</v>
      </c>
      <c r="Q513" s="14">
        <v>0.35920000000000002</v>
      </c>
      <c r="R513" s="13">
        <f>MAX(MAX(1.4/[1]Parametros!$B$3,0.25*SQRT([1]Parametros!$B$2)/[1]Parametros!$B$3)*H513*U513,(0.85*[1]Parametros!$B$2/[1]Parametros!$B$3)*(1-SQRT(1-2*(J513*1000000/([1]Parametros!$B$5*H513*U513^2))/(0.85*[1]Parametros!$B$2)))*H513*U513)</f>
        <v>1015.0997026851852</v>
      </c>
      <c r="S513" s="14">
        <v>6</v>
      </c>
      <c r="T513" s="14">
        <v>1</v>
      </c>
      <c r="U513" s="13">
        <f>IF(T513=1,I513-([1]Parametros!$B$7+[1]Parametros!$B$9+[1]Parametros!$B$12/2),I513-(ROUNDUP(S513/2,0)*([1]Parametros!$B$7+[1]Parametros!$B$9+[1]Parametros!$B$12/2)+ROUNDDOWN(S513/2,0)*([1]Parametros!$B$7+[1]Parametros!$B$9+[1]Parametros!$B$12/2+[1]Parametros!$B$12+[1]Parametros!$B$10))/S513)</f>
        <v>489.35</v>
      </c>
      <c r="V513" s="13">
        <f>S513*[1]Parametros!$B$8</f>
        <v>1194</v>
      </c>
      <c r="W513" s="13">
        <f>[1]Parametros!$B$5*V513*[1]Parametros!$B$3*(U513-(V513*[1]Parametros!$B$3/(0.85*[1]Parametros!$B$2*H513))/2)/1000000</f>
        <v>211.34948347058827</v>
      </c>
      <c r="X513" s="13" t="str">
        <f t="shared" si="91"/>
        <v>CUMPLE</v>
      </c>
      <c r="Y513" s="13">
        <f>MAX(MAX(1.4/[1]Parametros!$B$3,0.25*SQRT([1]Parametros!$B$2)/[1]Parametros!$B$3)*H513*AB513,(0.85*[1]Parametros!$B$2/[1]Parametros!$B$3)*(1-SQRT(1-2*(L513*1000000/([1]Parametros!$B$5*H513*AB513^2))/(0.85*[1]Parametros!$B$2)))*H513*AB513)</f>
        <v>815.58333333333326</v>
      </c>
      <c r="Z513" s="14">
        <v>5</v>
      </c>
      <c r="AA513" s="14">
        <v>1</v>
      </c>
      <c r="AB513" s="13">
        <f>IF(AA513=1,I513-([1]Parametros!$B$7+[1]Parametros!$B$9+[1]Parametros!$B$12/2),I513-(ROUNDUP(Z513/2,0)*([1]Parametros!$B$7+[1]Parametros!$B$9+[1]Parametros!$B$12/2)+ROUNDDOWN(Z513/2,0)*([1]Parametros!$B$7+[1]Parametros!$B$9+[1]Parametros!$B$12/2+[1]Parametros!$B$12+[1]Parametros!$B$10))/Z513)</f>
        <v>489.35</v>
      </c>
      <c r="AC513" s="13">
        <f>Z513*[1]Parametros!$B$8</f>
        <v>995</v>
      </c>
      <c r="AD513" s="13">
        <f>[1]Parametros!$B$5*AC513*[1]Parametros!$B$3*(AB513-(AC513*[1]Parametros!$B$3/(0.85*[1]Parametros!$B$2*H513))/2)/1000000</f>
        <v>177.44537938235294</v>
      </c>
      <c r="AE513" s="13" t="str">
        <f t="shared" si="92"/>
        <v>CUMPLE</v>
      </c>
      <c r="AF513" s="13">
        <f>V513*1.25*[1]Parametros!$B$3*(U513-(V513*1.25*[1]Parametros!$B$3/(0.85*[1]Parametros!$B$2*H513))/2)/1000000</f>
        <v>290.23892470588237</v>
      </c>
      <c r="AG513" s="13">
        <f>AC513*1.25*[1]Parametros!$B$3*(AB513-(AC513*1.25*[1]Parametros!$B$3/(0.85*[1]Parametros!$B$2*H513))/2)/1000000</f>
        <v>244.15884319852941</v>
      </c>
      <c r="AH513" s="13">
        <f t="shared" si="93"/>
        <v>435.1799831075852</v>
      </c>
      <c r="AI513" s="13">
        <f t="shared" si="94"/>
        <v>595.57799999999997</v>
      </c>
      <c r="AJ513" s="13">
        <f>0.17*SQRT([1]Parametros!$B$2)*H513*MIN(U513,AB513)/1000</f>
        <v>220.09872869180776</v>
      </c>
      <c r="AK513" s="13">
        <f>MAX(AI513/[1]Parametros!$B$6-AJ513,0)</f>
        <v>574.00527130819216</v>
      </c>
      <c r="AL513" s="13">
        <f>0.66*SQRT([1]Parametros!$B$2)*H513*MIN(U513,AB513)/1000</f>
        <v>854.500946685842</v>
      </c>
      <c r="AM513" s="13" t="str">
        <f t="shared" si="95"/>
        <v>CUMPLE</v>
      </c>
      <c r="AN513" s="13" t="s">
        <v>68</v>
      </c>
      <c r="AO513" s="14">
        <v>2</v>
      </c>
      <c r="AP513" s="13">
        <f>ROUNDDOWN(MIN(IF(BC513+BD513=0,1000000000,AO513*BB513/(BC513+BD513)),MIN(U513,AB513)/4,8*[1]Parametros!$B$12,24*BA513,300,IF(AV513=0,1000000000,2*((H513-2*([1]Parametros!$B$7+[1]Parametros!$B$9/2))+(I513-2*([1]Parametros!$B$7+[1]Parametros!$B$9/2)))/8))/10,0)*10</f>
        <v>90</v>
      </c>
      <c r="AQ513" s="13">
        <f>ROUNDDOWN(MIN(IF(BC513+BD513=0,1000000000,AO513*BB513/(BC513+BD513)),IF(AK513&gt;0.33*SQRT([1]Parametros!$B$2)*H513*MIN(U513,AB513)/1000,MIN(U513,AB513)/4,MIN(U513,AB513)/2),600,IF(AV513=0,1000000000,2*((H513-2*([1]Parametros!$B$7+[1]Parametros!$B$9/2))+(I513-2*([1]Parametros!$B$7+[1]Parametros!$B$9/2)))/8))/10,0)*10</f>
        <v>90</v>
      </c>
      <c r="AR513" s="13">
        <f>[1]Parametros!$B$6*(AJ513+MAX(BE513-BD513,0)*[1]Parametros!$B$4*MIN(U513,AB513)/1000)</f>
        <v>606.95709651885591</v>
      </c>
      <c r="AS513" s="13" t="str">
        <f t="shared" si="96"/>
        <v>CUMPLE</v>
      </c>
      <c r="AT513" s="13">
        <f>[1]Parametros!$B$6*0.083*SQRT([1]Parametros!$B$2)*(H513*I513)^2/(2*(H513+I513))/1000000</f>
        <v>11.862178757598967</v>
      </c>
      <c r="AU513" s="13" t="str">
        <f t="shared" si="97"/>
        <v>DESPRECIABLE</v>
      </c>
      <c r="AV513" s="13">
        <f>IF(Q513&lt;=AT513,0,Q513*1000000/([1]Parametros!$B$6*2*0.85*(H513-2*([1]Parametros!$B$7+[1]Parametros!$B$9/2))*(I513-2*([1]Parametros!$B$7+[1]Parametros!$B$9/2))*[1]Parametros!$B$4))</f>
        <v>0</v>
      </c>
      <c r="AW513" s="13">
        <f>AV513*2*((H513-2*([1]Parametros!$B$7+[1]Parametros!$B$9/2))+(I513-2*([1]Parametros!$B$7+[1]Parametros!$B$9/2)))*[1]Parametros!$B$4/[1]Parametros!$B$3</f>
        <v>0</v>
      </c>
      <c r="AX513" s="14">
        <v>0</v>
      </c>
      <c r="AY513" s="13" t="str">
        <f t="shared" si="98"/>
        <v>DESPRECIABLE</v>
      </c>
      <c r="AZ513" s="13" t="str">
        <f t="shared" si="99"/>
        <v>CUMPLE</v>
      </c>
      <c r="BA513" s="14">
        <v>12.7</v>
      </c>
      <c r="BB513" s="14">
        <v>129</v>
      </c>
      <c r="BC513" s="13">
        <f>MAX(IF(AK513=0,0,AK513*1000/([1]Parametros!$B$4*MIN(U513,AB513))),MAX(0.062*SQRT([1]Parametros!$B$2)*H513/[1]Parametros!$B$4,0.35*H513/[1]Parametros!$B$4))</f>
        <v>2.7928460557892256</v>
      </c>
      <c r="BD513" s="13">
        <f t="shared" si="100"/>
        <v>0</v>
      </c>
      <c r="BE513" s="13">
        <f t="shared" si="101"/>
        <v>2.8666666666666667</v>
      </c>
      <c r="BF513" s="13">
        <f>SQRT((AI513*1000/(H513*MIN(U513,AB513)))^2+(Q513*1000000*2*((H513-2*([1]Parametros!$B$7+[1]Parametros!$B$9/2))+(I513-2*([1]Parametros!$B$7+[1]Parametros!$B$9/2)))/(1.7*((H513-2*([1]Parametros!$B$7+[1]Parametros!$B$9/2))*(I513-2*([1]Parametros!$B$7+[1]Parametros!$B$9/2)))^2))^2)</f>
        <v>2.4341823830369749</v>
      </c>
      <c r="BG513" s="13">
        <f>[1]Parametros!$B$6*(AJ513*1000/(H513*MIN(U513,AB513))+0.66*SQRT([1]Parametros!$B$2))</f>
        <v>3.2939603822754151</v>
      </c>
      <c r="BH513" s="13" t="str">
        <f t="shared" si="102"/>
        <v>CUMPLE</v>
      </c>
      <c r="BI513" s="13">
        <f>AX513*[1]Parametros!$B$8</f>
        <v>0</v>
      </c>
      <c r="BJ513" s="15" t="str">
        <f t="shared" si="103"/>
        <v>CUMPLE</v>
      </c>
    </row>
    <row r="514" spans="1:62" x14ac:dyDescent="0.3">
      <c r="A514" s="35" t="s">
        <v>77</v>
      </c>
      <c r="B514" s="36">
        <v>231</v>
      </c>
      <c r="C514" s="13">
        <v>1</v>
      </c>
      <c r="D514" s="13">
        <v>2</v>
      </c>
      <c r="E514" s="13">
        <v>2</v>
      </c>
      <c r="F514" s="13">
        <v>500</v>
      </c>
      <c r="G514" s="13">
        <v>550</v>
      </c>
      <c r="H514" s="13">
        <v>500</v>
      </c>
      <c r="I514" s="13">
        <v>550</v>
      </c>
      <c r="J514" s="14">
        <v>278.40089999999998</v>
      </c>
      <c r="K514" s="13">
        <v>231</v>
      </c>
      <c r="L514" s="14">
        <v>119.8124</v>
      </c>
      <c r="M514" s="13">
        <v>231</v>
      </c>
      <c r="N514" s="14">
        <v>209.93199999999999</v>
      </c>
      <c r="O514" s="14">
        <v>358.43400000000003</v>
      </c>
      <c r="P514" s="13">
        <v>231</v>
      </c>
      <c r="Q514" s="14">
        <v>9.2657000000000007</v>
      </c>
      <c r="R514" s="13">
        <f>MAX(MAX(1.4/[1]Parametros!$B$3,0.25*SQRT([1]Parametros!$B$2)/[1]Parametros!$B$3)*H514*U514,(0.85*[1]Parametros!$B$2/[1]Parametros!$B$3)*(1-SQRT(1-2*(J514*1000000/([1]Parametros!$B$5*H514*U514^2))/(0.85*[1]Parametros!$B$2)))*H514*U514)</f>
        <v>1597.0590901569669</v>
      </c>
      <c r="S514" s="14">
        <v>9</v>
      </c>
      <c r="T514" s="14">
        <v>1</v>
      </c>
      <c r="U514" s="13">
        <f>IF(T514=1,I514-([1]Parametros!$B$7+[1]Parametros!$B$9+[1]Parametros!$B$12/2),I514-(ROUNDUP(S514/2,0)*([1]Parametros!$B$7+[1]Parametros!$B$9+[1]Parametros!$B$12/2)+ROUNDDOWN(S514/2,0)*([1]Parametros!$B$7+[1]Parametros!$B$9+[1]Parametros!$B$12/2+[1]Parametros!$B$12+[1]Parametros!$B$10))/S514)</f>
        <v>489.35</v>
      </c>
      <c r="V514" s="13">
        <f>S514*[1]Parametros!$B$8</f>
        <v>1791</v>
      </c>
      <c r="W514" s="13">
        <f>[1]Parametros!$B$5*V514*[1]Parametros!$B$3*(U514-(V514*[1]Parametros!$B$3/(0.85*[1]Parametros!$B$2*H514))/2)/1000000</f>
        <v>309.89185215882355</v>
      </c>
      <c r="X514" s="13" t="str">
        <f t="shared" si="91"/>
        <v>CUMPLE</v>
      </c>
      <c r="Y514" s="13">
        <f>MAX(MAX(1.4/[1]Parametros!$B$3,0.25*SQRT([1]Parametros!$B$2)/[1]Parametros!$B$3)*H514*AB514,(0.85*[1]Parametros!$B$2/[1]Parametros!$B$3)*(1-SQRT(1-2*(L514*1000000/([1]Parametros!$B$5*H514*AB514^2))/(0.85*[1]Parametros!$B$2)))*H514*AB514)</f>
        <v>815.58333333333326</v>
      </c>
      <c r="Z514" s="14">
        <v>5</v>
      </c>
      <c r="AA514" s="14">
        <v>1</v>
      </c>
      <c r="AB514" s="13">
        <f>IF(AA514=1,I514-([1]Parametros!$B$7+[1]Parametros!$B$9+[1]Parametros!$B$12/2),I514-(ROUNDUP(Z514/2,0)*([1]Parametros!$B$7+[1]Parametros!$B$9+[1]Parametros!$B$12/2)+ROUNDDOWN(Z514/2,0)*([1]Parametros!$B$7+[1]Parametros!$B$9+[1]Parametros!$B$12/2+[1]Parametros!$B$12+[1]Parametros!$B$10))/Z514)</f>
        <v>489.35</v>
      </c>
      <c r="AC514" s="13">
        <f>Z514*[1]Parametros!$B$8</f>
        <v>995</v>
      </c>
      <c r="AD514" s="13">
        <f>[1]Parametros!$B$5*AC514*[1]Parametros!$B$3*(AB514-(AC514*[1]Parametros!$B$3/(0.85*[1]Parametros!$B$2*H514))/2)/1000000</f>
        <v>177.44537938235294</v>
      </c>
      <c r="AE514" s="13" t="str">
        <f t="shared" si="92"/>
        <v>CUMPLE</v>
      </c>
      <c r="AF514" s="13">
        <f>V514*1.25*[1]Parametros!$B$3*(U514-(V514*1.25*[1]Parametros!$B$3/(0.85*[1]Parametros!$B$2*H514))/2)/1000000</f>
        <v>422.97579496323533</v>
      </c>
      <c r="AG514" s="13">
        <f>AC514*1.25*[1]Parametros!$B$3*(AB514-(AC514*1.25*[1]Parametros!$B$3/(0.85*[1]Parametros!$B$2*H514))/2)/1000000</f>
        <v>244.15884319852941</v>
      </c>
      <c r="AH514" s="13">
        <f t="shared" si="93"/>
        <v>543.4993190808824</v>
      </c>
      <c r="AI514" s="13">
        <f t="shared" si="94"/>
        <v>543.4993190808824</v>
      </c>
      <c r="AJ514" s="13">
        <f>0.17*SQRT([1]Parametros!$B$2)*H514*MIN(U514,AB514)/1000</f>
        <v>220.09872869180776</v>
      </c>
      <c r="AK514" s="13">
        <f>MAX(AI514/[1]Parametros!$B$6-AJ514,0)</f>
        <v>504.5670300827021</v>
      </c>
      <c r="AL514" s="13">
        <f>0.66*SQRT([1]Parametros!$B$2)*H514*MIN(U514,AB514)/1000</f>
        <v>854.500946685842</v>
      </c>
      <c r="AM514" s="13" t="str">
        <f t="shared" si="95"/>
        <v>CUMPLE</v>
      </c>
      <c r="AN514" s="13" t="s">
        <v>68</v>
      </c>
      <c r="AO514" s="14">
        <v>2</v>
      </c>
      <c r="AP514" s="13">
        <f>ROUNDDOWN(MIN(IF(BC514+BD514=0,1000000000,AO514*BB514/(BC514+BD514)),MIN(U514,AB514)/4,8*[1]Parametros!$B$12,24*BA514,300,IF(AV514=0,1000000000,2*((H514-2*([1]Parametros!$B$7+[1]Parametros!$B$9/2))+(I514-2*([1]Parametros!$B$7+[1]Parametros!$B$9/2)))/8))/10,0)*10</f>
        <v>100</v>
      </c>
      <c r="AQ514" s="13">
        <f>ROUNDDOWN(MIN(IF(BC514+BD514=0,1000000000,AO514*BB514/(BC514+BD514)),IF(AK514&gt;0.33*SQRT([1]Parametros!$B$2)*H514*MIN(U514,AB514)/1000,MIN(U514,AB514)/4,MIN(U514,AB514)/2),600,IF(AV514=0,1000000000,2*((H514-2*([1]Parametros!$B$7+[1]Parametros!$B$9/2))+(I514-2*([1]Parametros!$B$7+[1]Parametros!$B$9/2)))/8))/10,0)*10</f>
        <v>100</v>
      </c>
      <c r="AR514" s="13">
        <f>[1]Parametros!$B$6*(AJ514+MAX(BE514-BD514,0)*[1]Parametros!$B$4*MIN(U514,AB514)/1000)</f>
        <v>562.76879151885601</v>
      </c>
      <c r="AS514" s="13" t="str">
        <f t="shared" si="96"/>
        <v>CUMPLE</v>
      </c>
      <c r="AT514" s="13">
        <f>[1]Parametros!$B$6*0.083*SQRT([1]Parametros!$B$2)*(H514*I514)^2/(2*(H514+I514))/1000000</f>
        <v>11.862178757598967</v>
      </c>
      <c r="AU514" s="13" t="str">
        <f t="shared" si="97"/>
        <v>DESPRECIABLE</v>
      </c>
      <c r="AV514" s="13">
        <f>IF(Q514&lt;=AT514,0,Q514*1000000/([1]Parametros!$B$6*2*0.85*(H514-2*([1]Parametros!$B$7+[1]Parametros!$B$9/2))*(I514-2*([1]Parametros!$B$7+[1]Parametros!$B$9/2))*[1]Parametros!$B$4))</f>
        <v>0</v>
      </c>
      <c r="AW514" s="13">
        <f>AV514*2*((H514-2*([1]Parametros!$B$7+[1]Parametros!$B$9/2))+(I514-2*([1]Parametros!$B$7+[1]Parametros!$B$9/2)))*[1]Parametros!$B$4/[1]Parametros!$B$3</f>
        <v>0</v>
      </c>
      <c r="AX514" s="14">
        <v>0</v>
      </c>
      <c r="AY514" s="13" t="str">
        <f t="shared" si="98"/>
        <v>DESPRECIABLE</v>
      </c>
      <c r="AZ514" s="13" t="str">
        <f t="shared" si="99"/>
        <v>CUMPLE</v>
      </c>
      <c r="BA514" s="14">
        <v>12.7</v>
      </c>
      <c r="BB514" s="14">
        <v>129</v>
      </c>
      <c r="BC514" s="13">
        <f>MAX(IF(AK514=0,0,AK514*1000/([1]Parametros!$B$4*MIN(U514,AB514))),MAX(0.062*SQRT([1]Parametros!$B$2)*H514/[1]Parametros!$B$4,0.35*H514/[1]Parametros!$B$4))</f>
        <v>2.4549914613783206</v>
      </c>
      <c r="BD514" s="13">
        <f t="shared" si="100"/>
        <v>0</v>
      </c>
      <c r="BE514" s="13">
        <f t="shared" si="101"/>
        <v>2.58</v>
      </c>
      <c r="BF514" s="13">
        <f>SQRT((AI514*1000/(H514*MIN(U514,AB514)))^2+(Q514*1000000*2*((H514-2*([1]Parametros!$B$7+[1]Parametros!$B$9/2))+(I514-2*([1]Parametros!$B$7+[1]Parametros!$B$9/2)))/(1.7*((H514-2*([1]Parametros!$B$7+[1]Parametros!$B$9/2))*(I514-2*([1]Parametros!$B$7+[1]Parametros!$B$9/2)))^2))^2)</f>
        <v>2.2378625100447875</v>
      </c>
      <c r="BG514" s="13">
        <f>[1]Parametros!$B$6*(AJ514*1000/(H514*MIN(U514,AB514))+0.66*SQRT([1]Parametros!$B$2))</f>
        <v>3.2939603822754151</v>
      </c>
      <c r="BH514" s="13" t="str">
        <f t="shared" si="102"/>
        <v>CUMPLE</v>
      </c>
      <c r="BI514" s="13">
        <f>AX514*[1]Parametros!$B$8</f>
        <v>0</v>
      </c>
      <c r="BJ514" s="15" t="str">
        <f t="shared" si="103"/>
        <v>CUMPLE</v>
      </c>
    </row>
    <row r="515" spans="1:62" x14ac:dyDescent="0.3">
      <c r="A515" s="35" t="s">
        <v>77</v>
      </c>
      <c r="B515" s="36">
        <v>232</v>
      </c>
      <c r="C515" s="13">
        <v>1</v>
      </c>
      <c r="D515" s="13">
        <v>2.35</v>
      </c>
      <c r="E515" s="13">
        <v>2.35</v>
      </c>
      <c r="F515" s="13">
        <v>500</v>
      </c>
      <c r="G515" s="13">
        <v>550</v>
      </c>
      <c r="H515" s="13">
        <v>500</v>
      </c>
      <c r="I515" s="13">
        <v>550</v>
      </c>
      <c r="J515" s="14">
        <v>266.33080000000001</v>
      </c>
      <c r="K515" s="13">
        <v>232</v>
      </c>
      <c r="L515" s="14">
        <v>132.93620000000001</v>
      </c>
      <c r="M515" s="13">
        <v>232</v>
      </c>
      <c r="N515" s="14">
        <v>208.95099999999999</v>
      </c>
      <c r="O515" s="14">
        <v>357.92899999999997</v>
      </c>
      <c r="P515" s="13">
        <v>232</v>
      </c>
      <c r="Q515" s="14">
        <v>11.0037</v>
      </c>
      <c r="R515" s="13">
        <f>MAX(MAX(1.4/[1]Parametros!$B$3,0.25*SQRT([1]Parametros!$B$2)/[1]Parametros!$B$3)*H515*U515,(0.85*[1]Parametros!$B$2/[1]Parametros!$B$3)*(1-SQRT(1-2*(J515*1000000/([1]Parametros!$B$5*H515*U515^2))/(0.85*[1]Parametros!$B$2)))*H515*U515)</f>
        <v>1523.5318118454547</v>
      </c>
      <c r="S515" s="14">
        <v>8</v>
      </c>
      <c r="T515" s="14">
        <v>1</v>
      </c>
      <c r="U515" s="13">
        <f>IF(T515=1,I515-([1]Parametros!$B$7+[1]Parametros!$B$9+[1]Parametros!$B$12/2),I515-(ROUNDUP(S515/2,0)*([1]Parametros!$B$7+[1]Parametros!$B$9+[1]Parametros!$B$12/2)+ROUNDDOWN(S515/2,0)*([1]Parametros!$B$7+[1]Parametros!$B$9+[1]Parametros!$B$12/2+[1]Parametros!$B$12+[1]Parametros!$B$10))/S515)</f>
        <v>489.35</v>
      </c>
      <c r="V515" s="13">
        <f>S515*[1]Parametros!$B$8</f>
        <v>1592</v>
      </c>
      <c r="W515" s="13">
        <f>[1]Parametros!$B$5*V515*[1]Parametros!$B$3*(U515-(V515*[1]Parametros!$B$3/(0.85*[1]Parametros!$B$2*H515))/2)/1000000</f>
        <v>277.57271985882352</v>
      </c>
      <c r="X515" s="13" t="str">
        <f t="shared" si="91"/>
        <v>CUMPLE</v>
      </c>
      <c r="Y515" s="13">
        <f>MAX(MAX(1.4/[1]Parametros!$B$3,0.25*SQRT([1]Parametros!$B$2)/[1]Parametros!$B$3)*H515*AB515,(0.85*[1]Parametros!$B$2/[1]Parametros!$B$3)*(1-SQRT(1-2*(L515*1000000/([1]Parametros!$B$5*H515*AB515^2))/(0.85*[1]Parametros!$B$2)))*H515*AB515)</f>
        <v>815.58333333333326</v>
      </c>
      <c r="Z515" s="14">
        <v>5</v>
      </c>
      <c r="AA515" s="14">
        <v>1</v>
      </c>
      <c r="AB515" s="13">
        <f>IF(AA515=1,I515-([1]Parametros!$B$7+[1]Parametros!$B$9+[1]Parametros!$B$12/2),I515-(ROUNDUP(Z515/2,0)*([1]Parametros!$B$7+[1]Parametros!$B$9+[1]Parametros!$B$12/2)+ROUNDDOWN(Z515/2,0)*([1]Parametros!$B$7+[1]Parametros!$B$9+[1]Parametros!$B$12/2+[1]Parametros!$B$12+[1]Parametros!$B$10))/Z515)</f>
        <v>489.35</v>
      </c>
      <c r="AC515" s="13">
        <f>Z515*[1]Parametros!$B$8</f>
        <v>995</v>
      </c>
      <c r="AD515" s="13">
        <f>[1]Parametros!$B$5*AC515*[1]Parametros!$B$3*(AB515-(AC515*[1]Parametros!$B$3/(0.85*[1]Parametros!$B$2*H515))/2)/1000000</f>
        <v>177.44537938235294</v>
      </c>
      <c r="AE515" s="13" t="str">
        <f t="shared" si="92"/>
        <v>CUMPLE</v>
      </c>
      <c r="AF515" s="13">
        <f>V515*1.25*[1]Parametros!$B$3*(U515-(V515*1.25*[1]Parametros!$B$3/(0.85*[1]Parametros!$B$2*H515))/2)/1000000</f>
        <v>379.64740058823531</v>
      </c>
      <c r="AG515" s="13">
        <f>AC515*1.25*[1]Parametros!$B$3*(AB515-(AC515*1.25*[1]Parametros!$B$3/(0.85*[1]Parametros!$B$2*H515))/2)/1000000</f>
        <v>244.15884319852941</v>
      </c>
      <c r="AH515" s="13">
        <f t="shared" si="93"/>
        <v>474.40046544117649</v>
      </c>
      <c r="AI515" s="13">
        <f t="shared" si="94"/>
        <v>474.40046544117649</v>
      </c>
      <c r="AJ515" s="13">
        <f>0.17*SQRT([1]Parametros!$B$2)*H515*MIN(U515,AB515)/1000</f>
        <v>220.09872869180776</v>
      </c>
      <c r="AK515" s="13">
        <f>MAX(AI515/[1]Parametros!$B$6-AJ515,0)</f>
        <v>412.43522522976093</v>
      </c>
      <c r="AL515" s="13">
        <f>0.66*SQRT([1]Parametros!$B$2)*H515*MIN(U515,AB515)/1000</f>
        <v>854.500946685842</v>
      </c>
      <c r="AM515" s="13" t="str">
        <f t="shared" si="95"/>
        <v>CUMPLE</v>
      </c>
      <c r="AN515" s="13" t="s">
        <v>68</v>
      </c>
      <c r="AO515" s="14">
        <v>2</v>
      </c>
      <c r="AP515" s="13">
        <f>ROUNDDOWN(MIN(IF(BC515+BD515=0,1000000000,AO515*BB515/(BC515+BD515)),MIN(U515,AB515)/4,8*[1]Parametros!$B$12,24*BA515,300,IF(AV515=0,1000000000,2*((H515-2*([1]Parametros!$B$7+[1]Parametros!$B$9/2))+(I515-2*([1]Parametros!$B$7+[1]Parametros!$B$9/2)))/8))/10,0)*10</f>
        <v>120</v>
      </c>
      <c r="AQ515" s="13">
        <f>ROUNDDOWN(MIN(IF(BC515+BD515=0,1000000000,AO515*BB515/(BC515+BD515)),IF(AK515&gt;0.33*SQRT([1]Parametros!$B$2)*H515*MIN(U515,AB515)/1000,MIN(U515,AB515)/4,MIN(U515,AB515)/2),600,IF(AV515=0,1000000000,2*((H515-2*([1]Parametros!$B$7+[1]Parametros!$B$9/2))+(I515-2*([1]Parametros!$B$7+[1]Parametros!$B$9/2)))/8))/10,0)*10</f>
        <v>120</v>
      </c>
      <c r="AR515" s="13">
        <f>[1]Parametros!$B$6*(AJ515+MAX(BE515-BD515,0)*[1]Parametros!$B$4*MIN(U515,AB515)/1000)</f>
        <v>496.48633401885581</v>
      </c>
      <c r="AS515" s="13" t="str">
        <f t="shared" si="96"/>
        <v>CUMPLE</v>
      </c>
      <c r="AT515" s="13">
        <f>[1]Parametros!$B$6*0.083*SQRT([1]Parametros!$B$2)*(H515*I515)^2/(2*(H515+I515))/1000000</f>
        <v>11.862178757598967</v>
      </c>
      <c r="AU515" s="13" t="str">
        <f t="shared" si="97"/>
        <v>DESPRECIABLE</v>
      </c>
      <c r="AV515" s="13">
        <f>IF(Q515&lt;=AT515,0,Q515*1000000/([1]Parametros!$B$6*2*0.85*(H515-2*([1]Parametros!$B$7+[1]Parametros!$B$9/2))*(I515-2*([1]Parametros!$B$7+[1]Parametros!$B$9/2))*[1]Parametros!$B$4))</f>
        <v>0</v>
      </c>
      <c r="AW515" s="13">
        <f>AV515*2*((H515-2*([1]Parametros!$B$7+[1]Parametros!$B$9/2))+(I515-2*([1]Parametros!$B$7+[1]Parametros!$B$9/2)))*[1]Parametros!$B$4/[1]Parametros!$B$3</f>
        <v>0</v>
      </c>
      <c r="AX515" s="14">
        <v>0</v>
      </c>
      <c r="AY515" s="13" t="str">
        <f t="shared" si="98"/>
        <v>DESPRECIABLE</v>
      </c>
      <c r="AZ515" s="13" t="str">
        <f t="shared" si="99"/>
        <v>CUMPLE</v>
      </c>
      <c r="BA515" s="14">
        <v>12.7</v>
      </c>
      <c r="BB515" s="14">
        <v>129</v>
      </c>
      <c r="BC515" s="13">
        <f>MAX(IF(AK515=0,0,AK515*1000/([1]Parametros!$B$4*MIN(U515,AB515))),MAX(0.062*SQRT([1]Parametros!$B$2)*H515/[1]Parametros!$B$4,0.35*H515/[1]Parametros!$B$4))</f>
        <v>2.0067204076824989</v>
      </c>
      <c r="BD515" s="13">
        <f t="shared" si="100"/>
        <v>0</v>
      </c>
      <c r="BE515" s="13">
        <f t="shared" si="101"/>
        <v>2.15</v>
      </c>
      <c r="BF515" s="13">
        <f>SQRT((AI515*1000/(H515*MIN(U515,AB515)))^2+(Q515*1000000*2*((H515-2*([1]Parametros!$B$7+[1]Parametros!$B$9/2))+(I515-2*([1]Parametros!$B$7+[1]Parametros!$B$9/2)))/(1.7*((H515-2*([1]Parametros!$B$7+[1]Parametros!$B$9/2))*(I515-2*([1]Parametros!$B$7+[1]Parametros!$B$9/2)))^2))^2)</f>
        <v>1.9655596136104847</v>
      </c>
      <c r="BG515" s="13">
        <f>[1]Parametros!$B$6*(AJ515*1000/(H515*MIN(U515,AB515))+0.66*SQRT([1]Parametros!$B$2))</f>
        <v>3.2939603822754151</v>
      </c>
      <c r="BH515" s="13" t="str">
        <f t="shared" si="102"/>
        <v>CUMPLE</v>
      </c>
      <c r="BI515" s="13">
        <f>AX515*[1]Parametros!$B$8</f>
        <v>0</v>
      </c>
      <c r="BJ515" s="15" t="str">
        <f t="shared" si="103"/>
        <v>CUMPLE</v>
      </c>
    </row>
    <row r="516" spans="1:62" x14ac:dyDescent="0.3">
      <c r="A516" s="35" t="s">
        <v>77</v>
      </c>
      <c r="B516" s="36">
        <v>781</v>
      </c>
      <c r="C516" s="13">
        <v>1</v>
      </c>
      <c r="D516" s="13">
        <v>2.35</v>
      </c>
      <c r="E516" s="13">
        <v>2.35</v>
      </c>
      <c r="F516" s="13">
        <v>500</v>
      </c>
      <c r="G516" s="13">
        <v>550</v>
      </c>
      <c r="H516" s="13">
        <v>500</v>
      </c>
      <c r="I516" s="13">
        <v>550</v>
      </c>
      <c r="J516" s="14">
        <v>245.13730000000001</v>
      </c>
      <c r="K516" s="13">
        <v>781</v>
      </c>
      <c r="L516" s="14">
        <v>133.90479999999999</v>
      </c>
      <c r="M516" s="13">
        <v>781</v>
      </c>
      <c r="N516" s="14">
        <v>201.738</v>
      </c>
      <c r="O516" s="14">
        <v>325.447</v>
      </c>
      <c r="P516" s="13">
        <v>781</v>
      </c>
      <c r="Q516" s="14">
        <v>9.1321999999999992</v>
      </c>
      <c r="R516" s="13">
        <f>MAX(MAX(1.4/[1]Parametros!$B$3,0.25*SQRT([1]Parametros!$B$2)/[1]Parametros!$B$3)*H516*U516,(0.85*[1]Parametros!$B$2/[1]Parametros!$B$3)*(1-SQRT(1-2*(J516*1000000/([1]Parametros!$B$5*H516*U516^2))/(0.85*[1]Parametros!$B$2)))*H516*U516)</f>
        <v>1395.4765742059587</v>
      </c>
      <c r="S516" s="14">
        <v>8</v>
      </c>
      <c r="T516" s="14">
        <v>1</v>
      </c>
      <c r="U516" s="13">
        <f>IF(T516=1,I516-([1]Parametros!$B$7+[1]Parametros!$B$9+[1]Parametros!$B$12/2),I516-(ROUNDUP(S516/2,0)*([1]Parametros!$B$7+[1]Parametros!$B$9+[1]Parametros!$B$12/2)+ROUNDDOWN(S516/2,0)*([1]Parametros!$B$7+[1]Parametros!$B$9+[1]Parametros!$B$12/2+[1]Parametros!$B$12+[1]Parametros!$B$10))/S516)</f>
        <v>489.35</v>
      </c>
      <c r="V516" s="13">
        <f>S516*[1]Parametros!$B$8</f>
        <v>1592</v>
      </c>
      <c r="W516" s="13">
        <f>[1]Parametros!$B$5*V516*[1]Parametros!$B$3*(U516-(V516*[1]Parametros!$B$3/(0.85*[1]Parametros!$B$2*H516))/2)/1000000</f>
        <v>277.57271985882352</v>
      </c>
      <c r="X516" s="13" t="str">
        <f t="shared" ref="X516:X579" si="104">IF(W516&gt;=J516,"CUMPLE","NO CUMPLE")</f>
        <v>CUMPLE</v>
      </c>
      <c r="Y516" s="13">
        <f>MAX(MAX(1.4/[1]Parametros!$B$3,0.25*SQRT([1]Parametros!$B$2)/[1]Parametros!$B$3)*H516*AB516,(0.85*[1]Parametros!$B$2/[1]Parametros!$B$3)*(1-SQRT(1-2*(L516*1000000/([1]Parametros!$B$5*H516*AB516^2))/(0.85*[1]Parametros!$B$2)))*H516*AB516)</f>
        <v>815.58333333333326</v>
      </c>
      <c r="Z516" s="14">
        <v>5</v>
      </c>
      <c r="AA516" s="14">
        <v>1</v>
      </c>
      <c r="AB516" s="13">
        <f>IF(AA516=1,I516-([1]Parametros!$B$7+[1]Parametros!$B$9+[1]Parametros!$B$12/2),I516-(ROUNDUP(Z516/2,0)*([1]Parametros!$B$7+[1]Parametros!$B$9+[1]Parametros!$B$12/2)+ROUNDDOWN(Z516/2,0)*([1]Parametros!$B$7+[1]Parametros!$B$9+[1]Parametros!$B$12/2+[1]Parametros!$B$12+[1]Parametros!$B$10))/Z516)</f>
        <v>489.35</v>
      </c>
      <c r="AC516" s="13">
        <f>Z516*[1]Parametros!$B$8</f>
        <v>995</v>
      </c>
      <c r="AD516" s="13">
        <f>[1]Parametros!$B$5*AC516*[1]Parametros!$B$3*(AB516-(AC516*[1]Parametros!$B$3/(0.85*[1]Parametros!$B$2*H516))/2)/1000000</f>
        <v>177.44537938235294</v>
      </c>
      <c r="AE516" s="13" t="str">
        <f t="shared" ref="AE516:AE579" si="105">IF(AD516&gt;=L516,"CUMPLE","NO CUMPLE")</f>
        <v>CUMPLE</v>
      </c>
      <c r="AF516" s="13">
        <f>V516*1.25*[1]Parametros!$B$3*(U516-(V516*1.25*[1]Parametros!$B$3/(0.85*[1]Parametros!$B$2*H516))/2)/1000000</f>
        <v>379.64740058823531</v>
      </c>
      <c r="AG516" s="13">
        <f>AC516*1.25*[1]Parametros!$B$3*(AB516-(AC516*1.25*[1]Parametros!$B$3/(0.85*[1]Parametros!$B$2*H516))/2)/1000000</f>
        <v>244.15884319852941</v>
      </c>
      <c r="AH516" s="13">
        <f t="shared" ref="AH516:AH579" si="106">N516+(AF516+AG516)/D516</f>
        <v>467.18746544117647</v>
      </c>
      <c r="AI516" s="13">
        <f t="shared" ref="AI516:AI579" si="107">MAX(O516,AH516)</f>
        <v>467.18746544117647</v>
      </c>
      <c r="AJ516" s="13">
        <f>0.17*SQRT([1]Parametros!$B$2)*H516*MIN(U516,AB516)/1000</f>
        <v>220.09872869180776</v>
      </c>
      <c r="AK516" s="13">
        <f>MAX(AI516/[1]Parametros!$B$6-AJ516,0)</f>
        <v>402.81789189642757</v>
      </c>
      <c r="AL516" s="13">
        <f>0.66*SQRT([1]Parametros!$B$2)*H516*MIN(U516,AB516)/1000</f>
        <v>854.500946685842</v>
      </c>
      <c r="AM516" s="13" t="str">
        <f t="shared" ref="AM516:AM579" si="108">IF(AK516&lt;=AL516,"CUMPLE","NO CUMPLE")</f>
        <v>CUMPLE</v>
      </c>
      <c r="AN516" s="13" t="s">
        <v>68</v>
      </c>
      <c r="AO516" s="14">
        <v>2</v>
      </c>
      <c r="AP516" s="13">
        <f>ROUNDDOWN(MIN(IF(BC516+BD516=0,1000000000,AO516*BB516/(BC516+BD516)),MIN(U516,AB516)/4,8*[1]Parametros!$B$12,24*BA516,300,IF(AV516=0,1000000000,2*((H516-2*([1]Parametros!$B$7+[1]Parametros!$B$9/2))+(I516-2*([1]Parametros!$B$7+[1]Parametros!$B$9/2)))/8))/10,0)*10</f>
        <v>120</v>
      </c>
      <c r="AQ516" s="13">
        <f>ROUNDDOWN(MIN(IF(BC516+BD516=0,1000000000,AO516*BB516/(BC516+BD516)),IF(AK516&gt;0.33*SQRT([1]Parametros!$B$2)*H516*MIN(U516,AB516)/1000,MIN(U516,AB516)/4,MIN(U516,AB516)/2),600,IF(AV516=0,1000000000,2*((H516-2*([1]Parametros!$B$7+[1]Parametros!$B$9/2))+(I516-2*([1]Parametros!$B$7+[1]Parametros!$B$9/2)))/8))/10,0)*10</f>
        <v>130</v>
      </c>
      <c r="AR516" s="13">
        <f>[1]Parametros!$B$6*(AJ516+MAX(BE516-BD516,0)*[1]Parametros!$B$4*MIN(U516,AB516)/1000)</f>
        <v>496.48633401885581</v>
      </c>
      <c r="AS516" s="13" t="str">
        <f t="shared" ref="AS516:AS579" si="109">IF(AND(ISERROR(SEARCH("referencia",AN516)),AM516="CUMPLE",AR516&gt;=AI516),"CUMPLE","NO CUMPLE")</f>
        <v>CUMPLE</v>
      </c>
      <c r="AT516" s="13">
        <f>[1]Parametros!$B$6*0.083*SQRT([1]Parametros!$B$2)*(H516*I516)^2/(2*(H516+I516))/1000000</f>
        <v>11.862178757598967</v>
      </c>
      <c r="AU516" s="13" t="str">
        <f t="shared" ref="AU516:AU579" si="110">IF(Q516&lt;=AT516,"DESPRECIABLE","DISEÑAR")</f>
        <v>DESPRECIABLE</v>
      </c>
      <c r="AV516" s="13">
        <f>IF(Q516&lt;=AT516,0,Q516*1000000/([1]Parametros!$B$6*2*0.85*(H516-2*([1]Parametros!$B$7+[1]Parametros!$B$9/2))*(I516-2*([1]Parametros!$B$7+[1]Parametros!$B$9/2))*[1]Parametros!$B$4))</f>
        <v>0</v>
      </c>
      <c r="AW516" s="13">
        <f>AV516*2*((H516-2*([1]Parametros!$B$7+[1]Parametros!$B$9/2))+(I516-2*([1]Parametros!$B$7+[1]Parametros!$B$9/2)))*[1]Parametros!$B$4/[1]Parametros!$B$3</f>
        <v>0</v>
      </c>
      <c r="AX516" s="14">
        <v>0</v>
      </c>
      <c r="AY516" s="13" t="str">
        <f t="shared" ref="AY516:AY579" si="111">IF(AV516=0,"DESPRECIABLE",IF(AND(ISERROR(SEARCH("referencia",AN516)),BB516/AP516&gt;=AV516,BI516&gt;=AW516,BH516="CUMPLE"),"CUMPLE","NO CUMPLE"))</f>
        <v>DESPRECIABLE</v>
      </c>
      <c r="AZ516" s="13" t="str">
        <f t="shared" ref="AZ516:AZ579" si="112">IF(AND(X516="CUMPLE",AE516="CUMPLE",AS516="CUMPLE",OR(AY516="CUMPLE",AY516="DESPRECIABLE"),BH516="CUMPLE",BJ516="CUMPLE"),"CUMPLE","NO CUMPLE")</f>
        <v>CUMPLE</v>
      </c>
      <c r="BA516" s="14">
        <v>12.7</v>
      </c>
      <c r="BB516" s="14">
        <v>129</v>
      </c>
      <c r="BC516" s="13">
        <f>MAX(IF(AK516=0,0,AK516*1000/([1]Parametros!$B$4*MIN(U516,AB516))),MAX(0.062*SQRT([1]Parametros!$B$2)*H516/[1]Parametros!$B$4,0.35*H516/[1]Parametros!$B$4))</f>
        <v>1.9599268801492142</v>
      </c>
      <c r="BD516" s="13">
        <f t="shared" ref="BD516:BD579" si="113">2*AV516</f>
        <v>0</v>
      </c>
      <c r="BE516" s="13">
        <f t="shared" ref="BE516:BE579" si="114">AO516*BB516/AP516</f>
        <v>2.15</v>
      </c>
      <c r="BF516" s="13">
        <f>SQRT((AI516*1000/(H516*MIN(U516,AB516)))^2+(Q516*1000000*2*((H516-2*([1]Parametros!$B$7+[1]Parametros!$B$9/2))+(I516-2*([1]Parametros!$B$7+[1]Parametros!$B$9/2)))/(1.7*((H516-2*([1]Parametros!$B$7+[1]Parametros!$B$9/2))*(I516-2*([1]Parametros!$B$7+[1]Parametros!$B$9/2)))^2))^2)</f>
        <v>1.9281028026415252</v>
      </c>
      <c r="BG516" s="13">
        <f>[1]Parametros!$B$6*(AJ516*1000/(H516*MIN(U516,AB516))+0.66*SQRT([1]Parametros!$B$2))</f>
        <v>3.2939603822754151</v>
      </c>
      <c r="BH516" s="13" t="str">
        <f t="shared" ref="BH516:BH579" si="115">IF(BF516&lt;=BG516,"CUMPLE","NO CUMPLE")</f>
        <v>CUMPLE</v>
      </c>
      <c r="BI516" s="13">
        <f>AX516*[1]Parametros!$B$8</f>
        <v>0</v>
      </c>
      <c r="BJ516" s="15" t="str">
        <f t="shared" ref="BJ516:BJ579" si="116">IF(BI516&gt;=AW516,"CUMPLE","NO CUMPLE")</f>
        <v>CUMPLE</v>
      </c>
    </row>
    <row r="517" spans="1:62" x14ac:dyDescent="0.3">
      <c r="A517" s="35" t="s">
        <v>77</v>
      </c>
      <c r="B517" s="36">
        <v>782</v>
      </c>
      <c r="C517" s="13">
        <v>1</v>
      </c>
      <c r="D517" s="13">
        <v>2</v>
      </c>
      <c r="E517" s="13">
        <v>2</v>
      </c>
      <c r="F517" s="13">
        <v>500</v>
      </c>
      <c r="G517" s="13">
        <v>550</v>
      </c>
      <c r="H517" s="13">
        <v>500</v>
      </c>
      <c r="I517" s="13">
        <v>550</v>
      </c>
      <c r="J517" s="14">
        <v>262.92230000000001</v>
      </c>
      <c r="K517" s="13">
        <v>782</v>
      </c>
      <c r="L517" s="14">
        <v>120.58629999999999</v>
      </c>
      <c r="M517" s="13">
        <v>782</v>
      </c>
      <c r="N517" s="14">
        <v>204.667</v>
      </c>
      <c r="O517" s="14">
        <v>327.74200000000002</v>
      </c>
      <c r="P517" s="13">
        <v>782</v>
      </c>
      <c r="Q517" s="14">
        <v>7.3585000000000003</v>
      </c>
      <c r="R517" s="13">
        <f>MAX(MAX(1.4/[1]Parametros!$B$3,0.25*SQRT([1]Parametros!$B$2)/[1]Parametros!$B$3)*H517*U517,(0.85*[1]Parametros!$B$2/[1]Parametros!$B$3)*(1-SQRT(1-2*(J517*1000000/([1]Parametros!$B$5*H517*U517^2))/(0.85*[1]Parametros!$B$2)))*H517*U517)</f>
        <v>1502.8474805790015</v>
      </c>
      <c r="S517" s="14">
        <v>8</v>
      </c>
      <c r="T517" s="14">
        <v>1</v>
      </c>
      <c r="U517" s="13">
        <f>IF(T517=1,I517-([1]Parametros!$B$7+[1]Parametros!$B$9+[1]Parametros!$B$12/2),I517-(ROUNDUP(S517/2,0)*([1]Parametros!$B$7+[1]Parametros!$B$9+[1]Parametros!$B$12/2)+ROUNDDOWN(S517/2,0)*([1]Parametros!$B$7+[1]Parametros!$B$9+[1]Parametros!$B$12/2+[1]Parametros!$B$12+[1]Parametros!$B$10))/S517)</f>
        <v>489.35</v>
      </c>
      <c r="V517" s="13">
        <f>S517*[1]Parametros!$B$8</f>
        <v>1592</v>
      </c>
      <c r="W517" s="13">
        <f>[1]Parametros!$B$5*V517*[1]Parametros!$B$3*(U517-(V517*[1]Parametros!$B$3/(0.85*[1]Parametros!$B$2*H517))/2)/1000000</f>
        <v>277.57271985882352</v>
      </c>
      <c r="X517" s="13" t="str">
        <f t="shared" si="104"/>
        <v>CUMPLE</v>
      </c>
      <c r="Y517" s="13">
        <f>MAX(MAX(1.4/[1]Parametros!$B$3,0.25*SQRT([1]Parametros!$B$2)/[1]Parametros!$B$3)*H517*AB517,(0.85*[1]Parametros!$B$2/[1]Parametros!$B$3)*(1-SQRT(1-2*(L517*1000000/([1]Parametros!$B$5*H517*AB517^2))/(0.85*[1]Parametros!$B$2)))*H517*AB517)</f>
        <v>815.58333333333326</v>
      </c>
      <c r="Z517" s="14">
        <v>5</v>
      </c>
      <c r="AA517" s="14">
        <v>1</v>
      </c>
      <c r="AB517" s="13">
        <f>IF(AA517=1,I517-([1]Parametros!$B$7+[1]Parametros!$B$9+[1]Parametros!$B$12/2),I517-(ROUNDUP(Z517/2,0)*([1]Parametros!$B$7+[1]Parametros!$B$9+[1]Parametros!$B$12/2)+ROUNDDOWN(Z517/2,0)*([1]Parametros!$B$7+[1]Parametros!$B$9+[1]Parametros!$B$12/2+[1]Parametros!$B$12+[1]Parametros!$B$10))/Z517)</f>
        <v>489.35</v>
      </c>
      <c r="AC517" s="13">
        <f>Z517*[1]Parametros!$B$8</f>
        <v>995</v>
      </c>
      <c r="AD517" s="13">
        <f>[1]Parametros!$B$5*AC517*[1]Parametros!$B$3*(AB517-(AC517*[1]Parametros!$B$3/(0.85*[1]Parametros!$B$2*H517))/2)/1000000</f>
        <v>177.44537938235294</v>
      </c>
      <c r="AE517" s="13" t="str">
        <f t="shared" si="105"/>
        <v>CUMPLE</v>
      </c>
      <c r="AF517" s="13">
        <f>V517*1.25*[1]Parametros!$B$3*(U517-(V517*1.25*[1]Parametros!$B$3/(0.85*[1]Parametros!$B$2*H517))/2)/1000000</f>
        <v>379.64740058823531</v>
      </c>
      <c r="AG517" s="13">
        <f>AC517*1.25*[1]Parametros!$B$3*(AB517-(AC517*1.25*[1]Parametros!$B$3/(0.85*[1]Parametros!$B$2*H517))/2)/1000000</f>
        <v>244.15884319852941</v>
      </c>
      <c r="AH517" s="13">
        <f t="shared" si="106"/>
        <v>516.57012189338241</v>
      </c>
      <c r="AI517" s="13">
        <f t="shared" si="107"/>
        <v>516.57012189338241</v>
      </c>
      <c r="AJ517" s="13">
        <f>0.17*SQRT([1]Parametros!$B$2)*H517*MIN(U517,AB517)/1000</f>
        <v>220.09872869180776</v>
      </c>
      <c r="AK517" s="13">
        <f>MAX(AI517/[1]Parametros!$B$6-AJ517,0)</f>
        <v>468.66143383270207</v>
      </c>
      <c r="AL517" s="13">
        <f>0.66*SQRT([1]Parametros!$B$2)*H517*MIN(U517,AB517)/1000</f>
        <v>854.500946685842</v>
      </c>
      <c r="AM517" s="13" t="str">
        <f t="shared" si="108"/>
        <v>CUMPLE</v>
      </c>
      <c r="AN517" s="13" t="s">
        <v>68</v>
      </c>
      <c r="AO517" s="14">
        <v>2</v>
      </c>
      <c r="AP517" s="13">
        <f>ROUNDDOWN(MIN(IF(BC517+BD517=0,1000000000,AO517*BB517/(BC517+BD517)),MIN(U517,AB517)/4,8*[1]Parametros!$B$12,24*BA517,300,IF(AV517=0,1000000000,2*((H517-2*([1]Parametros!$B$7+[1]Parametros!$B$9/2))+(I517-2*([1]Parametros!$B$7+[1]Parametros!$B$9/2)))/8))/10,0)*10</f>
        <v>110</v>
      </c>
      <c r="AQ517" s="13">
        <f>ROUNDDOWN(MIN(IF(BC517+BD517=0,1000000000,AO517*BB517/(BC517+BD517)),IF(AK517&gt;0.33*SQRT([1]Parametros!$B$2)*H517*MIN(U517,AB517)/1000,MIN(U517,AB517)/4,MIN(U517,AB517)/2),600,IF(AV517=0,1000000000,2*((H517-2*([1]Parametros!$B$7+[1]Parametros!$B$9/2))+(I517-2*([1]Parametros!$B$7+[1]Parametros!$B$9/2)))/8))/10,0)*10</f>
        <v>110</v>
      </c>
      <c r="AR517" s="13">
        <f>[1]Parametros!$B$6*(AJ517+MAX(BE517-BD517,0)*[1]Parametros!$B$4*MIN(U517,AB517)/1000)</f>
        <v>526.61472379158317</v>
      </c>
      <c r="AS517" s="13" t="str">
        <f t="shared" si="109"/>
        <v>CUMPLE</v>
      </c>
      <c r="AT517" s="13">
        <f>[1]Parametros!$B$6*0.083*SQRT([1]Parametros!$B$2)*(H517*I517)^2/(2*(H517+I517))/1000000</f>
        <v>11.862178757598967</v>
      </c>
      <c r="AU517" s="13" t="str">
        <f t="shared" si="110"/>
        <v>DESPRECIABLE</v>
      </c>
      <c r="AV517" s="13">
        <f>IF(Q517&lt;=AT517,0,Q517*1000000/([1]Parametros!$B$6*2*0.85*(H517-2*([1]Parametros!$B$7+[1]Parametros!$B$9/2))*(I517-2*([1]Parametros!$B$7+[1]Parametros!$B$9/2))*[1]Parametros!$B$4))</f>
        <v>0</v>
      </c>
      <c r="AW517" s="13">
        <f>AV517*2*((H517-2*([1]Parametros!$B$7+[1]Parametros!$B$9/2))+(I517-2*([1]Parametros!$B$7+[1]Parametros!$B$9/2)))*[1]Parametros!$B$4/[1]Parametros!$B$3</f>
        <v>0</v>
      </c>
      <c r="AX517" s="14">
        <v>0</v>
      </c>
      <c r="AY517" s="13" t="str">
        <f t="shared" si="111"/>
        <v>DESPRECIABLE</v>
      </c>
      <c r="AZ517" s="13" t="str">
        <f t="shared" si="112"/>
        <v>CUMPLE</v>
      </c>
      <c r="BA517" s="14">
        <v>12.7</v>
      </c>
      <c r="BB517" s="14">
        <v>129</v>
      </c>
      <c r="BC517" s="13">
        <f>MAX(IF(AK517=0,0,AK517*1000/([1]Parametros!$B$4*MIN(U517,AB517))),MAX(0.062*SQRT([1]Parametros!$B$2)*H517/[1]Parametros!$B$4,0.35*H517/[1]Parametros!$B$4))</f>
        <v>2.2802913185746987</v>
      </c>
      <c r="BD517" s="13">
        <f t="shared" si="113"/>
        <v>0</v>
      </c>
      <c r="BE517" s="13">
        <f t="shared" si="114"/>
        <v>2.3454545454545452</v>
      </c>
      <c r="BF517" s="13">
        <f>SQRT((AI517*1000/(H517*MIN(U517,AB517)))^2+(Q517*1000000*2*((H517-2*([1]Parametros!$B$7+[1]Parametros!$B$9/2))+(I517-2*([1]Parametros!$B$7+[1]Parametros!$B$9/2)))/(1.7*((H517-2*([1]Parametros!$B$7+[1]Parametros!$B$9/2))*(I517-2*([1]Parametros!$B$7+[1]Parametros!$B$9/2)))^2))^2)</f>
        <v>2.1222454797864256</v>
      </c>
      <c r="BG517" s="13">
        <f>[1]Parametros!$B$6*(AJ517*1000/(H517*MIN(U517,AB517))+0.66*SQRT([1]Parametros!$B$2))</f>
        <v>3.2939603822754151</v>
      </c>
      <c r="BH517" s="13" t="str">
        <f t="shared" si="115"/>
        <v>CUMPLE</v>
      </c>
      <c r="BI517" s="13">
        <f>AX517*[1]Parametros!$B$8</f>
        <v>0</v>
      </c>
      <c r="BJ517" s="15" t="str">
        <f t="shared" si="116"/>
        <v>CUMPLE</v>
      </c>
    </row>
    <row r="518" spans="1:62" x14ac:dyDescent="0.3">
      <c r="A518" s="35" t="s">
        <v>77</v>
      </c>
      <c r="B518" s="36">
        <v>783</v>
      </c>
      <c r="C518" s="13">
        <v>1</v>
      </c>
      <c r="D518" s="13">
        <v>1.9</v>
      </c>
      <c r="E518" s="13">
        <v>1.9</v>
      </c>
      <c r="F518" s="13">
        <v>500</v>
      </c>
      <c r="G518" s="13">
        <v>550</v>
      </c>
      <c r="H518" s="13">
        <v>500</v>
      </c>
      <c r="I518" s="13">
        <v>550</v>
      </c>
      <c r="J518" s="14">
        <v>137.7062</v>
      </c>
      <c r="K518" s="13">
        <v>783</v>
      </c>
      <c r="L518" s="14">
        <v>76.666600000000003</v>
      </c>
      <c r="M518" s="13">
        <v>783</v>
      </c>
      <c r="N518" s="14">
        <v>118.523</v>
      </c>
      <c r="O518" s="14">
        <v>430.36900000000003</v>
      </c>
      <c r="P518" s="13">
        <v>783</v>
      </c>
      <c r="Q518" s="14">
        <v>0.2772</v>
      </c>
      <c r="R518" s="13">
        <f>MAX(MAX(1.4/[1]Parametros!$B$3,0.25*SQRT([1]Parametros!$B$2)/[1]Parametros!$B$3)*H518*U518,(0.85*[1]Parametros!$B$2/[1]Parametros!$B$3)*(1-SQRT(1-2*(J518*1000000/([1]Parametros!$B$5*H518*U518^2))/(0.85*[1]Parametros!$B$2)))*H518*U518)</f>
        <v>815.58333333333326</v>
      </c>
      <c r="S518" s="14">
        <v>5</v>
      </c>
      <c r="T518" s="14">
        <v>1</v>
      </c>
      <c r="U518" s="13">
        <f>IF(T518=1,I518-([1]Parametros!$B$7+[1]Parametros!$B$9+[1]Parametros!$B$12/2),I518-(ROUNDUP(S518/2,0)*([1]Parametros!$B$7+[1]Parametros!$B$9+[1]Parametros!$B$12/2)+ROUNDDOWN(S518/2,0)*([1]Parametros!$B$7+[1]Parametros!$B$9+[1]Parametros!$B$12/2+[1]Parametros!$B$12+[1]Parametros!$B$10))/S518)</f>
        <v>489.35</v>
      </c>
      <c r="V518" s="13">
        <f>S518*[1]Parametros!$B$8</f>
        <v>995</v>
      </c>
      <c r="W518" s="13">
        <f>[1]Parametros!$B$5*V518*[1]Parametros!$B$3*(U518-(V518*[1]Parametros!$B$3/(0.85*[1]Parametros!$B$2*H518))/2)/1000000</f>
        <v>177.44537938235294</v>
      </c>
      <c r="X518" s="13" t="str">
        <f t="shared" si="104"/>
        <v>CUMPLE</v>
      </c>
      <c r="Y518" s="13">
        <f>MAX(MAX(1.4/[1]Parametros!$B$3,0.25*SQRT([1]Parametros!$B$2)/[1]Parametros!$B$3)*H518*AB518,(0.85*[1]Parametros!$B$2/[1]Parametros!$B$3)*(1-SQRT(1-2*(L518*1000000/([1]Parametros!$B$5*H518*AB518^2))/(0.85*[1]Parametros!$B$2)))*H518*AB518)</f>
        <v>815.58333333333326</v>
      </c>
      <c r="Z518" s="14">
        <v>5</v>
      </c>
      <c r="AA518" s="14">
        <v>1</v>
      </c>
      <c r="AB518" s="13">
        <f>IF(AA518=1,I518-([1]Parametros!$B$7+[1]Parametros!$B$9+[1]Parametros!$B$12/2),I518-(ROUNDUP(Z518/2,0)*([1]Parametros!$B$7+[1]Parametros!$B$9+[1]Parametros!$B$12/2)+ROUNDDOWN(Z518/2,0)*([1]Parametros!$B$7+[1]Parametros!$B$9+[1]Parametros!$B$12/2+[1]Parametros!$B$12+[1]Parametros!$B$10))/Z518)</f>
        <v>489.35</v>
      </c>
      <c r="AC518" s="13">
        <f>Z518*[1]Parametros!$B$8</f>
        <v>995</v>
      </c>
      <c r="AD518" s="13">
        <f>[1]Parametros!$B$5*AC518*[1]Parametros!$B$3*(AB518-(AC518*[1]Parametros!$B$3/(0.85*[1]Parametros!$B$2*H518))/2)/1000000</f>
        <v>177.44537938235294</v>
      </c>
      <c r="AE518" s="13" t="str">
        <f t="shared" si="105"/>
        <v>CUMPLE</v>
      </c>
      <c r="AF518" s="13">
        <f>V518*1.25*[1]Parametros!$B$3*(U518-(V518*1.25*[1]Parametros!$B$3/(0.85*[1]Parametros!$B$2*H518))/2)/1000000</f>
        <v>244.15884319852941</v>
      </c>
      <c r="AG518" s="13">
        <f>AC518*1.25*[1]Parametros!$B$3*(AB518-(AC518*1.25*[1]Parametros!$B$3/(0.85*[1]Parametros!$B$2*H518))/2)/1000000</f>
        <v>244.15884319852941</v>
      </c>
      <c r="AH518" s="13">
        <f t="shared" si="106"/>
        <v>375.53230863003091</v>
      </c>
      <c r="AI518" s="13">
        <f t="shared" si="107"/>
        <v>430.36900000000003</v>
      </c>
      <c r="AJ518" s="13">
        <f>0.17*SQRT([1]Parametros!$B$2)*H518*MIN(U518,AB518)/1000</f>
        <v>220.09872869180776</v>
      </c>
      <c r="AK518" s="13">
        <f>MAX(AI518/[1]Parametros!$B$6-AJ518,0)</f>
        <v>353.72660464152557</v>
      </c>
      <c r="AL518" s="13">
        <f>0.66*SQRT([1]Parametros!$B$2)*H518*MIN(U518,AB518)/1000</f>
        <v>854.500946685842</v>
      </c>
      <c r="AM518" s="13" t="str">
        <f t="shared" si="108"/>
        <v>CUMPLE</v>
      </c>
      <c r="AN518" s="13" t="s">
        <v>64</v>
      </c>
      <c r="AO518" s="14">
        <v>2</v>
      </c>
      <c r="AP518" s="13">
        <f>ROUNDDOWN(MIN(IF(BC518+BD518=0,1000000000,AO518*BB518/(BC518+BD518)),MIN(U518,AB518)/4,8*[1]Parametros!$B$12,24*BA518,300,IF(AV518=0,1000000000,2*((H518-2*([1]Parametros!$B$7+[1]Parametros!$B$9/2))+(I518-2*([1]Parametros!$B$7+[1]Parametros!$B$9/2)))/8))/10,0)*10</f>
        <v>80</v>
      </c>
      <c r="AQ518" s="13">
        <f>ROUNDDOWN(MIN(IF(BC518+BD518=0,1000000000,AO518*BB518/(BC518+BD518)),IF(AK518&gt;0.33*SQRT([1]Parametros!$B$2)*H518*MIN(U518,AB518)/1000,MIN(U518,AB518)/4,MIN(U518,AB518)/2),600,IF(AV518=0,1000000000,2*((H518-2*([1]Parametros!$B$7+[1]Parametros!$B$9/2))+(I518-2*([1]Parametros!$B$7+[1]Parametros!$B$9/2)))/8))/10,0)*10</f>
        <v>80</v>
      </c>
      <c r="AR518" s="13">
        <f>[1]Parametros!$B$6*(AJ518+MAX(BE518-BD518,0)*[1]Parametros!$B$4*MIN(U518,AB518)/1000)</f>
        <v>438.68186526885586</v>
      </c>
      <c r="AS518" s="13" t="str">
        <f t="shared" si="109"/>
        <v>CUMPLE</v>
      </c>
      <c r="AT518" s="13">
        <f>[1]Parametros!$B$6*0.083*SQRT([1]Parametros!$B$2)*(H518*I518)^2/(2*(H518+I518))/1000000</f>
        <v>11.862178757598967</v>
      </c>
      <c r="AU518" s="13" t="str">
        <f t="shared" si="110"/>
        <v>DESPRECIABLE</v>
      </c>
      <c r="AV518" s="13">
        <f>IF(Q518&lt;=AT518,0,Q518*1000000/([1]Parametros!$B$6*2*0.85*(H518-2*([1]Parametros!$B$7+[1]Parametros!$B$9/2))*(I518-2*([1]Parametros!$B$7+[1]Parametros!$B$9/2))*[1]Parametros!$B$4))</f>
        <v>0</v>
      </c>
      <c r="AW518" s="13">
        <f>AV518*2*((H518-2*([1]Parametros!$B$7+[1]Parametros!$B$9/2))+(I518-2*([1]Parametros!$B$7+[1]Parametros!$B$9/2)))*[1]Parametros!$B$4/[1]Parametros!$B$3</f>
        <v>0</v>
      </c>
      <c r="AX518" s="14">
        <v>0</v>
      </c>
      <c r="AY518" s="13" t="str">
        <f t="shared" si="111"/>
        <v>DESPRECIABLE</v>
      </c>
      <c r="AZ518" s="13" t="str">
        <f t="shared" si="112"/>
        <v>CUMPLE</v>
      </c>
      <c r="BA518" s="14">
        <v>9.5</v>
      </c>
      <c r="BB518" s="14">
        <v>71</v>
      </c>
      <c r="BC518" s="13">
        <f>MAX(IF(AK518=0,0,AK518*1000/([1]Parametros!$B$4*MIN(U518,AB518))),MAX(0.062*SQRT([1]Parametros!$B$2)*H518/[1]Parametros!$B$4,0.35*H518/[1]Parametros!$B$4))</f>
        <v>1.7210712200417733</v>
      </c>
      <c r="BD518" s="13">
        <f t="shared" si="113"/>
        <v>0</v>
      </c>
      <c r="BE518" s="13">
        <f t="shared" si="114"/>
        <v>1.7749999999999999</v>
      </c>
      <c r="BF518" s="13">
        <f>SQRT((AI518*1000/(H518*MIN(U518,AB518)))^2+(Q518*1000000*2*((H518-2*([1]Parametros!$B$7+[1]Parametros!$B$9/2))+(I518-2*([1]Parametros!$B$7+[1]Parametros!$B$9/2)))/(1.7*((H518-2*([1]Parametros!$B$7+[1]Parametros!$B$9/2))*(I518-2*([1]Parametros!$B$7+[1]Parametros!$B$9/2)))^2))^2)</f>
        <v>1.7589602302380263</v>
      </c>
      <c r="BG518" s="13">
        <f>[1]Parametros!$B$6*(AJ518*1000/(H518*MIN(U518,AB518))+0.66*SQRT([1]Parametros!$B$2))</f>
        <v>3.2939603822754151</v>
      </c>
      <c r="BH518" s="13" t="str">
        <f t="shared" si="115"/>
        <v>CUMPLE</v>
      </c>
      <c r="BI518" s="13">
        <f>AX518*[1]Parametros!$B$8</f>
        <v>0</v>
      </c>
      <c r="BJ518" s="15" t="str">
        <f t="shared" si="116"/>
        <v>CUMPLE</v>
      </c>
    </row>
    <row r="519" spans="1:62" x14ac:dyDescent="0.3">
      <c r="A519" s="35" t="s">
        <v>77</v>
      </c>
      <c r="B519" s="36">
        <v>784</v>
      </c>
      <c r="C519" s="13">
        <v>1</v>
      </c>
      <c r="D519" s="13">
        <v>3.4</v>
      </c>
      <c r="E519" s="13">
        <v>3.4</v>
      </c>
      <c r="F519" s="13">
        <v>500</v>
      </c>
      <c r="G519" s="13">
        <v>550</v>
      </c>
      <c r="H519" s="13">
        <v>500</v>
      </c>
      <c r="I519" s="13">
        <v>550</v>
      </c>
      <c r="J519" s="14">
        <v>179.49260000000001</v>
      </c>
      <c r="K519" s="13">
        <v>784</v>
      </c>
      <c r="L519" s="14">
        <v>100.8369</v>
      </c>
      <c r="M519" s="13">
        <v>784</v>
      </c>
      <c r="N519" s="14">
        <v>129.83799999999999</v>
      </c>
      <c r="O519" s="14">
        <v>334.92899999999997</v>
      </c>
      <c r="P519" s="13">
        <v>784</v>
      </c>
      <c r="Q519" s="14">
        <v>6.0848000000000004</v>
      </c>
      <c r="R519" s="13">
        <f>MAX(MAX(1.4/[1]Parametros!$B$3,0.25*SQRT([1]Parametros!$B$2)/[1]Parametros!$B$3)*H519*U519,(0.85*[1]Parametros!$B$2/[1]Parametros!$B$3)*(1-SQRT(1-2*(J519*1000000/([1]Parametros!$B$5*H519*U519^2))/(0.85*[1]Parametros!$B$2)))*H519*U519)</f>
        <v>1006.9287818840697</v>
      </c>
      <c r="S519" s="14">
        <v>6</v>
      </c>
      <c r="T519" s="14">
        <v>1</v>
      </c>
      <c r="U519" s="13">
        <f>IF(T519=1,I519-([1]Parametros!$B$7+[1]Parametros!$B$9+[1]Parametros!$B$12/2),I519-(ROUNDUP(S519/2,0)*([1]Parametros!$B$7+[1]Parametros!$B$9+[1]Parametros!$B$12/2)+ROUNDDOWN(S519/2,0)*([1]Parametros!$B$7+[1]Parametros!$B$9+[1]Parametros!$B$12/2+[1]Parametros!$B$12+[1]Parametros!$B$10))/S519)</f>
        <v>489.35</v>
      </c>
      <c r="V519" s="13">
        <f>S519*[1]Parametros!$B$8</f>
        <v>1194</v>
      </c>
      <c r="W519" s="13">
        <f>[1]Parametros!$B$5*V519*[1]Parametros!$B$3*(U519-(V519*[1]Parametros!$B$3/(0.85*[1]Parametros!$B$2*H519))/2)/1000000</f>
        <v>211.34948347058827</v>
      </c>
      <c r="X519" s="13" t="str">
        <f t="shared" si="104"/>
        <v>CUMPLE</v>
      </c>
      <c r="Y519" s="13">
        <f>MAX(MAX(1.4/[1]Parametros!$B$3,0.25*SQRT([1]Parametros!$B$2)/[1]Parametros!$B$3)*H519*AB519,(0.85*[1]Parametros!$B$2/[1]Parametros!$B$3)*(1-SQRT(1-2*(L519*1000000/([1]Parametros!$B$5*H519*AB519^2))/(0.85*[1]Parametros!$B$2)))*H519*AB519)</f>
        <v>815.58333333333326</v>
      </c>
      <c r="Z519" s="14">
        <v>5</v>
      </c>
      <c r="AA519" s="14">
        <v>1</v>
      </c>
      <c r="AB519" s="13">
        <f>IF(AA519=1,I519-([1]Parametros!$B$7+[1]Parametros!$B$9+[1]Parametros!$B$12/2),I519-(ROUNDUP(Z519/2,0)*([1]Parametros!$B$7+[1]Parametros!$B$9+[1]Parametros!$B$12/2)+ROUNDDOWN(Z519/2,0)*([1]Parametros!$B$7+[1]Parametros!$B$9+[1]Parametros!$B$12/2+[1]Parametros!$B$12+[1]Parametros!$B$10))/Z519)</f>
        <v>489.35</v>
      </c>
      <c r="AC519" s="13">
        <f>Z519*[1]Parametros!$B$8</f>
        <v>995</v>
      </c>
      <c r="AD519" s="13">
        <f>[1]Parametros!$B$5*AC519*[1]Parametros!$B$3*(AB519-(AC519*[1]Parametros!$B$3/(0.85*[1]Parametros!$B$2*H519))/2)/1000000</f>
        <v>177.44537938235294</v>
      </c>
      <c r="AE519" s="13" t="str">
        <f t="shared" si="105"/>
        <v>CUMPLE</v>
      </c>
      <c r="AF519" s="13">
        <f>V519*1.25*[1]Parametros!$B$3*(U519-(V519*1.25*[1]Parametros!$B$3/(0.85*[1]Parametros!$B$2*H519))/2)/1000000</f>
        <v>290.23892470588237</v>
      </c>
      <c r="AG519" s="13">
        <f>AC519*1.25*[1]Parametros!$B$3*(AB519-(AC519*1.25*[1]Parametros!$B$3/(0.85*[1]Parametros!$B$2*H519))/2)/1000000</f>
        <v>244.15884319852941</v>
      </c>
      <c r="AH519" s="13">
        <f t="shared" si="106"/>
        <v>287.01381408953284</v>
      </c>
      <c r="AI519" s="13">
        <f t="shared" si="107"/>
        <v>334.92899999999997</v>
      </c>
      <c r="AJ519" s="13">
        <f>0.17*SQRT([1]Parametros!$B$2)*H519*MIN(U519,AB519)/1000</f>
        <v>220.09872869180776</v>
      </c>
      <c r="AK519" s="13">
        <f>MAX(AI519/[1]Parametros!$B$6-AJ519,0)</f>
        <v>226.47327130819218</v>
      </c>
      <c r="AL519" s="13">
        <f>0.66*SQRT([1]Parametros!$B$2)*H519*MIN(U519,AB519)/1000</f>
        <v>854.500946685842</v>
      </c>
      <c r="AM519" s="13" t="str">
        <f t="shared" si="108"/>
        <v>CUMPLE</v>
      </c>
      <c r="AN519" s="13" t="s">
        <v>64</v>
      </c>
      <c r="AO519" s="14">
        <v>2</v>
      </c>
      <c r="AP519" s="13">
        <f>ROUNDDOWN(MIN(IF(BC519+BD519=0,1000000000,AO519*BB519/(BC519+BD519)),MIN(U519,AB519)/4,8*[1]Parametros!$B$12,24*BA519,300,IF(AV519=0,1000000000,2*((H519-2*([1]Parametros!$B$7+[1]Parametros!$B$9/2))+(I519-2*([1]Parametros!$B$7+[1]Parametros!$B$9/2)))/8))/10,0)*10</f>
        <v>120</v>
      </c>
      <c r="AQ519" s="13">
        <f>ROUNDDOWN(MIN(IF(BC519+BD519=0,1000000000,AO519*BB519/(BC519+BD519)),IF(AK519&gt;0.33*SQRT([1]Parametros!$B$2)*H519*MIN(U519,AB519)/1000,MIN(U519,AB519)/4,MIN(U519,AB519)/2),600,IF(AV519=0,1000000000,2*((H519-2*([1]Parametros!$B$7+[1]Parametros!$B$9/2))+(I519-2*([1]Parametros!$B$7+[1]Parametros!$B$9/2)))/8))/10,0)*10</f>
        <v>120</v>
      </c>
      <c r="AR519" s="13">
        <f>[1]Parametros!$B$6*(AJ519+MAX(BE519-BD519,0)*[1]Parametros!$B$4*MIN(U519,AB519)/1000)</f>
        <v>347.47925901885583</v>
      </c>
      <c r="AS519" s="13" t="str">
        <f t="shared" si="109"/>
        <v>CUMPLE</v>
      </c>
      <c r="AT519" s="13">
        <f>[1]Parametros!$B$6*0.083*SQRT([1]Parametros!$B$2)*(H519*I519)^2/(2*(H519+I519))/1000000</f>
        <v>11.862178757598967</v>
      </c>
      <c r="AU519" s="13" t="str">
        <f t="shared" si="110"/>
        <v>DESPRECIABLE</v>
      </c>
      <c r="AV519" s="13">
        <f>IF(Q519&lt;=AT519,0,Q519*1000000/([1]Parametros!$B$6*2*0.85*(H519-2*([1]Parametros!$B$7+[1]Parametros!$B$9/2))*(I519-2*([1]Parametros!$B$7+[1]Parametros!$B$9/2))*[1]Parametros!$B$4))</f>
        <v>0</v>
      </c>
      <c r="AW519" s="13">
        <f>AV519*2*((H519-2*([1]Parametros!$B$7+[1]Parametros!$B$9/2))+(I519-2*([1]Parametros!$B$7+[1]Parametros!$B$9/2)))*[1]Parametros!$B$4/[1]Parametros!$B$3</f>
        <v>0</v>
      </c>
      <c r="AX519" s="14">
        <v>0</v>
      </c>
      <c r="AY519" s="13" t="str">
        <f t="shared" si="111"/>
        <v>DESPRECIABLE</v>
      </c>
      <c r="AZ519" s="13" t="str">
        <f t="shared" si="112"/>
        <v>CUMPLE</v>
      </c>
      <c r="BA519" s="14">
        <v>9.5</v>
      </c>
      <c r="BB519" s="14">
        <v>71</v>
      </c>
      <c r="BC519" s="13">
        <f>MAX(IF(AK519=0,0,AK519*1000/([1]Parametros!$B$4*MIN(U519,AB519))),MAX(0.062*SQRT([1]Parametros!$B$2)*H519/[1]Parametros!$B$4,0.35*H519/[1]Parametros!$B$4))</f>
        <v>1.1019149372500556</v>
      </c>
      <c r="BD519" s="13">
        <f t="shared" si="113"/>
        <v>0</v>
      </c>
      <c r="BE519" s="13">
        <f t="shared" si="114"/>
        <v>1.1833333333333333</v>
      </c>
      <c r="BF519" s="13">
        <f>SQRT((AI519*1000/(H519*MIN(U519,AB519)))^2+(Q519*1000000*2*((H519-2*([1]Parametros!$B$7+[1]Parametros!$B$9/2))+(I519-2*([1]Parametros!$B$7+[1]Parametros!$B$9/2)))/(1.7*((H519-2*([1]Parametros!$B$7+[1]Parametros!$B$9/2))*(I519-2*([1]Parametros!$B$7+[1]Parametros!$B$9/2)))^2))^2)</f>
        <v>1.3804500209182573</v>
      </c>
      <c r="BG519" s="13">
        <f>[1]Parametros!$B$6*(AJ519*1000/(H519*MIN(U519,AB519))+0.66*SQRT([1]Parametros!$B$2))</f>
        <v>3.2939603822754151</v>
      </c>
      <c r="BH519" s="13" t="str">
        <f t="shared" si="115"/>
        <v>CUMPLE</v>
      </c>
      <c r="BI519" s="13">
        <f>AX519*[1]Parametros!$B$8</f>
        <v>0</v>
      </c>
      <c r="BJ519" s="15" t="str">
        <f t="shared" si="116"/>
        <v>CUMPLE</v>
      </c>
    </row>
    <row r="520" spans="1:62" x14ac:dyDescent="0.3">
      <c r="A520" s="35" t="s">
        <v>77</v>
      </c>
      <c r="B520" s="36">
        <v>785</v>
      </c>
      <c r="C520" s="13">
        <v>1</v>
      </c>
      <c r="D520" s="13">
        <v>2.2000000000000002</v>
      </c>
      <c r="E520" s="13">
        <v>2.2000000000000002</v>
      </c>
      <c r="F520" s="13">
        <v>500</v>
      </c>
      <c r="G520" s="13">
        <v>550</v>
      </c>
      <c r="H520" s="13">
        <v>500</v>
      </c>
      <c r="I520" s="13">
        <v>550</v>
      </c>
      <c r="J520" s="14">
        <v>137.17529999999999</v>
      </c>
      <c r="K520" s="13">
        <v>785</v>
      </c>
      <c r="L520" s="14">
        <v>56.313400000000001</v>
      </c>
      <c r="M520" s="13">
        <v>785</v>
      </c>
      <c r="N520" s="14">
        <v>101.542</v>
      </c>
      <c r="O520" s="14">
        <v>218.09200000000001</v>
      </c>
      <c r="P520" s="13">
        <v>785</v>
      </c>
      <c r="Q520" s="14">
        <v>3.3999999999999998E-3</v>
      </c>
      <c r="R520" s="13">
        <f>MAX(MAX(1.4/[1]Parametros!$B$3,0.25*SQRT([1]Parametros!$B$2)/[1]Parametros!$B$3)*H520*U520,(0.85*[1]Parametros!$B$2/[1]Parametros!$B$3)*(1-SQRT(1-2*(J520*1000000/([1]Parametros!$B$5*H520*U520^2))/(0.85*[1]Parametros!$B$2)))*H520*U520)</f>
        <v>815.58333333333326</v>
      </c>
      <c r="S520" s="14">
        <v>5</v>
      </c>
      <c r="T520" s="14">
        <v>1</v>
      </c>
      <c r="U520" s="13">
        <f>IF(T520=1,I520-([1]Parametros!$B$7+[1]Parametros!$B$9+[1]Parametros!$B$12/2),I520-(ROUNDUP(S520/2,0)*([1]Parametros!$B$7+[1]Parametros!$B$9+[1]Parametros!$B$12/2)+ROUNDDOWN(S520/2,0)*([1]Parametros!$B$7+[1]Parametros!$B$9+[1]Parametros!$B$12/2+[1]Parametros!$B$12+[1]Parametros!$B$10))/S520)</f>
        <v>489.35</v>
      </c>
      <c r="V520" s="13">
        <f>S520*[1]Parametros!$B$8</f>
        <v>995</v>
      </c>
      <c r="W520" s="13">
        <f>[1]Parametros!$B$5*V520*[1]Parametros!$B$3*(U520-(V520*[1]Parametros!$B$3/(0.85*[1]Parametros!$B$2*H520))/2)/1000000</f>
        <v>177.44537938235294</v>
      </c>
      <c r="X520" s="13" t="str">
        <f t="shared" si="104"/>
        <v>CUMPLE</v>
      </c>
      <c r="Y520" s="13">
        <f>MAX(MAX(1.4/[1]Parametros!$B$3,0.25*SQRT([1]Parametros!$B$2)/[1]Parametros!$B$3)*H520*AB520,(0.85*[1]Parametros!$B$2/[1]Parametros!$B$3)*(1-SQRT(1-2*(L520*1000000/([1]Parametros!$B$5*H520*AB520^2))/(0.85*[1]Parametros!$B$2)))*H520*AB520)</f>
        <v>815.58333333333326</v>
      </c>
      <c r="Z520" s="14">
        <v>5</v>
      </c>
      <c r="AA520" s="14">
        <v>1</v>
      </c>
      <c r="AB520" s="13">
        <f>IF(AA520=1,I520-([1]Parametros!$B$7+[1]Parametros!$B$9+[1]Parametros!$B$12/2),I520-(ROUNDUP(Z520/2,0)*([1]Parametros!$B$7+[1]Parametros!$B$9+[1]Parametros!$B$12/2)+ROUNDDOWN(Z520/2,0)*([1]Parametros!$B$7+[1]Parametros!$B$9+[1]Parametros!$B$12/2+[1]Parametros!$B$12+[1]Parametros!$B$10))/Z520)</f>
        <v>489.35</v>
      </c>
      <c r="AC520" s="13">
        <f>Z520*[1]Parametros!$B$8</f>
        <v>995</v>
      </c>
      <c r="AD520" s="13">
        <f>[1]Parametros!$B$5*AC520*[1]Parametros!$B$3*(AB520-(AC520*[1]Parametros!$B$3/(0.85*[1]Parametros!$B$2*H520))/2)/1000000</f>
        <v>177.44537938235294</v>
      </c>
      <c r="AE520" s="13" t="str">
        <f t="shared" si="105"/>
        <v>CUMPLE</v>
      </c>
      <c r="AF520" s="13">
        <f>V520*1.25*[1]Parametros!$B$3*(U520-(V520*1.25*[1]Parametros!$B$3/(0.85*[1]Parametros!$B$2*H520))/2)/1000000</f>
        <v>244.15884319852941</v>
      </c>
      <c r="AG520" s="13">
        <f>AC520*1.25*[1]Parametros!$B$3*(AB520-(AC520*1.25*[1]Parametros!$B$3/(0.85*[1]Parametros!$B$2*H520))/2)/1000000</f>
        <v>244.15884319852941</v>
      </c>
      <c r="AH520" s="13">
        <f t="shared" si="106"/>
        <v>323.50458472593584</v>
      </c>
      <c r="AI520" s="13">
        <f t="shared" si="107"/>
        <v>323.50458472593584</v>
      </c>
      <c r="AJ520" s="13">
        <f>0.17*SQRT([1]Parametros!$B$2)*H520*MIN(U520,AB520)/1000</f>
        <v>220.09872869180776</v>
      </c>
      <c r="AK520" s="13">
        <f>MAX(AI520/[1]Parametros!$B$6-AJ520,0)</f>
        <v>211.24071760944003</v>
      </c>
      <c r="AL520" s="13">
        <f>0.66*SQRT([1]Parametros!$B$2)*H520*MIN(U520,AB520)/1000</f>
        <v>854.500946685842</v>
      </c>
      <c r="AM520" s="13" t="str">
        <f t="shared" si="108"/>
        <v>CUMPLE</v>
      </c>
      <c r="AN520" s="13" t="s">
        <v>64</v>
      </c>
      <c r="AO520" s="14">
        <v>2</v>
      </c>
      <c r="AP520" s="13">
        <f>ROUNDDOWN(MIN(IF(BC520+BD520=0,1000000000,AO520*BB520/(BC520+BD520)),MIN(U520,AB520)/4,8*[1]Parametros!$B$12,24*BA520,300,IF(AV520=0,1000000000,2*((H520-2*([1]Parametros!$B$7+[1]Parametros!$B$9/2))+(I520-2*([1]Parametros!$B$7+[1]Parametros!$B$9/2)))/8))/10,0)*10</f>
        <v>120</v>
      </c>
      <c r="AQ520" s="13">
        <f>ROUNDDOWN(MIN(IF(BC520+BD520=0,1000000000,AO520*BB520/(BC520+BD520)),IF(AK520&gt;0.33*SQRT([1]Parametros!$B$2)*H520*MIN(U520,AB520)/1000,MIN(U520,AB520)/4,MIN(U520,AB520)/2),600,IF(AV520=0,1000000000,2*((H520-2*([1]Parametros!$B$7+[1]Parametros!$B$9/2))+(I520-2*([1]Parametros!$B$7+[1]Parametros!$B$9/2)))/8))/10,0)*10</f>
        <v>130</v>
      </c>
      <c r="AR520" s="13">
        <f>[1]Parametros!$B$6*(AJ520+MAX(BE520-BD520,0)*[1]Parametros!$B$4*MIN(U520,AB520)/1000)</f>
        <v>347.47925901885583</v>
      </c>
      <c r="AS520" s="13" t="str">
        <f t="shared" si="109"/>
        <v>CUMPLE</v>
      </c>
      <c r="AT520" s="13">
        <f>[1]Parametros!$B$6*0.083*SQRT([1]Parametros!$B$2)*(H520*I520)^2/(2*(H520+I520))/1000000</f>
        <v>11.862178757598967</v>
      </c>
      <c r="AU520" s="13" t="str">
        <f t="shared" si="110"/>
        <v>DESPRECIABLE</v>
      </c>
      <c r="AV520" s="13">
        <f>IF(Q520&lt;=AT520,0,Q520*1000000/([1]Parametros!$B$6*2*0.85*(H520-2*([1]Parametros!$B$7+[1]Parametros!$B$9/2))*(I520-2*([1]Parametros!$B$7+[1]Parametros!$B$9/2))*[1]Parametros!$B$4))</f>
        <v>0</v>
      </c>
      <c r="AW520" s="13">
        <f>AV520*2*((H520-2*([1]Parametros!$B$7+[1]Parametros!$B$9/2))+(I520-2*([1]Parametros!$B$7+[1]Parametros!$B$9/2)))*[1]Parametros!$B$4/[1]Parametros!$B$3</f>
        <v>0</v>
      </c>
      <c r="AX520" s="14">
        <v>0</v>
      </c>
      <c r="AY520" s="13" t="str">
        <f t="shared" si="111"/>
        <v>DESPRECIABLE</v>
      </c>
      <c r="AZ520" s="13" t="str">
        <f t="shared" si="112"/>
        <v>CUMPLE</v>
      </c>
      <c r="BA520" s="14">
        <v>9.5</v>
      </c>
      <c r="BB520" s="14">
        <v>71</v>
      </c>
      <c r="BC520" s="13">
        <f>MAX(IF(AK520=0,0,AK520*1000/([1]Parametros!$B$4*MIN(U520,AB520))),MAX(0.062*SQRT([1]Parametros!$B$2)*H520/[1]Parametros!$B$4,0.35*H520/[1]Parametros!$B$4))</f>
        <v>1.0278003260371631</v>
      </c>
      <c r="BD520" s="13">
        <f t="shared" si="113"/>
        <v>0</v>
      </c>
      <c r="BE520" s="13">
        <f t="shared" si="114"/>
        <v>1.1833333333333333</v>
      </c>
      <c r="BF520" s="13">
        <f>SQRT((AI520*1000/(H520*MIN(U520,AB520)))^2+(Q520*1000000*2*((H520-2*([1]Parametros!$B$7+[1]Parametros!$B$9/2))+(I520-2*([1]Parametros!$B$7+[1]Parametros!$B$9/2)))/(1.7*((H520-2*([1]Parametros!$B$7+[1]Parametros!$B$9/2))*(I520-2*([1]Parametros!$B$7+[1]Parametros!$B$9/2)))^2))^2)</f>
        <v>1.3221807934829732</v>
      </c>
      <c r="BG520" s="13">
        <f>[1]Parametros!$B$6*(AJ520*1000/(H520*MIN(U520,AB520))+0.66*SQRT([1]Parametros!$B$2))</f>
        <v>3.2939603822754151</v>
      </c>
      <c r="BH520" s="13" t="str">
        <f t="shared" si="115"/>
        <v>CUMPLE</v>
      </c>
      <c r="BI520" s="13">
        <f>AX520*[1]Parametros!$B$8</f>
        <v>0</v>
      </c>
      <c r="BJ520" s="15" t="str">
        <f t="shared" si="116"/>
        <v>CUMPLE</v>
      </c>
    </row>
    <row r="521" spans="1:62" x14ac:dyDescent="0.3">
      <c r="A521" s="35" t="s">
        <v>77</v>
      </c>
      <c r="B521" s="36">
        <v>786</v>
      </c>
      <c r="C521" s="13">
        <v>1</v>
      </c>
      <c r="D521" s="13">
        <v>2.1</v>
      </c>
      <c r="E521" s="13">
        <v>2.1</v>
      </c>
      <c r="F521" s="13">
        <v>500</v>
      </c>
      <c r="G521" s="13">
        <v>550</v>
      </c>
      <c r="H521" s="13">
        <v>500</v>
      </c>
      <c r="I521" s="13">
        <v>550</v>
      </c>
      <c r="J521" s="14">
        <v>136.9896</v>
      </c>
      <c r="K521" s="13">
        <v>786</v>
      </c>
      <c r="L521" s="14">
        <v>55.934600000000003</v>
      </c>
      <c r="M521" s="13">
        <v>786</v>
      </c>
      <c r="N521" s="14">
        <v>101.154</v>
      </c>
      <c r="O521" s="14">
        <v>217.47900000000001</v>
      </c>
      <c r="P521" s="13">
        <v>786</v>
      </c>
      <c r="Q521" s="14">
        <v>3.3999999999999998E-3</v>
      </c>
      <c r="R521" s="13">
        <f>MAX(MAX(1.4/[1]Parametros!$B$3,0.25*SQRT([1]Parametros!$B$2)/[1]Parametros!$B$3)*H521*U521,(0.85*[1]Parametros!$B$2/[1]Parametros!$B$3)*(1-SQRT(1-2*(J521*1000000/([1]Parametros!$B$5*H521*U521^2))/(0.85*[1]Parametros!$B$2)))*H521*U521)</f>
        <v>815.58333333333326</v>
      </c>
      <c r="S521" s="14">
        <v>5</v>
      </c>
      <c r="T521" s="14">
        <v>1</v>
      </c>
      <c r="U521" s="13">
        <f>IF(T521=1,I521-([1]Parametros!$B$7+[1]Parametros!$B$9+[1]Parametros!$B$12/2),I521-(ROUNDUP(S521/2,0)*([1]Parametros!$B$7+[1]Parametros!$B$9+[1]Parametros!$B$12/2)+ROUNDDOWN(S521/2,0)*([1]Parametros!$B$7+[1]Parametros!$B$9+[1]Parametros!$B$12/2+[1]Parametros!$B$12+[1]Parametros!$B$10))/S521)</f>
        <v>489.35</v>
      </c>
      <c r="V521" s="13">
        <f>S521*[1]Parametros!$B$8</f>
        <v>995</v>
      </c>
      <c r="W521" s="13">
        <f>[1]Parametros!$B$5*V521*[1]Parametros!$B$3*(U521-(V521*[1]Parametros!$B$3/(0.85*[1]Parametros!$B$2*H521))/2)/1000000</f>
        <v>177.44537938235294</v>
      </c>
      <c r="X521" s="13" t="str">
        <f t="shared" si="104"/>
        <v>CUMPLE</v>
      </c>
      <c r="Y521" s="13">
        <f>MAX(MAX(1.4/[1]Parametros!$B$3,0.25*SQRT([1]Parametros!$B$2)/[1]Parametros!$B$3)*H521*AB521,(0.85*[1]Parametros!$B$2/[1]Parametros!$B$3)*(1-SQRT(1-2*(L521*1000000/([1]Parametros!$B$5*H521*AB521^2))/(0.85*[1]Parametros!$B$2)))*H521*AB521)</f>
        <v>815.58333333333326</v>
      </c>
      <c r="Z521" s="14">
        <v>5</v>
      </c>
      <c r="AA521" s="14">
        <v>1</v>
      </c>
      <c r="AB521" s="13">
        <f>IF(AA521=1,I521-([1]Parametros!$B$7+[1]Parametros!$B$9+[1]Parametros!$B$12/2),I521-(ROUNDUP(Z521/2,0)*([1]Parametros!$B$7+[1]Parametros!$B$9+[1]Parametros!$B$12/2)+ROUNDDOWN(Z521/2,0)*([1]Parametros!$B$7+[1]Parametros!$B$9+[1]Parametros!$B$12/2+[1]Parametros!$B$12+[1]Parametros!$B$10))/Z521)</f>
        <v>489.35</v>
      </c>
      <c r="AC521" s="13">
        <f>Z521*[1]Parametros!$B$8</f>
        <v>995</v>
      </c>
      <c r="AD521" s="13">
        <f>[1]Parametros!$B$5*AC521*[1]Parametros!$B$3*(AB521-(AC521*[1]Parametros!$B$3/(0.85*[1]Parametros!$B$2*H521))/2)/1000000</f>
        <v>177.44537938235294</v>
      </c>
      <c r="AE521" s="13" t="str">
        <f t="shared" si="105"/>
        <v>CUMPLE</v>
      </c>
      <c r="AF521" s="13">
        <f>V521*1.25*[1]Parametros!$B$3*(U521-(V521*1.25*[1]Parametros!$B$3/(0.85*[1]Parametros!$B$2*H521))/2)/1000000</f>
        <v>244.15884319852941</v>
      </c>
      <c r="AG521" s="13">
        <f>AC521*1.25*[1]Parametros!$B$3*(AB521-(AC521*1.25*[1]Parametros!$B$3/(0.85*[1]Parametros!$B$2*H521))/2)/1000000</f>
        <v>244.15884319852941</v>
      </c>
      <c r="AH521" s="13">
        <f t="shared" si="106"/>
        <v>333.68623161764708</v>
      </c>
      <c r="AI521" s="13">
        <f t="shared" si="107"/>
        <v>333.68623161764708</v>
      </c>
      <c r="AJ521" s="13">
        <f>0.17*SQRT([1]Parametros!$B$2)*H521*MIN(U521,AB521)/1000</f>
        <v>220.09872869180776</v>
      </c>
      <c r="AK521" s="13">
        <f>MAX(AI521/[1]Parametros!$B$6-AJ521,0)</f>
        <v>224.81624679838836</v>
      </c>
      <c r="AL521" s="13">
        <f>0.66*SQRT([1]Parametros!$B$2)*H521*MIN(U521,AB521)/1000</f>
        <v>854.500946685842</v>
      </c>
      <c r="AM521" s="13" t="str">
        <f t="shared" si="108"/>
        <v>CUMPLE</v>
      </c>
      <c r="AN521" s="13" t="s">
        <v>64</v>
      </c>
      <c r="AO521" s="14">
        <v>2</v>
      </c>
      <c r="AP521" s="13">
        <f>ROUNDDOWN(MIN(IF(BC521+BD521=0,1000000000,AO521*BB521/(BC521+BD521)),MIN(U521,AB521)/4,8*[1]Parametros!$B$12,24*BA521,300,IF(AV521=0,1000000000,2*((H521-2*([1]Parametros!$B$7+[1]Parametros!$B$9/2))+(I521-2*([1]Parametros!$B$7+[1]Parametros!$B$9/2)))/8))/10,0)*10</f>
        <v>120</v>
      </c>
      <c r="AQ521" s="13">
        <f>ROUNDDOWN(MIN(IF(BC521+BD521=0,1000000000,AO521*BB521/(BC521+BD521)),IF(AK521&gt;0.33*SQRT([1]Parametros!$B$2)*H521*MIN(U521,AB521)/1000,MIN(U521,AB521)/4,MIN(U521,AB521)/2),600,IF(AV521=0,1000000000,2*((H521-2*([1]Parametros!$B$7+[1]Parametros!$B$9/2))+(I521-2*([1]Parametros!$B$7+[1]Parametros!$B$9/2)))/8))/10,0)*10</f>
        <v>120</v>
      </c>
      <c r="AR521" s="13">
        <f>[1]Parametros!$B$6*(AJ521+MAX(BE521-BD521,0)*[1]Parametros!$B$4*MIN(U521,AB521)/1000)</f>
        <v>347.47925901885583</v>
      </c>
      <c r="AS521" s="13" t="str">
        <f t="shared" si="109"/>
        <v>CUMPLE</v>
      </c>
      <c r="AT521" s="13">
        <f>[1]Parametros!$B$6*0.083*SQRT([1]Parametros!$B$2)*(H521*I521)^2/(2*(H521+I521))/1000000</f>
        <v>11.862178757598967</v>
      </c>
      <c r="AU521" s="13" t="str">
        <f t="shared" si="110"/>
        <v>DESPRECIABLE</v>
      </c>
      <c r="AV521" s="13">
        <f>IF(Q521&lt;=AT521,0,Q521*1000000/([1]Parametros!$B$6*2*0.85*(H521-2*([1]Parametros!$B$7+[1]Parametros!$B$9/2))*(I521-2*([1]Parametros!$B$7+[1]Parametros!$B$9/2))*[1]Parametros!$B$4))</f>
        <v>0</v>
      </c>
      <c r="AW521" s="13">
        <f>AV521*2*((H521-2*([1]Parametros!$B$7+[1]Parametros!$B$9/2))+(I521-2*([1]Parametros!$B$7+[1]Parametros!$B$9/2)))*[1]Parametros!$B$4/[1]Parametros!$B$3</f>
        <v>0</v>
      </c>
      <c r="AX521" s="14">
        <v>0</v>
      </c>
      <c r="AY521" s="13" t="str">
        <f t="shared" si="111"/>
        <v>DESPRECIABLE</v>
      </c>
      <c r="AZ521" s="13" t="str">
        <f t="shared" si="112"/>
        <v>CUMPLE</v>
      </c>
      <c r="BA521" s="14">
        <v>9.5</v>
      </c>
      <c r="BB521" s="14">
        <v>71</v>
      </c>
      <c r="BC521" s="13">
        <f>MAX(IF(AK521=0,0,AK521*1000/([1]Parametros!$B$4*MIN(U521,AB521))),MAX(0.062*SQRT([1]Parametros!$B$2)*H521/[1]Parametros!$B$4,0.35*H521/[1]Parametros!$B$4))</f>
        <v>1.0938526169232674</v>
      </c>
      <c r="BD521" s="13">
        <f t="shared" si="113"/>
        <v>0</v>
      </c>
      <c r="BE521" s="13">
        <f t="shared" si="114"/>
        <v>1.1833333333333333</v>
      </c>
      <c r="BF521" s="13">
        <f>SQRT((AI521*1000/(H521*MIN(U521,AB521)))^2+(Q521*1000000*2*((H521-2*([1]Parametros!$B$7+[1]Parametros!$B$9/2))+(I521-2*([1]Parametros!$B$7+[1]Parametros!$B$9/2)))/(1.7*((H521-2*([1]Parametros!$B$7+[1]Parametros!$B$9/2))*(I521-2*([1]Parametros!$B$7+[1]Parametros!$B$9/2)))^2))^2)</f>
        <v>1.3637937366265498</v>
      </c>
      <c r="BG521" s="13">
        <f>[1]Parametros!$B$6*(AJ521*1000/(H521*MIN(U521,AB521))+0.66*SQRT([1]Parametros!$B$2))</f>
        <v>3.2939603822754151</v>
      </c>
      <c r="BH521" s="13" t="str">
        <f t="shared" si="115"/>
        <v>CUMPLE</v>
      </c>
      <c r="BI521" s="13">
        <f>AX521*[1]Parametros!$B$8</f>
        <v>0</v>
      </c>
      <c r="BJ521" s="15" t="str">
        <f t="shared" si="116"/>
        <v>CUMPLE</v>
      </c>
    </row>
    <row r="522" spans="1:62" x14ac:dyDescent="0.3">
      <c r="A522" s="35" t="s">
        <v>77</v>
      </c>
      <c r="B522" s="36">
        <v>787</v>
      </c>
      <c r="C522" s="13">
        <v>1</v>
      </c>
      <c r="D522" s="13">
        <v>3.4</v>
      </c>
      <c r="E522" s="13">
        <v>3.4</v>
      </c>
      <c r="F522" s="13">
        <v>500</v>
      </c>
      <c r="G522" s="13">
        <v>550</v>
      </c>
      <c r="H522" s="13">
        <v>500</v>
      </c>
      <c r="I522" s="13">
        <v>550</v>
      </c>
      <c r="J522" s="14">
        <v>179.5933</v>
      </c>
      <c r="K522" s="13">
        <v>787</v>
      </c>
      <c r="L522" s="14">
        <v>100.9402</v>
      </c>
      <c r="M522" s="13">
        <v>787</v>
      </c>
      <c r="N522" s="14">
        <v>129.88900000000001</v>
      </c>
      <c r="O522" s="14">
        <v>335.03500000000003</v>
      </c>
      <c r="P522" s="13">
        <v>787</v>
      </c>
      <c r="Q522" s="14">
        <v>6.0848000000000004</v>
      </c>
      <c r="R522" s="13">
        <f>MAX(MAX(1.4/[1]Parametros!$B$3,0.25*SQRT([1]Parametros!$B$2)/[1]Parametros!$B$3)*H522*U522,(0.85*[1]Parametros!$B$2/[1]Parametros!$B$3)*(1-SQRT(1-2*(J522*1000000/([1]Parametros!$B$5*H522*U522^2))/(0.85*[1]Parametros!$B$2)))*H522*U522)</f>
        <v>1007.5158280334323</v>
      </c>
      <c r="S522" s="14">
        <v>6</v>
      </c>
      <c r="T522" s="14">
        <v>1</v>
      </c>
      <c r="U522" s="13">
        <f>IF(T522=1,I522-([1]Parametros!$B$7+[1]Parametros!$B$9+[1]Parametros!$B$12/2),I522-(ROUNDUP(S522/2,0)*([1]Parametros!$B$7+[1]Parametros!$B$9+[1]Parametros!$B$12/2)+ROUNDDOWN(S522/2,0)*([1]Parametros!$B$7+[1]Parametros!$B$9+[1]Parametros!$B$12/2+[1]Parametros!$B$12+[1]Parametros!$B$10))/S522)</f>
        <v>489.35</v>
      </c>
      <c r="V522" s="13">
        <f>S522*[1]Parametros!$B$8</f>
        <v>1194</v>
      </c>
      <c r="W522" s="13">
        <f>[1]Parametros!$B$5*V522*[1]Parametros!$B$3*(U522-(V522*[1]Parametros!$B$3/(0.85*[1]Parametros!$B$2*H522))/2)/1000000</f>
        <v>211.34948347058827</v>
      </c>
      <c r="X522" s="13" t="str">
        <f t="shared" si="104"/>
        <v>CUMPLE</v>
      </c>
      <c r="Y522" s="13">
        <f>MAX(MAX(1.4/[1]Parametros!$B$3,0.25*SQRT([1]Parametros!$B$2)/[1]Parametros!$B$3)*H522*AB522,(0.85*[1]Parametros!$B$2/[1]Parametros!$B$3)*(1-SQRT(1-2*(L522*1000000/([1]Parametros!$B$5*H522*AB522^2))/(0.85*[1]Parametros!$B$2)))*H522*AB522)</f>
        <v>815.58333333333326</v>
      </c>
      <c r="Z522" s="14">
        <v>5</v>
      </c>
      <c r="AA522" s="14">
        <v>1</v>
      </c>
      <c r="AB522" s="13">
        <f>IF(AA522=1,I522-([1]Parametros!$B$7+[1]Parametros!$B$9+[1]Parametros!$B$12/2),I522-(ROUNDUP(Z522/2,0)*([1]Parametros!$B$7+[1]Parametros!$B$9+[1]Parametros!$B$12/2)+ROUNDDOWN(Z522/2,0)*([1]Parametros!$B$7+[1]Parametros!$B$9+[1]Parametros!$B$12/2+[1]Parametros!$B$12+[1]Parametros!$B$10))/Z522)</f>
        <v>489.35</v>
      </c>
      <c r="AC522" s="13">
        <f>Z522*[1]Parametros!$B$8</f>
        <v>995</v>
      </c>
      <c r="AD522" s="13">
        <f>[1]Parametros!$B$5*AC522*[1]Parametros!$B$3*(AB522-(AC522*[1]Parametros!$B$3/(0.85*[1]Parametros!$B$2*H522))/2)/1000000</f>
        <v>177.44537938235294</v>
      </c>
      <c r="AE522" s="13" t="str">
        <f t="shared" si="105"/>
        <v>CUMPLE</v>
      </c>
      <c r="AF522" s="13">
        <f>V522*1.25*[1]Parametros!$B$3*(U522-(V522*1.25*[1]Parametros!$B$3/(0.85*[1]Parametros!$B$2*H522))/2)/1000000</f>
        <v>290.23892470588237</v>
      </c>
      <c r="AG522" s="13">
        <f>AC522*1.25*[1]Parametros!$B$3*(AB522-(AC522*1.25*[1]Parametros!$B$3/(0.85*[1]Parametros!$B$2*H522))/2)/1000000</f>
        <v>244.15884319852941</v>
      </c>
      <c r="AH522" s="13">
        <f t="shared" si="106"/>
        <v>287.06481408953289</v>
      </c>
      <c r="AI522" s="13">
        <f t="shared" si="107"/>
        <v>335.03500000000003</v>
      </c>
      <c r="AJ522" s="13">
        <f>0.17*SQRT([1]Parametros!$B$2)*H522*MIN(U522,AB522)/1000</f>
        <v>220.09872869180776</v>
      </c>
      <c r="AK522" s="13">
        <f>MAX(AI522/[1]Parametros!$B$6-AJ522,0)</f>
        <v>226.6146046415256</v>
      </c>
      <c r="AL522" s="13">
        <f>0.66*SQRT([1]Parametros!$B$2)*H522*MIN(U522,AB522)/1000</f>
        <v>854.500946685842</v>
      </c>
      <c r="AM522" s="13" t="str">
        <f t="shared" si="108"/>
        <v>CUMPLE</v>
      </c>
      <c r="AN522" s="13" t="s">
        <v>64</v>
      </c>
      <c r="AO522" s="14">
        <v>2</v>
      </c>
      <c r="AP522" s="13">
        <f>ROUNDDOWN(MIN(IF(BC522+BD522=0,1000000000,AO522*BB522/(BC522+BD522)),MIN(U522,AB522)/4,8*[1]Parametros!$B$12,24*BA522,300,IF(AV522=0,1000000000,2*((H522-2*([1]Parametros!$B$7+[1]Parametros!$B$9/2))+(I522-2*([1]Parametros!$B$7+[1]Parametros!$B$9/2)))/8))/10,0)*10</f>
        <v>120</v>
      </c>
      <c r="AQ522" s="13">
        <f>ROUNDDOWN(MIN(IF(BC522+BD522=0,1000000000,AO522*BB522/(BC522+BD522)),IF(AK522&gt;0.33*SQRT([1]Parametros!$B$2)*H522*MIN(U522,AB522)/1000,MIN(U522,AB522)/4,MIN(U522,AB522)/2),600,IF(AV522=0,1000000000,2*((H522-2*([1]Parametros!$B$7+[1]Parametros!$B$9/2))+(I522-2*([1]Parametros!$B$7+[1]Parametros!$B$9/2)))/8))/10,0)*10</f>
        <v>120</v>
      </c>
      <c r="AR522" s="13">
        <f>[1]Parametros!$B$6*(AJ522+MAX(BE522-BD522,0)*[1]Parametros!$B$4*MIN(U522,AB522)/1000)</f>
        <v>347.47925901885583</v>
      </c>
      <c r="AS522" s="13" t="str">
        <f t="shared" si="109"/>
        <v>CUMPLE</v>
      </c>
      <c r="AT522" s="13">
        <f>[1]Parametros!$B$6*0.083*SQRT([1]Parametros!$B$2)*(H522*I522)^2/(2*(H522+I522))/1000000</f>
        <v>11.862178757598967</v>
      </c>
      <c r="AU522" s="13" t="str">
        <f t="shared" si="110"/>
        <v>DESPRECIABLE</v>
      </c>
      <c r="AV522" s="13">
        <f>IF(Q522&lt;=AT522,0,Q522*1000000/([1]Parametros!$B$6*2*0.85*(H522-2*([1]Parametros!$B$7+[1]Parametros!$B$9/2))*(I522-2*([1]Parametros!$B$7+[1]Parametros!$B$9/2))*[1]Parametros!$B$4))</f>
        <v>0</v>
      </c>
      <c r="AW522" s="13">
        <f>AV522*2*((H522-2*([1]Parametros!$B$7+[1]Parametros!$B$9/2))+(I522-2*([1]Parametros!$B$7+[1]Parametros!$B$9/2)))*[1]Parametros!$B$4/[1]Parametros!$B$3</f>
        <v>0</v>
      </c>
      <c r="AX522" s="14">
        <v>0</v>
      </c>
      <c r="AY522" s="13" t="str">
        <f t="shared" si="111"/>
        <v>DESPRECIABLE</v>
      </c>
      <c r="AZ522" s="13" t="str">
        <f t="shared" si="112"/>
        <v>CUMPLE</v>
      </c>
      <c r="BA522" s="14">
        <v>9.5</v>
      </c>
      <c r="BB522" s="14">
        <v>71</v>
      </c>
      <c r="BC522" s="13">
        <f>MAX(IF(AK522=0,0,AK522*1000/([1]Parametros!$B$4*MIN(U522,AB522))),MAX(0.062*SQRT([1]Parametros!$B$2)*H522/[1]Parametros!$B$4,0.35*H522/[1]Parametros!$B$4))</f>
        <v>1.1026026003470377</v>
      </c>
      <c r="BD522" s="13">
        <f t="shared" si="113"/>
        <v>0</v>
      </c>
      <c r="BE522" s="13">
        <f t="shared" si="114"/>
        <v>1.1833333333333333</v>
      </c>
      <c r="BF522" s="13">
        <f>SQRT((AI522*1000/(H522*MIN(U522,AB522)))^2+(Q522*1000000*2*((H522-2*([1]Parametros!$B$7+[1]Parametros!$B$9/2))+(I522-2*([1]Parametros!$B$7+[1]Parametros!$B$9/2)))/(1.7*((H522-2*([1]Parametros!$B$7+[1]Parametros!$B$9/2))*(I522-2*([1]Parametros!$B$7+[1]Parametros!$B$9/2)))^2))^2)</f>
        <v>1.3808796165769284</v>
      </c>
      <c r="BG522" s="13">
        <f>[1]Parametros!$B$6*(AJ522*1000/(H522*MIN(U522,AB522))+0.66*SQRT([1]Parametros!$B$2))</f>
        <v>3.2939603822754151</v>
      </c>
      <c r="BH522" s="13" t="str">
        <f t="shared" si="115"/>
        <v>CUMPLE</v>
      </c>
      <c r="BI522" s="13">
        <f>AX522*[1]Parametros!$B$8</f>
        <v>0</v>
      </c>
      <c r="BJ522" s="15" t="str">
        <f t="shared" si="116"/>
        <v>CUMPLE</v>
      </c>
    </row>
    <row r="523" spans="1:62" x14ac:dyDescent="0.3">
      <c r="A523" s="35" t="s">
        <v>77</v>
      </c>
      <c r="B523" s="36">
        <v>788</v>
      </c>
      <c r="C523" s="13">
        <v>1</v>
      </c>
      <c r="D523" s="13">
        <v>1.9</v>
      </c>
      <c r="E523" s="13">
        <v>1.9</v>
      </c>
      <c r="F523" s="13">
        <v>500</v>
      </c>
      <c r="G523" s="13">
        <v>550</v>
      </c>
      <c r="H523" s="13">
        <v>500</v>
      </c>
      <c r="I523" s="13">
        <v>550</v>
      </c>
      <c r="J523" s="14">
        <v>137.77539999999999</v>
      </c>
      <c r="K523" s="13">
        <v>788</v>
      </c>
      <c r="L523" s="14">
        <v>76.742900000000006</v>
      </c>
      <c r="M523" s="13">
        <v>788</v>
      </c>
      <c r="N523" s="14">
        <v>118.601</v>
      </c>
      <c r="O523" s="14">
        <v>430.45400000000001</v>
      </c>
      <c r="P523" s="13">
        <v>788</v>
      </c>
      <c r="Q523" s="14">
        <v>0.34889999999999999</v>
      </c>
      <c r="R523" s="13">
        <f>MAX(MAX(1.4/[1]Parametros!$B$3,0.25*SQRT([1]Parametros!$B$2)/[1]Parametros!$B$3)*H523*U523,(0.85*[1]Parametros!$B$2/[1]Parametros!$B$3)*(1-SQRT(1-2*(J523*1000000/([1]Parametros!$B$5*H523*U523^2))/(0.85*[1]Parametros!$B$2)))*H523*U523)</f>
        <v>815.58333333333326</v>
      </c>
      <c r="S523" s="14">
        <v>5</v>
      </c>
      <c r="T523" s="14">
        <v>1</v>
      </c>
      <c r="U523" s="13">
        <f>IF(T523=1,I523-([1]Parametros!$B$7+[1]Parametros!$B$9+[1]Parametros!$B$12/2),I523-(ROUNDUP(S523/2,0)*([1]Parametros!$B$7+[1]Parametros!$B$9+[1]Parametros!$B$12/2)+ROUNDDOWN(S523/2,0)*([1]Parametros!$B$7+[1]Parametros!$B$9+[1]Parametros!$B$12/2+[1]Parametros!$B$12+[1]Parametros!$B$10))/S523)</f>
        <v>489.35</v>
      </c>
      <c r="V523" s="13">
        <f>S523*[1]Parametros!$B$8</f>
        <v>995</v>
      </c>
      <c r="W523" s="13">
        <f>[1]Parametros!$B$5*V523*[1]Parametros!$B$3*(U523-(V523*[1]Parametros!$B$3/(0.85*[1]Parametros!$B$2*H523))/2)/1000000</f>
        <v>177.44537938235294</v>
      </c>
      <c r="X523" s="13" t="str">
        <f t="shared" si="104"/>
        <v>CUMPLE</v>
      </c>
      <c r="Y523" s="13">
        <f>MAX(MAX(1.4/[1]Parametros!$B$3,0.25*SQRT([1]Parametros!$B$2)/[1]Parametros!$B$3)*H523*AB523,(0.85*[1]Parametros!$B$2/[1]Parametros!$B$3)*(1-SQRT(1-2*(L523*1000000/([1]Parametros!$B$5*H523*AB523^2))/(0.85*[1]Parametros!$B$2)))*H523*AB523)</f>
        <v>815.58333333333326</v>
      </c>
      <c r="Z523" s="14">
        <v>5</v>
      </c>
      <c r="AA523" s="14">
        <v>1</v>
      </c>
      <c r="AB523" s="13">
        <f>IF(AA523=1,I523-([1]Parametros!$B$7+[1]Parametros!$B$9+[1]Parametros!$B$12/2),I523-(ROUNDUP(Z523/2,0)*([1]Parametros!$B$7+[1]Parametros!$B$9+[1]Parametros!$B$12/2)+ROUNDDOWN(Z523/2,0)*([1]Parametros!$B$7+[1]Parametros!$B$9+[1]Parametros!$B$12/2+[1]Parametros!$B$12+[1]Parametros!$B$10))/Z523)</f>
        <v>489.35</v>
      </c>
      <c r="AC523" s="13">
        <f>Z523*[1]Parametros!$B$8</f>
        <v>995</v>
      </c>
      <c r="AD523" s="13">
        <f>[1]Parametros!$B$5*AC523*[1]Parametros!$B$3*(AB523-(AC523*[1]Parametros!$B$3/(0.85*[1]Parametros!$B$2*H523))/2)/1000000</f>
        <v>177.44537938235294</v>
      </c>
      <c r="AE523" s="13" t="str">
        <f t="shared" si="105"/>
        <v>CUMPLE</v>
      </c>
      <c r="AF523" s="13">
        <f>V523*1.25*[1]Parametros!$B$3*(U523-(V523*1.25*[1]Parametros!$B$3/(0.85*[1]Parametros!$B$2*H523))/2)/1000000</f>
        <v>244.15884319852941</v>
      </c>
      <c r="AG523" s="13">
        <f>AC523*1.25*[1]Parametros!$B$3*(AB523-(AC523*1.25*[1]Parametros!$B$3/(0.85*[1]Parametros!$B$2*H523))/2)/1000000</f>
        <v>244.15884319852941</v>
      </c>
      <c r="AH523" s="13">
        <f t="shared" si="106"/>
        <v>375.61030863003094</v>
      </c>
      <c r="AI523" s="13">
        <f t="shared" si="107"/>
        <v>430.45400000000001</v>
      </c>
      <c r="AJ523" s="13">
        <f>0.17*SQRT([1]Parametros!$B$2)*H523*MIN(U523,AB523)/1000</f>
        <v>220.09872869180776</v>
      </c>
      <c r="AK523" s="13">
        <f>MAX(AI523/[1]Parametros!$B$6-AJ523,0)</f>
        <v>353.83993797485891</v>
      </c>
      <c r="AL523" s="13">
        <f>0.66*SQRT([1]Parametros!$B$2)*H523*MIN(U523,AB523)/1000</f>
        <v>854.500946685842</v>
      </c>
      <c r="AM523" s="13" t="str">
        <f t="shared" si="108"/>
        <v>CUMPLE</v>
      </c>
      <c r="AN523" s="13" t="s">
        <v>64</v>
      </c>
      <c r="AO523" s="14">
        <v>2</v>
      </c>
      <c r="AP523" s="13">
        <f>ROUNDDOWN(MIN(IF(BC523+BD523=0,1000000000,AO523*BB523/(BC523+BD523)),MIN(U523,AB523)/4,8*[1]Parametros!$B$12,24*BA523,300,IF(AV523=0,1000000000,2*((H523-2*([1]Parametros!$B$7+[1]Parametros!$B$9/2))+(I523-2*([1]Parametros!$B$7+[1]Parametros!$B$9/2)))/8))/10,0)*10</f>
        <v>80</v>
      </c>
      <c r="AQ523" s="13">
        <f>ROUNDDOWN(MIN(IF(BC523+BD523=0,1000000000,AO523*BB523/(BC523+BD523)),IF(AK523&gt;0.33*SQRT([1]Parametros!$B$2)*H523*MIN(U523,AB523)/1000,MIN(U523,AB523)/4,MIN(U523,AB523)/2),600,IF(AV523=0,1000000000,2*((H523-2*([1]Parametros!$B$7+[1]Parametros!$B$9/2))+(I523-2*([1]Parametros!$B$7+[1]Parametros!$B$9/2)))/8))/10,0)*10</f>
        <v>80</v>
      </c>
      <c r="AR523" s="13">
        <f>[1]Parametros!$B$6*(AJ523+MAX(BE523-BD523,0)*[1]Parametros!$B$4*MIN(U523,AB523)/1000)</f>
        <v>438.68186526885586</v>
      </c>
      <c r="AS523" s="13" t="str">
        <f t="shared" si="109"/>
        <v>CUMPLE</v>
      </c>
      <c r="AT523" s="13">
        <f>[1]Parametros!$B$6*0.083*SQRT([1]Parametros!$B$2)*(H523*I523)^2/(2*(H523+I523))/1000000</f>
        <v>11.862178757598967</v>
      </c>
      <c r="AU523" s="13" t="str">
        <f t="shared" si="110"/>
        <v>DESPRECIABLE</v>
      </c>
      <c r="AV523" s="13">
        <f>IF(Q523&lt;=AT523,0,Q523*1000000/([1]Parametros!$B$6*2*0.85*(H523-2*([1]Parametros!$B$7+[1]Parametros!$B$9/2))*(I523-2*([1]Parametros!$B$7+[1]Parametros!$B$9/2))*[1]Parametros!$B$4))</f>
        <v>0</v>
      </c>
      <c r="AW523" s="13">
        <f>AV523*2*((H523-2*([1]Parametros!$B$7+[1]Parametros!$B$9/2))+(I523-2*([1]Parametros!$B$7+[1]Parametros!$B$9/2)))*[1]Parametros!$B$4/[1]Parametros!$B$3</f>
        <v>0</v>
      </c>
      <c r="AX523" s="14">
        <v>0</v>
      </c>
      <c r="AY523" s="13" t="str">
        <f t="shared" si="111"/>
        <v>DESPRECIABLE</v>
      </c>
      <c r="AZ523" s="13" t="str">
        <f t="shared" si="112"/>
        <v>CUMPLE</v>
      </c>
      <c r="BA523" s="14">
        <v>9.5</v>
      </c>
      <c r="BB523" s="14">
        <v>71</v>
      </c>
      <c r="BC523" s="13">
        <f>MAX(IF(AK523=0,0,AK523*1000/([1]Parametros!$B$4*MIN(U523,AB523))),MAX(0.062*SQRT([1]Parametros!$B$2)*H523/[1]Parametros!$B$4,0.35*H523/[1]Parametros!$B$4))</f>
        <v>1.7216226479969001</v>
      </c>
      <c r="BD523" s="13">
        <f t="shared" si="113"/>
        <v>0</v>
      </c>
      <c r="BE523" s="13">
        <f t="shared" si="114"/>
        <v>1.7749999999999999</v>
      </c>
      <c r="BF523" s="13">
        <f>SQRT((AI523*1000/(H523*MIN(U523,AB523)))^2+(Q523*1000000*2*((H523-2*([1]Parametros!$B$7+[1]Parametros!$B$9/2))+(I523-2*([1]Parametros!$B$7+[1]Parametros!$B$9/2)))/(1.7*((H523-2*([1]Parametros!$B$7+[1]Parametros!$B$9/2))*(I523-2*([1]Parametros!$B$7+[1]Parametros!$B$9/2)))^2))^2)</f>
        <v>1.7593185939512017</v>
      </c>
      <c r="BG523" s="13">
        <f>[1]Parametros!$B$6*(AJ523*1000/(H523*MIN(U523,AB523))+0.66*SQRT([1]Parametros!$B$2))</f>
        <v>3.2939603822754151</v>
      </c>
      <c r="BH523" s="13" t="str">
        <f t="shared" si="115"/>
        <v>CUMPLE</v>
      </c>
      <c r="BI523" s="13">
        <f>AX523*[1]Parametros!$B$8</f>
        <v>0</v>
      </c>
      <c r="BJ523" s="15" t="str">
        <f t="shared" si="116"/>
        <v>CUMPLE</v>
      </c>
    </row>
    <row r="524" spans="1:62" x14ac:dyDescent="0.3">
      <c r="A524" s="35" t="s">
        <v>77</v>
      </c>
      <c r="B524" s="36">
        <v>789</v>
      </c>
      <c r="C524" s="13">
        <v>1</v>
      </c>
      <c r="D524" s="13">
        <v>2</v>
      </c>
      <c r="E524" s="13">
        <v>2</v>
      </c>
      <c r="F524" s="13">
        <v>500</v>
      </c>
      <c r="G524" s="13">
        <v>550</v>
      </c>
      <c r="H524" s="13">
        <v>500</v>
      </c>
      <c r="I524" s="13">
        <v>550</v>
      </c>
      <c r="J524" s="14">
        <v>262.53559999999999</v>
      </c>
      <c r="K524" s="13">
        <v>789</v>
      </c>
      <c r="L524" s="14">
        <v>120.429</v>
      </c>
      <c r="M524" s="13">
        <v>789</v>
      </c>
      <c r="N524" s="14">
        <v>204.37</v>
      </c>
      <c r="O524" s="14">
        <v>327.16899999999998</v>
      </c>
      <c r="P524" s="13">
        <v>789</v>
      </c>
      <c r="Q524" s="14">
        <v>7.9374000000000002</v>
      </c>
      <c r="R524" s="13">
        <f>MAX(MAX(1.4/[1]Parametros!$B$3,0.25*SQRT([1]Parametros!$B$2)/[1]Parametros!$B$3)*H524*U524,(0.85*[1]Parametros!$B$2/[1]Parametros!$B$3)*(1-SQRT(1-2*(J524*1000000/([1]Parametros!$B$5*H524*U524^2))/(0.85*[1]Parametros!$B$2)))*H524*U524)</f>
        <v>1500.5029943128877</v>
      </c>
      <c r="S524" s="14">
        <v>8</v>
      </c>
      <c r="T524" s="14">
        <v>1</v>
      </c>
      <c r="U524" s="13">
        <f>IF(T524=1,I524-([1]Parametros!$B$7+[1]Parametros!$B$9+[1]Parametros!$B$12/2),I524-(ROUNDUP(S524/2,0)*([1]Parametros!$B$7+[1]Parametros!$B$9+[1]Parametros!$B$12/2)+ROUNDDOWN(S524/2,0)*([1]Parametros!$B$7+[1]Parametros!$B$9+[1]Parametros!$B$12/2+[1]Parametros!$B$12+[1]Parametros!$B$10))/S524)</f>
        <v>489.35</v>
      </c>
      <c r="V524" s="13">
        <f>S524*[1]Parametros!$B$8</f>
        <v>1592</v>
      </c>
      <c r="W524" s="13">
        <f>[1]Parametros!$B$5*V524*[1]Parametros!$B$3*(U524-(V524*[1]Parametros!$B$3/(0.85*[1]Parametros!$B$2*H524))/2)/1000000</f>
        <v>277.57271985882352</v>
      </c>
      <c r="X524" s="13" t="str">
        <f t="shared" si="104"/>
        <v>CUMPLE</v>
      </c>
      <c r="Y524" s="13">
        <f>MAX(MAX(1.4/[1]Parametros!$B$3,0.25*SQRT([1]Parametros!$B$2)/[1]Parametros!$B$3)*H524*AB524,(0.85*[1]Parametros!$B$2/[1]Parametros!$B$3)*(1-SQRT(1-2*(L524*1000000/([1]Parametros!$B$5*H524*AB524^2))/(0.85*[1]Parametros!$B$2)))*H524*AB524)</f>
        <v>815.58333333333326</v>
      </c>
      <c r="Z524" s="14">
        <v>5</v>
      </c>
      <c r="AA524" s="14">
        <v>1</v>
      </c>
      <c r="AB524" s="13">
        <f>IF(AA524=1,I524-([1]Parametros!$B$7+[1]Parametros!$B$9+[1]Parametros!$B$12/2),I524-(ROUNDUP(Z524/2,0)*([1]Parametros!$B$7+[1]Parametros!$B$9+[1]Parametros!$B$12/2)+ROUNDDOWN(Z524/2,0)*([1]Parametros!$B$7+[1]Parametros!$B$9+[1]Parametros!$B$12/2+[1]Parametros!$B$12+[1]Parametros!$B$10))/Z524)</f>
        <v>489.35</v>
      </c>
      <c r="AC524" s="13">
        <f>Z524*[1]Parametros!$B$8</f>
        <v>995</v>
      </c>
      <c r="AD524" s="13">
        <f>[1]Parametros!$B$5*AC524*[1]Parametros!$B$3*(AB524-(AC524*[1]Parametros!$B$3/(0.85*[1]Parametros!$B$2*H524))/2)/1000000</f>
        <v>177.44537938235294</v>
      </c>
      <c r="AE524" s="13" t="str">
        <f t="shared" si="105"/>
        <v>CUMPLE</v>
      </c>
      <c r="AF524" s="13">
        <f>V524*1.25*[1]Parametros!$B$3*(U524-(V524*1.25*[1]Parametros!$B$3/(0.85*[1]Parametros!$B$2*H524))/2)/1000000</f>
        <v>379.64740058823531</v>
      </c>
      <c r="AG524" s="13">
        <f>AC524*1.25*[1]Parametros!$B$3*(AB524-(AC524*1.25*[1]Parametros!$B$3/(0.85*[1]Parametros!$B$2*H524))/2)/1000000</f>
        <v>244.15884319852941</v>
      </c>
      <c r="AH524" s="13">
        <f t="shared" si="106"/>
        <v>516.27312189338238</v>
      </c>
      <c r="AI524" s="13">
        <f t="shared" si="107"/>
        <v>516.27312189338238</v>
      </c>
      <c r="AJ524" s="13">
        <f>0.17*SQRT([1]Parametros!$B$2)*H524*MIN(U524,AB524)/1000</f>
        <v>220.09872869180776</v>
      </c>
      <c r="AK524" s="13">
        <f>MAX(AI524/[1]Parametros!$B$6-AJ524,0)</f>
        <v>468.26543383270212</v>
      </c>
      <c r="AL524" s="13">
        <f>0.66*SQRT([1]Parametros!$B$2)*H524*MIN(U524,AB524)/1000</f>
        <v>854.500946685842</v>
      </c>
      <c r="AM524" s="13" t="str">
        <f t="shared" si="108"/>
        <v>CUMPLE</v>
      </c>
      <c r="AN524" s="13" t="s">
        <v>68</v>
      </c>
      <c r="AO524" s="14">
        <v>2</v>
      </c>
      <c r="AP524" s="13">
        <f>ROUNDDOWN(MIN(IF(BC524+BD524=0,1000000000,AO524*BB524/(BC524+BD524)),MIN(U524,AB524)/4,8*[1]Parametros!$B$12,24*BA524,300,IF(AV524=0,1000000000,2*((H524-2*([1]Parametros!$B$7+[1]Parametros!$B$9/2))+(I524-2*([1]Parametros!$B$7+[1]Parametros!$B$9/2)))/8))/10,0)*10</f>
        <v>110</v>
      </c>
      <c r="AQ524" s="13">
        <f>ROUNDDOWN(MIN(IF(BC524+BD524=0,1000000000,AO524*BB524/(BC524+BD524)),IF(AK524&gt;0.33*SQRT([1]Parametros!$B$2)*H524*MIN(U524,AB524)/1000,MIN(U524,AB524)/4,MIN(U524,AB524)/2),600,IF(AV524=0,1000000000,2*((H524-2*([1]Parametros!$B$7+[1]Parametros!$B$9/2))+(I524-2*([1]Parametros!$B$7+[1]Parametros!$B$9/2)))/8))/10,0)*10</f>
        <v>110</v>
      </c>
      <c r="AR524" s="13">
        <f>[1]Parametros!$B$6*(AJ524+MAX(BE524-BD524,0)*[1]Parametros!$B$4*MIN(U524,AB524)/1000)</f>
        <v>526.61472379158317</v>
      </c>
      <c r="AS524" s="13" t="str">
        <f t="shared" si="109"/>
        <v>CUMPLE</v>
      </c>
      <c r="AT524" s="13">
        <f>[1]Parametros!$B$6*0.083*SQRT([1]Parametros!$B$2)*(H524*I524)^2/(2*(H524+I524))/1000000</f>
        <v>11.862178757598967</v>
      </c>
      <c r="AU524" s="13" t="str">
        <f t="shared" si="110"/>
        <v>DESPRECIABLE</v>
      </c>
      <c r="AV524" s="13">
        <f>IF(Q524&lt;=AT524,0,Q524*1000000/([1]Parametros!$B$6*2*0.85*(H524-2*([1]Parametros!$B$7+[1]Parametros!$B$9/2))*(I524-2*([1]Parametros!$B$7+[1]Parametros!$B$9/2))*[1]Parametros!$B$4))</f>
        <v>0</v>
      </c>
      <c r="AW524" s="13">
        <f>AV524*2*((H524-2*([1]Parametros!$B$7+[1]Parametros!$B$9/2))+(I524-2*([1]Parametros!$B$7+[1]Parametros!$B$9/2)))*[1]Parametros!$B$4/[1]Parametros!$B$3</f>
        <v>0</v>
      </c>
      <c r="AX524" s="14">
        <v>0</v>
      </c>
      <c r="AY524" s="13" t="str">
        <f t="shared" si="111"/>
        <v>DESPRECIABLE</v>
      </c>
      <c r="AZ524" s="13" t="str">
        <f t="shared" si="112"/>
        <v>CUMPLE</v>
      </c>
      <c r="BA524" s="14">
        <v>12.7</v>
      </c>
      <c r="BB524" s="14">
        <v>129</v>
      </c>
      <c r="BC524" s="13">
        <f>MAX(IF(AK524=0,0,AK524*1000/([1]Parametros!$B$4*MIN(U524,AB524))),MAX(0.062*SQRT([1]Parametros!$B$2)*H524/[1]Parametros!$B$4,0.35*H524/[1]Parametros!$B$4))</f>
        <v>2.2783645644256088</v>
      </c>
      <c r="BD524" s="13">
        <f t="shared" si="113"/>
        <v>0</v>
      </c>
      <c r="BE524" s="13">
        <f t="shared" si="114"/>
        <v>2.3454545454545452</v>
      </c>
      <c r="BF524" s="13">
        <f>SQRT((AI524*1000/(H524*MIN(U524,AB524)))^2+(Q524*1000000*2*((H524-2*([1]Parametros!$B$7+[1]Parametros!$B$9/2))+(I524-2*([1]Parametros!$B$7+[1]Parametros!$B$9/2)))/(1.7*((H524-2*([1]Parametros!$B$7+[1]Parametros!$B$9/2))*(I524-2*([1]Parametros!$B$7+[1]Parametros!$B$9/2)))^2))^2)</f>
        <v>2.1228316045277116</v>
      </c>
      <c r="BG524" s="13">
        <f>[1]Parametros!$B$6*(AJ524*1000/(H524*MIN(U524,AB524))+0.66*SQRT([1]Parametros!$B$2))</f>
        <v>3.2939603822754151</v>
      </c>
      <c r="BH524" s="13" t="str">
        <f t="shared" si="115"/>
        <v>CUMPLE</v>
      </c>
      <c r="BI524" s="13">
        <f>AX524*[1]Parametros!$B$8</f>
        <v>0</v>
      </c>
      <c r="BJ524" s="15" t="str">
        <f t="shared" si="116"/>
        <v>CUMPLE</v>
      </c>
    </row>
    <row r="525" spans="1:62" x14ac:dyDescent="0.3">
      <c r="A525" s="35" t="s">
        <v>77</v>
      </c>
      <c r="B525" s="36">
        <v>790</v>
      </c>
      <c r="C525" s="13">
        <v>1</v>
      </c>
      <c r="D525" s="13">
        <v>2.35</v>
      </c>
      <c r="E525" s="13">
        <v>2.35</v>
      </c>
      <c r="F525" s="13">
        <v>500</v>
      </c>
      <c r="G525" s="13">
        <v>550</v>
      </c>
      <c r="H525" s="13">
        <v>500</v>
      </c>
      <c r="I525" s="13">
        <v>550</v>
      </c>
      <c r="J525" s="14">
        <v>245.03469999999999</v>
      </c>
      <c r="K525" s="13">
        <v>790</v>
      </c>
      <c r="L525" s="14">
        <v>133.74109999999999</v>
      </c>
      <c r="M525" s="13">
        <v>790</v>
      </c>
      <c r="N525" s="14">
        <v>201.607</v>
      </c>
      <c r="O525" s="14">
        <v>325.01499999999999</v>
      </c>
      <c r="P525" s="13">
        <v>790</v>
      </c>
      <c r="Q525" s="14">
        <v>9.6050000000000004</v>
      </c>
      <c r="R525" s="13">
        <f>MAX(MAX(1.4/[1]Parametros!$B$3,0.25*SQRT([1]Parametros!$B$2)/[1]Parametros!$B$3)*H525*U525,(0.85*[1]Parametros!$B$2/[1]Parametros!$B$3)*(1-SQRT(1-2*(J525*1000000/([1]Parametros!$B$5*H525*U525^2))/(0.85*[1]Parametros!$B$2)))*H525*U525)</f>
        <v>1394.859843546436</v>
      </c>
      <c r="S525" s="14">
        <v>8</v>
      </c>
      <c r="T525" s="14">
        <v>1</v>
      </c>
      <c r="U525" s="13">
        <f>IF(T525=1,I525-([1]Parametros!$B$7+[1]Parametros!$B$9+[1]Parametros!$B$12/2),I525-(ROUNDUP(S525/2,0)*([1]Parametros!$B$7+[1]Parametros!$B$9+[1]Parametros!$B$12/2)+ROUNDDOWN(S525/2,0)*([1]Parametros!$B$7+[1]Parametros!$B$9+[1]Parametros!$B$12/2+[1]Parametros!$B$12+[1]Parametros!$B$10))/S525)</f>
        <v>489.35</v>
      </c>
      <c r="V525" s="13">
        <f>S525*[1]Parametros!$B$8</f>
        <v>1592</v>
      </c>
      <c r="W525" s="13">
        <f>[1]Parametros!$B$5*V525*[1]Parametros!$B$3*(U525-(V525*[1]Parametros!$B$3/(0.85*[1]Parametros!$B$2*H525))/2)/1000000</f>
        <v>277.57271985882352</v>
      </c>
      <c r="X525" s="13" t="str">
        <f t="shared" si="104"/>
        <v>CUMPLE</v>
      </c>
      <c r="Y525" s="13">
        <f>MAX(MAX(1.4/[1]Parametros!$B$3,0.25*SQRT([1]Parametros!$B$2)/[1]Parametros!$B$3)*H525*AB525,(0.85*[1]Parametros!$B$2/[1]Parametros!$B$3)*(1-SQRT(1-2*(L525*1000000/([1]Parametros!$B$5*H525*AB525^2))/(0.85*[1]Parametros!$B$2)))*H525*AB525)</f>
        <v>815.58333333333326</v>
      </c>
      <c r="Z525" s="14">
        <v>5</v>
      </c>
      <c r="AA525" s="14">
        <v>1</v>
      </c>
      <c r="AB525" s="13">
        <f>IF(AA525=1,I525-([1]Parametros!$B$7+[1]Parametros!$B$9+[1]Parametros!$B$12/2),I525-(ROUNDUP(Z525/2,0)*([1]Parametros!$B$7+[1]Parametros!$B$9+[1]Parametros!$B$12/2)+ROUNDDOWN(Z525/2,0)*([1]Parametros!$B$7+[1]Parametros!$B$9+[1]Parametros!$B$12/2+[1]Parametros!$B$12+[1]Parametros!$B$10))/Z525)</f>
        <v>489.35</v>
      </c>
      <c r="AC525" s="13">
        <f>Z525*[1]Parametros!$B$8</f>
        <v>995</v>
      </c>
      <c r="AD525" s="13">
        <f>[1]Parametros!$B$5*AC525*[1]Parametros!$B$3*(AB525-(AC525*[1]Parametros!$B$3/(0.85*[1]Parametros!$B$2*H525))/2)/1000000</f>
        <v>177.44537938235294</v>
      </c>
      <c r="AE525" s="13" t="str">
        <f t="shared" si="105"/>
        <v>CUMPLE</v>
      </c>
      <c r="AF525" s="13">
        <f>V525*1.25*[1]Parametros!$B$3*(U525-(V525*1.25*[1]Parametros!$B$3/(0.85*[1]Parametros!$B$2*H525))/2)/1000000</f>
        <v>379.64740058823531</v>
      </c>
      <c r="AG525" s="13">
        <f>AC525*1.25*[1]Parametros!$B$3*(AB525-(AC525*1.25*[1]Parametros!$B$3/(0.85*[1]Parametros!$B$2*H525))/2)/1000000</f>
        <v>244.15884319852941</v>
      </c>
      <c r="AH525" s="13">
        <f t="shared" si="106"/>
        <v>467.05646544117644</v>
      </c>
      <c r="AI525" s="13">
        <f t="shared" si="107"/>
        <v>467.05646544117644</v>
      </c>
      <c r="AJ525" s="13">
        <f>0.17*SQRT([1]Parametros!$B$2)*H525*MIN(U525,AB525)/1000</f>
        <v>220.09872869180776</v>
      </c>
      <c r="AK525" s="13">
        <f>MAX(AI525/[1]Parametros!$B$6-AJ525,0)</f>
        <v>402.64322522976079</v>
      </c>
      <c r="AL525" s="13">
        <f>0.66*SQRT([1]Parametros!$B$2)*H525*MIN(U525,AB525)/1000</f>
        <v>854.500946685842</v>
      </c>
      <c r="AM525" s="13" t="str">
        <f t="shared" si="108"/>
        <v>CUMPLE</v>
      </c>
      <c r="AN525" s="13" t="s">
        <v>68</v>
      </c>
      <c r="AO525" s="14">
        <v>2</v>
      </c>
      <c r="AP525" s="13">
        <f>ROUNDDOWN(MIN(IF(BC525+BD525=0,1000000000,AO525*BB525/(BC525+BD525)),MIN(U525,AB525)/4,8*[1]Parametros!$B$12,24*BA525,300,IF(AV525=0,1000000000,2*((H525-2*([1]Parametros!$B$7+[1]Parametros!$B$9/2))+(I525-2*([1]Parametros!$B$7+[1]Parametros!$B$9/2)))/8))/10,0)*10</f>
        <v>120</v>
      </c>
      <c r="AQ525" s="13">
        <f>ROUNDDOWN(MIN(IF(BC525+BD525=0,1000000000,AO525*BB525/(BC525+BD525)),IF(AK525&gt;0.33*SQRT([1]Parametros!$B$2)*H525*MIN(U525,AB525)/1000,MIN(U525,AB525)/4,MIN(U525,AB525)/2),600,IF(AV525=0,1000000000,2*((H525-2*([1]Parametros!$B$7+[1]Parametros!$B$9/2))+(I525-2*([1]Parametros!$B$7+[1]Parametros!$B$9/2)))/8))/10,0)*10</f>
        <v>130</v>
      </c>
      <c r="AR525" s="13">
        <f>[1]Parametros!$B$6*(AJ525+MAX(BE525-BD525,0)*[1]Parametros!$B$4*MIN(U525,AB525)/1000)</f>
        <v>496.48633401885581</v>
      </c>
      <c r="AS525" s="13" t="str">
        <f t="shared" si="109"/>
        <v>CUMPLE</v>
      </c>
      <c r="AT525" s="13">
        <f>[1]Parametros!$B$6*0.083*SQRT([1]Parametros!$B$2)*(H525*I525)^2/(2*(H525+I525))/1000000</f>
        <v>11.862178757598967</v>
      </c>
      <c r="AU525" s="13" t="str">
        <f t="shared" si="110"/>
        <v>DESPRECIABLE</v>
      </c>
      <c r="AV525" s="13">
        <f>IF(Q525&lt;=AT525,0,Q525*1000000/([1]Parametros!$B$6*2*0.85*(H525-2*([1]Parametros!$B$7+[1]Parametros!$B$9/2))*(I525-2*([1]Parametros!$B$7+[1]Parametros!$B$9/2))*[1]Parametros!$B$4))</f>
        <v>0</v>
      </c>
      <c r="AW525" s="13">
        <f>AV525*2*((H525-2*([1]Parametros!$B$7+[1]Parametros!$B$9/2))+(I525-2*([1]Parametros!$B$7+[1]Parametros!$B$9/2)))*[1]Parametros!$B$4/[1]Parametros!$B$3</f>
        <v>0</v>
      </c>
      <c r="AX525" s="14">
        <v>0</v>
      </c>
      <c r="AY525" s="13" t="str">
        <f t="shared" si="111"/>
        <v>DESPRECIABLE</v>
      </c>
      <c r="AZ525" s="13" t="str">
        <f t="shared" si="112"/>
        <v>CUMPLE</v>
      </c>
      <c r="BA525" s="14">
        <v>12.7</v>
      </c>
      <c r="BB525" s="14">
        <v>129</v>
      </c>
      <c r="BC525" s="13">
        <f>MAX(IF(AK525=0,0,AK525*1000/([1]Parametros!$B$4*MIN(U525,AB525))),MAX(0.062*SQRT([1]Parametros!$B$2)*H525/[1]Parametros!$B$4,0.35*H525/[1]Parametros!$B$4))</f>
        <v>1.9590770323595479</v>
      </c>
      <c r="BD525" s="13">
        <f t="shared" si="113"/>
        <v>0</v>
      </c>
      <c r="BE525" s="13">
        <f t="shared" si="114"/>
        <v>2.15</v>
      </c>
      <c r="BF525" s="13">
        <f>SQRT((AI525*1000/(H525*MIN(U525,AB525)))^2+(Q525*1000000*2*((H525-2*([1]Parametros!$B$7+[1]Parametros!$B$9/2))+(I525-2*([1]Parametros!$B$7+[1]Parametros!$B$9/2)))/(1.7*((H525-2*([1]Parametros!$B$7+[1]Parametros!$B$9/2))*(I525-2*([1]Parametros!$B$7+[1]Parametros!$B$9/2)))^2))^2)</f>
        <v>1.9295470517277786</v>
      </c>
      <c r="BG525" s="13">
        <f>[1]Parametros!$B$6*(AJ525*1000/(H525*MIN(U525,AB525))+0.66*SQRT([1]Parametros!$B$2))</f>
        <v>3.2939603822754151</v>
      </c>
      <c r="BH525" s="13" t="str">
        <f t="shared" si="115"/>
        <v>CUMPLE</v>
      </c>
      <c r="BI525" s="13">
        <f>AX525*[1]Parametros!$B$8</f>
        <v>0</v>
      </c>
      <c r="BJ525" s="15" t="str">
        <f t="shared" si="116"/>
        <v>CUMPLE</v>
      </c>
    </row>
    <row r="526" spans="1:62" x14ac:dyDescent="0.3">
      <c r="A526" s="35" t="s">
        <v>77</v>
      </c>
      <c r="B526" s="36">
        <v>875</v>
      </c>
      <c r="C526" s="13">
        <v>1</v>
      </c>
      <c r="D526" s="13">
        <v>2.35</v>
      </c>
      <c r="E526" s="13">
        <v>2.35</v>
      </c>
      <c r="F526" s="13">
        <v>500</v>
      </c>
      <c r="G526" s="13">
        <v>550</v>
      </c>
      <c r="H526" s="13">
        <v>500</v>
      </c>
      <c r="I526" s="13">
        <v>550</v>
      </c>
      <c r="J526" s="14">
        <v>217.47049999999999</v>
      </c>
      <c r="K526" s="13">
        <v>875</v>
      </c>
      <c r="L526" s="14">
        <v>131.72819999999999</v>
      </c>
      <c r="M526" s="13">
        <v>875</v>
      </c>
      <c r="N526" s="14">
        <v>190.691</v>
      </c>
      <c r="O526" s="14">
        <v>277.53399999999999</v>
      </c>
      <c r="P526" s="13">
        <v>875</v>
      </c>
      <c r="Q526" s="14">
        <v>6.5151000000000003</v>
      </c>
      <c r="R526" s="13">
        <f>MAX(MAX(1.4/[1]Parametros!$B$3,0.25*SQRT([1]Parametros!$B$2)/[1]Parametros!$B$3)*H526*U526,(0.85*[1]Parametros!$B$2/[1]Parametros!$B$3)*(1-SQRT(1-2*(J526*1000000/([1]Parametros!$B$5*H526*U526^2))/(0.85*[1]Parametros!$B$2)))*H526*U526)</f>
        <v>1230.261290821227</v>
      </c>
      <c r="S526" s="14">
        <v>7</v>
      </c>
      <c r="T526" s="14">
        <v>1</v>
      </c>
      <c r="U526" s="13">
        <f>IF(T526=1,I526-([1]Parametros!$B$7+[1]Parametros!$B$9+[1]Parametros!$B$12/2),I526-(ROUNDUP(S526/2,0)*([1]Parametros!$B$7+[1]Parametros!$B$9+[1]Parametros!$B$12/2)+ROUNDDOWN(S526/2,0)*([1]Parametros!$B$7+[1]Parametros!$B$9+[1]Parametros!$B$12/2+[1]Parametros!$B$12+[1]Parametros!$B$10))/S526)</f>
        <v>489.35</v>
      </c>
      <c r="V526" s="13">
        <f>S526*[1]Parametros!$B$8</f>
        <v>1393</v>
      </c>
      <c r="W526" s="13">
        <f>[1]Parametros!$B$5*V526*[1]Parametros!$B$3*(U526-(V526*[1]Parametros!$B$3/(0.85*[1]Parametros!$B$2*H526))/2)/1000000</f>
        <v>244.72526362941178</v>
      </c>
      <c r="X526" s="13" t="str">
        <f t="shared" si="104"/>
        <v>CUMPLE</v>
      </c>
      <c r="Y526" s="13">
        <f>MAX(MAX(1.4/[1]Parametros!$B$3,0.25*SQRT([1]Parametros!$B$2)/[1]Parametros!$B$3)*H526*AB526,(0.85*[1]Parametros!$B$2/[1]Parametros!$B$3)*(1-SQRT(1-2*(L526*1000000/([1]Parametros!$B$5*H526*AB526^2))/(0.85*[1]Parametros!$B$2)))*H526*AB526)</f>
        <v>815.58333333333326</v>
      </c>
      <c r="Z526" s="14">
        <v>5</v>
      </c>
      <c r="AA526" s="14">
        <v>1</v>
      </c>
      <c r="AB526" s="13">
        <f>IF(AA526=1,I526-([1]Parametros!$B$7+[1]Parametros!$B$9+[1]Parametros!$B$12/2),I526-(ROUNDUP(Z526/2,0)*([1]Parametros!$B$7+[1]Parametros!$B$9+[1]Parametros!$B$12/2)+ROUNDDOWN(Z526/2,0)*([1]Parametros!$B$7+[1]Parametros!$B$9+[1]Parametros!$B$12/2+[1]Parametros!$B$12+[1]Parametros!$B$10))/Z526)</f>
        <v>489.35</v>
      </c>
      <c r="AC526" s="13">
        <f>Z526*[1]Parametros!$B$8</f>
        <v>995</v>
      </c>
      <c r="AD526" s="13">
        <f>[1]Parametros!$B$5*AC526*[1]Parametros!$B$3*(AB526-(AC526*[1]Parametros!$B$3/(0.85*[1]Parametros!$B$2*H526))/2)/1000000</f>
        <v>177.44537938235294</v>
      </c>
      <c r="AE526" s="13" t="str">
        <f t="shared" si="105"/>
        <v>CUMPLE</v>
      </c>
      <c r="AF526" s="13">
        <f>V526*1.25*[1]Parametros!$B$3*(U526-(V526*1.25*[1]Parametros!$B$3/(0.85*[1]Parametros!$B$2*H526))/2)/1000000</f>
        <v>335.40177716911762</v>
      </c>
      <c r="AG526" s="13">
        <f>AC526*1.25*[1]Parametros!$B$3*(AB526-(AC526*1.25*[1]Parametros!$B$3/(0.85*[1]Parametros!$B$2*H526))/2)/1000000</f>
        <v>244.15884319852941</v>
      </c>
      <c r="AH526" s="13">
        <f t="shared" si="106"/>
        <v>437.31254058197749</v>
      </c>
      <c r="AI526" s="13">
        <f t="shared" si="107"/>
        <v>437.31254058197749</v>
      </c>
      <c r="AJ526" s="13">
        <f>0.17*SQRT([1]Parametros!$B$2)*H526*MIN(U526,AB526)/1000</f>
        <v>220.09872869180776</v>
      </c>
      <c r="AK526" s="13">
        <f>MAX(AI526/[1]Parametros!$B$6-AJ526,0)</f>
        <v>362.98465875082888</v>
      </c>
      <c r="AL526" s="13">
        <f>0.66*SQRT([1]Parametros!$B$2)*H526*MIN(U526,AB526)/1000</f>
        <v>854.500946685842</v>
      </c>
      <c r="AM526" s="13" t="str">
        <f t="shared" si="108"/>
        <v>CUMPLE</v>
      </c>
      <c r="AN526" s="13" t="s">
        <v>64</v>
      </c>
      <c r="AO526" s="14">
        <v>2</v>
      </c>
      <c r="AP526" s="13">
        <f>ROUNDDOWN(MIN(IF(BC526+BD526=0,1000000000,AO526*BB526/(BC526+BD526)),MIN(U526,AB526)/4,8*[1]Parametros!$B$12,24*BA526,300,IF(AV526=0,1000000000,2*((H526-2*([1]Parametros!$B$7+[1]Parametros!$B$9/2))+(I526-2*([1]Parametros!$B$7+[1]Parametros!$B$9/2)))/8))/10,0)*10</f>
        <v>80</v>
      </c>
      <c r="AQ526" s="13">
        <f>ROUNDDOWN(MIN(IF(BC526+BD526=0,1000000000,AO526*BB526/(BC526+BD526)),IF(AK526&gt;0.33*SQRT([1]Parametros!$B$2)*H526*MIN(U526,AB526)/1000,MIN(U526,AB526)/4,MIN(U526,AB526)/2),600,IF(AV526=0,1000000000,2*((H526-2*([1]Parametros!$B$7+[1]Parametros!$B$9/2))+(I526-2*([1]Parametros!$B$7+[1]Parametros!$B$9/2)))/8))/10,0)*10</f>
        <v>80</v>
      </c>
      <c r="AR526" s="13">
        <f>[1]Parametros!$B$6*(AJ526+MAX(BE526-BD526,0)*[1]Parametros!$B$4*MIN(U526,AB526)/1000)</f>
        <v>438.68186526885586</v>
      </c>
      <c r="AS526" s="13" t="str">
        <f t="shared" si="109"/>
        <v>CUMPLE</v>
      </c>
      <c r="AT526" s="13">
        <f>[1]Parametros!$B$6*0.083*SQRT([1]Parametros!$B$2)*(H526*I526)^2/(2*(H526+I526))/1000000</f>
        <v>11.862178757598967</v>
      </c>
      <c r="AU526" s="13" t="str">
        <f t="shared" si="110"/>
        <v>DESPRECIABLE</v>
      </c>
      <c r="AV526" s="13">
        <f>IF(Q526&lt;=AT526,0,Q526*1000000/([1]Parametros!$B$6*2*0.85*(H526-2*([1]Parametros!$B$7+[1]Parametros!$B$9/2))*(I526-2*([1]Parametros!$B$7+[1]Parametros!$B$9/2))*[1]Parametros!$B$4))</f>
        <v>0</v>
      </c>
      <c r="AW526" s="13">
        <f>AV526*2*((H526-2*([1]Parametros!$B$7+[1]Parametros!$B$9/2))+(I526-2*([1]Parametros!$B$7+[1]Parametros!$B$9/2)))*[1]Parametros!$B$4/[1]Parametros!$B$3</f>
        <v>0</v>
      </c>
      <c r="AX526" s="14">
        <v>0</v>
      </c>
      <c r="AY526" s="13" t="str">
        <f t="shared" si="111"/>
        <v>DESPRECIABLE</v>
      </c>
      <c r="AZ526" s="13" t="str">
        <f t="shared" si="112"/>
        <v>CUMPLE</v>
      </c>
      <c r="BA526" s="14">
        <v>9.5</v>
      </c>
      <c r="BB526" s="14">
        <v>71</v>
      </c>
      <c r="BC526" s="13">
        <f>MAX(IF(AK526=0,0,AK526*1000/([1]Parametros!$B$4*MIN(U526,AB526))),MAX(0.062*SQRT([1]Parametros!$B$2)*H526/[1]Parametros!$B$4,0.35*H526/[1]Parametros!$B$4))</f>
        <v>1.7661166598589426</v>
      </c>
      <c r="BD526" s="13">
        <f t="shared" si="113"/>
        <v>0</v>
      </c>
      <c r="BE526" s="13">
        <f t="shared" si="114"/>
        <v>1.7749999999999999</v>
      </c>
      <c r="BF526" s="13">
        <f>SQRT((AI526*1000/(H526*MIN(U526,AB526)))^2+(Q526*1000000*2*((H526-2*([1]Parametros!$B$7+[1]Parametros!$B$9/2))+(I526-2*([1]Parametros!$B$7+[1]Parametros!$B$9/2)))/(1.7*((H526-2*([1]Parametros!$B$7+[1]Parametros!$B$9/2))*(I526-2*([1]Parametros!$B$7+[1]Parametros!$B$9/2)))^2))^2)</f>
        <v>1.7974990793490215</v>
      </c>
      <c r="BG526" s="13">
        <f>[1]Parametros!$B$6*(AJ526*1000/(H526*MIN(U526,AB526))+0.66*SQRT([1]Parametros!$B$2))</f>
        <v>3.2939603822754151</v>
      </c>
      <c r="BH526" s="13" t="str">
        <f t="shared" si="115"/>
        <v>CUMPLE</v>
      </c>
      <c r="BI526" s="13">
        <f>AX526*[1]Parametros!$B$8</f>
        <v>0</v>
      </c>
      <c r="BJ526" s="15" t="str">
        <f t="shared" si="116"/>
        <v>CUMPLE</v>
      </c>
    </row>
    <row r="527" spans="1:62" x14ac:dyDescent="0.3">
      <c r="A527" s="35" t="s">
        <v>77</v>
      </c>
      <c r="B527" s="36">
        <v>876</v>
      </c>
      <c r="C527" s="13">
        <v>1</v>
      </c>
      <c r="D527" s="13">
        <v>2</v>
      </c>
      <c r="E527" s="13">
        <v>2</v>
      </c>
      <c r="F527" s="13">
        <v>500</v>
      </c>
      <c r="G527" s="13">
        <v>550</v>
      </c>
      <c r="H527" s="13">
        <v>500</v>
      </c>
      <c r="I527" s="13">
        <v>550</v>
      </c>
      <c r="J527" s="14">
        <v>238.74170000000001</v>
      </c>
      <c r="K527" s="13">
        <v>876</v>
      </c>
      <c r="L527" s="14">
        <v>118.29259999999999</v>
      </c>
      <c r="M527" s="13">
        <v>876</v>
      </c>
      <c r="N527" s="14">
        <v>194.76900000000001</v>
      </c>
      <c r="O527" s="14">
        <v>280.92700000000002</v>
      </c>
      <c r="P527" s="13">
        <v>876</v>
      </c>
      <c r="Q527" s="14">
        <v>5.3526999999999996</v>
      </c>
      <c r="R527" s="13">
        <f>MAX(MAX(1.4/[1]Parametros!$B$3,0.25*SQRT([1]Parametros!$B$2)/[1]Parametros!$B$3)*H527*U527,(0.85*[1]Parametros!$B$2/[1]Parametros!$B$3)*(1-SQRT(1-2*(J527*1000000/([1]Parametros!$B$5*H527*U527^2))/(0.85*[1]Parametros!$B$2)))*H527*U527)</f>
        <v>1357.0906271993833</v>
      </c>
      <c r="S527" s="14">
        <v>7</v>
      </c>
      <c r="T527" s="14">
        <v>1</v>
      </c>
      <c r="U527" s="13">
        <f>IF(T527=1,I527-([1]Parametros!$B$7+[1]Parametros!$B$9+[1]Parametros!$B$12/2),I527-(ROUNDUP(S527/2,0)*([1]Parametros!$B$7+[1]Parametros!$B$9+[1]Parametros!$B$12/2)+ROUNDDOWN(S527/2,0)*([1]Parametros!$B$7+[1]Parametros!$B$9+[1]Parametros!$B$12/2+[1]Parametros!$B$12+[1]Parametros!$B$10))/S527)</f>
        <v>489.35</v>
      </c>
      <c r="V527" s="13">
        <f>S527*[1]Parametros!$B$8</f>
        <v>1393</v>
      </c>
      <c r="W527" s="13">
        <f>[1]Parametros!$B$5*V527*[1]Parametros!$B$3*(U527-(V527*[1]Parametros!$B$3/(0.85*[1]Parametros!$B$2*H527))/2)/1000000</f>
        <v>244.72526362941178</v>
      </c>
      <c r="X527" s="13" t="str">
        <f t="shared" si="104"/>
        <v>CUMPLE</v>
      </c>
      <c r="Y527" s="13">
        <f>MAX(MAX(1.4/[1]Parametros!$B$3,0.25*SQRT([1]Parametros!$B$2)/[1]Parametros!$B$3)*H527*AB527,(0.85*[1]Parametros!$B$2/[1]Parametros!$B$3)*(1-SQRT(1-2*(L527*1000000/([1]Parametros!$B$5*H527*AB527^2))/(0.85*[1]Parametros!$B$2)))*H527*AB527)</f>
        <v>815.58333333333326</v>
      </c>
      <c r="Z527" s="14">
        <v>5</v>
      </c>
      <c r="AA527" s="14">
        <v>1</v>
      </c>
      <c r="AB527" s="13">
        <f>IF(AA527=1,I527-([1]Parametros!$B$7+[1]Parametros!$B$9+[1]Parametros!$B$12/2),I527-(ROUNDUP(Z527/2,0)*([1]Parametros!$B$7+[1]Parametros!$B$9+[1]Parametros!$B$12/2)+ROUNDDOWN(Z527/2,0)*([1]Parametros!$B$7+[1]Parametros!$B$9+[1]Parametros!$B$12/2+[1]Parametros!$B$12+[1]Parametros!$B$10))/Z527)</f>
        <v>489.35</v>
      </c>
      <c r="AC527" s="13">
        <f>Z527*[1]Parametros!$B$8</f>
        <v>995</v>
      </c>
      <c r="AD527" s="13">
        <f>[1]Parametros!$B$5*AC527*[1]Parametros!$B$3*(AB527-(AC527*[1]Parametros!$B$3/(0.85*[1]Parametros!$B$2*H527))/2)/1000000</f>
        <v>177.44537938235294</v>
      </c>
      <c r="AE527" s="13" t="str">
        <f t="shared" si="105"/>
        <v>CUMPLE</v>
      </c>
      <c r="AF527" s="13">
        <f>V527*1.25*[1]Parametros!$B$3*(U527-(V527*1.25*[1]Parametros!$B$3/(0.85*[1]Parametros!$B$2*H527))/2)/1000000</f>
        <v>335.40177716911762</v>
      </c>
      <c r="AG527" s="13">
        <f>AC527*1.25*[1]Parametros!$B$3*(AB527-(AC527*1.25*[1]Parametros!$B$3/(0.85*[1]Parametros!$B$2*H527))/2)/1000000</f>
        <v>244.15884319852941</v>
      </c>
      <c r="AH527" s="13">
        <f t="shared" si="106"/>
        <v>484.54931018382354</v>
      </c>
      <c r="AI527" s="13">
        <f t="shared" si="107"/>
        <v>484.54931018382354</v>
      </c>
      <c r="AJ527" s="13">
        <f>0.17*SQRT([1]Parametros!$B$2)*H527*MIN(U527,AB527)/1000</f>
        <v>220.09872869180776</v>
      </c>
      <c r="AK527" s="13">
        <f>MAX(AI527/[1]Parametros!$B$6-AJ527,0)</f>
        <v>425.96701821995691</v>
      </c>
      <c r="AL527" s="13">
        <f>0.66*SQRT([1]Parametros!$B$2)*H527*MIN(U527,AB527)/1000</f>
        <v>854.500946685842</v>
      </c>
      <c r="AM527" s="13" t="str">
        <f t="shared" si="108"/>
        <v>CUMPLE</v>
      </c>
      <c r="AN527" s="13" t="s">
        <v>68</v>
      </c>
      <c r="AO527" s="14">
        <v>2</v>
      </c>
      <c r="AP527" s="13">
        <f>ROUNDDOWN(MIN(IF(BC527+BD527=0,1000000000,AO527*BB527/(BC527+BD527)),MIN(U527,AB527)/4,8*[1]Parametros!$B$12,24*BA527,300,IF(AV527=0,1000000000,2*((H527-2*([1]Parametros!$B$7+[1]Parametros!$B$9/2))+(I527-2*([1]Parametros!$B$7+[1]Parametros!$B$9/2)))/8))/10,0)*10</f>
        <v>120</v>
      </c>
      <c r="AQ527" s="13">
        <f>ROUNDDOWN(MIN(IF(BC527+BD527=0,1000000000,AO527*BB527/(BC527+BD527)),IF(AK527&gt;0.33*SQRT([1]Parametros!$B$2)*H527*MIN(U527,AB527)/1000,MIN(U527,AB527)/4,MIN(U527,AB527)/2),600,IF(AV527=0,1000000000,2*((H527-2*([1]Parametros!$B$7+[1]Parametros!$B$9/2))+(I527-2*([1]Parametros!$B$7+[1]Parametros!$B$9/2)))/8))/10,0)*10</f>
        <v>120</v>
      </c>
      <c r="AR527" s="13">
        <f>[1]Parametros!$B$6*(AJ527+MAX(BE527-BD527,0)*[1]Parametros!$B$4*MIN(U527,AB527)/1000)</f>
        <v>496.48633401885581</v>
      </c>
      <c r="AS527" s="13" t="str">
        <f t="shared" si="109"/>
        <v>CUMPLE</v>
      </c>
      <c r="AT527" s="13">
        <f>[1]Parametros!$B$6*0.083*SQRT([1]Parametros!$B$2)*(H527*I527)^2/(2*(H527+I527))/1000000</f>
        <v>11.862178757598967</v>
      </c>
      <c r="AU527" s="13" t="str">
        <f t="shared" si="110"/>
        <v>DESPRECIABLE</v>
      </c>
      <c r="AV527" s="13">
        <f>IF(Q527&lt;=AT527,0,Q527*1000000/([1]Parametros!$B$6*2*0.85*(H527-2*([1]Parametros!$B$7+[1]Parametros!$B$9/2))*(I527-2*([1]Parametros!$B$7+[1]Parametros!$B$9/2))*[1]Parametros!$B$4))</f>
        <v>0</v>
      </c>
      <c r="AW527" s="13">
        <f>AV527*2*((H527-2*([1]Parametros!$B$7+[1]Parametros!$B$9/2))+(I527-2*([1]Parametros!$B$7+[1]Parametros!$B$9/2)))*[1]Parametros!$B$4/[1]Parametros!$B$3</f>
        <v>0</v>
      </c>
      <c r="AX527" s="14">
        <v>0</v>
      </c>
      <c r="AY527" s="13" t="str">
        <f t="shared" si="111"/>
        <v>DESPRECIABLE</v>
      </c>
      <c r="AZ527" s="13" t="str">
        <f t="shared" si="112"/>
        <v>CUMPLE</v>
      </c>
      <c r="BA527" s="14">
        <v>12.7</v>
      </c>
      <c r="BB527" s="14">
        <v>129</v>
      </c>
      <c r="BC527" s="13">
        <f>MAX(IF(AK527=0,0,AK527*1000/([1]Parametros!$B$4*MIN(U527,AB527))),MAX(0.062*SQRT([1]Parametros!$B$2)*H527/[1]Parametros!$B$4,0.35*H527/[1]Parametros!$B$4))</f>
        <v>2.0725598983099878</v>
      </c>
      <c r="BD527" s="13">
        <f t="shared" si="113"/>
        <v>0</v>
      </c>
      <c r="BE527" s="13">
        <f t="shared" si="114"/>
        <v>2.15</v>
      </c>
      <c r="BF527" s="13">
        <f>SQRT((AI527*1000/(H527*MIN(U527,AB527)))^2+(Q527*1000000*2*((H527-2*([1]Parametros!$B$7+[1]Parametros!$B$9/2))+(I527-2*([1]Parametros!$B$7+[1]Parametros!$B$9/2)))/(1.7*((H527-2*([1]Parametros!$B$7+[1]Parametros!$B$9/2))*(I527-2*([1]Parametros!$B$7+[1]Parametros!$B$9/2)))^2))^2)</f>
        <v>1.9865882582231098</v>
      </c>
      <c r="BG527" s="13">
        <f>[1]Parametros!$B$6*(AJ527*1000/(H527*MIN(U527,AB527))+0.66*SQRT([1]Parametros!$B$2))</f>
        <v>3.2939603822754151</v>
      </c>
      <c r="BH527" s="13" t="str">
        <f t="shared" si="115"/>
        <v>CUMPLE</v>
      </c>
      <c r="BI527" s="13">
        <f>AX527*[1]Parametros!$B$8</f>
        <v>0</v>
      </c>
      <c r="BJ527" s="15" t="str">
        <f t="shared" si="116"/>
        <v>CUMPLE</v>
      </c>
    </row>
    <row r="528" spans="1:62" x14ac:dyDescent="0.3">
      <c r="A528" s="35" t="s">
        <v>77</v>
      </c>
      <c r="B528" s="36">
        <v>877</v>
      </c>
      <c r="C528" s="13">
        <v>1</v>
      </c>
      <c r="D528" s="13">
        <v>1.9</v>
      </c>
      <c r="E528" s="13">
        <v>1.9</v>
      </c>
      <c r="F528" s="13">
        <v>500</v>
      </c>
      <c r="G528" s="13">
        <v>550</v>
      </c>
      <c r="H528" s="13">
        <v>500</v>
      </c>
      <c r="I528" s="13">
        <v>550</v>
      </c>
      <c r="J528" s="14">
        <v>82.282799999999995</v>
      </c>
      <c r="K528" s="13">
        <v>877</v>
      </c>
      <c r="L528" s="14">
        <v>27.153199999999998</v>
      </c>
      <c r="M528" s="13">
        <v>877</v>
      </c>
      <c r="N528" s="14">
        <v>75.88</v>
      </c>
      <c r="O528" s="14">
        <v>231.08500000000001</v>
      </c>
      <c r="P528" s="13">
        <v>877</v>
      </c>
      <c r="Q528" s="14">
        <v>0.21229999999999999</v>
      </c>
      <c r="R528" s="13">
        <f>MAX(MAX(1.4/[1]Parametros!$B$3,0.25*SQRT([1]Parametros!$B$2)/[1]Parametros!$B$3)*H528*U528,(0.85*[1]Parametros!$B$2/[1]Parametros!$B$3)*(1-SQRT(1-2*(J528*1000000/([1]Parametros!$B$5*H528*U528^2))/(0.85*[1]Parametros!$B$2)))*H528*U528)</f>
        <v>815.58333333333326</v>
      </c>
      <c r="S528" s="14">
        <v>5</v>
      </c>
      <c r="T528" s="14">
        <v>1</v>
      </c>
      <c r="U528" s="13">
        <f>IF(T528=1,I528-([1]Parametros!$B$7+[1]Parametros!$B$9+[1]Parametros!$B$12/2),I528-(ROUNDUP(S528/2,0)*([1]Parametros!$B$7+[1]Parametros!$B$9+[1]Parametros!$B$12/2)+ROUNDDOWN(S528/2,0)*([1]Parametros!$B$7+[1]Parametros!$B$9+[1]Parametros!$B$12/2+[1]Parametros!$B$12+[1]Parametros!$B$10))/S528)</f>
        <v>489.35</v>
      </c>
      <c r="V528" s="13">
        <f>S528*[1]Parametros!$B$8</f>
        <v>995</v>
      </c>
      <c r="W528" s="13">
        <f>[1]Parametros!$B$5*V528*[1]Parametros!$B$3*(U528-(V528*[1]Parametros!$B$3/(0.85*[1]Parametros!$B$2*H528))/2)/1000000</f>
        <v>177.44537938235294</v>
      </c>
      <c r="X528" s="13" t="str">
        <f t="shared" si="104"/>
        <v>CUMPLE</v>
      </c>
      <c r="Y528" s="13">
        <f>MAX(MAX(1.4/[1]Parametros!$B$3,0.25*SQRT([1]Parametros!$B$2)/[1]Parametros!$B$3)*H528*AB528,(0.85*[1]Parametros!$B$2/[1]Parametros!$B$3)*(1-SQRT(1-2*(L528*1000000/([1]Parametros!$B$5*H528*AB528^2))/(0.85*[1]Parametros!$B$2)))*H528*AB528)</f>
        <v>815.58333333333326</v>
      </c>
      <c r="Z528" s="14">
        <v>5</v>
      </c>
      <c r="AA528" s="14">
        <v>1</v>
      </c>
      <c r="AB528" s="13">
        <f>IF(AA528=1,I528-([1]Parametros!$B$7+[1]Parametros!$B$9+[1]Parametros!$B$12/2),I528-(ROUNDUP(Z528/2,0)*([1]Parametros!$B$7+[1]Parametros!$B$9+[1]Parametros!$B$12/2)+ROUNDDOWN(Z528/2,0)*([1]Parametros!$B$7+[1]Parametros!$B$9+[1]Parametros!$B$12/2+[1]Parametros!$B$12+[1]Parametros!$B$10))/Z528)</f>
        <v>489.35</v>
      </c>
      <c r="AC528" s="13">
        <f>Z528*[1]Parametros!$B$8</f>
        <v>995</v>
      </c>
      <c r="AD528" s="13">
        <f>[1]Parametros!$B$5*AC528*[1]Parametros!$B$3*(AB528-(AC528*[1]Parametros!$B$3/(0.85*[1]Parametros!$B$2*H528))/2)/1000000</f>
        <v>177.44537938235294</v>
      </c>
      <c r="AE528" s="13" t="str">
        <f t="shared" si="105"/>
        <v>CUMPLE</v>
      </c>
      <c r="AF528" s="13">
        <f>V528*1.25*[1]Parametros!$B$3*(U528-(V528*1.25*[1]Parametros!$B$3/(0.85*[1]Parametros!$B$2*H528))/2)/1000000</f>
        <v>244.15884319852941</v>
      </c>
      <c r="AG528" s="13">
        <f>AC528*1.25*[1]Parametros!$B$3*(AB528-(AC528*1.25*[1]Parametros!$B$3/(0.85*[1]Parametros!$B$2*H528))/2)/1000000</f>
        <v>244.15884319852941</v>
      </c>
      <c r="AH528" s="13">
        <f t="shared" si="106"/>
        <v>332.88930863003094</v>
      </c>
      <c r="AI528" s="13">
        <f t="shared" si="107"/>
        <v>332.88930863003094</v>
      </c>
      <c r="AJ528" s="13">
        <f>0.17*SQRT([1]Parametros!$B$2)*H528*MIN(U528,AB528)/1000</f>
        <v>220.09872869180776</v>
      </c>
      <c r="AK528" s="13">
        <f>MAX(AI528/[1]Parametros!$B$6-AJ528,0)</f>
        <v>223.75368281490017</v>
      </c>
      <c r="AL528" s="13">
        <f>0.66*SQRT([1]Parametros!$B$2)*H528*MIN(U528,AB528)/1000</f>
        <v>854.500946685842</v>
      </c>
      <c r="AM528" s="13" t="str">
        <f t="shared" si="108"/>
        <v>CUMPLE</v>
      </c>
      <c r="AN528" s="13" t="s">
        <v>64</v>
      </c>
      <c r="AO528" s="14">
        <v>2</v>
      </c>
      <c r="AP528" s="13">
        <f>ROUNDDOWN(MIN(IF(BC528+BD528=0,1000000000,AO528*BB528/(BC528+BD528)),MIN(U528,AB528)/4,8*[1]Parametros!$B$12,24*BA528,300,IF(AV528=0,1000000000,2*((H528-2*([1]Parametros!$B$7+[1]Parametros!$B$9/2))+(I528-2*([1]Parametros!$B$7+[1]Parametros!$B$9/2)))/8))/10,0)*10</f>
        <v>120</v>
      </c>
      <c r="AQ528" s="13">
        <f>ROUNDDOWN(MIN(IF(BC528+BD528=0,1000000000,AO528*BB528/(BC528+BD528)),IF(AK528&gt;0.33*SQRT([1]Parametros!$B$2)*H528*MIN(U528,AB528)/1000,MIN(U528,AB528)/4,MIN(U528,AB528)/2),600,IF(AV528=0,1000000000,2*((H528-2*([1]Parametros!$B$7+[1]Parametros!$B$9/2))+(I528-2*([1]Parametros!$B$7+[1]Parametros!$B$9/2)))/8))/10,0)*10</f>
        <v>130</v>
      </c>
      <c r="AR528" s="13">
        <f>[1]Parametros!$B$6*(AJ528+MAX(BE528-BD528,0)*[1]Parametros!$B$4*MIN(U528,AB528)/1000)</f>
        <v>347.47925901885583</v>
      </c>
      <c r="AS528" s="13" t="str">
        <f t="shared" si="109"/>
        <v>CUMPLE</v>
      </c>
      <c r="AT528" s="13">
        <f>[1]Parametros!$B$6*0.083*SQRT([1]Parametros!$B$2)*(H528*I528)^2/(2*(H528+I528))/1000000</f>
        <v>11.862178757598967</v>
      </c>
      <c r="AU528" s="13" t="str">
        <f t="shared" si="110"/>
        <v>DESPRECIABLE</v>
      </c>
      <c r="AV528" s="13">
        <f>IF(Q528&lt;=AT528,0,Q528*1000000/([1]Parametros!$B$6*2*0.85*(H528-2*([1]Parametros!$B$7+[1]Parametros!$B$9/2))*(I528-2*([1]Parametros!$B$7+[1]Parametros!$B$9/2))*[1]Parametros!$B$4))</f>
        <v>0</v>
      </c>
      <c r="AW528" s="13">
        <f>AV528*2*((H528-2*([1]Parametros!$B$7+[1]Parametros!$B$9/2))+(I528-2*([1]Parametros!$B$7+[1]Parametros!$B$9/2)))*[1]Parametros!$B$4/[1]Parametros!$B$3</f>
        <v>0</v>
      </c>
      <c r="AX528" s="14">
        <v>0</v>
      </c>
      <c r="AY528" s="13" t="str">
        <f t="shared" si="111"/>
        <v>DESPRECIABLE</v>
      </c>
      <c r="AZ528" s="13" t="str">
        <f t="shared" si="112"/>
        <v>CUMPLE</v>
      </c>
      <c r="BA528" s="14">
        <v>9.5</v>
      </c>
      <c r="BB528" s="14">
        <v>71</v>
      </c>
      <c r="BC528" s="13">
        <f>MAX(IF(AK528=0,0,AK528*1000/([1]Parametros!$B$4*MIN(U528,AB528))),MAX(0.062*SQRT([1]Parametros!$B$2)*H528/[1]Parametros!$B$4,0.35*H528/[1]Parametros!$B$4))</f>
        <v>1.0886826685296831</v>
      </c>
      <c r="BD528" s="13">
        <f t="shared" si="113"/>
        <v>0</v>
      </c>
      <c r="BE528" s="13">
        <f t="shared" si="114"/>
        <v>1.1833333333333333</v>
      </c>
      <c r="BF528" s="13">
        <f>SQRT((AI528*1000/(H528*MIN(U528,AB528)))^2+(Q528*1000000*2*((H528-2*([1]Parametros!$B$7+[1]Parametros!$B$9/2))+(I528-2*([1]Parametros!$B$7+[1]Parametros!$B$9/2)))/(1.7*((H528-2*([1]Parametros!$B$7+[1]Parametros!$B$9/2))*(I528-2*([1]Parametros!$B$7+[1]Parametros!$B$9/2)))^2))^2)</f>
        <v>1.3605509047622164</v>
      </c>
      <c r="BG528" s="13">
        <f>[1]Parametros!$B$6*(AJ528*1000/(H528*MIN(U528,AB528))+0.66*SQRT([1]Parametros!$B$2))</f>
        <v>3.2939603822754151</v>
      </c>
      <c r="BH528" s="13" t="str">
        <f t="shared" si="115"/>
        <v>CUMPLE</v>
      </c>
      <c r="BI528" s="13">
        <f>AX528*[1]Parametros!$B$8</f>
        <v>0</v>
      </c>
      <c r="BJ528" s="15" t="str">
        <f t="shared" si="116"/>
        <v>CUMPLE</v>
      </c>
    </row>
    <row r="529" spans="1:62" x14ac:dyDescent="0.3">
      <c r="A529" s="35" t="s">
        <v>77</v>
      </c>
      <c r="B529" s="36">
        <v>878</v>
      </c>
      <c r="C529" s="13">
        <v>1</v>
      </c>
      <c r="D529" s="13">
        <v>3.4</v>
      </c>
      <c r="E529" s="13">
        <v>3.4</v>
      </c>
      <c r="F529" s="13">
        <v>500</v>
      </c>
      <c r="G529" s="13">
        <v>550</v>
      </c>
      <c r="H529" s="13">
        <v>500</v>
      </c>
      <c r="I529" s="13">
        <v>550</v>
      </c>
      <c r="J529" s="14">
        <v>153.35079999999999</v>
      </c>
      <c r="K529" s="13">
        <v>878</v>
      </c>
      <c r="L529" s="14">
        <v>73.185000000000002</v>
      </c>
      <c r="M529" s="13">
        <v>878</v>
      </c>
      <c r="N529" s="14">
        <v>115.49</v>
      </c>
      <c r="O529" s="14">
        <v>249.86799999999999</v>
      </c>
      <c r="P529" s="13">
        <v>878</v>
      </c>
      <c r="Q529" s="14">
        <v>3.8277000000000001</v>
      </c>
      <c r="R529" s="13">
        <f>MAX(MAX(1.4/[1]Parametros!$B$3,0.25*SQRT([1]Parametros!$B$2)/[1]Parametros!$B$3)*H529*U529,(0.85*[1]Parametros!$B$2/[1]Parametros!$B$3)*(1-SQRT(1-2*(J529*1000000/([1]Parametros!$B$5*H529*U529^2))/(0.85*[1]Parametros!$B$2)))*H529*U529)</f>
        <v>855.42716200710004</v>
      </c>
      <c r="S529" s="14">
        <v>5</v>
      </c>
      <c r="T529" s="14">
        <v>1</v>
      </c>
      <c r="U529" s="13">
        <f>IF(T529=1,I529-([1]Parametros!$B$7+[1]Parametros!$B$9+[1]Parametros!$B$12/2),I529-(ROUNDUP(S529/2,0)*([1]Parametros!$B$7+[1]Parametros!$B$9+[1]Parametros!$B$12/2)+ROUNDDOWN(S529/2,0)*([1]Parametros!$B$7+[1]Parametros!$B$9+[1]Parametros!$B$12/2+[1]Parametros!$B$12+[1]Parametros!$B$10))/S529)</f>
        <v>489.35</v>
      </c>
      <c r="V529" s="13">
        <f>S529*[1]Parametros!$B$8</f>
        <v>995</v>
      </c>
      <c r="W529" s="13">
        <f>[1]Parametros!$B$5*V529*[1]Parametros!$B$3*(U529-(V529*[1]Parametros!$B$3/(0.85*[1]Parametros!$B$2*H529))/2)/1000000</f>
        <v>177.44537938235294</v>
      </c>
      <c r="X529" s="13" t="str">
        <f t="shared" si="104"/>
        <v>CUMPLE</v>
      </c>
      <c r="Y529" s="13">
        <f>MAX(MAX(1.4/[1]Parametros!$B$3,0.25*SQRT([1]Parametros!$B$2)/[1]Parametros!$B$3)*H529*AB529,(0.85*[1]Parametros!$B$2/[1]Parametros!$B$3)*(1-SQRT(1-2*(L529*1000000/([1]Parametros!$B$5*H529*AB529^2))/(0.85*[1]Parametros!$B$2)))*H529*AB529)</f>
        <v>815.58333333333326</v>
      </c>
      <c r="Z529" s="14">
        <v>5</v>
      </c>
      <c r="AA529" s="14">
        <v>1</v>
      </c>
      <c r="AB529" s="13">
        <f>IF(AA529=1,I529-([1]Parametros!$B$7+[1]Parametros!$B$9+[1]Parametros!$B$12/2),I529-(ROUNDUP(Z529/2,0)*([1]Parametros!$B$7+[1]Parametros!$B$9+[1]Parametros!$B$12/2)+ROUNDDOWN(Z529/2,0)*([1]Parametros!$B$7+[1]Parametros!$B$9+[1]Parametros!$B$12/2+[1]Parametros!$B$12+[1]Parametros!$B$10))/Z529)</f>
        <v>489.35</v>
      </c>
      <c r="AC529" s="13">
        <f>Z529*[1]Parametros!$B$8</f>
        <v>995</v>
      </c>
      <c r="AD529" s="13">
        <f>[1]Parametros!$B$5*AC529*[1]Parametros!$B$3*(AB529-(AC529*[1]Parametros!$B$3/(0.85*[1]Parametros!$B$2*H529))/2)/1000000</f>
        <v>177.44537938235294</v>
      </c>
      <c r="AE529" s="13" t="str">
        <f t="shared" si="105"/>
        <v>CUMPLE</v>
      </c>
      <c r="AF529" s="13">
        <f>V529*1.25*[1]Parametros!$B$3*(U529-(V529*1.25*[1]Parametros!$B$3/(0.85*[1]Parametros!$B$2*H529))/2)/1000000</f>
        <v>244.15884319852941</v>
      </c>
      <c r="AG529" s="13">
        <f>AC529*1.25*[1]Parametros!$B$3*(AB529-(AC529*1.25*[1]Parametros!$B$3/(0.85*[1]Parametros!$B$2*H529))/2)/1000000</f>
        <v>244.15884319852941</v>
      </c>
      <c r="AH529" s="13">
        <f t="shared" si="106"/>
        <v>259.11284894031144</v>
      </c>
      <c r="AI529" s="13">
        <f t="shared" si="107"/>
        <v>259.11284894031144</v>
      </c>
      <c r="AJ529" s="13">
        <f>0.17*SQRT([1]Parametros!$B$2)*H529*MIN(U529,AB529)/1000</f>
        <v>220.09872869180776</v>
      </c>
      <c r="AK529" s="13">
        <f>MAX(AI529/[1]Parametros!$B$6-AJ529,0)</f>
        <v>125.38506989527417</v>
      </c>
      <c r="AL529" s="13">
        <f>0.66*SQRT([1]Parametros!$B$2)*H529*MIN(U529,AB529)/1000</f>
        <v>854.500946685842</v>
      </c>
      <c r="AM529" s="13" t="str">
        <f t="shared" si="108"/>
        <v>CUMPLE</v>
      </c>
      <c r="AN529" s="13" t="s">
        <v>64</v>
      </c>
      <c r="AO529" s="14">
        <v>2</v>
      </c>
      <c r="AP529" s="13">
        <f>ROUNDDOWN(MIN(IF(BC529+BD529=0,1000000000,AO529*BB529/(BC529+BD529)),MIN(U529,AB529)/4,8*[1]Parametros!$B$12,24*BA529,300,IF(AV529=0,1000000000,2*((H529-2*([1]Parametros!$B$7+[1]Parametros!$B$9/2))+(I529-2*([1]Parametros!$B$7+[1]Parametros!$B$9/2)))/8))/10,0)*10</f>
        <v>120</v>
      </c>
      <c r="AQ529" s="13">
        <f>ROUNDDOWN(MIN(IF(BC529+BD529=0,1000000000,AO529*BB529/(BC529+BD529)),IF(AK529&gt;0.33*SQRT([1]Parametros!$B$2)*H529*MIN(U529,AB529)/1000,MIN(U529,AB529)/4,MIN(U529,AB529)/2),600,IF(AV529=0,1000000000,2*((H529-2*([1]Parametros!$B$7+[1]Parametros!$B$9/2))+(I529-2*([1]Parametros!$B$7+[1]Parametros!$B$9/2)))/8))/10,0)*10</f>
        <v>230</v>
      </c>
      <c r="AR529" s="13">
        <f>[1]Parametros!$B$6*(AJ529+MAX(BE529-BD529,0)*[1]Parametros!$B$4*MIN(U529,AB529)/1000)</f>
        <v>347.47925901885583</v>
      </c>
      <c r="AS529" s="13" t="str">
        <f t="shared" si="109"/>
        <v>CUMPLE</v>
      </c>
      <c r="AT529" s="13">
        <f>[1]Parametros!$B$6*0.083*SQRT([1]Parametros!$B$2)*(H529*I529)^2/(2*(H529+I529))/1000000</f>
        <v>11.862178757598967</v>
      </c>
      <c r="AU529" s="13" t="str">
        <f t="shared" si="110"/>
        <v>DESPRECIABLE</v>
      </c>
      <c r="AV529" s="13">
        <f>IF(Q529&lt;=AT529,0,Q529*1000000/([1]Parametros!$B$6*2*0.85*(H529-2*([1]Parametros!$B$7+[1]Parametros!$B$9/2))*(I529-2*([1]Parametros!$B$7+[1]Parametros!$B$9/2))*[1]Parametros!$B$4))</f>
        <v>0</v>
      </c>
      <c r="AW529" s="13">
        <f>AV529*2*((H529-2*([1]Parametros!$B$7+[1]Parametros!$B$9/2))+(I529-2*([1]Parametros!$B$7+[1]Parametros!$B$9/2)))*[1]Parametros!$B$4/[1]Parametros!$B$3</f>
        <v>0</v>
      </c>
      <c r="AX529" s="14">
        <v>0</v>
      </c>
      <c r="AY529" s="13" t="str">
        <f t="shared" si="111"/>
        <v>DESPRECIABLE</v>
      </c>
      <c r="AZ529" s="13" t="str">
        <f t="shared" si="112"/>
        <v>CUMPLE</v>
      </c>
      <c r="BA529" s="14">
        <v>9.5</v>
      </c>
      <c r="BB529" s="14">
        <v>71</v>
      </c>
      <c r="BC529" s="13">
        <f>MAX(IF(AK529=0,0,AK529*1000/([1]Parametros!$B$4*MIN(U529,AB529))),MAX(0.062*SQRT([1]Parametros!$B$2)*H529/[1]Parametros!$B$4,0.35*H529/[1]Parametros!$B$4))</f>
        <v>0.61006617084506742</v>
      </c>
      <c r="BD529" s="13">
        <f t="shared" si="113"/>
        <v>0</v>
      </c>
      <c r="BE529" s="13">
        <f t="shared" si="114"/>
        <v>1.1833333333333333</v>
      </c>
      <c r="BF529" s="13">
        <f>SQRT((AI529*1000/(H529*MIN(U529,AB529)))^2+(Q529*1000000*2*((H529-2*([1]Parametros!$B$7+[1]Parametros!$B$9/2))+(I529-2*([1]Parametros!$B$7+[1]Parametros!$B$9/2)))/(1.7*((H529-2*([1]Parametros!$B$7+[1]Parametros!$B$9/2))*(I529-2*([1]Parametros!$B$7+[1]Parametros!$B$9/2)))^2))^2)</f>
        <v>1.0649383764455895</v>
      </c>
      <c r="BG529" s="13">
        <f>[1]Parametros!$B$6*(AJ529*1000/(H529*MIN(U529,AB529))+0.66*SQRT([1]Parametros!$B$2))</f>
        <v>3.2939603822754151</v>
      </c>
      <c r="BH529" s="13" t="str">
        <f t="shared" si="115"/>
        <v>CUMPLE</v>
      </c>
      <c r="BI529" s="13">
        <f>AX529*[1]Parametros!$B$8</f>
        <v>0</v>
      </c>
      <c r="BJ529" s="15" t="str">
        <f t="shared" si="116"/>
        <v>CUMPLE</v>
      </c>
    </row>
    <row r="530" spans="1:62" x14ac:dyDescent="0.3">
      <c r="A530" s="35" t="s">
        <v>77</v>
      </c>
      <c r="B530" s="36">
        <v>879</v>
      </c>
      <c r="C530" s="13">
        <v>1</v>
      </c>
      <c r="D530" s="13">
        <v>2.2000000000000002</v>
      </c>
      <c r="E530" s="13">
        <v>2.2000000000000002</v>
      </c>
      <c r="F530" s="13">
        <v>500</v>
      </c>
      <c r="G530" s="13">
        <v>550</v>
      </c>
      <c r="H530" s="13">
        <v>500</v>
      </c>
      <c r="I530" s="13">
        <v>550</v>
      </c>
      <c r="J530" s="14">
        <v>107.9104</v>
      </c>
      <c r="K530" s="13">
        <v>879</v>
      </c>
      <c r="L530" s="14">
        <v>44.067799999999998</v>
      </c>
      <c r="M530" s="13">
        <v>879</v>
      </c>
      <c r="N530" s="14">
        <v>90.265000000000001</v>
      </c>
      <c r="O530" s="14">
        <v>166.096</v>
      </c>
      <c r="P530" s="13">
        <v>879</v>
      </c>
      <c r="Q530" s="14">
        <v>7.7000000000000002E-3</v>
      </c>
      <c r="R530" s="13">
        <f>MAX(MAX(1.4/[1]Parametros!$B$3,0.25*SQRT([1]Parametros!$B$2)/[1]Parametros!$B$3)*H530*U530,(0.85*[1]Parametros!$B$2/[1]Parametros!$B$3)*(1-SQRT(1-2*(J530*1000000/([1]Parametros!$B$5*H530*U530^2))/(0.85*[1]Parametros!$B$2)))*H530*U530)</f>
        <v>815.58333333333326</v>
      </c>
      <c r="S530" s="14">
        <v>5</v>
      </c>
      <c r="T530" s="14">
        <v>1</v>
      </c>
      <c r="U530" s="13">
        <f>IF(T530=1,I530-([1]Parametros!$B$7+[1]Parametros!$B$9+[1]Parametros!$B$12/2),I530-(ROUNDUP(S530/2,0)*([1]Parametros!$B$7+[1]Parametros!$B$9+[1]Parametros!$B$12/2)+ROUNDDOWN(S530/2,0)*([1]Parametros!$B$7+[1]Parametros!$B$9+[1]Parametros!$B$12/2+[1]Parametros!$B$12+[1]Parametros!$B$10))/S530)</f>
        <v>489.35</v>
      </c>
      <c r="V530" s="13">
        <f>S530*[1]Parametros!$B$8</f>
        <v>995</v>
      </c>
      <c r="W530" s="13">
        <f>[1]Parametros!$B$5*V530*[1]Parametros!$B$3*(U530-(V530*[1]Parametros!$B$3/(0.85*[1]Parametros!$B$2*H530))/2)/1000000</f>
        <v>177.44537938235294</v>
      </c>
      <c r="X530" s="13" t="str">
        <f t="shared" si="104"/>
        <v>CUMPLE</v>
      </c>
      <c r="Y530" s="13">
        <f>MAX(MAX(1.4/[1]Parametros!$B$3,0.25*SQRT([1]Parametros!$B$2)/[1]Parametros!$B$3)*H530*AB530,(0.85*[1]Parametros!$B$2/[1]Parametros!$B$3)*(1-SQRT(1-2*(L530*1000000/([1]Parametros!$B$5*H530*AB530^2))/(0.85*[1]Parametros!$B$2)))*H530*AB530)</f>
        <v>815.58333333333326</v>
      </c>
      <c r="Z530" s="14">
        <v>5</v>
      </c>
      <c r="AA530" s="14">
        <v>1</v>
      </c>
      <c r="AB530" s="13">
        <f>IF(AA530=1,I530-([1]Parametros!$B$7+[1]Parametros!$B$9+[1]Parametros!$B$12/2),I530-(ROUNDUP(Z530/2,0)*([1]Parametros!$B$7+[1]Parametros!$B$9+[1]Parametros!$B$12/2)+ROUNDDOWN(Z530/2,0)*([1]Parametros!$B$7+[1]Parametros!$B$9+[1]Parametros!$B$12/2+[1]Parametros!$B$12+[1]Parametros!$B$10))/Z530)</f>
        <v>489.35</v>
      </c>
      <c r="AC530" s="13">
        <f>Z530*[1]Parametros!$B$8</f>
        <v>995</v>
      </c>
      <c r="AD530" s="13">
        <f>[1]Parametros!$B$5*AC530*[1]Parametros!$B$3*(AB530-(AC530*[1]Parametros!$B$3/(0.85*[1]Parametros!$B$2*H530))/2)/1000000</f>
        <v>177.44537938235294</v>
      </c>
      <c r="AE530" s="13" t="str">
        <f t="shared" si="105"/>
        <v>CUMPLE</v>
      </c>
      <c r="AF530" s="13">
        <f>V530*1.25*[1]Parametros!$B$3*(U530-(V530*1.25*[1]Parametros!$B$3/(0.85*[1]Parametros!$B$2*H530))/2)/1000000</f>
        <v>244.15884319852941</v>
      </c>
      <c r="AG530" s="13">
        <f>AC530*1.25*[1]Parametros!$B$3*(AB530-(AC530*1.25*[1]Parametros!$B$3/(0.85*[1]Parametros!$B$2*H530))/2)/1000000</f>
        <v>244.15884319852941</v>
      </c>
      <c r="AH530" s="13">
        <f t="shared" si="106"/>
        <v>312.2275847259358</v>
      </c>
      <c r="AI530" s="13">
        <f t="shared" si="107"/>
        <v>312.2275847259358</v>
      </c>
      <c r="AJ530" s="13">
        <f>0.17*SQRT([1]Parametros!$B$2)*H530*MIN(U530,AB530)/1000</f>
        <v>220.09872869180776</v>
      </c>
      <c r="AK530" s="13">
        <f>MAX(AI530/[1]Parametros!$B$6-AJ530,0)</f>
        <v>196.20471760943997</v>
      </c>
      <c r="AL530" s="13">
        <f>0.66*SQRT([1]Parametros!$B$2)*H530*MIN(U530,AB530)/1000</f>
        <v>854.500946685842</v>
      </c>
      <c r="AM530" s="13" t="str">
        <f t="shared" si="108"/>
        <v>CUMPLE</v>
      </c>
      <c r="AN530" s="13" t="s">
        <v>64</v>
      </c>
      <c r="AO530" s="14">
        <v>2</v>
      </c>
      <c r="AP530" s="13">
        <f>ROUNDDOWN(MIN(IF(BC530+BD530=0,1000000000,AO530*BB530/(BC530+BD530)),MIN(U530,AB530)/4,8*[1]Parametros!$B$12,24*BA530,300,IF(AV530=0,1000000000,2*((H530-2*([1]Parametros!$B$7+[1]Parametros!$B$9/2))+(I530-2*([1]Parametros!$B$7+[1]Parametros!$B$9/2)))/8))/10,0)*10</f>
        <v>120</v>
      </c>
      <c r="AQ530" s="13">
        <f>ROUNDDOWN(MIN(IF(BC530+BD530=0,1000000000,AO530*BB530/(BC530+BD530)),IF(AK530&gt;0.33*SQRT([1]Parametros!$B$2)*H530*MIN(U530,AB530)/1000,MIN(U530,AB530)/4,MIN(U530,AB530)/2),600,IF(AV530=0,1000000000,2*((H530-2*([1]Parametros!$B$7+[1]Parametros!$B$9/2))+(I530-2*([1]Parametros!$B$7+[1]Parametros!$B$9/2)))/8))/10,0)*10</f>
        <v>140</v>
      </c>
      <c r="AR530" s="13">
        <f>[1]Parametros!$B$6*(AJ530+MAX(BE530-BD530,0)*[1]Parametros!$B$4*MIN(U530,AB530)/1000)</f>
        <v>347.47925901885583</v>
      </c>
      <c r="AS530" s="13" t="str">
        <f t="shared" si="109"/>
        <v>CUMPLE</v>
      </c>
      <c r="AT530" s="13">
        <f>[1]Parametros!$B$6*0.083*SQRT([1]Parametros!$B$2)*(H530*I530)^2/(2*(H530+I530))/1000000</f>
        <v>11.862178757598967</v>
      </c>
      <c r="AU530" s="13" t="str">
        <f t="shared" si="110"/>
        <v>DESPRECIABLE</v>
      </c>
      <c r="AV530" s="13">
        <f>IF(Q530&lt;=AT530,0,Q530*1000000/([1]Parametros!$B$6*2*0.85*(H530-2*([1]Parametros!$B$7+[1]Parametros!$B$9/2))*(I530-2*([1]Parametros!$B$7+[1]Parametros!$B$9/2))*[1]Parametros!$B$4))</f>
        <v>0</v>
      </c>
      <c r="AW530" s="13">
        <f>AV530*2*((H530-2*([1]Parametros!$B$7+[1]Parametros!$B$9/2))+(I530-2*([1]Parametros!$B$7+[1]Parametros!$B$9/2)))*[1]Parametros!$B$4/[1]Parametros!$B$3</f>
        <v>0</v>
      </c>
      <c r="AX530" s="14">
        <v>0</v>
      </c>
      <c r="AY530" s="13" t="str">
        <f t="shared" si="111"/>
        <v>DESPRECIABLE</v>
      </c>
      <c r="AZ530" s="13" t="str">
        <f t="shared" si="112"/>
        <v>CUMPLE</v>
      </c>
      <c r="BA530" s="14">
        <v>9.5</v>
      </c>
      <c r="BB530" s="14">
        <v>71</v>
      </c>
      <c r="BC530" s="13">
        <f>MAX(IF(AK530=0,0,AK530*1000/([1]Parametros!$B$4*MIN(U530,AB530))),MAX(0.062*SQRT([1]Parametros!$B$2)*H530/[1]Parametros!$B$4,0.35*H530/[1]Parametros!$B$4))</f>
        <v>0.95464205486111298</v>
      </c>
      <c r="BD530" s="13">
        <f t="shared" si="113"/>
        <v>0</v>
      </c>
      <c r="BE530" s="13">
        <f t="shared" si="114"/>
        <v>1.1833333333333333</v>
      </c>
      <c r="BF530" s="13">
        <f>SQRT((AI530*1000/(H530*MIN(U530,AB530)))^2+(Q530*1000000*2*((H530-2*([1]Parametros!$B$7+[1]Parametros!$B$9/2))+(I530-2*([1]Parametros!$B$7+[1]Parametros!$B$9/2)))/(1.7*((H530-2*([1]Parametros!$B$7+[1]Parametros!$B$9/2))*(I530-2*([1]Parametros!$B$7+[1]Parametros!$B$9/2)))^2))^2)</f>
        <v>1.2760910988549778</v>
      </c>
      <c r="BG530" s="13">
        <f>[1]Parametros!$B$6*(AJ530*1000/(H530*MIN(U530,AB530))+0.66*SQRT([1]Parametros!$B$2))</f>
        <v>3.2939603822754151</v>
      </c>
      <c r="BH530" s="13" t="str">
        <f t="shared" si="115"/>
        <v>CUMPLE</v>
      </c>
      <c r="BI530" s="13">
        <f>AX530*[1]Parametros!$B$8</f>
        <v>0</v>
      </c>
      <c r="BJ530" s="15" t="str">
        <f t="shared" si="116"/>
        <v>CUMPLE</v>
      </c>
    </row>
    <row r="531" spans="1:62" x14ac:dyDescent="0.3">
      <c r="A531" s="35" t="s">
        <v>77</v>
      </c>
      <c r="B531" s="36">
        <v>880</v>
      </c>
      <c r="C531" s="13">
        <v>1</v>
      </c>
      <c r="D531" s="13">
        <v>2.1</v>
      </c>
      <c r="E531" s="13">
        <v>2.1</v>
      </c>
      <c r="F531" s="13">
        <v>500</v>
      </c>
      <c r="G531" s="13">
        <v>550</v>
      </c>
      <c r="H531" s="13">
        <v>500</v>
      </c>
      <c r="I531" s="13">
        <v>550</v>
      </c>
      <c r="J531" s="14">
        <v>107.7808</v>
      </c>
      <c r="K531" s="13">
        <v>880</v>
      </c>
      <c r="L531" s="14">
        <v>43.752000000000002</v>
      </c>
      <c r="M531" s="13">
        <v>880</v>
      </c>
      <c r="N531" s="14">
        <v>89.915000000000006</v>
      </c>
      <c r="O531" s="14">
        <v>165.6</v>
      </c>
      <c r="P531" s="13">
        <v>880</v>
      </c>
      <c r="Q531" s="14">
        <v>7.7000000000000002E-3</v>
      </c>
      <c r="R531" s="13">
        <f>MAX(MAX(1.4/[1]Parametros!$B$3,0.25*SQRT([1]Parametros!$B$2)/[1]Parametros!$B$3)*H531*U531,(0.85*[1]Parametros!$B$2/[1]Parametros!$B$3)*(1-SQRT(1-2*(J531*1000000/([1]Parametros!$B$5*H531*U531^2))/(0.85*[1]Parametros!$B$2)))*H531*U531)</f>
        <v>815.58333333333326</v>
      </c>
      <c r="S531" s="14">
        <v>5</v>
      </c>
      <c r="T531" s="14">
        <v>1</v>
      </c>
      <c r="U531" s="13">
        <f>IF(T531=1,I531-([1]Parametros!$B$7+[1]Parametros!$B$9+[1]Parametros!$B$12/2),I531-(ROUNDUP(S531/2,0)*([1]Parametros!$B$7+[1]Parametros!$B$9+[1]Parametros!$B$12/2)+ROUNDDOWN(S531/2,0)*([1]Parametros!$B$7+[1]Parametros!$B$9+[1]Parametros!$B$12/2+[1]Parametros!$B$12+[1]Parametros!$B$10))/S531)</f>
        <v>489.35</v>
      </c>
      <c r="V531" s="13">
        <f>S531*[1]Parametros!$B$8</f>
        <v>995</v>
      </c>
      <c r="W531" s="13">
        <f>[1]Parametros!$B$5*V531*[1]Parametros!$B$3*(U531-(V531*[1]Parametros!$B$3/(0.85*[1]Parametros!$B$2*H531))/2)/1000000</f>
        <v>177.44537938235294</v>
      </c>
      <c r="X531" s="13" t="str">
        <f t="shared" si="104"/>
        <v>CUMPLE</v>
      </c>
      <c r="Y531" s="13">
        <f>MAX(MAX(1.4/[1]Parametros!$B$3,0.25*SQRT([1]Parametros!$B$2)/[1]Parametros!$B$3)*H531*AB531,(0.85*[1]Parametros!$B$2/[1]Parametros!$B$3)*(1-SQRT(1-2*(L531*1000000/([1]Parametros!$B$5*H531*AB531^2))/(0.85*[1]Parametros!$B$2)))*H531*AB531)</f>
        <v>815.58333333333326</v>
      </c>
      <c r="Z531" s="14">
        <v>5</v>
      </c>
      <c r="AA531" s="14">
        <v>1</v>
      </c>
      <c r="AB531" s="13">
        <f>IF(AA531=1,I531-([1]Parametros!$B$7+[1]Parametros!$B$9+[1]Parametros!$B$12/2),I531-(ROUNDUP(Z531/2,0)*([1]Parametros!$B$7+[1]Parametros!$B$9+[1]Parametros!$B$12/2)+ROUNDDOWN(Z531/2,0)*([1]Parametros!$B$7+[1]Parametros!$B$9+[1]Parametros!$B$12/2+[1]Parametros!$B$12+[1]Parametros!$B$10))/Z531)</f>
        <v>489.35</v>
      </c>
      <c r="AC531" s="13">
        <f>Z531*[1]Parametros!$B$8</f>
        <v>995</v>
      </c>
      <c r="AD531" s="13">
        <f>[1]Parametros!$B$5*AC531*[1]Parametros!$B$3*(AB531-(AC531*[1]Parametros!$B$3/(0.85*[1]Parametros!$B$2*H531))/2)/1000000</f>
        <v>177.44537938235294</v>
      </c>
      <c r="AE531" s="13" t="str">
        <f t="shared" si="105"/>
        <v>CUMPLE</v>
      </c>
      <c r="AF531" s="13">
        <f>V531*1.25*[1]Parametros!$B$3*(U531-(V531*1.25*[1]Parametros!$B$3/(0.85*[1]Parametros!$B$2*H531))/2)/1000000</f>
        <v>244.15884319852941</v>
      </c>
      <c r="AG531" s="13">
        <f>AC531*1.25*[1]Parametros!$B$3*(AB531-(AC531*1.25*[1]Parametros!$B$3/(0.85*[1]Parametros!$B$2*H531))/2)/1000000</f>
        <v>244.15884319852941</v>
      </c>
      <c r="AH531" s="13">
        <f t="shared" si="106"/>
        <v>322.44723161764705</v>
      </c>
      <c r="AI531" s="13">
        <f t="shared" si="107"/>
        <v>322.44723161764705</v>
      </c>
      <c r="AJ531" s="13">
        <f>0.17*SQRT([1]Parametros!$B$2)*H531*MIN(U531,AB531)/1000</f>
        <v>220.09872869180776</v>
      </c>
      <c r="AK531" s="13">
        <f>MAX(AI531/[1]Parametros!$B$6-AJ531,0)</f>
        <v>209.83091346505495</v>
      </c>
      <c r="AL531" s="13">
        <f>0.66*SQRT([1]Parametros!$B$2)*H531*MIN(U531,AB531)/1000</f>
        <v>854.500946685842</v>
      </c>
      <c r="AM531" s="13" t="str">
        <f t="shared" si="108"/>
        <v>CUMPLE</v>
      </c>
      <c r="AN531" s="13" t="s">
        <v>64</v>
      </c>
      <c r="AO531" s="14">
        <v>2</v>
      </c>
      <c r="AP531" s="13">
        <f>ROUNDDOWN(MIN(IF(BC531+BD531=0,1000000000,AO531*BB531/(BC531+BD531)),MIN(U531,AB531)/4,8*[1]Parametros!$B$12,24*BA531,300,IF(AV531=0,1000000000,2*((H531-2*([1]Parametros!$B$7+[1]Parametros!$B$9/2))+(I531-2*([1]Parametros!$B$7+[1]Parametros!$B$9/2)))/8))/10,0)*10</f>
        <v>120</v>
      </c>
      <c r="AQ531" s="13">
        <f>ROUNDDOWN(MIN(IF(BC531+BD531=0,1000000000,AO531*BB531/(BC531+BD531)),IF(AK531&gt;0.33*SQRT([1]Parametros!$B$2)*H531*MIN(U531,AB531)/1000,MIN(U531,AB531)/4,MIN(U531,AB531)/2),600,IF(AV531=0,1000000000,2*((H531-2*([1]Parametros!$B$7+[1]Parametros!$B$9/2))+(I531-2*([1]Parametros!$B$7+[1]Parametros!$B$9/2)))/8))/10,0)*10</f>
        <v>130</v>
      </c>
      <c r="AR531" s="13">
        <f>[1]Parametros!$B$6*(AJ531+MAX(BE531-BD531,0)*[1]Parametros!$B$4*MIN(U531,AB531)/1000)</f>
        <v>347.47925901885583</v>
      </c>
      <c r="AS531" s="13" t="str">
        <f t="shared" si="109"/>
        <v>CUMPLE</v>
      </c>
      <c r="AT531" s="13">
        <f>[1]Parametros!$B$6*0.083*SQRT([1]Parametros!$B$2)*(H531*I531)^2/(2*(H531+I531))/1000000</f>
        <v>11.862178757598967</v>
      </c>
      <c r="AU531" s="13" t="str">
        <f t="shared" si="110"/>
        <v>DESPRECIABLE</v>
      </c>
      <c r="AV531" s="13">
        <f>IF(Q531&lt;=AT531,0,Q531*1000000/([1]Parametros!$B$6*2*0.85*(H531-2*([1]Parametros!$B$7+[1]Parametros!$B$9/2))*(I531-2*([1]Parametros!$B$7+[1]Parametros!$B$9/2))*[1]Parametros!$B$4))</f>
        <v>0</v>
      </c>
      <c r="AW531" s="13">
        <f>AV531*2*((H531-2*([1]Parametros!$B$7+[1]Parametros!$B$9/2))+(I531-2*([1]Parametros!$B$7+[1]Parametros!$B$9/2)))*[1]Parametros!$B$4/[1]Parametros!$B$3</f>
        <v>0</v>
      </c>
      <c r="AX531" s="14">
        <v>0</v>
      </c>
      <c r="AY531" s="13" t="str">
        <f t="shared" si="111"/>
        <v>DESPRECIABLE</v>
      </c>
      <c r="AZ531" s="13" t="str">
        <f t="shared" si="112"/>
        <v>CUMPLE</v>
      </c>
      <c r="BA531" s="14">
        <v>9.5</v>
      </c>
      <c r="BB531" s="14">
        <v>71</v>
      </c>
      <c r="BC531" s="13">
        <f>MAX(IF(AK531=0,0,AK531*1000/([1]Parametros!$B$4*MIN(U531,AB531))),MAX(0.062*SQRT([1]Parametros!$B$2)*H531/[1]Parametros!$B$4,0.35*H531/[1]Parametros!$B$4))</f>
        <v>1.0209408664800972</v>
      </c>
      <c r="BD531" s="13">
        <f t="shared" si="113"/>
        <v>0</v>
      </c>
      <c r="BE531" s="13">
        <f t="shared" si="114"/>
        <v>1.1833333333333333</v>
      </c>
      <c r="BF531" s="13">
        <f>SQRT((AI531*1000/(H531*MIN(U531,AB531)))^2+(Q531*1000000*2*((H531-2*([1]Parametros!$B$7+[1]Parametros!$B$9/2))+(I531-2*([1]Parametros!$B$7+[1]Parametros!$B$9/2)))/(1.7*((H531-2*([1]Parametros!$B$7+[1]Parametros!$B$9/2))*(I531-2*([1]Parametros!$B$7+[1]Parametros!$B$9/2)))^2))^2)</f>
        <v>1.3178593495419766</v>
      </c>
      <c r="BG531" s="13">
        <f>[1]Parametros!$B$6*(AJ531*1000/(H531*MIN(U531,AB531))+0.66*SQRT([1]Parametros!$B$2))</f>
        <v>3.2939603822754151</v>
      </c>
      <c r="BH531" s="13" t="str">
        <f t="shared" si="115"/>
        <v>CUMPLE</v>
      </c>
      <c r="BI531" s="13">
        <f>AX531*[1]Parametros!$B$8</f>
        <v>0</v>
      </c>
      <c r="BJ531" s="15" t="str">
        <f t="shared" si="116"/>
        <v>CUMPLE</v>
      </c>
    </row>
    <row r="532" spans="1:62" x14ac:dyDescent="0.3">
      <c r="A532" s="35" t="s">
        <v>77</v>
      </c>
      <c r="B532" s="36">
        <v>881</v>
      </c>
      <c r="C532" s="13">
        <v>1</v>
      </c>
      <c r="D532" s="13">
        <v>3.4</v>
      </c>
      <c r="E532" s="13">
        <v>3.4</v>
      </c>
      <c r="F532" s="13">
        <v>500</v>
      </c>
      <c r="G532" s="13">
        <v>550</v>
      </c>
      <c r="H532" s="13">
        <v>500</v>
      </c>
      <c r="I532" s="13">
        <v>550</v>
      </c>
      <c r="J532" s="14">
        <v>153.45740000000001</v>
      </c>
      <c r="K532" s="13">
        <v>881</v>
      </c>
      <c r="L532" s="14">
        <v>73.295199999999994</v>
      </c>
      <c r="M532" s="13">
        <v>881</v>
      </c>
      <c r="N532" s="14">
        <v>115.544</v>
      </c>
      <c r="O532" s="14">
        <v>249.98699999999999</v>
      </c>
      <c r="P532" s="13">
        <v>881</v>
      </c>
      <c r="Q532" s="14">
        <v>3.8338999999999999</v>
      </c>
      <c r="R532" s="13">
        <f>MAX(MAX(1.4/[1]Parametros!$B$3,0.25*SQRT([1]Parametros!$B$2)/[1]Parametros!$B$3)*H532*U532,(0.85*[1]Parametros!$B$2/[1]Parametros!$B$3)*(1-SQRT(1-2*(J532*1000000/([1]Parametros!$B$5*H532*U532^2))/(0.85*[1]Parametros!$B$2)))*H532*U532)</f>
        <v>856.04136661861935</v>
      </c>
      <c r="S532" s="14">
        <v>5</v>
      </c>
      <c r="T532" s="14">
        <v>1</v>
      </c>
      <c r="U532" s="13">
        <f>IF(T532=1,I532-([1]Parametros!$B$7+[1]Parametros!$B$9+[1]Parametros!$B$12/2),I532-(ROUNDUP(S532/2,0)*([1]Parametros!$B$7+[1]Parametros!$B$9+[1]Parametros!$B$12/2)+ROUNDDOWN(S532/2,0)*([1]Parametros!$B$7+[1]Parametros!$B$9+[1]Parametros!$B$12/2+[1]Parametros!$B$12+[1]Parametros!$B$10))/S532)</f>
        <v>489.35</v>
      </c>
      <c r="V532" s="13">
        <f>S532*[1]Parametros!$B$8</f>
        <v>995</v>
      </c>
      <c r="W532" s="13">
        <f>[1]Parametros!$B$5*V532*[1]Parametros!$B$3*(U532-(V532*[1]Parametros!$B$3/(0.85*[1]Parametros!$B$2*H532))/2)/1000000</f>
        <v>177.44537938235294</v>
      </c>
      <c r="X532" s="13" t="str">
        <f t="shared" si="104"/>
        <v>CUMPLE</v>
      </c>
      <c r="Y532" s="13">
        <f>MAX(MAX(1.4/[1]Parametros!$B$3,0.25*SQRT([1]Parametros!$B$2)/[1]Parametros!$B$3)*H532*AB532,(0.85*[1]Parametros!$B$2/[1]Parametros!$B$3)*(1-SQRT(1-2*(L532*1000000/([1]Parametros!$B$5*H532*AB532^2))/(0.85*[1]Parametros!$B$2)))*H532*AB532)</f>
        <v>815.58333333333326</v>
      </c>
      <c r="Z532" s="14">
        <v>5</v>
      </c>
      <c r="AA532" s="14">
        <v>1</v>
      </c>
      <c r="AB532" s="13">
        <f>IF(AA532=1,I532-([1]Parametros!$B$7+[1]Parametros!$B$9+[1]Parametros!$B$12/2),I532-(ROUNDUP(Z532/2,0)*([1]Parametros!$B$7+[1]Parametros!$B$9+[1]Parametros!$B$12/2)+ROUNDDOWN(Z532/2,0)*([1]Parametros!$B$7+[1]Parametros!$B$9+[1]Parametros!$B$12/2+[1]Parametros!$B$12+[1]Parametros!$B$10))/Z532)</f>
        <v>489.35</v>
      </c>
      <c r="AC532" s="13">
        <f>Z532*[1]Parametros!$B$8</f>
        <v>995</v>
      </c>
      <c r="AD532" s="13">
        <f>[1]Parametros!$B$5*AC532*[1]Parametros!$B$3*(AB532-(AC532*[1]Parametros!$B$3/(0.85*[1]Parametros!$B$2*H532))/2)/1000000</f>
        <v>177.44537938235294</v>
      </c>
      <c r="AE532" s="13" t="str">
        <f t="shared" si="105"/>
        <v>CUMPLE</v>
      </c>
      <c r="AF532" s="13">
        <f>V532*1.25*[1]Parametros!$B$3*(U532-(V532*1.25*[1]Parametros!$B$3/(0.85*[1]Parametros!$B$2*H532))/2)/1000000</f>
        <v>244.15884319852941</v>
      </c>
      <c r="AG532" s="13">
        <f>AC532*1.25*[1]Parametros!$B$3*(AB532-(AC532*1.25*[1]Parametros!$B$3/(0.85*[1]Parametros!$B$2*H532))/2)/1000000</f>
        <v>244.15884319852941</v>
      </c>
      <c r="AH532" s="13">
        <f t="shared" si="106"/>
        <v>259.16684894031141</v>
      </c>
      <c r="AI532" s="13">
        <f t="shared" si="107"/>
        <v>259.16684894031141</v>
      </c>
      <c r="AJ532" s="13">
        <f>0.17*SQRT([1]Parametros!$B$2)*H532*MIN(U532,AB532)/1000</f>
        <v>220.09872869180776</v>
      </c>
      <c r="AK532" s="13">
        <f>MAX(AI532/[1]Parametros!$B$6-AJ532,0)</f>
        <v>125.45706989527412</v>
      </c>
      <c r="AL532" s="13">
        <f>0.66*SQRT([1]Parametros!$B$2)*H532*MIN(U532,AB532)/1000</f>
        <v>854.500946685842</v>
      </c>
      <c r="AM532" s="13" t="str">
        <f t="shared" si="108"/>
        <v>CUMPLE</v>
      </c>
      <c r="AN532" s="13" t="s">
        <v>64</v>
      </c>
      <c r="AO532" s="14">
        <v>2</v>
      </c>
      <c r="AP532" s="13">
        <f>ROUNDDOWN(MIN(IF(BC532+BD532=0,1000000000,AO532*BB532/(BC532+BD532)),MIN(U532,AB532)/4,8*[1]Parametros!$B$12,24*BA532,300,IF(AV532=0,1000000000,2*((H532-2*([1]Parametros!$B$7+[1]Parametros!$B$9/2))+(I532-2*([1]Parametros!$B$7+[1]Parametros!$B$9/2)))/8))/10,0)*10</f>
        <v>120</v>
      </c>
      <c r="AQ532" s="13">
        <f>ROUNDDOWN(MIN(IF(BC532+BD532=0,1000000000,AO532*BB532/(BC532+BD532)),IF(AK532&gt;0.33*SQRT([1]Parametros!$B$2)*H532*MIN(U532,AB532)/1000,MIN(U532,AB532)/4,MIN(U532,AB532)/2),600,IF(AV532=0,1000000000,2*((H532-2*([1]Parametros!$B$7+[1]Parametros!$B$9/2))+(I532-2*([1]Parametros!$B$7+[1]Parametros!$B$9/2)))/8))/10,0)*10</f>
        <v>230</v>
      </c>
      <c r="AR532" s="13">
        <f>[1]Parametros!$B$6*(AJ532+MAX(BE532-BD532,0)*[1]Parametros!$B$4*MIN(U532,AB532)/1000)</f>
        <v>347.47925901885583</v>
      </c>
      <c r="AS532" s="13" t="str">
        <f t="shared" si="109"/>
        <v>CUMPLE</v>
      </c>
      <c r="AT532" s="13">
        <f>[1]Parametros!$B$6*0.083*SQRT([1]Parametros!$B$2)*(H532*I532)^2/(2*(H532+I532))/1000000</f>
        <v>11.862178757598967</v>
      </c>
      <c r="AU532" s="13" t="str">
        <f t="shared" si="110"/>
        <v>DESPRECIABLE</v>
      </c>
      <c r="AV532" s="13">
        <f>IF(Q532&lt;=AT532,0,Q532*1000000/([1]Parametros!$B$6*2*0.85*(H532-2*([1]Parametros!$B$7+[1]Parametros!$B$9/2))*(I532-2*([1]Parametros!$B$7+[1]Parametros!$B$9/2))*[1]Parametros!$B$4))</f>
        <v>0</v>
      </c>
      <c r="AW532" s="13">
        <f>AV532*2*((H532-2*([1]Parametros!$B$7+[1]Parametros!$B$9/2))+(I532-2*([1]Parametros!$B$7+[1]Parametros!$B$9/2)))*[1]Parametros!$B$4/[1]Parametros!$B$3</f>
        <v>0</v>
      </c>
      <c r="AX532" s="14">
        <v>0</v>
      </c>
      <c r="AY532" s="13" t="str">
        <f t="shared" si="111"/>
        <v>DESPRECIABLE</v>
      </c>
      <c r="AZ532" s="13" t="str">
        <f t="shared" si="112"/>
        <v>CUMPLE</v>
      </c>
      <c r="BA532" s="14">
        <v>9.5</v>
      </c>
      <c r="BB532" s="14">
        <v>71</v>
      </c>
      <c r="BC532" s="13">
        <f>MAX(IF(AK532=0,0,AK532*1000/([1]Parametros!$B$4*MIN(U532,AB532))),MAX(0.062*SQRT([1]Parametros!$B$2)*H532/[1]Parametros!$B$4,0.35*H532/[1]Parametros!$B$4))</f>
        <v>0.61041648978126539</v>
      </c>
      <c r="BD532" s="13">
        <f t="shared" si="113"/>
        <v>0</v>
      </c>
      <c r="BE532" s="13">
        <f t="shared" si="114"/>
        <v>1.1833333333333333</v>
      </c>
      <c r="BF532" s="13">
        <f>SQRT((AI532*1000/(H532*MIN(U532,AB532)))^2+(Q532*1000000*2*((H532-2*([1]Parametros!$B$7+[1]Parametros!$B$9/2))+(I532-2*([1]Parametros!$B$7+[1]Parametros!$B$9/2)))/(1.7*((H532-2*([1]Parametros!$B$7+[1]Parametros!$B$9/2))*(I532-2*([1]Parametros!$B$7+[1]Parametros!$B$9/2)))^2))^2)</f>
        <v>1.0651770173922182</v>
      </c>
      <c r="BG532" s="13">
        <f>[1]Parametros!$B$6*(AJ532*1000/(H532*MIN(U532,AB532))+0.66*SQRT([1]Parametros!$B$2))</f>
        <v>3.2939603822754151</v>
      </c>
      <c r="BH532" s="13" t="str">
        <f t="shared" si="115"/>
        <v>CUMPLE</v>
      </c>
      <c r="BI532" s="13">
        <f>AX532*[1]Parametros!$B$8</f>
        <v>0</v>
      </c>
      <c r="BJ532" s="15" t="str">
        <f t="shared" si="116"/>
        <v>CUMPLE</v>
      </c>
    </row>
    <row r="533" spans="1:62" x14ac:dyDescent="0.3">
      <c r="A533" s="35" t="s">
        <v>77</v>
      </c>
      <c r="B533" s="36">
        <v>882</v>
      </c>
      <c r="C533" s="13">
        <v>1</v>
      </c>
      <c r="D533" s="13">
        <v>1.9</v>
      </c>
      <c r="E533" s="13">
        <v>1.9</v>
      </c>
      <c r="F533" s="13">
        <v>500</v>
      </c>
      <c r="G533" s="13">
        <v>550</v>
      </c>
      <c r="H533" s="13">
        <v>500</v>
      </c>
      <c r="I533" s="13">
        <v>550</v>
      </c>
      <c r="J533" s="14">
        <v>82.394999999999996</v>
      </c>
      <c r="K533" s="13">
        <v>882</v>
      </c>
      <c r="L533" s="14">
        <v>27.241</v>
      </c>
      <c r="M533" s="13">
        <v>882</v>
      </c>
      <c r="N533" s="14">
        <v>75.781999999999996</v>
      </c>
      <c r="O533" s="14">
        <v>231.005</v>
      </c>
      <c r="P533" s="13">
        <v>882</v>
      </c>
      <c r="Q533" s="14">
        <v>0.35809999999999997</v>
      </c>
      <c r="R533" s="13">
        <f>MAX(MAX(1.4/[1]Parametros!$B$3,0.25*SQRT([1]Parametros!$B$2)/[1]Parametros!$B$3)*H533*U533,(0.85*[1]Parametros!$B$2/[1]Parametros!$B$3)*(1-SQRT(1-2*(J533*1000000/([1]Parametros!$B$5*H533*U533^2))/(0.85*[1]Parametros!$B$2)))*H533*U533)</f>
        <v>815.58333333333326</v>
      </c>
      <c r="S533" s="14">
        <v>5</v>
      </c>
      <c r="T533" s="14">
        <v>1</v>
      </c>
      <c r="U533" s="13">
        <f>IF(T533=1,I533-([1]Parametros!$B$7+[1]Parametros!$B$9+[1]Parametros!$B$12/2),I533-(ROUNDUP(S533/2,0)*([1]Parametros!$B$7+[1]Parametros!$B$9+[1]Parametros!$B$12/2)+ROUNDDOWN(S533/2,0)*([1]Parametros!$B$7+[1]Parametros!$B$9+[1]Parametros!$B$12/2+[1]Parametros!$B$12+[1]Parametros!$B$10))/S533)</f>
        <v>489.35</v>
      </c>
      <c r="V533" s="13">
        <f>S533*[1]Parametros!$B$8</f>
        <v>995</v>
      </c>
      <c r="W533" s="13">
        <f>[1]Parametros!$B$5*V533*[1]Parametros!$B$3*(U533-(V533*[1]Parametros!$B$3/(0.85*[1]Parametros!$B$2*H533))/2)/1000000</f>
        <v>177.44537938235294</v>
      </c>
      <c r="X533" s="13" t="str">
        <f t="shared" si="104"/>
        <v>CUMPLE</v>
      </c>
      <c r="Y533" s="13">
        <f>MAX(MAX(1.4/[1]Parametros!$B$3,0.25*SQRT([1]Parametros!$B$2)/[1]Parametros!$B$3)*H533*AB533,(0.85*[1]Parametros!$B$2/[1]Parametros!$B$3)*(1-SQRT(1-2*(L533*1000000/([1]Parametros!$B$5*H533*AB533^2))/(0.85*[1]Parametros!$B$2)))*H533*AB533)</f>
        <v>815.58333333333326</v>
      </c>
      <c r="Z533" s="14">
        <v>5</v>
      </c>
      <c r="AA533" s="14">
        <v>1</v>
      </c>
      <c r="AB533" s="13">
        <f>IF(AA533=1,I533-([1]Parametros!$B$7+[1]Parametros!$B$9+[1]Parametros!$B$12/2),I533-(ROUNDUP(Z533/2,0)*([1]Parametros!$B$7+[1]Parametros!$B$9+[1]Parametros!$B$12/2)+ROUNDDOWN(Z533/2,0)*([1]Parametros!$B$7+[1]Parametros!$B$9+[1]Parametros!$B$12/2+[1]Parametros!$B$12+[1]Parametros!$B$10))/Z533)</f>
        <v>489.35</v>
      </c>
      <c r="AC533" s="13">
        <f>Z533*[1]Parametros!$B$8</f>
        <v>995</v>
      </c>
      <c r="AD533" s="13">
        <f>[1]Parametros!$B$5*AC533*[1]Parametros!$B$3*(AB533-(AC533*[1]Parametros!$B$3/(0.85*[1]Parametros!$B$2*H533))/2)/1000000</f>
        <v>177.44537938235294</v>
      </c>
      <c r="AE533" s="13" t="str">
        <f t="shared" si="105"/>
        <v>CUMPLE</v>
      </c>
      <c r="AF533" s="13">
        <f>V533*1.25*[1]Parametros!$B$3*(U533-(V533*1.25*[1]Parametros!$B$3/(0.85*[1]Parametros!$B$2*H533))/2)/1000000</f>
        <v>244.15884319852941</v>
      </c>
      <c r="AG533" s="13">
        <f>AC533*1.25*[1]Parametros!$B$3*(AB533-(AC533*1.25*[1]Parametros!$B$3/(0.85*[1]Parametros!$B$2*H533))/2)/1000000</f>
        <v>244.15884319852941</v>
      </c>
      <c r="AH533" s="13">
        <f t="shared" si="106"/>
        <v>332.79130863003093</v>
      </c>
      <c r="AI533" s="13">
        <f t="shared" si="107"/>
        <v>332.79130863003093</v>
      </c>
      <c r="AJ533" s="13">
        <f>0.17*SQRT([1]Parametros!$B$2)*H533*MIN(U533,AB533)/1000</f>
        <v>220.09872869180776</v>
      </c>
      <c r="AK533" s="13">
        <f>MAX(AI533/[1]Parametros!$B$6-AJ533,0)</f>
        <v>223.62301614823349</v>
      </c>
      <c r="AL533" s="13">
        <f>0.66*SQRT([1]Parametros!$B$2)*H533*MIN(U533,AB533)/1000</f>
        <v>854.500946685842</v>
      </c>
      <c r="AM533" s="13" t="str">
        <f t="shared" si="108"/>
        <v>CUMPLE</v>
      </c>
      <c r="AN533" s="13" t="s">
        <v>64</v>
      </c>
      <c r="AO533" s="14">
        <v>2</v>
      </c>
      <c r="AP533" s="13">
        <f>ROUNDDOWN(MIN(IF(BC533+BD533=0,1000000000,AO533*BB533/(BC533+BD533)),MIN(U533,AB533)/4,8*[1]Parametros!$B$12,24*BA533,300,IF(AV533=0,1000000000,2*((H533-2*([1]Parametros!$B$7+[1]Parametros!$B$9/2))+(I533-2*([1]Parametros!$B$7+[1]Parametros!$B$9/2)))/8))/10,0)*10</f>
        <v>120</v>
      </c>
      <c r="AQ533" s="13">
        <f>ROUNDDOWN(MIN(IF(BC533+BD533=0,1000000000,AO533*BB533/(BC533+BD533)),IF(AK533&gt;0.33*SQRT([1]Parametros!$B$2)*H533*MIN(U533,AB533)/1000,MIN(U533,AB533)/4,MIN(U533,AB533)/2),600,IF(AV533=0,1000000000,2*((H533-2*([1]Parametros!$B$7+[1]Parametros!$B$9/2))+(I533-2*([1]Parametros!$B$7+[1]Parametros!$B$9/2)))/8))/10,0)*10</f>
        <v>130</v>
      </c>
      <c r="AR533" s="13">
        <f>[1]Parametros!$B$6*(AJ533+MAX(BE533-BD533,0)*[1]Parametros!$B$4*MIN(U533,AB533)/1000)</f>
        <v>347.47925901885583</v>
      </c>
      <c r="AS533" s="13" t="str">
        <f t="shared" si="109"/>
        <v>CUMPLE</v>
      </c>
      <c r="AT533" s="13">
        <f>[1]Parametros!$B$6*0.083*SQRT([1]Parametros!$B$2)*(H533*I533)^2/(2*(H533+I533))/1000000</f>
        <v>11.862178757598967</v>
      </c>
      <c r="AU533" s="13" t="str">
        <f t="shared" si="110"/>
        <v>DESPRECIABLE</v>
      </c>
      <c r="AV533" s="13">
        <f>IF(Q533&lt;=AT533,0,Q533*1000000/([1]Parametros!$B$6*2*0.85*(H533-2*([1]Parametros!$B$7+[1]Parametros!$B$9/2))*(I533-2*([1]Parametros!$B$7+[1]Parametros!$B$9/2))*[1]Parametros!$B$4))</f>
        <v>0</v>
      </c>
      <c r="AW533" s="13">
        <f>AV533*2*((H533-2*([1]Parametros!$B$7+[1]Parametros!$B$9/2))+(I533-2*([1]Parametros!$B$7+[1]Parametros!$B$9/2)))*[1]Parametros!$B$4/[1]Parametros!$B$3</f>
        <v>0</v>
      </c>
      <c r="AX533" s="14">
        <v>0</v>
      </c>
      <c r="AY533" s="13" t="str">
        <f t="shared" si="111"/>
        <v>DESPRECIABLE</v>
      </c>
      <c r="AZ533" s="13" t="str">
        <f t="shared" si="112"/>
        <v>CUMPLE</v>
      </c>
      <c r="BA533" s="14">
        <v>9.5</v>
      </c>
      <c r="BB533" s="14">
        <v>71</v>
      </c>
      <c r="BC533" s="13">
        <f>MAX(IF(AK533=0,0,AK533*1000/([1]Parametros!$B$4*MIN(U533,AB533))),MAX(0.062*SQRT([1]Parametros!$B$2)*H533/[1]Parametros!$B$4,0.35*H533/[1]Parametros!$B$4))</f>
        <v>1.0880469045343604</v>
      </c>
      <c r="BD533" s="13">
        <f t="shared" si="113"/>
        <v>0</v>
      </c>
      <c r="BE533" s="13">
        <f t="shared" si="114"/>
        <v>1.1833333333333333</v>
      </c>
      <c r="BF533" s="13">
        <f>SQRT((AI533*1000/(H533*MIN(U533,AB533)))^2+(Q533*1000000*2*((H533-2*([1]Parametros!$B$7+[1]Parametros!$B$9/2))+(I533-2*([1]Parametros!$B$7+[1]Parametros!$B$9/2)))/(1.7*((H533-2*([1]Parametros!$B$7+[1]Parametros!$B$9/2))*(I533-2*([1]Parametros!$B$7+[1]Parametros!$B$9/2)))^2))^2)</f>
        <v>1.3601766588925535</v>
      </c>
      <c r="BG533" s="13">
        <f>[1]Parametros!$B$6*(AJ533*1000/(H533*MIN(U533,AB533))+0.66*SQRT([1]Parametros!$B$2))</f>
        <v>3.2939603822754151</v>
      </c>
      <c r="BH533" s="13" t="str">
        <f t="shared" si="115"/>
        <v>CUMPLE</v>
      </c>
      <c r="BI533" s="13">
        <f>AX533*[1]Parametros!$B$8</f>
        <v>0</v>
      </c>
      <c r="BJ533" s="15" t="str">
        <f t="shared" si="116"/>
        <v>CUMPLE</v>
      </c>
    </row>
    <row r="534" spans="1:62" x14ac:dyDescent="0.3">
      <c r="A534" s="35" t="s">
        <v>77</v>
      </c>
      <c r="B534" s="36">
        <v>883</v>
      </c>
      <c r="C534" s="13">
        <v>1</v>
      </c>
      <c r="D534" s="13">
        <v>2</v>
      </c>
      <c r="E534" s="13">
        <v>2</v>
      </c>
      <c r="F534" s="13">
        <v>500</v>
      </c>
      <c r="G534" s="13">
        <v>550</v>
      </c>
      <c r="H534" s="13">
        <v>500</v>
      </c>
      <c r="I534" s="13">
        <v>550</v>
      </c>
      <c r="J534" s="14">
        <v>238.31309999999999</v>
      </c>
      <c r="K534" s="13">
        <v>883</v>
      </c>
      <c r="L534" s="14">
        <v>118.1429</v>
      </c>
      <c r="M534" s="13">
        <v>883</v>
      </c>
      <c r="N534" s="14">
        <v>194.45099999999999</v>
      </c>
      <c r="O534" s="14">
        <v>280.279</v>
      </c>
      <c r="P534" s="13">
        <v>883</v>
      </c>
      <c r="Q534" s="14">
        <v>6.5400999999999998</v>
      </c>
      <c r="R534" s="13">
        <f>MAX(MAX(1.4/[1]Parametros!$B$3,0.25*SQRT([1]Parametros!$B$2)/[1]Parametros!$B$3)*H534*U534,(0.85*[1]Parametros!$B$2/[1]Parametros!$B$3)*(1-SQRT(1-2*(J534*1000000/([1]Parametros!$B$5*H534*U534^2))/(0.85*[1]Parametros!$B$2)))*H534*U534)</f>
        <v>1354.5224107624424</v>
      </c>
      <c r="S534" s="14">
        <v>7</v>
      </c>
      <c r="T534" s="14">
        <v>1</v>
      </c>
      <c r="U534" s="13">
        <f>IF(T534=1,I534-([1]Parametros!$B$7+[1]Parametros!$B$9+[1]Parametros!$B$12/2),I534-(ROUNDUP(S534/2,0)*([1]Parametros!$B$7+[1]Parametros!$B$9+[1]Parametros!$B$12/2)+ROUNDDOWN(S534/2,0)*([1]Parametros!$B$7+[1]Parametros!$B$9+[1]Parametros!$B$12/2+[1]Parametros!$B$12+[1]Parametros!$B$10))/S534)</f>
        <v>489.35</v>
      </c>
      <c r="V534" s="13">
        <f>S534*[1]Parametros!$B$8</f>
        <v>1393</v>
      </c>
      <c r="W534" s="13">
        <f>[1]Parametros!$B$5*V534*[1]Parametros!$B$3*(U534-(V534*[1]Parametros!$B$3/(0.85*[1]Parametros!$B$2*H534))/2)/1000000</f>
        <v>244.72526362941178</v>
      </c>
      <c r="X534" s="13" t="str">
        <f t="shared" si="104"/>
        <v>CUMPLE</v>
      </c>
      <c r="Y534" s="13">
        <f>MAX(MAX(1.4/[1]Parametros!$B$3,0.25*SQRT([1]Parametros!$B$2)/[1]Parametros!$B$3)*H534*AB534,(0.85*[1]Parametros!$B$2/[1]Parametros!$B$3)*(1-SQRT(1-2*(L534*1000000/([1]Parametros!$B$5*H534*AB534^2))/(0.85*[1]Parametros!$B$2)))*H534*AB534)</f>
        <v>815.58333333333326</v>
      </c>
      <c r="Z534" s="14">
        <v>5</v>
      </c>
      <c r="AA534" s="14">
        <v>1</v>
      </c>
      <c r="AB534" s="13">
        <f>IF(AA534=1,I534-([1]Parametros!$B$7+[1]Parametros!$B$9+[1]Parametros!$B$12/2),I534-(ROUNDUP(Z534/2,0)*([1]Parametros!$B$7+[1]Parametros!$B$9+[1]Parametros!$B$12/2)+ROUNDDOWN(Z534/2,0)*([1]Parametros!$B$7+[1]Parametros!$B$9+[1]Parametros!$B$12/2+[1]Parametros!$B$12+[1]Parametros!$B$10))/Z534)</f>
        <v>489.35</v>
      </c>
      <c r="AC534" s="13">
        <f>Z534*[1]Parametros!$B$8</f>
        <v>995</v>
      </c>
      <c r="AD534" s="13">
        <f>[1]Parametros!$B$5*AC534*[1]Parametros!$B$3*(AB534-(AC534*[1]Parametros!$B$3/(0.85*[1]Parametros!$B$2*H534))/2)/1000000</f>
        <v>177.44537938235294</v>
      </c>
      <c r="AE534" s="13" t="str">
        <f t="shared" si="105"/>
        <v>CUMPLE</v>
      </c>
      <c r="AF534" s="13">
        <f>V534*1.25*[1]Parametros!$B$3*(U534-(V534*1.25*[1]Parametros!$B$3/(0.85*[1]Parametros!$B$2*H534))/2)/1000000</f>
        <v>335.40177716911762</v>
      </c>
      <c r="AG534" s="13">
        <f>AC534*1.25*[1]Parametros!$B$3*(AB534-(AC534*1.25*[1]Parametros!$B$3/(0.85*[1]Parametros!$B$2*H534))/2)/1000000</f>
        <v>244.15884319852941</v>
      </c>
      <c r="AH534" s="13">
        <f t="shared" si="106"/>
        <v>484.23131018382355</v>
      </c>
      <c r="AI534" s="13">
        <f t="shared" si="107"/>
        <v>484.23131018382355</v>
      </c>
      <c r="AJ534" s="13">
        <f>0.17*SQRT([1]Parametros!$B$2)*H534*MIN(U534,AB534)/1000</f>
        <v>220.09872869180776</v>
      </c>
      <c r="AK534" s="13">
        <f>MAX(AI534/[1]Parametros!$B$6-AJ534,0)</f>
        <v>425.54301821995693</v>
      </c>
      <c r="AL534" s="13">
        <f>0.66*SQRT([1]Parametros!$B$2)*H534*MIN(U534,AB534)/1000</f>
        <v>854.500946685842</v>
      </c>
      <c r="AM534" s="13" t="str">
        <f t="shared" si="108"/>
        <v>CUMPLE</v>
      </c>
      <c r="AN534" s="13" t="s">
        <v>68</v>
      </c>
      <c r="AO534" s="14">
        <v>2</v>
      </c>
      <c r="AP534" s="13">
        <f>ROUNDDOWN(MIN(IF(BC534+BD534=0,1000000000,AO534*BB534/(BC534+BD534)),MIN(U534,AB534)/4,8*[1]Parametros!$B$12,24*BA534,300,IF(AV534=0,1000000000,2*((H534-2*([1]Parametros!$B$7+[1]Parametros!$B$9/2))+(I534-2*([1]Parametros!$B$7+[1]Parametros!$B$9/2)))/8))/10,0)*10</f>
        <v>120</v>
      </c>
      <c r="AQ534" s="13">
        <f>ROUNDDOWN(MIN(IF(BC534+BD534=0,1000000000,AO534*BB534/(BC534+BD534)),IF(AK534&gt;0.33*SQRT([1]Parametros!$B$2)*H534*MIN(U534,AB534)/1000,MIN(U534,AB534)/4,MIN(U534,AB534)/2),600,IF(AV534=0,1000000000,2*((H534-2*([1]Parametros!$B$7+[1]Parametros!$B$9/2))+(I534-2*([1]Parametros!$B$7+[1]Parametros!$B$9/2)))/8))/10,0)*10</f>
        <v>120</v>
      </c>
      <c r="AR534" s="13">
        <f>[1]Parametros!$B$6*(AJ534+MAX(BE534-BD534,0)*[1]Parametros!$B$4*MIN(U534,AB534)/1000)</f>
        <v>496.48633401885581</v>
      </c>
      <c r="AS534" s="13" t="str">
        <f t="shared" si="109"/>
        <v>CUMPLE</v>
      </c>
      <c r="AT534" s="13">
        <f>[1]Parametros!$B$6*0.083*SQRT([1]Parametros!$B$2)*(H534*I534)^2/(2*(H534+I534))/1000000</f>
        <v>11.862178757598967</v>
      </c>
      <c r="AU534" s="13" t="str">
        <f t="shared" si="110"/>
        <v>DESPRECIABLE</v>
      </c>
      <c r="AV534" s="13">
        <f>IF(Q534&lt;=AT534,0,Q534*1000000/([1]Parametros!$B$6*2*0.85*(H534-2*([1]Parametros!$B$7+[1]Parametros!$B$9/2))*(I534-2*([1]Parametros!$B$7+[1]Parametros!$B$9/2))*[1]Parametros!$B$4))</f>
        <v>0</v>
      </c>
      <c r="AW534" s="13">
        <f>AV534*2*((H534-2*([1]Parametros!$B$7+[1]Parametros!$B$9/2))+(I534-2*([1]Parametros!$B$7+[1]Parametros!$B$9/2)))*[1]Parametros!$B$4/[1]Parametros!$B$3</f>
        <v>0</v>
      </c>
      <c r="AX534" s="14">
        <v>0</v>
      </c>
      <c r="AY534" s="13" t="str">
        <f t="shared" si="111"/>
        <v>DESPRECIABLE</v>
      </c>
      <c r="AZ534" s="13" t="str">
        <f t="shared" si="112"/>
        <v>CUMPLE</v>
      </c>
      <c r="BA534" s="14">
        <v>12.7</v>
      </c>
      <c r="BB534" s="14">
        <v>129</v>
      </c>
      <c r="BC534" s="13">
        <f>MAX(IF(AK534=0,0,AK534*1000/([1]Parametros!$B$4*MIN(U534,AB534))),MAX(0.062*SQRT([1]Parametros!$B$2)*H534/[1]Parametros!$B$4,0.35*H534/[1]Parametros!$B$4))</f>
        <v>2.0704969090190435</v>
      </c>
      <c r="BD534" s="13">
        <f t="shared" si="113"/>
        <v>0</v>
      </c>
      <c r="BE534" s="13">
        <f t="shared" si="114"/>
        <v>2.15</v>
      </c>
      <c r="BF534" s="13">
        <f>SQRT((AI534*1000/(H534*MIN(U534,AB534)))^2+(Q534*1000000*2*((H534-2*([1]Parametros!$B$7+[1]Parametros!$B$9/2))+(I534-2*([1]Parametros!$B$7+[1]Parametros!$B$9/2)))/(1.7*((H534-2*([1]Parametros!$B$7+[1]Parametros!$B$9/2))*(I534-2*([1]Parametros!$B$7+[1]Parametros!$B$9/2)))^2))^2)</f>
        <v>1.9883477209561355</v>
      </c>
      <c r="BG534" s="13">
        <f>[1]Parametros!$B$6*(AJ534*1000/(H534*MIN(U534,AB534))+0.66*SQRT([1]Parametros!$B$2))</f>
        <v>3.2939603822754151</v>
      </c>
      <c r="BH534" s="13" t="str">
        <f t="shared" si="115"/>
        <v>CUMPLE</v>
      </c>
      <c r="BI534" s="13">
        <f>AX534*[1]Parametros!$B$8</f>
        <v>0</v>
      </c>
      <c r="BJ534" s="15" t="str">
        <f t="shared" si="116"/>
        <v>CUMPLE</v>
      </c>
    </row>
    <row r="535" spans="1:62" x14ac:dyDescent="0.3">
      <c r="A535" s="35" t="s">
        <v>77</v>
      </c>
      <c r="B535" s="36">
        <v>884</v>
      </c>
      <c r="C535" s="13">
        <v>1</v>
      </c>
      <c r="D535" s="13">
        <v>2.35</v>
      </c>
      <c r="E535" s="13">
        <v>2.35</v>
      </c>
      <c r="F535" s="13">
        <v>500</v>
      </c>
      <c r="G535" s="13">
        <v>550</v>
      </c>
      <c r="H535" s="13">
        <v>500</v>
      </c>
      <c r="I535" s="13">
        <v>550</v>
      </c>
      <c r="J535" s="14">
        <v>217.36150000000001</v>
      </c>
      <c r="K535" s="13">
        <v>884</v>
      </c>
      <c r="L535" s="14">
        <v>131.57050000000001</v>
      </c>
      <c r="M535" s="13">
        <v>884</v>
      </c>
      <c r="N535" s="14">
        <v>190.548</v>
      </c>
      <c r="O535" s="14">
        <v>277.02100000000002</v>
      </c>
      <c r="P535" s="13">
        <v>884</v>
      </c>
      <c r="Q535" s="14">
        <v>7.5514000000000001</v>
      </c>
      <c r="R535" s="13">
        <f>MAX(MAX(1.4/[1]Parametros!$B$3,0.25*SQRT([1]Parametros!$B$2)/[1]Parametros!$B$3)*H535*U535,(0.85*[1]Parametros!$B$2/[1]Parametros!$B$3)*(1-SQRT(1-2*(J535*1000000/([1]Parametros!$B$5*H535*U535^2))/(0.85*[1]Parametros!$B$2)))*H535*U535)</f>
        <v>1229.614657834938</v>
      </c>
      <c r="S535" s="14">
        <v>7</v>
      </c>
      <c r="T535" s="14">
        <v>1</v>
      </c>
      <c r="U535" s="13">
        <f>IF(T535=1,I535-([1]Parametros!$B$7+[1]Parametros!$B$9+[1]Parametros!$B$12/2),I535-(ROUNDUP(S535/2,0)*([1]Parametros!$B$7+[1]Parametros!$B$9+[1]Parametros!$B$12/2)+ROUNDDOWN(S535/2,0)*([1]Parametros!$B$7+[1]Parametros!$B$9+[1]Parametros!$B$12/2+[1]Parametros!$B$12+[1]Parametros!$B$10))/S535)</f>
        <v>489.35</v>
      </c>
      <c r="V535" s="13">
        <f>S535*[1]Parametros!$B$8</f>
        <v>1393</v>
      </c>
      <c r="W535" s="13">
        <f>[1]Parametros!$B$5*V535*[1]Parametros!$B$3*(U535-(V535*[1]Parametros!$B$3/(0.85*[1]Parametros!$B$2*H535))/2)/1000000</f>
        <v>244.72526362941178</v>
      </c>
      <c r="X535" s="13" t="str">
        <f t="shared" si="104"/>
        <v>CUMPLE</v>
      </c>
      <c r="Y535" s="13">
        <f>MAX(MAX(1.4/[1]Parametros!$B$3,0.25*SQRT([1]Parametros!$B$2)/[1]Parametros!$B$3)*H535*AB535,(0.85*[1]Parametros!$B$2/[1]Parametros!$B$3)*(1-SQRT(1-2*(L535*1000000/([1]Parametros!$B$5*H535*AB535^2))/(0.85*[1]Parametros!$B$2)))*H535*AB535)</f>
        <v>815.58333333333326</v>
      </c>
      <c r="Z535" s="14">
        <v>5</v>
      </c>
      <c r="AA535" s="14">
        <v>1</v>
      </c>
      <c r="AB535" s="13">
        <f>IF(AA535=1,I535-([1]Parametros!$B$7+[1]Parametros!$B$9+[1]Parametros!$B$12/2),I535-(ROUNDUP(Z535/2,0)*([1]Parametros!$B$7+[1]Parametros!$B$9+[1]Parametros!$B$12/2)+ROUNDDOWN(Z535/2,0)*([1]Parametros!$B$7+[1]Parametros!$B$9+[1]Parametros!$B$12/2+[1]Parametros!$B$12+[1]Parametros!$B$10))/Z535)</f>
        <v>489.35</v>
      </c>
      <c r="AC535" s="13">
        <f>Z535*[1]Parametros!$B$8</f>
        <v>995</v>
      </c>
      <c r="AD535" s="13">
        <f>[1]Parametros!$B$5*AC535*[1]Parametros!$B$3*(AB535-(AC535*[1]Parametros!$B$3/(0.85*[1]Parametros!$B$2*H535))/2)/1000000</f>
        <v>177.44537938235294</v>
      </c>
      <c r="AE535" s="13" t="str">
        <f t="shared" si="105"/>
        <v>CUMPLE</v>
      </c>
      <c r="AF535" s="13">
        <f>V535*1.25*[1]Parametros!$B$3*(U535-(V535*1.25*[1]Parametros!$B$3/(0.85*[1]Parametros!$B$2*H535))/2)/1000000</f>
        <v>335.40177716911762</v>
      </c>
      <c r="AG535" s="13">
        <f>AC535*1.25*[1]Parametros!$B$3*(AB535-(AC535*1.25*[1]Parametros!$B$3/(0.85*[1]Parametros!$B$2*H535))/2)/1000000</f>
        <v>244.15884319852941</v>
      </c>
      <c r="AH535" s="13">
        <f t="shared" si="106"/>
        <v>437.16954058197746</v>
      </c>
      <c r="AI535" s="13">
        <f t="shared" si="107"/>
        <v>437.16954058197746</v>
      </c>
      <c r="AJ535" s="13">
        <f>0.17*SQRT([1]Parametros!$B$2)*H535*MIN(U535,AB535)/1000</f>
        <v>220.09872869180776</v>
      </c>
      <c r="AK535" s="13">
        <f>MAX(AI535/[1]Parametros!$B$6-AJ535,0)</f>
        <v>362.79399208416214</v>
      </c>
      <c r="AL535" s="13">
        <f>0.66*SQRT([1]Parametros!$B$2)*H535*MIN(U535,AB535)/1000</f>
        <v>854.500946685842</v>
      </c>
      <c r="AM535" s="13" t="str">
        <f t="shared" si="108"/>
        <v>CUMPLE</v>
      </c>
      <c r="AN535" s="13" t="s">
        <v>64</v>
      </c>
      <c r="AO535" s="14">
        <v>2</v>
      </c>
      <c r="AP535" s="13">
        <f>ROUNDDOWN(MIN(IF(BC535+BD535=0,1000000000,AO535*BB535/(BC535+BD535)),MIN(U535,AB535)/4,8*[1]Parametros!$B$12,24*BA535,300,IF(AV535=0,1000000000,2*((H535-2*([1]Parametros!$B$7+[1]Parametros!$B$9/2))+(I535-2*([1]Parametros!$B$7+[1]Parametros!$B$9/2)))/8))/10,0)*10</f>
        <v>80</v>
      </c>
      <c r="AQ535" s="13">
        <f>ROUNDDOWN(MIN(IF(BC535+BD535=0,1000000000,AO535*BB535/(BC535+BD535)),IF(AK535&gt;0.33*SQRT([1]Parametros!$B$2)*H535*MIN(U535,AB535)/1000,MIN(U535,AB535)/4,MIN(U535,AB535)/2),600,IF(AV535=0,1000000000,2*((H535-2*([1]Parametros!$B$7+[1]Parametros!$B$9/2))+(I535-2*([1]Parametros!$B$7+[1]Parametros!$B$9/2)))/8))/10,0)*10</f>
        <v>80</v>
      </c>
      <c r="AR535" s="13">
        <f>[1]Parametros!$B$6*(AJ535+MAX(BE535-BD535,0)*[1]Parametros!$B$4*MIN(U535,AB535)/1000)</f>
        <v>438.68186526885586</v>
      </c>
      <c r="AS535" s="13" t="str">
        <f t="shared" si="109"/>
        <v>CUMPLE</v>
      </c>
      <c r="AT535" s="13">
        <f>[1]Parametros!$B$6*0.083*SQRT([1]Parametros!$B$2)*(H535*I535)^2/(2*(H535+I535))/1000000</f>
        <v>11.862178757598967</v>
      </c>
      <c r="AU535" s="13" t="str">
        <f t="shared" si="110"/>
        <v>DESPRECIABLE</v>
      </c>
      <c r="AV535" s="13">
        <f>IF(Q535&lt;=AT535,0,Q535*1000000/([1]Parametros!$B$6*2*0.85*(H535-2*([1]Parametros!$B$7+[1]Parametros!$B$9/2))*(I535-2*([1]Parametros!$B$7+[1]Parametros!$B$9/2))*[1]Parametros!$B$4))</f>
        <v>0</v>
      </c>
      <c r="AW535" s="13">
        <f>AV535*2*((H535-2*([1]Parametros!$B$7+[1]Parametros!$B$9/2))+(I535-2*([1]Parametros!$B$7+[1]Parametros!$B$9/2)))*[1]Parametros!$B$4/[1]Parametros!$B$3</f>
        <v>0</v>
      </c>
      <c r="AX535" s="14">
        <v>0</v>
      </c>
      <c r="AY535" s="13" t="str">
        <f t="shared" si="111"/>
        <v>DESPRECIABLE</v>
      </c>
      <c r="AZ535" s="13" t="str">
        <f t="shared" si="112"/>
        <v>CUMPLE</v>
      </c>
      <c r="BA535" s="14">
        <v>9.5</v>
      </c>
      <c r="BB535" s="14">
        <v>71</v>
      </c>
      <c r="BC535" s="13">
        <f>MAX(IF(AK535=0,0,AK535*1000/([1]Parametros!$B$4*MIN(U535,AB535))),MAX(0.062*SQRT([1]Parametros!$B$2)*H535/[1]Parametros!$B$4,0.35*H535/[1]Parametros!$B$4))</f>
        <v>1.7651889634167877</v>
      </c>
      <c r="BD535" s="13">
        <f t="shared" si="113"/>
        <v>0</v>
      </c>
      <c r="BE535" s="13">
        <f t="shared" si="114"/>
        <v>1.7749999999999999</v>
      </c>
      <c r="BF535" s="13">
        <f>SQRT((AI535*1000/(H535*MIN(U535,AB535)))^2+(Q535*1000000*2*((H535-2*([1]Parametros!$B$7+[1]Parametros!$B$9/2))+(I535-2*([1]Parametros!$B$7+[1]Parametros!$B$9/2)))/(1.7*((H535-2*([1]Parametros!$B$7+[1]Parametros!$B$9/2))*(I535-2*([1]Parametros!$B$7+[1]Parametros!$B$9/2)))^2))^2)</f>
        <v>1.8004014966216828</v>
      </c>
      <c r="BG535" s="13">
        <f>[1]Parametros!$B$6*(AJ535*1000/(H535*MIN(U535,AB535))+0.66*SQRT([1]Parametros!$B$2))</f>
        <v>3.2939603822754151</v>
      </c>
      <c r="BH535" s="13" t="str">
        <f t="shared" si="115"/>
        <v>CUMPLE</v>
      </c>
      <c r="BI535" s="13">
        <f>AX535*[1]Parametros!$B$8</f>
        <v>0</v>
      </c>
      <c r="BJ535" s="15" t="str">
        <f t="shared" si="116"/>
        <v>CUMPLE</v>
      </c>
    </row>
    <row r="536" spans="1:62" x14ac:dyDescent="0.3">
      <c r="A536" s="35" t="s">
        <v>77</v>
      </c>
      <c r="B536" s="36">
        <v>969</v>
      </c>
      <c r="C536" s="13">
        <v>1</v>
      </c>
      <c r="D536" s="13">
        <v>2.35</v>
      </c>
      <c r="E536" s="13">
        <v>2.35</v>
      </c>
      <c r="F536" s="13">
        <v>500</v>
      </c>
      <c r="G536" s="13">
        <v>550</v>
      </c>
      <c r="H536" s="13">
        <v>500</v>
      </c>
      <c r="I536" s="13">
        <v>550</v>
      </c>
      <c r="J536" s="14">
        <v>159.791</v>
      </c>
      <c r="K536" s="13">
        <v>969</v>
      </c>
      <c r="L536" s="14">
        <v>139.92400000000001</v>
      </c>
      <c r="M536" s="13">
        <v>969</v>
      </c>
      <c r="N536" s="14">
        <v>178.15899999999999</v>
      </c>
      <c r="O536" s="14">
        <v>208.916</v>
      </c>
      <c r="P536" s="13">
        <v>969</v>
      </c>
      <c r="Q536" s="14">
        <v>3.8348</v>
      </c>
      <c r="R536" s="13">
        <f>MAX(MAX(1.4/[1]Parametros!$B$3,0.25*SQRT([1]Parametros!$B$2)/[1]Parametros!$B$3)*H536*U536,(0.85*[1]Parametros!$B$2/[1]Parametros!$B$3)*(1-SQRT(1-2*(J536*1000000/([1]Parametros!$B$5*H536*U536^2))/(0.85*[1]Parametros!$B$2)))*H536*U536)</f>
        <v>892.5863019743349</v>
      </c>
      <c r="S536" s="14">
        <v>5</v>
      </c>
      <c r="T536" s="14">
        <v>1</v>
      </c>
      <c r="U536" s="13">
        <f>IF(T536=1,I536-([1]Parametros!$B$7+[1]Parametros!$B$9+[1]Parametros!$B$12/2),I536-(ROUNDUP(S536/2,0)*([1]Parametros!$B$7+[1]Parametros!$B$9+[1]Parametros!$B$12/2)+ROUNDDOWN(S536/2,0)*([1]Parametros!$B$7+[1]Parametros!$B$9+[1]Parametros!$B$12/2+[1]Parametros!$B$12+[1]Parametros!$B$10))/S536)</f>
        <v>489.35</v>
      </c>
      <c r="V536" s="13">
        <f>S536*[1]Parametros!$B$8</f>
        <v>995</v>
      </c>
      <c r="W536" s="13">
        <f>[1]Parametros!$B$5*V536*[1]Parametros!$B$3*(U536-(V536*[1]Parametros!$B$3/(0.85*[1]Parametros!$B$2*H536))/2)/1000000</f>
        <v>177.44537938235294</v>
      </c>
      <c r="X536" s="13" t="str">
        <f t="shared" si="104"/>
        <v>CUMPLE</v>
      </c>
      <c r="Y536" s="13">
        <f>MAX(MAX(1.4/[1]Parametros!$B$3,0.25*SQRT([1]Parametros!$B$2)/[1]Parametros!$B$3)*H536*AB536,(0.85*[1]Parametros!$B$2/[1]Parametros!$B$3)*(1-SQRT(1-2*(L536*1000000/([1]Parametros!$B$5*H536*AB536^2))/(0.85*[1]Parametros!$B$2)))*H536*AB536)</f>
        <v>815.58333333333326</v>
      </c>
      <c r="Z536" s="14">
        <v>5</v>
      </c>
      <c r="AA536" s="14">
        <v>1</v>
      </c>
      <c r="AB536" s="13">
        <f>IF(AA536=1,I536-([1]Parametros!$B$7+[1]Parametros!$B$9+[1]Parametros!$B$12/2),I536-(ROUNDUP(Z536/2,0)*([1]Parametros!$B$7+[1]Parametros!$B$9+[1]Parametros!$B$12/2)+ROUNDDOWN(Z536/2,0)*([1]Parametros!$B$7+[1]Parametros!$B$9+[1]Parametros!$B$12/2+[1]Parametros!$B$12+[1]Parametros!$B$10))/Z536)</f>
        <v>489.35</v>
      </c>
      <c r="AC536" s="13">
        <f>Z536*[1]Parametros!$B$8</f>
        <v>995</v>
      </c>
      <c r="AD536" s="13">
        <f>[1]Parametros!$B$5*AC536*[1]Parametros!$B$3*(AB536-(AC536*[1]Parametros!$B$3/(0.85*[1]Parametros!$B$2*H536))/2)/1000000</f>
        <v>177.44537938235294</v>
      </c>
      <c r="AE536" s="13" t="str">
        <f t="shared" si="105"/>
        <v>CUMPLE</v>
      </c>
      <c r="AF536" s="13">
        <f>V536*1.25*[1]Parametros!$B$3*(U536-(V536*1.25*[1]Parametros!$B$3/(0.85*[1]Parametros!$B$2*H536))/2)/1000000</f>
        <v>244.15884319852941</v>
      </c>
      <c r="AG536" s="13">
        <f>AC536*1.25*[1]Parametros!$B$3*(AB536-(AC536*1.25*[1]Parametros!$B$3/(0.85*[1]Parametros!$B$2*H536))/2)/1000000</f>
        <v>244.15884319852941</v>
      </c>
      <c r="AH536" s="13">
        <f t="shared" si="106"/>
        <v>385.9537601689612</v>
      </c>
      <c r="AI536" s="13">
        <f t="shared" si="107"/>
        <v>385.9537601689612</v>
      </c>
      <c r="AJ536" s="13">
        <f>0.17*SQRT([1]Parametros!$B$2)*H536*MIN(U536,AB536)/1000</f>
        <v>220.09872869180776</v>
      </c>
      <c r="AK536" s="13">
        <f>MAX(AI536/[1]Parametros!$B$6-AJ536,0)</f>
        <v>294.50628486680716</v>
      </c>
      <c r="AL536" s="13">
        <f>0.66*SQRT([1]Parametros!$B$2)*H536*MIN(U536,AB536)/1000</f>
        <v>854.500946685842</v>
      </c>
      <c r="AM536" s="13" t="str">
        <f t="shared" si="108"/>
        <v>CUMPLE</v>
      </c>
      <c r="AN536" s="13" t="s">
        <v>64</v>
      </c>
      <c r="AO536" s="14">
        <v>2</v>
      </c>
      <c r="AP536" s="13">
        <f>ROUNDDOWN(MIN(IF(BC536+BD536=0,1000000000,AO536*BB536/(BC536+BD536)),MIN(U536,AB536)/4,8*[1]Parametros!$B$12,24*BA536,300,IF(AV536=0,1000000000,2*((H536-2*([1]Parametros!$B$7+[1]Parametros!$B$9/2))+(I536-2*([1]Parametros!$B$7+[1]Parametros!$B$9/2)))/8))/10,0)*10</f>
        <v>90</v>
      </c>
      <c r="AQ536" s="13">
        <f>ROUNDDOWN(MIN(IF(BC536+BD536=0,1000000000,AO536*BB536/(BC536+BD536)),IF(AK536&gt;0.33*SQRT([1]Parametros!$B$2)*H536*MIN(U536,AB536)/1000,MIN(U536,AB536)/4,MIN(U536,AB536)/2),600,IF(AV536=0,1000000000,2*((H536-2*([1]Parametros!$B$7+[1]Parametros!$B$9/2))+(I536-2*([1]Parametros!$B$7+[1]Parametros!$B$9/2)))/8))/10,0)*10</f>
        <v>90</v>
      </c>
      <c r="AR536" s="13">
        <f>[1]Parametros!$B$6*(AJ536+MAX(BE536-BD536,0)*[1]Parametros!$B$4*MIN(U536,AB536)/1000)</f>
        <v>408.28099651885583</v>
      </c>
      <c r="AS536" s="13" t="str">
        <f t="shared" si="109"/>
        <v>CUMPLE</v>
      </c>
      <c r="AT536" s="13">
        <f>[1]Parametros!$B$6*0.083*SQRT([1]Parametros!$B$2)*(H536*I536)^2/(2*(H536+I536))/1000000</f>
        <v>11.862178757598967</v>
      </c>
      <c r="AU536" s="13" t="str">
        <f t="shared" si="110"/>
        <v>DESPRECIABLE</v>
      </c>
      <c r="AV536" s="13">
        <f>IF(Q536&lt;=AT536,0,Q536*1000000/([1]Parametros!$B$6*2*0.85*(H536-2*([1]Parametros!$B$7+[1]Parametros!$B$9/2))*(I536-2*([1]Parametros!$B$7+[1]Parametros!$B$9/2))*[1]Parametros!$B$4))</f>
        <v>0</v>
      </c>
      <c r="AW536" s="13">
        <f>AV536*2*((H536-2*([1]Parametros!$B$7+[1]Parametros!$B$9/2))+(I536-2*([1]Parametros!$B$7+[1]Parametros!$B$9/2)))*[1]Parametros!$B$4/[1]Parametros!$B$3</f>
        <v>0</v>
      </c>
      <c r="AX536" s="14">
        <v>0</v>
      </c>
      <c r="AY536" s="13" t="str">
        <f t="shared" si="111"/>
        <v>DESPRECIABLE</v>
      </c>
      <c r="AZ536" s="13" t="str">
        <f t="shared" si="112"/>
        <v>CUMPLE</v>
      </c>
      <c r="BA536" s="14">
        <v>9.5</v>
      </c>
      <c r="BB536" s="14">
        <v>71</v>
      </c>
      <c r="BC536" s="13">
        <f>MAX(IF(AK536=0,0,AK536*1000/([1]Parametros!$B$4*MIN(U536,AB536))),MAX(0.062*SQRT([1]Parametros!$B$2)*H536/[1]Parametros!$B$4,0.35*H536/[1]Parametros!$B$4))</f>
        <v>1.4329323391418507</v>
      </c>
      <c r="BD536" s="13">
        <f t="shared" si="113"/>
        <v>0</v>
      </c>
      <c r="BE536" s="13">
        <f t="shared" si="114"/>
        <v>1.5777777777777777</v>
      </c>
      <c r="BF536" s="13">
        <f>SQRT((AI536*1000/(H536*MIN(U536,AB536)))^2+(Q536*1000000*2*((H536-2*([1]Parametros!$B$7+[1]Parametros!$B$9/2))+(I536-2*([1]Parametros!$B$7+[1]Parametros!$B$9/2)))/(1.7*((H536-2*([1]Parametros!$B$7+[1]Parametros!$B$9/2))*(I536-2*([1]Parametros!$B$7+[1]Parametros!$B$9/2)))^2))^2)</f>
        <v>1.5814160709602683</v>
      </c>
      <c r="BG536" s="13">
        <f>[1]Parametros!$B$6*(AJ536*1000/(H536*MIN(U536,AB536))+0.66*SQRT([1]Parametros!$B$2))</f>
        <v>3.2939603822754151</v>
      </c>
      <c r="BH536" s="13" t="str">
        <f t="shared" si="115"/>
        <v>CUMPLE</v>
      </c>
      <c r="BI536" s="13">
        <f>AX536*[1]Parametros!$B$8</f>
        <v>0</v>
      </c>
      <c r="BJ536" s="15" t="str">
        <f t="shared" si="116"/>
        <v>CUMPLE</v>
      </c>
    </row>
    <row r="537" spans="1:62" x14ac:dyDescent="0.3">
      <c r="A537" s="35" t="s">
        <v>77</v>
      </c>
      <c r="B537" s="36">
        <v>970</v>
      </c>
      <c r="C537" s="13">
        <v>1</v>
      </c>
      <c r="D537" s="13">
        <v>2</v>
      </c>
      <c r="E537" s="13">
        <v>2</v>
      </c>
      <c r="F537" s="13">
        <v>500</v>
      </c>
      <c r="G537" s="13">
        <v>550</v>
      </c>
      <c r="H537" s="13">
        <v>500</v>
      </c>
      <c r="I537" s="13">
        <v>550</v>
      </c>
      <c r="J537" s="14">
        <v>185.46520000000001</v>
      </c>
      <c r="K537" s="13">
        <v>970</v>
      </c>
      <c r="L537" s="14">
        <v>126.4164</v>
      </c>
      <c r="M537" s="13">
        <v>970</v>
      </c>
      <c r="N537" s="14">
        <v>184.76599999999999</v>
      </c>
      <c r="O537" s="14">
        <v>214.04400000000001</v>
      </c>
      <c r="P537" s="13">
        <v>970</v>
      </c>
      <c r="Q537" s="14">
        <v>1.9395</v>
      </c>
      <c r="R537" s="13">
        <f>MAX(MAX(1.4/[1]Parametros!$B$3,0.25*SQRT([1]Parametros!$B$2)/[1]Parametros!$B$3)*H537*U537,(0.85*[1]Parametros!$B$2/[1]Parametros!$B$3)*(1-SQRT(1-2*(J537*1000000/([1]Parametros!$B$5*H537*U537^2))/(0.85*[1]Parametros!$B$2)))*H537*U537)</f>
        <v>1041.7934461123464</v>
      </c>
      <c r="S537" s="14">
        <v>6</v>
      </c>
      <c r="T537" s="14">
        <v>1</v>
      </c>
      <c r="U537" s="13">
        <f>IF(T537=1,I537-([1]Parametros!$B$7+[1]Parametros!$B$9+[1]Parametros!$B$12/2),I537-(ROUNDUP(S537/2,0)*([1]Parametros!$B$7+[1]Parametros!$B$9+[1]Parametros!$B$12/2)+ROUNDDOWN(S537/2,0)*([1]Parametros!$B$7+[1]Parametros!$B$9+[1]Parametros!$B$12/2+[1]Parametros!$B$12+[1]Parametros!$B$10))/S537)</f>
        <v>489.35</v>
      </c>
      <c r="V537" s="13">
        <f>S537*[1]Parametros!$B$8</f>
        <v>1194</v>
      </c>
      <c r="W537" s="13">
        <f>[1]Parametros!$B$5*V537*[1]Parametros!$B$3*(U537-(V537*[1]Parametros!$B$3/(0.85*[1]Parametros!$B$2*H537))/2)/1000000</f>
        <v>211.34948347058827</v>
      </c>
      <c r="X537" s="13" t="str">
        <f t="shared" si="104"/>
        <v>CUMPLE</v>
      </c>
      <c r="Y537" s="13">
        <f>MAX(MAX(1.4/[1]Parametros!$B$3,0.25*SQRT([1]Parametros!$B$2)/[1]Parametros!$B$3)*H537*AB537,(0.85*[1]Parametros!$B$2/[1]Parametros!$B$3)*(1-SQRT(1-2*(L537*1000000/([1]Parametros!$B$5*H537*AB537^2))/(0.85*[1]Parametros!$B$2)))*H537*AB537)</f>
        <v>815.58333333333326</v>
      </c>
      <c r="Z537" s="14">
        <v>5</v>
      </c>
      <c r="AA537" s="14">
        <v>1</v>
      </c>
      <c r="AB537" s="13">
        <f>IF(AA537=1,I537-([1]Parametros!$B$7+[1]Parametros!$B$9+[1]Parametros!$B$12/2),I537-(ROUNDUP(Z537/2,0)*([1]Parametros!$B$7+[1]Parametros!$B$9+[1]Parametros!$B$12/2)+ROUNDDOWN(Z537/2,0)*([1]Parametros!$B$7+[1]Parametros!$B$9+[1]Parametros!$B$12/2+[1]Parametros!$B$12+[1]Parametros!$B$10))/Z537)</f>
        <v>489.35</v>
      </c>
      <c r="AC537" s="13">
        <f>Z537*[1]Parametros!$B$8</f>
        <v>995</v>
      </c>
      <c r="AD537" s="13">
        <f>[1]Parametros!$B$5*AC537*[1]Parametros!$B$3*(AB537-(AC537*[1]Parametros!$B$3/(0.85*[1]Parametros!$B$2*H537))/2)/1000000</f>
        <v>177.44537938235294</v>
      </c>
      <c r="AE537" s="13" t="str">
        <f t="shared" si="105"/>
        <v>CUMPLE</v>
      </c>
      <c r="AF537" s="13">
        <f>V537*1.25*[1]Parametros!$B$3*(U537-(V537*1.25*[1]Parametros!$B$3/(0.85*[1]Parametros!$B$2*H537))/2)/1000000</f>
        <v>290.23892470588237</v>
      </c>
      <c r="AG537" s="13">
        <f>AC537*1.25*[1]Parametros!$B$3*(AB537-(AC537*1.25*[1]Parametros!$B$3/(0.85*[1]Parametros!$B$2*H537))/2)/1000000</f>
        <v>244.15884319852941</v>
      </c>
      <c r="AH537" s="13">
        <f t="shared" si="106"/>
        <v>451.96488395220592</v>
      </c>
      <c r="AI537" s="13">
        <f t="shared" si="107"/>
        <v>451.96488395220592</v>
      </c>
      <c r="AJ537" s="13">
        <f>0.17*SQRT([1]Parametros!$B$2)*H537*MIN(U537,AB537)/1000</f>
        <v>220.09872869180776</v>
      </c>
      <c r="AK537" s="13">
        <f>MAX(AI537/[1]Parametros!$B$6-AJ537,0)</f>
        <v>382.52111657780017</v>
      </c>
      <c r="AL537" s="13">
        <f>0.66*SQRT([1]Parametros!$B$2)*H537*MIN(U537,AB537)/1000</f>
        <v>854.500946685842</v>
      </c>
      <c r="AM537" s="13" t="str">
        <f t="shared" si="108"/>
        <v>CUMPLE</v>
      </c>
      <c r="AN537" s="13" t="s">
        <v>68</v>
      </c>
      <c r="AO537" s="14">
        <v>2</v>
      </c>
      <c r="AP537" s="13">
        <f>ROUNDDOWN(MIN(IF(BC537+BD537=0,1000000000,AO537*BB537/(BC537+BD537)),MIN(U537,AB537)/4,8*[1]Parametros!$B$12,24*BA537,300,IF(AV537=0,1000000000,2*((H537-2*([1]Parametros!$B$7+[1]Parametros!$B$9/2))+(I537-2*([1]Parametros!$B$7+[1]Parametros!$B$9/2)))/8))/10,0)*10</f>
        <v>120</v>
      </c>
      <c r="AQ537" s="13">
        <f>ROUNDDOWN(MIN(IF(BC537+BD537=0,1000000000,AO537*BB537/(BC537+BD537)),IF(AK537&gt;0.33*SQRT([1]Parametros!$B$2)*H537*MIN(U537,AB537)/1000,MIN(U537,AB537)/4,MIN(U537,AB537)/2),600,IF(AV537=0,1000000000,2*((H537-2*([1]Parametros!$B$7+[1]Parametros!$B$9/2))+(I537-2*([1]Parametros!$B$7+[1]Parametros!$B$9/2)))/8))/10,0)*10</f>
        <v>130</v>
      </c>
      <c r="AR537" s="13">
        <f>[1]Parametros!$B$6*(AJ537+MAX(BE537-BD537,0)*[1]Parametros!$B$4*MIN(U537,AB537)/1000)</f>
        <v>496.48633401885581</v>
      </c>
      <c r="AS537" s="13" t="str">
        <f t="shared" si="109"/>
        <v>CUMPLE</v>
      </c>
      <c r="AT537" s="13">
        <f>[1]Parametros!$B$6*0.083*SQRT([1]Parametros!$B$2)*(H537*I537)^2/(2*(H537+I537))/1000000</f>
        <v>11.862178757598967</v>
      </c>
      <c r="AU537" s="13" t="str">
        <f t="shared" si="110"/>
        <v>DESPRECIABLE</v>
      </c>
      <c r="AV537" s="13">
        <f>IF(Q537&lt;=AT537,0,Q537*1000000/([1]Parametros!$B$6*2*0.85*(H537-2*([1]Parametros!$B$7+[1]Parametros!$B$9/2))*(I537-2*([1]Parametros!$B$7+[1]Parametros!$B$9/2))*[1]Parametros!$B$4))</f>
        <v>0</v>
      </c>
      <c r="AW537" s="13">
        <f>AV537*2*((H537-2*([1]Parametros!$B$7+[1]Parametros!$B$9/2))+(I537-2*([1]Parametros!$B$7+[1]Parametros!$B$9/2)))*[1]Parametros!$B$4/[1]Parametros!$B$3</f>
        <v>0</v>
      </c>
      <c r="AX537" s="14">
        <v>0</v>
      </c>
      <c r="AY537" s="13" t="str">
        <f t="shared" si="111"/>
        <v>DESPRECIABLE</v>
      </c>
      <c r="AZ537" s="13" t="str">
        <f t="shared" si="112"/>
        <v>CUMPLE</v>
      </c>
      <c r="BA537" s="14">
        <v>12.7</v>
      </c>
      <c r="BB537" s="14">
        <v>129</v>
      </c>
      <c r="BC537" s="13">
        <f>MAX(IF(AK537=0,0,AK537*1000/([1]Parametros!$B$4*MIN(U537,AB537))),MAX(0.062*SQRT([1]Parametros!$B$2)*H537/[1]Parametros!$B$4,0.35*H537/[1]Parametros!$B$4))</f>
        <v>1.8611720921231769</v>
      </c>
      <c r="BD537" s="13">
        <f t="shared" si="113"/>
        <v>0</v>
      </c>
      <c r="BE537" s="13">
        <f t="shared" si="114"/>
        <v>2.15</v>
      </c>
      <c r="BF537" s="13">
        <f>SQRT((AI537*1000/(H537*MIN(U537,AB537)))^2+(Q537*1000000*2*((H537-2*([1]Parametros!$B$7+[1]Parametros!$B$9/2))+(I537-2*([1]Parametros!$B$7+[1]Parametros!$B$9/2)))/(1.7*((H537-2*([1]Parametros!$B$7+[1]Parametros!$B$9/2))*(I537-2*([1]Parametros!$B$7+[1]Parametros!$B$9/2)))^2))^2)</f>
        <v>1.8480801106139988</v>
      </c>
      <c r="BG537" s="13">
        <f>[1]Parametros!$B$6*(AJ537*1000/(H537*MIN(U537,AB537))+0.66*SQRT([1]Parametros!$B$2))</f>
        <v>3.2939603822754151</v>
      </c>
      <c r="BH537" s="13" t="str">
        <f t="shared" si="115"/>
        <v>CUMPLE</v>
      </c>
      <c r="BI537" s="13">
        <f>AX537*[1]Parametros!$B$8</f>
        <v>0</v>
      </c>
      <c r="BJ537" s="15" t="str">
        <f t="shared" si="116"/>
        <v>CUMPLE</v>
      </c>
    </row>
    <row r="538" spans="1:62" x14ac:dyDescent="0.3">
      <c r="A538" s="35" t="s">
        <v>77</v>
      </c>
      <c r="B538" s="36">
        <v>971</v>
      </c>
      <c r="C538" s="13">
        <v>1</v>
      </c>
      <c r="D538" s="13">
        <v>1.9</v>
      </c>
      <c r="E538" s="13">
        <v>1.9</v>
      </c>
      <c r="F538" s="13">
        <v>500</v>
      </c>
      <c r="G538" s="13">
        <v>550</v>
      </c>
      <c r="H538" s="13">
        <v>500</v>
      </c>
      <c r="I538" s="13">
        <v>550</v>
      </c>
      <c r="J538" s="14">
        <v>65.572800000000001</v>
      </c>
      <c r="K538" s="13">
        <v>971</v>
      </c>
      <c r="L538" s="14">
        <v>0</v>
      </c>
      <c r="M538" s="13">
        <v>971</v>
      </c>
      <c r="N538" s="14">
        <v>47.548999999999999</v>
      </c>
      <c r="O538" s="14">
        <v>60.905000000000001</v>
      </c>
      <c r="P538" s="13">
        <v>971</v>
      </c>
      <c r="Q538" s="14">
        <v>2.7400000000000001E-2</v>
      </c>
      <c r="R538" s="13">
        <f>MAX(MAX(1.4/[1]Parametros!$B$3,0.25*SQRT([1]Parametros!$B$2)/[1]Parametros!$B$3)*H538*U538,(0.85*[1]Parametros!$B$2/[1]Parametros!$B$3)*(1-SQRT(1-2*(J538*1000000/([1]Parametros!$B$5*H538*U538^2))/(0.85*[1]Parametros!$B$2)))*H538*U538)</f>
        <v>815.58333333333326</v>
      </c>
      <c r="S538" s="14">
        <v>5</v>
      </c>
      <c r="T538" s="14">
        <v>1</v>
      </c>
      <c r="U538" s="13">
        <f>IF(T538=1,I538-([1]Parametros!$B$7+[1]Parametros!$B$9+[1]Parametros!$B$12/2),I538-(ROUNDUP(S538/2,0)*([1]Parametros!$B$7+[1]Parametros!$B$9+[1]Parametros!$B$12/2)+ROUNDDOWN(S538/2,0)*([1]Parametros!$B$7+[1]Parametros!$B$9+[1]Parametros!$B$12/2+[1]Parametros!$B$12+[1]Parametros!$B$10))/S538)</f>
        <v>489.35</v>
      </c>
      <c r="V538" s="13">
        <f>S538*[1]Parametros!$B$8</f>
        <v>995</v>
      </c>
      <c r="W538" s="13">
        <f>[1]Parametros!$B$5*V538*[1]Parametros!$B$3*(U538-(V538*[1]Parametros!$B$3/(0.85*[1]Parametros!$B$2*H538))/2)/1000000</f>
        <v>177.44537938235294</v>
      </c>
      <c r="X538" s="13" t="str">
        <f t="shared" si="104"/>
        <v>CUMPLE</v>
      </c>
      <c r="Y538" s="13">
        <f>MAX(MAX(1.4/[1]Parametros!$B$3,0.25*SQRT([1]Parametros!$B$2)/[1]Parametros!$B$3)*H538*AB538,(0.85*[1]Parametros!$B$2/[1]Parametros!$B$3)*(1-SQRT(1-2*(L538*1000000/([1]Parametros!$B$5*H538*AB538^2))/(0.85*[1]Parametros!$B$2)))*H538*AB538)</f>
        <v>815.58333333333326</v>
      </c>
      <c r="Z538" s="14">
        <v>5</v>
      </c>
      <c r="AA538" s="14">
        <v>1</v>
      </c>
      <c r="AB538" s="13">
        <f>IF(AA538=1,I538-([1]Parametros!$B$7+[1]Parametros!$B$9+[1]Parametros!$B$12/2),I538-(ROUNDUP(Z538/2,0)*([1]Parametros!$B$7+[1]Parametros!$B$9+[1]Parametros!$B$12/2)+ROUNDDOWN(Z538/2,0)*([1]Parametros!$B$7+[1]Parametros!$B$9+[1]Parametros!$B$12/2+[1]Parametros!$B$12+[1]Parametros!$B$10))/Z538)</f>
        <v>489.35</v>
      </c>
      <c r="AC538" s="13">
        <f>Z538*[1]Parametros!$B$8</f>
        <v>995</v>
      </c>
      <c r="AD538" s="13">
        <f>[1]Parametros!$B$5*AC538*[1]Parametros!$B$3*(AB538-(AC538*[1]Parametros!$B$3/(0.85*[1]Parametros!$B$2*H538))/2)/1000000</f>
        <v>177.44537938235294</v>
      </c>
      <c r="AE538" s="13" t="str">
        <f t="shared" si="105"/>
        <v>CUMPLE</v>
      </c>
      <c r="AF538" s="13">
        <f>V538*1.25*[1]Parametros!$B$3*(U538-(V538*1.25*[1]Parametros!$B$3/(0.85*[1]Parametros!$B$2*H538))/2)/1000000</f>
        <v>244.15884319852941</v>
      </c>
      <c r="AG538" s="13">
        <f>AC538*1.25*[1]Parametros!$B$3*(AB538-(AC538*1.25*[1]Parametros!$B$3/(0.85*[1]Parametros!$B$2*H538))/2)/1000000</f>
        <v>244.15884319852941</v>
      </c>
      <c r="AH538" s="13">
        <f t="shared" si="106"/>
        <v>304.55830863003092</v>
      </c>
      <c r="AI538" s="13">
        <f t="shared" si="107"/>
        <v>304.55830863003092</v>
      </c>
      <c r="AJ538" s="13">
        <f>0.17*SQRT([1]Parametros!$B$2)*H538*MIN(U538,AB538)/1000</f>
        <v>220.09872869180776</v>
      </c>
      <c r="AK538" s="13">
        <f>MAX(AI538/[1]Parametros!$B$6-AJ538,0)</f>
        <v>185.97901614823348</v>
      </c>
      <c r="AL538" s="13">
        <f>0.66*SQRT([1]Parametros!$B$2)*H538*MIN(U538,AB538)/1000</f>
        <v>854.500946685842</v>
      </c>
      <c r="AM538" s="13" t="str">
        <f t="shared" si="108"/>
        <v>CUMPLE</v>
      </c>
      <c r="AN538" s="13" t="s">
        <v>64</v>
      </c>
      <c r="AO538" s="14">
        <v>2</v>
      </c>
      <c r="AP538" s="13">
        <f>ROUNDDOWN(MIN(IF(BC538+BD538=0,1000000000,AO538*BB538/(BC538+BD538)),MIN(U538,AB538)/4,8*[1]Parametros!$B$12,24*BA538,300,IF(AV538=0,1000000000,2*((H538-2*([1]Parametros!$B$7+[1]Parametros!$B$9/2))+(I538-2*([1]Parametros!$B$7+[1]Parametros!$B$9/2)))/8))/10,0)*10</f>
        <v>120</v>
      </c>
      <c r="AQ538" s="13">
        <f>ROUNDDOWN(MIN(IF(BC538+BD538=0,1000000000,AO538*BB538/(BC538+BD538)),IF(AK538&gt;0.33*SQRT([1]Parametros!$B$2)*H538*MIN(U538,AB538)/1000,MIN(U538,AB538)/4,MIN(U538,AB538)/2),600,IF(AV538=0,1000000000,2*((H538-2*([1]Parametros!$B$7+[1]Parametros!$B$9/2))+(I538-2*([1]Parametros!$B$7+[1]Parametros!$B$9/2)))/8))/10,0)*10</f>
        <v>150</v>
      </c>
      <c r="AR538" s="13">
        <f>[1]Parametros!$B$6*(AJ538+MAX(BE538-BD538,0)*[1]Parametros!$B$4*MIN(U538,AB538)/1000)</f>
        <v>347.47925901885583</v>
      </c>
      <c r="AS538" s="13" t="str">
        <f t="shared" si="109"/>
        <v>CUMPLE</v>
      </c>
      <c r="AT538" s="13">
        <f>[1]Parametros!$B$6*0.083*SQRT([1]Parametros!$B$2)*(H538*I538)^2/(2*(H538+I538))/1000000</f>
        <v>11.862178757598967</v>
      </c>
      <c r="AU538" s="13" t="str">
        <f t="shared" si="110"/>
        <v>DESPRECIABLE</v>
      </c>
      <c r="AV538" s="13">
        <f>IF(Q538&lt;=AT538,0,Q538*1000000/([1]Parametros!$B$6*2*0.85*(H538-2*([1]Parametros!$B$7+[1]Parametros!$B$9/2))*(I538-2*([1]Parametros!$B$7+[1]Parametros!$B$9/2))*[1]Parametros!$B$4))</f>
        <v>0</v>
      </c>
      <c r="AW538" s="13">
        <f>AV538*2*((H538-2*([1]Parametros!$B$7+[1]Parametros!$B$9/2))+(I538-2*([1]Parametros!$B$7+[1]Parametros!$B$9/2)))*[1]Parametros!$B$4/[1]Parametros!$B$3</f>
        <v>0</v>
      </c>
      <c r="AX538" s="14">
        <v>0</v>
      </c>
      <c r="AY538" s="13" t="str">
        <f t="shared" si="111"/>
        <v>DESPRECIABLE</v>
      </c>
      <c r="AZ538" s="13" t="str">
        <f t="shared" si="112"/>
        <v>CUMPLE</v>
      </c>
      <c r="BA538" s="14">
        <v>9.5</v>
      </c>
      <c r="BB538" s="14">
        <v>71</v>
      </c>
      <c r="BC538" s="13">
        <f>MAX(IF(AK538=0,0,AK538*1000/([1]Parametros!$B$4*MIN(U538,AB538))),MAX(0.062*SQRT([1]Parametros!$B$2)*H538/[1]Parametros!$B$4,0.35*H538/[1]Parametros!$B$4))</f>
        <v>0.90488848739208716</v>
      </c>
      <c r="BD538" s="13">
        <f t="shared" si="113"/>
        <v>0</v>
      </c>
      <c r="BE538" s="13">
        <f t="shared" si="114"/>
        <v>1.1833333333333333</v>
      </c>
      <c r="BF538" s="13">
        <f>SQRT((AI538*1000/(H538*MIN(U538,AB538)))^2+(Q538*1000000*2*((H538-2*([1]Parametros!$B$7+[1]Parametros!$B$9/2))+(I538-2*([1]Parametros!$B$7+[1]Parametros!$B$9/2)))/(1.7*((H538-2*([1]Parametros!$B$7+[1]Parametros!$B$9/2))*(I538-2*([1]Parametros!$B$7+[1]Parametros!$B$9/2)))^2))^2)</f>
        <v>1.2447465906294581</v>
      </c>
      <c r="BG538" s="13">
        <f>[1]Parametros!$B$6*(AJ538*1000/(H538*MIN(U538,AB538))+0.66*SQRT([1]Parametros!$B$2))</f>
        <v>3.2939603822754151</v>
      </c>
      <c r="BH538" s="13" t="str">
        <f t="shared" si="115"/>
        <v>CUMPLE</v>
      </c>
      <c r="BI538" s="13">
        <f>AX538*[1]Parametros!$B$8</f>
        <v>0</v>
      </c>
      <c r="BJ538" s="15" t="str">
        <f t="shared" si="116"/>
        <v>CUMPLE</v>
      </c>
    </row>
    <row r="539" spans="1:62" x14ac:dyDescent="0.3">
      <c r="A539" s="35" t="s">
        <v>77</v>
      </c>
      <c r="B539" s="36">
        <v>972</v>
      </c>
      <c r="C539" s="13">
        <v>1</v>
      </c>
      <c r="D539" s="13">
        <v>3.4</v>
      </c>
      <c r="E539" s="13">
        <v>3.4</v>
      </c>
      <c r="F539" s="13">
        <v>500</v>
      </c>
      <c r="G539" s="13">
        <v>550</v>
      </c>
      <c r="H539" s="13">
        <v>500</v>
      </c>
      <c r="I539" s="13">
        <v>550</v>
      </c>
      <c r="J539" s="14">
        <v>104.7054</v>
      </c>
      <c r="K539" s="13">
        <v>972</v>
      </c>
      <c r="L539" s="14">
        <v>37.389400000000002</v>
      </c>
      <c r="M539" s="13">
        <v>972</v>
      </c>
      <c r="N539" s="14">
        <v>82.644000000000005</v>
      </c>
      <c r="O539" s="14">
        <v>147.511</v>
      </c>
      <c r="P539" s="13">
        <v>972</v>
      </c>
      <c r="Q539" s="14">
        <v>1.0783</v>
      </c>
      <c r="R539" s="13">
        <f>MAX(MAX(1.4/[1]Parametros!$B$3,0.25*SQRT([1]Parametros!$B$2)/[1]Parametros!$B$3)*H539*U539,(0.85*[1]Parametros!$B$2/[1]Parametros!$B$3)*(1-SQRT(1-2*(J539*1000000/([1]Parametros!$B$5*H539*U539^2))/(0.85*[1]Parametros!$B$2)))*H539*U539)</f>
        <v>815.58333333333326</v>
      </c>
      <c r="S539" s="14">
        <v>5</v>
      </c>
      <c r="T539" s="14">
        <v>1</v>
      </c>
      <c r="U539" s="13">
        <f>IF(T539=1,I539-([1]Parametros!$B$7+[1]Parametros!$B$9+[1]Parametros!$B$12/2),I539-(ROUNDUP(S539/2,0)*([1]Parametros!$B$7+[1]Parametros!$B$9+[1]Parametros!$B$12/2)+ROUNDDOWN(S539/2,0)*([1]Parametros!$B$7+[1]Parametros!$B$9+[1]Parametros!$B$12/2+[1]Parametros!$B$12+[1]Parametros!$B$10))/S539)</f>
        <v>489.35</v>
      </c>
      <c r="V539" s="13">
        <f>S539*[1]Parametros!$B$8</f>
        <v>995</v>
      </c>
      <c r="W539" s="13">
        <f>[1]Parametros!$B$5*V539*[1]Parametros!$B$3*(U539-(V539*[1]Parametros!$B$3/(0.85*[1]Parametros!$B$2*H539))/2)/1000000</f>
        <v>177.44537938235294</v>
      </c>
      <c r="X539" s="13" t="str">
        <f t="shared" si="104"/>
        <v>CUMPLE</v>
      </c>
      <c r="Y539" s="13">
        <f>MAX(MAX(1.4/[1]Parametros!$B$3,0.25*SQRT([1]Parametros!$B$2)/[1]Parametros!$B$3)*H539*AB539,(0.85*[1]Parametros!$B$2/[1]Parametros!$B$3)*(1-SQRT(1-2*(L539*1000000/([1]Parametros!$B$5*H539*AB539^2))/(0.85*[1]Parametros!$B$2)))*H539*AB539)</f>
        <v>815.58333333333326</v>
      </c>
      <c r="Z539" s="14">
        <v>5</v>
      </c>
      <c r="AA539" s="14">
        <v>1</v>
      </c>
      <c r="AB539" s="13">
        <f>IF(AA539=1,I539-([1]Parametros!$B$7+[1]Parametros!$B$9+[1]Parametros!$B$12/2),I539-(ROUNDUP(Z539/2,0)*([1]Parametros!$B$7+[1]Parametros!$B$9+[1]Parametros!$B$12/2)+ROUNDDOWN(Z539/2,0)*([1]Parametros!$B$7+[1]Parametros!$B$9+[1]Parametros!$B$12/2+[1]Parametros!$B$12+[1]Parametros!$B$10))/Z539)</f>
        <v>489.35</v>
      </c>
      <c r="AC539" s="13">
        <f>Z539*[1]Parametros!$B$8</f>
        <v>995</v>
      </c>
      <c r="AD539" s="13">
        <f>[1]Parametros!$B$5*AC539*[1]Parametros!$B$3*(AB539-(AC539*[1]Parametros!$B$3/(0.85*[1]Parametros!$B$2*H539))/2)/1000000</f>
        <v>177.44537938235294</v>
      </c>
      <c r="AE539" s="13" t="str">
        <f t="shared" si="105"/>
        <v>CUMPLE</v>
      </c>
      <c r="AF539" s="13">
        <f>V539*1.25*[1]Parametros!$B$3*(U539-(V539*1.25*[1]Parametros!$B$3/(0.85*[1]Parametros!$B$2*H539))/2)/1000000</f>
        <v>244.15884319852941</v>
      </c>
      <c r="AG539" s="13">
        <f>AC539*1.25*[1]Parametros!$B$3*(AB539-(AC539*1.25*[1]Parametros!$B$3/(0.85*[1]Parametros!$B$2*H539))/2)/1000000</f>
        <v>244.15884319852941</v>
      </c>
      <c r="AH539" s="13">
        <f t="shared" si="106"/>
        <v>226.26684894031143</v>
      </c>
      <c r="AI539" s="13">
        <f t="shared" si="107"/>
        <v>226.26684894031143</v>
      </c>
      <c r="AJ539" s="13">
        <f>0.17*SQRT([1]Parametros!$B$2)*H539*MIN(U539,AB539)/1000</f>
        <v>220.09872869180776</v>
      </c>
      <c r="AK539" s="13">
        <f>MAX(AI539/[1]Parametros!$B$6-AJ539,0)</f>
        <v>81.590403228607499</v>
      </c>
      <c r="AL539" s="13">
        <f>0.66*SQRT([1]Parametros!$B$2)*H539*MIN(U539,AB539)/1000</f>
        <v>854.500946685842</v>
      </c>
      <c r="AM539" s="13" t="str">
        <f t="shared" si="108"/>
        <v>CUMPLE</v>
      </c>
      <c r="AN539" s="13" t="s">
        <v>64</v>
      </c>
      <c r="AO539" s="14">
        <v>2</v>
      </c>
      <c r="AP539" s="13">
        <f>ROUNDDOWN(MIN(IF(BC539+BD539=0,1000000000,AO539*BB539/(BC539+BD539)),MIN(U539,AB539)/4,8*[1]Parametros!$B$12,24*BA539,300,IF(AV539=0,1000000000,2*((H539-2*([1]Parametros!$B$7+[1]Parametros!$B$9/2))+(I539-2*([1]Parametros!$B$7+[1]Parametros!$B$9/2)))/8))/10,0)*10</f>
        <v>120</v>
      </c>
      <c r="AQ539" s="13">
        <f>ROUNDDOWN(MIN(IF(BC539+BD539=0,1000000000,AO539*BB539/(BC539+BD539)),IF(AK539&gt;0.33*SQRT([1]Parametros!$B$2)*H539*MIN(U539,AB539)/1000,MIN(U539,AB539)/4,MIN(U539,AB539)/2),600,IF(AV539=0,1000000000,2*((H539-2*([1]Parametros!$B$7+[1]Parametros!$B$9/2))+(I539-2*([1]Parametros!$B$7+[1]Parametros!$B$9/2)))/8))/10,0)*10</f>
        <v>240</v>
      </c>
      <c r="AR539" s="13">
        <f>[1]Parametros!$B$6*(AJ539+MAX(BE539-BD539,0)*[1]Parametros!$B$4*MIN(U539,AB539)/1000)</f>
        <v>347.47925901885583</v>
      </c>
      <c r="AS539" s="13" t="str">
        <f t="shared" si="109"/>
        <v>CUMPLE</v>
      </c>
      <c r="AT539" s="13">
        <f>[1]Parametros!$B$6*0.083*SQRT([1]Parametros!$B$2)*(H539*I539)^2/(2*(H539+I539))/1000000</f>
        <v>11.862178757598967</v>
      </c>
      <c r="AU539" s="13" t="str">
        <f t="shared" si="110"/>
        <v>DESPRECIABLE</v>
      </c>
      <c r="AV539" s="13">
        <f>IF(Q539&lt;=AT539,0,Q539*1000000/([1]Parametros!$B$6*2*0.85*(H539-2*([1]Parametros!$B$7+[1]Parametros!$B$9/2))*(I539-2*([1]Parametros!$B$7+[1]Parametros!$B$9/2))*[1]Parametros!$B$4))</f>
        <v>0</v>
      </c>
      <c r="AW539" s="13">
        <f>AV539*2*((H539-2*([1]Parametros!$B$7+[1]Parametros!$B$9/2))+(I539-2*([1]Parametros!$B$7+[1]Parametros!$B$9/2)))*[1]Parametros!$B$4/[1]Parametros!$B$3</f>
        <v>0</v>
      </c>
      <c r="AX539" s="14">
        <v>0</v>
      </c>
      <c r="AY539" s="13" t="str">
        <f t="shared" si="111"/>
        <v>DESPRECIABLE</v>
      </c>
      <c r="AZ539" s="13" t="str">
        <f t="shared" si="112"/>
        <v>CUMPLE</v>
      </c>
      <c r="BA539" s="14">
        <v>9.5</v>
      </c>
      <c r="BB539" s="14">
        <v>71</v>
      </c>
      <c r="BC539" s="13">
        <f>MAX(IF(AK539=0,0,AK539*1000/([1]Parametros!$B$4*MIN(U539,AB539))),MAX(0.062*SQRT([1]Parametros!$B$2)*H539/[1]Parametros!$B$4,0.35*H539/[1]Parametros!$B$4))</f>
        <v>0.41666666666666669</v>
      </c>
      <c r="BD539" s="13">
        <f t="shared" si="113"/>
        <v>0</v>
      </c>
      <c r="BE539" s="13">
        <f t="shared" si="114"/>
        <v>1.1833333333333333</v>
      </c>
      <c r="BF539" s="13">
        <f>SQRT((AI539*1000/(H539*MIN(U539,AB539)))^2+(Q539*1000000*2*((H539-2*([1]Parametros!$B$7+[1]Parametros!$B$9/2))+(I539-2*([1]Parametros!$B$7+[1]Parametros!$B$9/2)))/(1.7*((H539-2*([1]Parametros!$B$7+[1]Parametros!$B$9/2))*(I539-2*([1]Parametros!$B$7+[1]Parametros!$B$9/2)))^2))^2)</f>
        <v>0.92530517074632024</v>
      </c>
      <c r="BG539" s="13">
        <f>[1]Parametros!$B$6*(AJ539*1000/(H539*MIN(U539,AB539))+0.66*SQRT([1]Parametros!$B$2))</f>
        <v>3.2939603822754151</v>
      </c>
      <c r="BH539" s="13" t="str">
        <f t="shared" si="115"/>
        <v>CUMPLE</v>
      </c>
      <c r="BI539" s="13">
        <f>AX539*[1]Parametros!$B$8</f>
        <v>0</v>
      </c>
      <c r="BJ539" s="15" t="str">
        <f t="shared" si="116"/>
        <v>CUMPLE</v>
      </c>
    </row>
    <row r="540" spans="1:62" x14ac:dyDescent="0.3">
      <c r="A540" s="35" t="s">
        <v>77</v>
      </c>
      <c r="B540" s="36">
        <v>973</v>
      </c>
      <c r="C540" s="13">
        <v>1</v>
      </c>
      <c r="D540" s="13">
        <v>2.2000000000000002</v>
      </c>
      <c r="E540" s="13">
        <v>2.2000000000000002</v>
      </c>
      <c r="F540" s="13">
        <v>500</v>
      </c>
      <c r="G540" s="13">
        <v>550</v>
      </c>
      <c r="H540" s="13">
        <v>500</v>
      </c>
      <c r="I540" s="13">
        <v>550</v>
      </c>
      <c r="J540" s="14">
        <v>62.850299999999997</v>
      </c>
      <c r="K540" s="13">
        <v>973</v>
      </c>
      <c r="L540" s="14">
        <v>35.826900000000002</v>
      </c>
      <c r="M540" s="13">
        <v>973</v>
      </c>
      <c r="N540" s="14">
        <v>69.623999999999995</v>
      </c>
      <c r="O540" s="14">
        <v>98.778000000000006</v>
      </c>
      <c r="P540" s="13">
        <v>973</v>
      </c>
      <c r="Q540" s="14">
        <v>1.14E-2</v>
      </c>
      <c r="R540" s="13">
        <f>MAX(MAX(1.4/[1]Parametros!$B$3,0.25*SQRT([1]Parametros!$B$2)/[1]Parametros!$B$3)*H540*U540,(0.85*[1]Parametros!$B$2/[1]Parametros!$B$3)*(1-SQRT(1-2*(J540*1000000/([1]Parametros!$B$5*H540*U540^2))/(0.85*[1]Parametros!$B$2)))*H540*U540)</f>
        <v>815.58333333333326</v>
      </c>
      <c r="S540" s="14">
        <v>5</v>
      </c>
      <c r="T540" s="14">
        <v>1</v>
      </c>
      <c r="U540" s="13">
        <f>IF(T540=1,I540-([1]Parametros!$B$7+[1]Parametros!$B$9+[1]Parametros!$B$12/2),I540-(ROUNDUP(S540/2,0)*([1]Parametros!$B$7+[1]Parametros!$B$9+[1]Parametros!$B$12/2)+ROUNDDOWN(S540/2,0)*([1]Parametros!$B$7+[1]Parametros!$B$9+[1]Parametros!$B$12/2+[1]Parametros!$B$12+[1]Parametros!$B$10))/S540)</f>
        <v>489.35</v>
      </c>
      <c r="V540" s="13">
        <f>S540*[1]Parametros!$B$8</f>
        <v>995</v>
      </c>
      <c r="W540" s="13">
        <f>[1]Parametros!$B$5*V540*[1]Parametros!$B$3*(U540-(V540*[1]Parametros!$B$3/(0.85*[1]Parametros!$B$2*H540))/2)/1000000</f>
        <v>177.44537938235294</v>
      </c>
      <c r="X540" s="13" t="str">
        <f t="shared" si="104"/>
        <v>CUMPLE</v>
      </c>
      <c r="Y540" s="13">
        <f>MAX(MAX(1.4/[1]Parametros!$B$3,0.25*SQRT([1]Parametros!$B$2)/[1]Parametros!$B$3)*H540*AB540,(0.85*[1]Parametros!$B$2/[1]Parametros!$B$3)*(1-SQRT(1-2*(L540*1000000/([1]Parametros!$B$5*H540*AB540^2))/(0.85*[1]Parametros!$B$2)))*H540*AB540)</f>
        <v>815.58333333333326</v>
      </c>
      <c r="Z540" s="14">
        <v>5</v>
      </c>
      <c r="AA540" s="14">
        <v>1</v>
      </c>
      <c r="AB540" s="13">
        <f>IF(AA540=1,I540-([1]Parametros!$B$7+[1]Parametros!$B$9+[1]Parametros!$B$12/2),I540-(ROUNDUP(Z540/2,0)*([1]Parametros!$B$7+[1]Parametros!$B$9+[1]Parametros!$B$12/2)+ROUNDDOWN(Z540/2,0)*([1]Parametros!$B$7+[1]Parametros!$B$9+[1]Parametros!$B$12/2+[1]Parametros!$B$12+[1]Parametros!$B$10))/Z540)</f>
        <v>489.35</v>
      </c>
      <c r="AC540" s="13">
        <f>Z540*[1]Parametros!$B$8</f>
        <v>995</v>
      </c>
      <c r="AD540" s="13">
        <f>[1]Parametros!$B$5*AC540*[1]Parametros!$B$3*(AB540-(AC540*[1]Parametros!$B$3/(0.85*[1]Parametros!$B$2*H540))/2)/1000000</f>
        <v>177.44537938235294</v>
      </c>
      <c r="AE540" s="13" t="str">
        <f t="shared" si="105"/>
        <v>CUMPLE</v>
      </c>
      <c r="AF540" s="13">
        <f>V540*1.25*[1]Parametros!$B$3*(U540-(V540*1.25*[1]Parametros!$B$3/(0.85*[1]Parametros!$B$2*H540))/2)/1000000</f>
        <v>244.15884319852941</v>
      </c>
      <c r="AG540" s="13">
        <f>AC540*1.25*[1]Parametros!$B$3*(AB540-(AC540*1.25*[1]Parametros!$B$3/(0.85*[1]Parametros!$B$2*H540))/2)/1000000</f>
        <v>244.15884319852941</v>
      </c>
      <c r="AH540" s="13">
        <f t="shared" si="106"/>
        <v>291.58658472593584</v>
      </c>
      <c r="AI540" s="13">
        <f t="shared" si="107"/>
        <v>291.58658472593584</v>
      </c>
      <c r="AJ540" s="13">
        <f>0.17*SQRT([1]Parametros!$B$2)*H540*MIN(U540,AB540)/1000</f>
        <v>220.09872869180776</v>
      </c>
      <c r="AK540" s="13">
        <f>MAX(AI540/[1]Parametros!$B$6-AJ540,0)</f>
        <v>168.68338427610666</v>
      </c>
      <c r="AL540" s="13">
        <f>0.66*SQRT([1]Parametros!$B$2)*H540*MIN(U540,AB540)/1000</f>
        <v>854.500946685842</v>
      </c>
      <c r="AM540" s="13" t="str">
        <f t="shared" si="108"/>
        <v>CUMPLE</v>
      </c>
      <c r="AN540" s="13" t="s">
        <v>64</v>
      </c>
      <c r="AO540" s="14">
        <v>2</v>
      </c>
      <c r="AP540" s="13">
        <f>ROUNDDOWN(MIN(IF(BC540+BD540=0,1000000000,AO540*BB540/(BC540+BD540)),MIN(U540,AB540)/4,8*[1]Parametros!$B$12,24*BA540,300,IF(AV540=0,1000000000,2*((H540-2*([1]Parametros!$B$7+[1]Parametros!$B$9/2))+(I540-2*([1]Parametros!$B$7+[1]Parametros!$B$9/2)))/8))/10,0)*10</f>
        <v>120</v>
      </c>
      <c r="AQ540" s="13">
        <f>ROUNDDOWN(MIN(IF(BC540+BD540=0,1000000000,AO540*BB540/(BC540+BD540)),IF(AK540&gt;0.33*SQRT([1]Parametros!$B$2)*H540*MIN(U540,AB540)/1000,MIN(U540,AB540)/4,MIN(U540,AB540)/2),600,IF(AV540=0,1000000000,2*((H540-2*([1]Parametros!$B$7+[1]Parametros!$B$9/2))+(I540-2*([1]Parametros!$B$7+[1]Parametros!$B$9/2)))/8))/10,0)*10</f>
        <v>170</v>
      </c>
      <c r="AR540" s="13">
        <f>[1]Parametros!$B$6*(AJ540+MAX(BE540-BD540,0)*[1]Parametros!$B$4*MIN(U540,AB540)/1000)</f>
        <v>347.47925901885583</v>
      </c>
      <c r="AS540" s="13" t="str">
        <f t="shared" si="109"/>
        <v>CUMPLE</v>
      </c>
      <c r="AT540" s="13">
        <f>[1]Parametros!$B$6*0.083*SQRT([1]Parametros!$B$2)*(H540*I540)^2/(2*(H540+I540))/1000000</f>
        <v>11.862178757598967</v>
      </c>
      <c r="AU540" s="13" t="str">
        <f t="shared" si="110"/>
        <v>DESPRECIABLE</v>
      </c>
      <c r="AV540" s="13">
        <f>IF(Q540&lt;=AT540,0,Q540*1000000/([1]Parametros!$B$6*2*0.85*(H540-2*([1]Parametros!$B$7+[1]Parametros!$B$9/2))*(I540-2*([1]Parametros!$B$7+[1]Parametros!$B$9/2))*[1]Parametros!$B$4))</f>
        <v>0</v>
      </c>
      <c r="AW540" s="13">
        <f>AV540*2*((H540-2*([1]Parametros!$B$7+[1]Parametros!$B$9/2))+(I540-2*([1]Parametros!$B$7+[1]Parametros!$B$9/2)))*[1]Parametros!$B$4/[1]Parametros!$B$3</f>
        <v>0</v>
      </c>
      <c r="AX540" s="14">
        <v>0</v>
      </c>
      <c r="AY540" s="13" t="str">
        <f t="shared" si="111"/>
        <v>DESPRECIABLE</v>
      </c>
      <c r="AZ540" s="13" t="str">
        <f t="shared" si="112"/>
        <v>CUMPLE</v>
      </c>
      <c r="BA540" s="14">
        <v>9.5</v>
      </c>
      <c r="BB540" s="14">
        <v>71</v>
      </c>
      <c r="BC540" s="13">
        <f>MAX(IF(AK540=0,0,AK540*1000/([1]Parametros!$B$4*MIN(U540,AB540))),MAX(0.062*SQRT([1]Parametros!$B$2)*H540/[1]Parametros!$B$4,0.35*H540/[1]Parametros!$B$4))</f>
        <v>0.82073588519321872</v>
      </c>
      <c r="BD540" s="13">
        <f t="shared" si="113"/>
        <v>0</v>
      </c>
      <c r="BE540" s="13">
        <f t="shared" si="114"/>
        <v>1.1833333333333333</v>
      </c>
      <c r="BF540" s="13">
        <f>SQRT((AI540*1000/(H540*MIN(U540,AB540)))^2+(Q540*1000000*2*((H540-2*([1]Parametros!$B$7+[1]Parametros!$B$9/2))+(I540-2*([1]Parametros!$B$7+[1]Parametros!$B$9/2)))/(1.7*((H540-2*([1]Parametros!$B$7+[1]Parametros!$B$9/2))*(I540-2*([1]Parametros!$B$7+[1]Parametros!$B$9/2)))^2))^2)</f>
        <v>1.1917302388671882</v>
      </c>
      <c r="BG540" s="13">
        <f>[1]Parametros!$B$6*(AJ540*1000/(H540*MIN(U540,AB540))+0.66*SQRT([1]Parametros!$B$2))</f>
        <v>3.2939603822754151</v>
      </c>
      <c r="BH540" s="13" t="str">
        <f t="shared" si="115"/>
        <v>CUMPLE</v>
      </c>
      <c r="BI540" s="13">
        <f>AX540*[1]Parametros!$B$8</f>
        <v>0</v>
      </c>
      <c r="BJ540" s="15" t="str">
        <f t="shared" si="116"/>
        <v>CUMPLE</v>
      </c>
    </row>
    <row r="541" spans="1:62" x14ac:dyDescent="0.3">
      <c r="A541" s="35" t="s">
        <v>77</v>
      </c>
      <c r="B541" s="36">
        <v>974</v>
      </c>
      <c r="C541" s="13">
        <v>1</v>
      </c>
      <c r="D541" s="13">
        <v>2.1</v>
      </c>
      <c r="E541" s="13">
        <v>2.1</v>
      </c>
      <c r="F541" s="13">
        <v>500</v>
      </c>
      <c r="G541" s="13">
        <v>550</v>
      </c>
      <c r="H541" s="13">
        <v>500</v>
      </c>
      <c r="I541" s="13">
        <v>550</v>
      </c>
      <c r="J541" s="14">
        <v>62.807499999999997</v>
      </c>
      <c r="K541" s="13">
        <v>974</v>
      </c>
      <c r="L541" s="14">
        <v>34.919199999999996</v>
      </c>
      <c r="M541" s="13">
        <v>974</v>
      </c>
      <c r="N541" s="14">
        <v>69.33</v>
      </c>
      <c r="O541" s="14">
        <v>98.456000000000003</v>
      </c>
      <c r="P541" s="13">
        <v>974</v>
      </c>
      <c r="Q541" s="14">
        <v>1.14E-2</v>
      </c>
      <c r="R541" s="13">
        <f>MAX(MAX(1.4/[1]Parametros!$B$3,0.25*SQRT([1]Parametros!$B$2)/[1]Parametros!$B$3)*H541*U541,(0.85*[1]Parametros!$B$2/[1]Parametros!$B$3)*(1-SQRT(1-2*(J541*1000000/([1]Parametros!$B$5*H541*U541^2))/(0.85*[1]Parametros!$B$2)))*H541*U541)</f>
        <v>815.58333333333326</v>
      </c>
      <c r="S541" s="14">
        <v>5</v>
      </c>
      <c r="T541" s="14">
        <v>1</v>
      </c>
      <c r="U541" s="13">
        <f>IF(T541=1,I541-([1]Parametros!$B$7+[1]Parametros!$B$9+[1]Parametros!$B$12/2),I541-(ROUNDUP(S541/2,0)*([1]Parametros!$B$7+[1]Parametros!$B$9+[1]Parametros!$B$12/2)+ROUNDDOWN(S541/2,0)*([1]Parametros!$B$7+[1]Parametros!$B$9+[1]Parametros!$B$12/2+[1]Parametros!$B$12+[1]Parametros!$B$10))/S541)</f>
        <v>489.35</v>
      </c>
      <c r="V541" s="13">
        <f>S541*[1]Parametros!$B$8</f>
        <v>995</v>
      </c>
      <c r="W541" s="13">
        <f>[1]Parametros!$B$5*V541*[1]Parametros!$B$3*(U541-(V541*[1]Parametros!$B$3/(0.85*[1]Parametros!$B$2*H541))/2)/1000000</f>
        <v>177.44537938235294</v>
      </c>
      <c r="X541" s="13" t="str">
        <f t="shared" si="104"/>
        <v>CUMPLE</v>
      </c>
      <c r="Y541" s="13">
        <f>MAX(MAX(1.4/[1]Parametros!$B$3,0.25*SQRT([1]Parametros!$B$2)/[1]Parametros!$B$3)*H541*AB541,(0.85*[1]Parametros!$B$2/[1]Parametros!$B$3)*(1-SQRT(1-2*(L541*1000000/([1]Parametros!$B$5*H541*AB541^2))/(0.85*[1]Parametros!$B$2)))*H541*AB541)</f>
        <v>815.58333333333326</v>
      </c>
      <c r="Z541" s="14">
        <v>5</v>
      </c>
      <c r="AA541" s="14">
        <v>1</v>
      </c>
      <c r="AB541" s="13">
        <f>IF(AA541=1,I541-([1]Parametros!$B$7+[1]Parametros!$B$9+[1]Parametros!$B$12/2),I541-(ROUNDUP(Z541/2,0)*([1]Parametros!$B$7+[1]Parametros!$B$9+[1]Parametros!$B$12/2)+ROUNDDOWN(Z541/2,0)*([1]Parametros!$B$7+[1]Parametros!$B$9+[1]Parametros!$B$12/2+[1]Parametros!$B$12+[1]Parametros!$B$10))/Z541)</f>
        <v>489.35</v>
      </c>
      <c r="AC541" s="13">
        <f>Z541*[1]Parametros!$B$8</f>
        <v>995</v>
      </c>
      <c r="AD541" s="13">
        <f>[1]Parametros!$B$5*AC541*[1]Parametros!$B$3*(AB541-(AC541*[1]Parametros!$B$3/(0.85*[1]Parametros!$B$2*H541))/2)/1000000</f>
        <v>177.44537938235294</v>
      </c>
      <c r="AE541" s="13" t="str">
        <f t="shared" si="105"/>
        <v>CUMPLE</v>
      </c>
      <c r="AF541" s="13">
        <f>V541*1.25*[1]Parametros!$B$3*(U541-(V541*1.25*[1]Parametros!$B$3/(0.85*[1]Parametros!$B$2*H541))/2)/1000000</f>
        <v>244.15884319852941</v>
      </c>
      <c r="AG541" s="13">
        <f>AC541*1.25*[1]Parametros!$B$3*(AB541-(AC541*1.25*[1]Parametros!$B$3/(0.85*[1]Parametros!$B$2*H541))/2)/1000000</f>
        <v>244.15884319852941</v>
      </c>
      <c r="AH541" s="13">
        <f t="shared" si="106"/>
        <v>301.86223161764707</v>
      </c>
      <c r="AI541" s="13">
        <f t="shared" si="107"/>
        <v>301.86223161764707</v>
      </c>
      <c r="AJ541" s="13">
        <f>0.17*SQRT([1]Parametros!$B$2)*H541*MIN(U541,AB541)/1000</f>
        <v>220.09872869180776</v>
      </c>
      <c r="AK541" s="13">
        <f>MAX(AI541/[1]Parametros!$B$6-AJ541,0)</f>
        <v>182.38424679838835</v>
      </c>
      <c r="AL541" s="13">
        <f>0.66*SQRT([1]Parametros!$B$2)*H541*MIN(U541,AB541)/1000</f>
        <v>854.500946685842</v>
      </c>
      <c r="AM541" s="13" t="str">
        <f t="shared" si="108"/>
        <v>CUMPLE</v>
      </c>
      <c r="AN541" s="13" t="s">
        <v>64</v>
      </c>
      <c r="AO541" s="14">
        <v>2</v>
      </c>
      <c r="AP541" s="13">
        <f>ROUNDDOWN(MIN(IF(BC541+BD541=0,1000000000,AO541*BB541/(BC541+BD541)),MIN(U541,AB541)/4,8*[1]Parametros!$B$12,24*BA541,300,IF(AV541=0,1000000000,2*((H541-2*([1]Parametros!$B$7+[1]Parametros!$B$9/2))+(I541-2*([1]Parametros!$B$7+[1]Parametros!$B$9/2)))/8))/10,0)*10</f>
        <v>120</v>
      </c>
      <c r="AQ541" s="13">
        <f>ROUNDDOWN(MIN(IF(BC541+BD541=0,1000000000,AO541*BB541/(BC541+BD541)),IF(AK541&gt;0.33*SQRT([1]Parametros!$B$2)*H541*MIN(U541,AB541)/1000,MIN(U541,AB541)/4,MIN(U541,AB541)/2),600,IF(AV541=0,1000000000,2*((H541-2*([1]Parametros!$B$7+[1]Parametros!$B$9/2))+(I541-2*([1]Parametros!$B$7+[1]Parametros!$B$9/2)))/8))/10,0)*10</f>
        <v>160</v>
      </c>
      <c r="AR541" s="13">
        <f>[1]Parametros!$B$6*(AJ541+MAX(BE541-BD541,0)*[1]Parametros!$B$4*MIN(U541,AB541)/1000)</f>
        <v>347.47925901885583</v>
      </c>
      <c r="AS541" s="13" t="str">
        <f t="shared" si="109"/>
        <v>CUMPLE</v>
      </c>
      <c r="AT541" s="13">
        <f>[1]Parametros!$B$6*0.083*SQRT([1]Parametros!$B$2)*(H541*I541)^2/(2*(H541+I541))/1000000</f>
        <v>11.862178757598967</v>
      </c>
      <c r="AU541" s="13" t="str">
        <f t="shared" si="110"/>
        <v>DESPRECIABLE</v>
      </c>
      <c r="AV541" s="13">
        <f>IF(Q541&lt;=AT541,0,Q541*1000000/([1]Parametros!$B$6*2*0.85*(H541-2*([1]Parametros!$B$7+[1]Parametros!$B$9/2))*(I541-2*([1]Parametros!$B$7+[1]Parametros!$B$9/2))*[1]Parametros!$B$4))</f>
        <v>0</v>
      </c>
      <c r="AW541" s="13">
        <f>AV541*2*((H541-2*([1]Parametros!$B$7+[1]Parametros!$B$9/2))+(I541-2*([1]Parametros!$B$7+[1]Parametros!$B$9/2)))*[1]Parametros!$B$4/[1]Parametros!$B$3</f>
        <v>0</v>
      </c>
      <c r="AX541" s="14">
        <v>0</v>
      </c>
      <c r="AY541" s="13" t="str">
        <f t="shared" si="111"/>
        <v>DESPRECIABLE</v>
      </c>
      <c r="AZ541" s="13" t="str">
        <f t="shared" si="112"/>
        <v>CUMPLE</v>
      </c>
      <c r="BA541" s="14">
        <v>9.5</v>
      </c>
      <c r="BB541" s="14">
        <v>71</v>
      </c>
      <c r="BC541" s="13">
        <f>MAX(IF(AK541=0,0,AK541*1000/([1]Parametros!$B$4*MIN(U541,AB541))),MAX(0.062*SQRT([1]Parametros!$B$2)*H541/[1]Parametros!$B$4,0.35*H541/[1]Parametros!$B$4))</f>
        <v>0.88739799052381607</v>
      </c>
      <c r="BD541" s="13">
        <f t="shared" si="113"/>
        <v>0</v>
      </c>
      <c r="BE541" s="13">
        <f t="shared" si="114"/>
        <v>1.1833333333333333</v>
      </c>
      <c r="BF541" s="13">
        <f>SQRT((AI541*1000/(H541*MIN(U541,AB541)))^2+(Q541*1000000*2*((H541-2*([1]Parametros!$B$7+[1]Parametros!$B$9/2))+(I541-2*([1]Parametros!$B$7+[1]Parametros!$B$9/2)))/(1.7*((H541-2*([1]Parametros!$B$7+[1]Parametros!$B$9/2))*(I541-2*([1]Parametros!$B$7+[1]Parametros!$B$9/2)))^2))^2)</f>
        <v>1.233727363629834</v>
      </c>
      <c r="BG541" s="13">
        <f>[1]Parametros!$B$6*(AJ541*1000/(H541*MIN(U541,AB541))+0.66*SQRT([1]Parametros!$B$2))</f>
        <v>3.2939603822754151</v>
      </c>
      <c r="BH541" s="13" t="str">
        <f t="shared" si="115"/>
        <v>CUMPLE</v>
      </c>
      <c r="BI541" s="13">
        <f>AX541*[1]Parametros!$B$8</f>
        <v>0</v>
      </c>
      <c r="BJ541" s="15" t="str">
        <f t="shared" si="116"/>
        <v>CUMPLE</v>
      </c>
    </row>
    <row r="542" spans="1:62" x14ac:dyDescent="0.3">
      <c r="A542" s="35" t="s">
        <v>77</v>
      </c>
      <c r="B542" s="36">
        <v>975</v>
      </c>
      <c r="C542" s="13">
        <v>1</v>
      </c>
      <c r="D542" s="13">
        <v>3.4</v>
      </c>
      <c r="E542" s="13">
        <v>3.4</v>
      </c>
      <c r="F542" s="13">
        <v>500</v>
      </c>
      <c r="G542" s="13">
        <v>550</v>
      </c>
      <c r="H542" s="13">
        <v>500</v>
      </c>
      <c r="I542" s="13">
        <v>550</v>
      </c>
      <c r="J542" s="14">
        <v>104.7842</v>
      </c>
      <c r="K542" s="13">
        <v>975</v>
      </c>
      <c r="L542" s="14">
        <v>37.476199999999999</v>
      </c>
      <c r="M542" s="13">
        <v>975</v>
      </c>
      <c r="N542" s="14">
        <v>82.691000000000003</v>
      </c>
      <c r="O542" s="14">
        <v>147.66300000000001</v>
      </c>
      <c r="P542" s="13">
        <v>975</v>
      </c>
      <c r="Q542" s="14">
        <v>1.0904</v>
      </c>
      <c r="R542" s="13">
        <f>MAX(MAX(1.4/[1]Parametros!$B$3,0.25*SQRT([1]Parametros!$B$2)/[1]Parametros!$B$3)*H542*U542,(0.85*[1]Parametros!$B$2/[1]Parametros!$B$3)*(1-SQRT(1-2*(J542*1000000/([1]Parametros!$B$5*H542*U542^2))/(0.85*[1]Parametros!$B$2)))*H542*U542)</f>
        <v>815.58333333333326</v>
      </c>
      <c r="S542" s="14">
        <v>5</v>
      </c>
      <c r="T542" s="14">
        <v>1</v>
      </c>
      <c r="U542" s="13">
        <f>IF(T542=1,I542-([1]Parametros!$B$7+[1]Parametros!$B$9+[1]Parametros!$B$12/2),I542-(ROUNDUP(S542/2,0)*([1]Parametros!$B$7+[1]Parametros!$B$9+[1]Parametros!$B$12/2)+ROUNDDOWN(S542/2,0)*([1]Parametros!$B$7+[1]Parametros!$B$9+[1]Parametros!$B$12/2+[1]Parametros!$B$12+[1]Parametros!$B$10))/S542)</f>
        <v>489.35</v>
      </c>
      <c r="V542" s="13">
        <f>S542*[1]Parametros!$B$8</f>
        <v>995</v>
      </c>
      <c r="W542" s="13">
        <f>[1]Parametros!$B$5*V542*[1]Parametros!$B$3*(U542-(V542*[1]Parametros!$B$3/(0.85*[1]Parametros!$B$2*H542))/2)/1000000</f>
        <v>177.44537938235294</v>
      </c>
      <c r="X542" s="13" t="str">
        <f t="shared" si="104"/>
        <v>CUMPLE</v>
      </c>
      <c r="Y542" s="13">
        <f>MAX(MAX(1.4/[1]Parametros!$B$3,0.25*SQRT([1]Parametros!$B$2)/[1]Parametros!$B$3)*H542*AB542,(0.85*[1]Parametros!$B$2/[1]Parametros!$B$3)*(1-SQRT(1-2*(L542*1000000/([1]Parametros!$B$5*H542*AB542^2))/(0.85*[1]Parametros!$B$2)))*H542*AB542)</f>
        <v>815.58333333333326</v>
      </c>
      <c r="Z542" s="14">
        <v>5</v>
      </c>
      <c r="AA542" s="14">
        <v>1</v>
      </c>
      <c r="AB542" s="13">
        <f>IF(AA542=1,I542-([1]Parametros!$B$7+[1]Parametros!$B$9+[1]Parametros!$B$12/2),I542-(ROUNDUP(Z542/2,0)*([1]Parametros!$B$7+[1]Parametros!$B$9+[1]Parametros!$B$12/2)+ROUNDDOWN(Z542/2,0)*([1]Parametros!$B$7+[1]Parametros!$B$9+[1]Parametros!$B$12/2+[1]Parametros!$B$12+[1]Parametros!$B$10))/Z542)</f>
        <v>489.35</v>
      </c>
      <c r="AC542" s="13">
        <f>Z542*[1]Parametros!$B$8</f>
        <v>995</v>
      </c>
      <c r="AD542" s="13">
        <f>[1]Parametros!$B$5*AC542*[1]Parametros!$B$3*(AB542-(AC542*[1]Parametros!$B$3/(0.85*[1]Parametros!$B$2*H542))/2)/1000000</f>
        <v>177.44537938235294</v>
      </c>
      <c r="AE542" s="13" t="str">
        <f t="shared" si="105"/>
        <v>CUMPLE</v>
      </c>
      <c r="AF542" s="13">
        <f>V542*1.25*[1]Parametros!$B$3*(U542-(V542*1.25*[1]Parametros!$B$3/(0.85*[1]Parametros!$B$2*H542))/2)/1000000</f>
        <v>244.15884319852941</v>
      </c>
      <c r="AG542" s="13">
        <f>AC542*1.25*[1]Parametros!$B$3*(AB542-(AC542*1.25*[1]Parametros!$B$3/(0.85*[1]Parametros!$B$2*H542))/2)/1000000</f>
        <v>244.15884319852941</v>
      </c>
      <c r="AH542" s="13">
        <f t="shared" si="106"/>
        <v>226.31384894031143</v>
      </c>
      <c r="AI542" s="13">
        <f t="shared" si="107"/>
        <v>226.31384894031143</v>
      </c>
      <c r="AJ542" s="13">
        <f>0.17*SQRT([1]Parametros!$B$2)*H542*MIN(U542,AB542)/1000</f>
        <v>220.09872869180776</v>
      </c>
      <c r="AK542" s="13">
        <f>MAX(AI542/[1]Parametros!$B$6-AJ542,0)</f>
        <v>81.653069895274143</v>
      </c>
      <c r="AL542" s="13">
        <f>0.66*SQRT([1]Parametros!$B$2)*H542*MIN(U542,AB542)/1000</f>
        <v>854.500946685842</v>
      </c>
      <c r="AM542" s="13" t="str">
        <f t="shared" si="108"/>
        <v>CUMPLE</v>
      </c>
      <c r="AN542" s="13" t="s">
        <v>64</v>
      </c>
      <c r="AO542" s="14">
        <v>2</v>
      </c>
      <c r="AP542" s="13">
        <f>ROUNDDOWN(MIN(IF(BC542+BD542=0,1000000000,AO542*BB542/(BC542+BD542)),MIN(U542,AB542)/4,8*[1]Parametros!$B$12,24*BA542,300,IF(AV542=0,1000000000,2*((H542-2*([1]Parametros!$B$7+[1]Parametros!$B$9/2))+(I542-2*([1]Parametros!$B$7+[1]Parametros!$B$9/2)))/8))/10,0)*10</f>
        <v>120</v>
      </c>
      <c r="AQ542" s="13">
        <f>ROUNDDOWN(MIN(IF(BC542+BD542=0,1000000000,AO542*BB542/(BC542+BD542)),IF(AK542&gt;0.33*SQRT([1]Parametros!$B$2)*H542*MIN(U542,AB542)/1000,MIN(U542,AB542)/4,MIN(U542,AB542)/2),600,IF(AV542=0,1000000000,2*((H542-2*([1]Parametros!$B$7+[1]Parametros!$B$9/2))+(I542-2*([1]Parametros!$B$7+[1]Parametros!$B$9/2)))/8))/10,0)*10</f>
        <v>240</v>
      </c>
      <c r="AR542" s="13">
        <f>[1]Parametros!$B$6*(AJ542+MAX(BE542-BD542,0)*[1]Parametros!$B$4*MIN(U542,AB542)/1000)</f>
        <v>347.47925901885583</v>
      </c>
      <c r="AS542" s="13" t="str">
        <f t="shared" si="109"/>
        <v>CUMPLE</v>
      </c>
      <c r="AT542" s="13">
        <f>[1]Parametros!$B$6*0.083*SQRT([1]Parametros!$B$2)*(H542*I542)^2/(2*(H542+I542))/1000000</f>
        <v>11.862178757598967</v>
      </c>
      <c r="AU542" s="13" t="str">
        <f t="shared" si="110"/>
        <v>DESPRECIABLE</v>
      </c>
      <c r="AV542" s="13">
        <f>IF(Q542&lt;=AT542,0,Q542*1000000/([1]Parametros!$B$6*2*0.85*(H542-2*([1]Parametros!$B$7+[1]Parametros!$B$9/2))*(I542-2*([1]Parametros!$B$7+[1]Parametros!$B$9/2))*[1]Parametros!$B$4))</f>
        <v>0</v>
      </c>
      <c r="AW542" s="13">
        <f>AV542*2*((H542-2*([1]Parametros!$B$7+[1]Parametros!$B$9/2))+(I542-2*([1]Parametros!$B$7+[1]Parametros!$B$9/2)))*[1]Parametros!$B$4/[1]Parametros!$B$3</f>
        <v>0</v>
      </c>
      <c r="AX542" s="14">
        <v>0</v>
      </c>
      <c r="AY542" s="13" t="str">
        <f t="shared" si="111"/>
        <v>DESPRECIABLE</v>
      </c>
      <c r="AZ542" s="13" t="str">
        <f t="shared" si="112"/>
        <v>CUMPLE</v>
      </c>
      <c r="BA542" s="14">
        <v>9.5</v>
      </c>
      <c r="BB542" s="14">
        <v>71</v>
      </c>
      <c r="BC542" s="13">
        <f>MAX(IF(AK542=0,0,AK542*1000/([1]Parametros!$B$4*MIN(U542,AB542))),MAX(0.062*SQRT([1]Parametros!$B$2)*H542/[1]Parametros!$B$4,0.35*H542/[1]Parametros!$B$4))</f>
        <v>0.41666666666666669</v>
      </c>
      <c r="BD542" s="13">
        <f t="shared" si="113"/>
        <v>0</v>
      </c>
      <c r="BE542" s="13">
        <f t="shared" si="114"/>
        <v>1.1833333333333333</v>
      </c>
      <c r="BF542" s="13">
        <f>SQRT((AI542*1000/(H542*MIN(U542,AB542)))^2+(Q542*1000000*2*((H542-2*([1]Parametros!$B$7+[1]Parametros!$B$9/2))+(I542-2*([1]Parametros!$B$7+[1]Parametros!$B$9/2)))/(1.7*((H542-2*([1]Parametros!$B$7+[1]Parametros!$B$9/2))*(I542-2*([1]Parametros!$B$7+[1]Parametros!$B$9/2)))^2))^2)</f>
        <v>0.925509337445932</v>
      </c>
      <c r="BG542" s="13">
        <f>[1]Parametros!$B$6*(AJ542*1000/(H542*MIN(U542,AB542))+0.66*SQRT([1]Parametros!$B$2))</f>
        <v>3.2939603822754151</v>
      </c>
      <c r="BH542" s="13" t="str">
        <f t="shared" si="115"/>
        <v>CUMPLE</v>
      </c>
      <c r="BI542" s="13">
        <f>AX542*[1]Parametros!$B$8</f>
        <v>0</v>
      </c>
      <c r="BJ542" s="15" t="str">
        <f t="shared" si="116"/>
        <v>CUMPLE</v>
      </c>
    </row>
    <row r="543" spans="1:62" x14ac:dyDescent="0.3">
      <c r="A543" s="35" t="s">
        <v>77</v>
      </c>
      <c r="B543" s="36">
        <v>976</v>
      </c>
      <c r="C543" s="13">
        <v>1</v>
      </c>
      <c r="D543" s="13">
        <v>1.9</v>
      </c>
      <c r="E543" s="13">
        <v>1.9</v>
      </c>
      <c r="F543" s="13">
        <v>500</v>
      </c>
      <c r="G543" s="13">
        <v>550</v>
      </c>
      <c r="H543" s="13">
        <v>500</v>
      </c>
      <c r="I543" s="13">
        <v>550</v>
      </c>
      <c r="J543" s="14">
        <v>65.607500000000002</v>
      </c>
      <c r="K543" s="13">
        <v>976</v>
      </c>
      <c r="L543" s="14">
        <v>0</v>
      </c>
      <c r="M543" s="13">
        <v>976</v>
      </c>
      <c r="N543" s="14">
        <v>47.603999999999999</v>
      </c>
      <c r="O543" s="14">
        <v>60.905000000000001</v>
      </c>
      <c r="P543" s="13">
        <v>976</v>
      </c>
      <c r="Q543" s="14">
        <v>3.27E-2</v>
      </c>
      <c r="R543" s="13">
        <f>MAX(MAX(1.4/[1]Parametros!$B$3,0.25*SQRT([1]Parametros!$B$2)/[1]Parametros!$B$3)*H543*U543,(0.85*[1]Parametros!$B$2/[1]Parametros!$B$3)*(1-SQRT(1-2*(J543*1000000/([1]Parametros!$B$5*H543*U543^2))/(0.85*[1]Parametros!$B$2)))*H543*U543)</f>
        <v>815.58333333333326</v>
      </c>
      <c r="S543" s="14">
        <v>5</v>
      </c>
      <c r="T543" s="14">
        <v>1</v>
      </c>
      <c r="U543" s="13">
        <f>IF(T543=1,I543-([1]Parametros!$B$7+[1]Parametros!$B$9+[1]Parametros!$B$12/2),I543-(ROUNDUP(S543/2,0)*([1]Parametros!$B$7+[1]Parametros!$B$9+[1]Parametros!$B$12/2)+ROUNDDOWN(S543/2,0)*([1]Parametros!$B$7+[1]Parametros!$B$9+[1]Parametros!$B$12/2+[1]Parametros!$B$12+[1]Parametros!$B$10))/S543)</f>
        <v>489.35</v>
      </c>
      <c r="V543" s="13">
        <f>S543*[1]Parametros!$B$8</f>
        <v>995</v>
      </c>
      <c r="W543" s="13">
        <f>[1]Parametros!$B$5*V543*[1]Parametros!$B$3*(U543-(V543*[1]Parametros!$B$3/(0.85*[1]Parametros!$B$2*H543))/2)/1000000</f>
        <v>177.44537938235294</v>
      </c>
      <c r="X543" s="13" t="str">
        <f t="shared" si="104"/>
        <v>CUMPLE</v>
      </c>
      <c r="Y543" s="13">
        <f>MAX(MAX(1.4/[1]Parametros!$B$3,0.25*SQRT([1]Parametros!$B$2)/[1]Parametros!$B$3)*H543*AB543,(0.85*[1]Parametros!$B$2/[1]Parametros!$B$3)*(1-SQRT(1-2*(L543*1000000/([1]Parametros!$B$5*H543*AB543^2))/(0.85*[1]Parametros!$B$2)))*H543*AB543)</f>
        <v>815.58333333333326</v>
      </c>
      <c r="Z543" s="14">
        <v>5</v>
      </c>
      <c r="AA543" s="14">
        <v>1</v>
      </c>
      <c r="AB543" s="13">
        <f>IF(AA543=1,I543-([1]Parametros!$B$7+[1]Parametros!$B$9+[1]Parametros!$B$12/2),I543-(ROUNDUP(Z543/2,0)*([1]Parametros!$B$7+[1]Parametros!$B$9+[1]Parametros!$B$12/2)+ROUNDDOWN(Z543/2,0)*([1]Parametros!$B$7+[1]Parametros!$B$9+[1]Parametros!$B$12/2+[1]Parametros!$B$12+[1]Parametros!$B$10))/Z543)</f>
        <v>489.35</v>
      </c>
      <c r="AC543" s="13">
        <f>Z543*[1]Parametros!$B$8</f>
        <v>995</v>
      </c>
      <c r="AD543" s="13">
        <f>[1]Parametros!$B$5*AC543*[1]Parametros!$B$3*(AB543-(AC543*[1]Parametros!$B$3/(0.85*[1]Parametros!$B$2*H543))/2)/1000000</f>
        <v>177.44537938235294</v>
      </c>
      <c r="AE543" s="13" t="str">
        <f t="shared" si="105"/>
        <v>CUMPLE</v>
      </c>
      <c r="AF543" s="13">
        <f>V543*1.25*[1]Parametros!$B$3*(U543-(V543*1.25*[1]Parametros!$B$3/(0.85*[1]Parametros!$B$2*H543))/2)/1000000</f>
        <v>244.15884319852941</v>
      </c>
      <c r="AG543" s="13">
        <f>AC543*1.25*[1]Parametros!$B$3*(AB543-(AC543*1.25*[1]Parametros!$B$3/(0.85*[1]Parametros!$B$2*H543))/2)/1000000</f>
        <v>244.15884319852941</v>
      </c>
      <c r="AH543" s="13">
        <f t="shared" si="106"/>
        <v>304.61330863003093</v>
      </c>
      <c r="AI543" s="13">
        <f t="shared" si="107"/>
        <v>304.61330863003093</v>
      </c>
      <c r="AJ543" s="13">
        <f>0.17*SQRT([1]Parametros!$B$2)*H543*MIN(U543,AB543)/1000</f>
        <v>220.09872869180776</v>
      </c>
      <c r="AK543" s="13">
        <f>MAX(AI543/[1]Parametros!$B$6-AJ543,0)</f>
        <v>186.05234948156681</v>
      </c>
      <c r="AL543" s="13">
        <f>0.66*SQRT([1]Parametros!$B$2)*H543*MIN(U543,AB543)/1000</f>
        <v>854.500946685842</v>
      </c>
      <c r="AM543" s="13" t="str">
        <f t="shared" si="108"/>
        <v>CUMPLE</v>
      </c>
      <c r="AN543" s="13" t="s">
        <v>64</v>
      </c>
      <c r="AO543" s="14">
        <v>2</v>
      </c>
      <c r="AP543" s="13">
        <f>ROUNDDOWN(MIN(IF(BC543+BD543=0,1000000000,AO543*BB543/(BC543+BD543)),MIN(U543,AB543)/4,8*[1]Parametros!$B$12,24*BA543,300,IF(AV543=0,1000000000,2*((H543-2*([1]Parametros!$B$7+[1]Parametros!$B$9/2))+(I543-2*([1]Parametros!$B$7+[1]Parametros!$B$9/2)))/8))/10,0)*10</f>
        <v>120</v>
      </c>
      <c r="AQ543" s="13">
        <f>ROUNDDOWN(MIN(IF(BC543+BD543=0,1000000000,AO543*BB543/(BC543+BD543)),IF(AK543&gt;0.33*SQRT([1]Parametros!$B$2)*H543*MIN(U543,AB543)/1000,MIN(U543,AB543)/4,MIN(U543,AB543)/2),600,IF(AV543=0,1000000000,2*((H543-2*([1]Parametros!$B$7+[1]Parametros!$B$9/2))+(I543-2*([1]Parametros!$B$7+[1]Parametros!$B$9/2)))/8))/10,0)*10</f>
        <v>150</v>
      </c>
      <c r="AR543" s="13">
        <f>[1]Parametros!$B$6*(AJ543+MAX(BE543-BD543,0)*[1]Parametros!$B$4*MIN(U543,AB543)/1000)</f>
        <v>347.47925901885583</v>
      </c>
      <c r="AS543" s="13" t="str">
        <f t="shared" si="109"/>
        <v>CUMPLE</v>
      </c>
      <c r="AT543" s="13">
        <f>[1]Parametros!$B$6*0.083*SQRT([1]Parametros!$B$2)*(H543*I543)^2/(2*(H543+I543))/1000000</f>
        <v>11.862178757598967</v>
      </c>
      <c r="AU543" s="13" t="str">
        <f t="shared" si="110"/>
        <v>DESPRECIABLE</v>
      </c>
      <c r="AV543" s="13">
        <f>IF(Q543&lt;=AT543,0,Q543*1000000/([1]Parametros!$B$6*2*0.85*(H543-2*([1]Parametros!$B$7+[1]Parametros!$B$9/2))*(I543-2*([1]Parametros!$B$7+[1]Parametros!$B$9/2))*[1]Parametros!$B$4))</f>
        <v>0</v>
      </c>
      <c r="AW543" s="13">
        <f>AV543*2*((H543-2*([1]Parametros!$B$7+[1]Parametros!$B$9/2))+(I543-2*([1]Parametros!$B$7+[1]Parametros!$B$9/2)))*[1]Parametros!$B$4/[1]Parametros!$B$3</f>
        <v>0</v>
      </c>
      <c r="AX543" s="14">
        <v>0</v>
      </c>
      <c r="AY543" s="13" t="str">
        <f t="shared" si="111"/>
        <v>DESPRECIABLE</v>
      </c>
      <c r="AZ543" s="13" t="str">
        <f t="shared" si="112"/>
        <v>CUMPLE</v>
      </c>
      <c r="BA543" s="14">
        <v>9.5</v>
      </c>
      <c r="BB543" s="14">
        <v>71</v>
      </c>
      <c r="BC543" s="13">
        <f>MAX(IF(AK543=0,0,AK543*1000/([1]Parametros!$B$4*MIN(U543,AB543))),MAX(0.062*SQRT([1]Parametros!$B$2)*H543/[1]Parametros!$B$4,0.35*H543/[1]Parametros!$B$4))</f>
        <v>0.9052452937159926</v>
      </c>
      <c r="BD543" s="13">
        <f t="shared" si="113"/>
        <v>0</v>
      </c>
      <c r="BE543" s="13">
        <f t="shared" si="114"/>
        <v>1.1833333333333333</v>
      </c>
      <c r="BF543" s="13">
        <f>SQRT((AI543*1000/(H543*MIN(U543,AB543)))^2+(Q543*1000000*2*((H543-2*([1]Parametros!$B$7+[1]Parametros!$B$9/2))+(I543-2*([1]Parametros!$B$7+[1]Parametros!$B$9/2)))/(1.7*((H543-2*([1]Parametros!$B$7+[1]Parametros!$B$9/2))*(I543-2*([1]Parametros!$B$7+[1]Parametros!$B$9/2)))^2))^2)</f>
        <v>1.2449714885409888</v>
      </c>
      <c r="BG543" s="13">
        <f>[1]Parametros!$B$6*(AJ543*1000/(H543*MIN(U543,AB543))+0.66*SQRT([1]Parametros!$B$2))</f>
        <v>3.2939603822754151</v>
      </c>
      <c r="BH543" s="13" t="str">
        <f t="shared" si="115"/>
        <v>CUMPLE</v>
      </c>
      <c r="BI543" s="13">
        <f>AX543*[1]Parametros!$B$8</f>
        <v>0</v>
      </c>
      <c r="BJ543" s="15" t="str">
        <f t="shared" si="116"/>
        <v>CUMPLE</v>
      </c>
    </row>
    <row r="544" spans="1:62" x14ac:dyDescent="0.3">
      <c r="A544" s="35" t="s">
        <v>77</v>
      </c>
      <c r="B544" s="36">
        <v>977</v>
      </c>
      <c r="C544" s="13">
        <v>1</v>
      </c>
      <c r="D544" s="13">
        <v>2</v>
      </c>
      <c r="E544" s="13">
        <v>2</v>
      </c>
      <c r="F544" s="13">
        <v>500</v>
      </c>
      <c r="G544" s="13">
        <v>550</v>
      </c>
      <c r="H544" s="13">
        <v>500</v>
      </c>
      <c r="I544" s="13">
        <v>550</v>
      </c>
      <c r="J544" s="14">
        <v>185.18430000000001</v>
      </c>
      <c r="K544" s="13">
        <v>977</v>
      </c>
      <c r="L544" s="14">
        <v>126.2565</v>
      </c>
      <c r="M544" s="13">
        <v>977</v>
      </c>
      <c r="N544" s="14">
        <v>184.51300000000001</v>
      </c>
      <c r="O544" s="14">
        <v>213.82499999999999</v>
      </c>
      <c r="P544" s="13">
        <v>977</v>
      </c>
      <c r="Q544" s="14">
        <v>1.8033999999999999</v>
      </c>
      <c r="R544" s="13">
        <f>MAX(MAX(1.4/[1]Parametros!$B$3,0.25*SQRT([1]Parametros!$B$2)/[1]Parametros!$B$3)*H544*U544,(0.85*[1]Parametros!$B$2/[1]Parametros!$B$3)*(1-SQRT(1-2*(J544*1000000/([1]Parametros!$B$5*H544*U544^2))/(0.85*[1]Parametros!$B$2)))*H544*U544)</f>
        <v>1040.1515866039408</v>
      </c>
      <c r="S544" s="14">
        <v>6</v>
      </c>
      <c r="T544" s="14">
        <v>1</v>
      </c>
      <c r="U544" s="13">
        <f>IF(T544=1,I544-([1]Parametros!$B$7+[1]Parametros!$B$9+[1]Parametros!$B$12/2),I544-(ROUNDUP(S544/2,0)*([1]Parametros!$B$7+[1]Parametros!$B$9+[1]Parametros!$B$12/2)+ROUNDDOWN(S544/2,0)*([1]Parametros!$B$7+[1]Parametros!$B$9+[1]Parametros!$B$12/2+[1]Parametros!$B$12+[1]Parametros!$B$10))/S544)</f>
        <v>489.35</v>
      </c>
      <c r="V544" s="13">
        <f>S544*[1]Parametros!$B$8</f>
        <v>1194</v>
      </c>
      <c r="W544" s="13">
        <f>[1]Parametros!$B$5*V544*[1]Parametros!$B$3*(U544-(V544*[1]Parametros!$B$3/(0.85*[1]Parametros!$B$2*H544))/2)/1000000</f>
        <v>211.34948347058827</v>
      </c>
      <c r="X544" s="13" t="str">
        <f t="shared" si="104"/>
        <v>CUMPLE</v>
      </c>
      <c r="Y544" s="13">
        <f>MAX(MAX(1.4/[1]Parametros!$B$3,0.25*SQRT([1]Parametros!$B$2)/[1]Parametros!$B$3)*H544*AB544,(0.85*[1]Parametros!$B$2/[1]Parametros!$B$3)*(1-SQRT(1-2*(L544*1000000/([1]Parametros!$B$5*H544*AB544^2))/(0.85*[1]Parametros!$B$2)))*H544*AB544)</f>
        <v>815.58333333333326</v>
      </c>
      <c r="Z544" s="14">
        <v>5</v>
      </c>
      <c r="AA544" s="14">
        <v>1</v>
      </c>
      <c r="AB544" s="13">
        <f>IF(AA544=1,I544-([1]Parametros!$B$7+[1]Parametros!$B$9+[1]Parametros!$B$12/2),I544-(ROUNDUP(Z544/2,0)*([1]Parametros!$B$7+[1]Parametros!$B$9+[1]Parametros!$B$12/2)+ROUNDDOWN(Z544/2,0)*([1]Parametros!$B$7+[1]Parametros!$B$9+[1]Parametros!$B$12/2+[1]Parametros!$B$12+[1]Parametros!$B$10))/Z544)</f>
        <v>489.35</v>
      </c>
      <c r="AC544" s="13">
        <f>Z544*[1]Parametros!$B$8</f>
        <v>995</v>
      </c>
      <c r="AD544" s="13">
        <f>[1]Parametros!$B$5*AC544*[1]Parametros!$B$3*(AB544-(AC544*[1]Parametros!$B$3/(0.85*[1]Parametros!$B$2*H544))/2)/1000000</f>
        <v>177.44537938235294</v>
      </c>
      <c r="AE544" s="13" t="str">
        <f t="shared" si="105"/>
        <v>CUMPLE</v>
      </c>
      <c r="AF544" s="13">
        <f>V544*1.25*[1]Parametros!$B$3*(U544-(V544*1.25*[1]Parametros!$B$3/(0.85*[1]Parametros!$B$2*H544))/2)/1000000</f>
        <v>290.23892470588237</v>
      </c>
      <c r="AG544" s="13">
        <f>AC544*1.25*[1]Parametros!$B$3*(AB544-(AC544*1.25*[1]Parametros!$B$3/(0.85*[1]Parametros!$B$2*H544))/2)/1000000</f>
        <v>244.15884319852941</v>
      </c>
      <c r="AH544" s="13">
        <f t="shared" si="106"/>
        <v>451.71188395220588</v>
      </c>
      <c r="AI544" s="13">
        <f t="shared" si="107"/>
        <v>451.71188395220588</v>
      </c>
      <c r="AJ544" s="13">
        <f>0.17*SQRT([1]Parametros!$B$2)*H544*MIN(U544,AB544)/1000</f>
        <v>220.09872869180776</v>
      </c>
      <c r="AK544" s="13">
        <f>MAX(AI544/[1]Parametros!$B$6-AJ544,0)</f>
        <v>382.18378324446678</v>
      </c>
      <c r="AL544" s="13">
        <f>0.66*SQRT([1]Parametros!$B$2)*H544*MIN(U544,AB544)/1000</f>
        <v>854.500946685842</v>
      </c>
      <c r="AM544" s="13" t="str">
        <f t="shared" si="108"/>
        <v>CUMPLE</v>
      </c>
      <c r="AN544" s="13" t="s">
        <v>68</v>
      </c>
      <c r="AO544" s="14">
        <v>2</v>
      </c>
      <c r="AP544" s="13">
        <f>ROUNDDOWN(MIN(IF(BC544+BD544=0,1000000000,AO544*BB544/(BC544+BD544)),MIN(U544,AB544)/4,8*[1]Parametros!$B$12,24*BA544,300,IF(AV544=0,1000000000,2*((H544-2*([1]Parametros!$B$7+[1]Parametros!$B$9/2))+(I544-2*([1]Parametros!$B$7+[1]Parametros!$B$9/2)))/8))/10,0)*10</f>
        <v>120</v>
      </c>
      <c r="AQ544" s="13">
        <f>ROUNDDOWN(MIN(IF(BC544+BD544=0,1000000000,AO544*BB544/(BC544+BD544)),IF(AK544&gt;0.33*SQRT([1]Parametros!$B$2)*H544*MIN(U544,AB544)/1000,MIN(U544,AB544)/4,MIN(U544,AB544)/2),600,IF(AV544=0,1000000000,2*((H544-2*([1]Parametros!$B$7+[1]Parametros!$B$9/2))+(I544-2*([1]Parametros!$B$7+[1]Parametros!$B$9/2)))/8))/10,0)*10</f>
        <v>130</v>
      </c>
      <c r="AR544" s="13">
        <f>[1]Parametros!$B$6*(AJ544+MAX(BE544-BD544,0)*[1]Parametros!$B$4*MIN(U544,AB544)/1000)</f>
        <v>496.48633401885581</v>
      </c>
      <c r="AS544" s="13" t="str">
        <f t="shared" si="109"/>
        <v>CUMPLE</v>
      </c>
      <c r="AT544" s="13">
        <f>[1]Parametros!$B$6*0.083*SQRT([1]Parametros!$B$2)*(H544*I544)^2/(2*(H544+I544))/1000000</f>
        <v>11.862178757598967</v>
      </c>
      <c r="AU544" s="13" t="str">
        <f t="shared" si="110"/>
        <v>DESPRECIABLE</v>
      </c>
      <c r="AV544" s="13">
        <f>IF(Q544&lt;=AT544,0,Q544*1000000/([1]Parametros!$B$6*2*0.85*(H544-2*([1]Parametros!$B$7+[1]Parametros!$B$9/2))*(I544-2*([1]Parametros!$B$7+[1]Parametros!$B$9/2))*[1]Parametros!$B$4))</f>
        <v>0</v>
      </c>
      <c r="AW544" s="13">
        <f>AV544*2*((H544-2*([1]Parametros!$B$7+[1]Parametros!$B$9/2))+(I544-2*([1]Parametros!$B$7+[1]Parametros!$B$9/2)))*[1]Parametros!$B$4/[1]Parametros!$B$3</f>
        <v>0</v>
      </c>
      <c r="AX544" s="14">
        <v>0</v>
      </c>
      <c r="AY544" s="13" t="str">
        <f t="shared" si="111"/>
        <v>DESPRECIABLE</v>
      </c>
      <c r="AZ544" s="13" t="str">
        <f t="shared" si="112"/>
        <v>CUMPLE</v>
      </c>
      <c r="BA544" s="14">
        <v>12.7</v>
      </c>
      <c r="BB544" s="14">
        <v>129</v>
      </c>
      <c r="BC544" s="13">
        <f>MAX(IF(AK544=0,0,AK544*1000/([1]Parametros!$B$4*MIN(U544,AB544))),MAX(0.062*SQRT([1]Parametros!$B$2)*H544/[1]Parametros!$B$4,0.35*H544/[1]Parametros!$B$4))</f>
        <v>1.8595307830332111</v>
      </c>
      <c r="BD544" s="13">
        <f t="shared" si="113"/>
        <v>0</v>
      </c>
      <c r="BE544" s="13">
        <f t="shared" si="114"/>
        <v>2.15</v>
      </c>
      <c r="BF544" s="13">
        <f>SQRT((AI544*1000/(H544*MIN(U544,AB544)))^2+(Q544*1000000*2*((H544-2*([1]Parametros!$B$7+[1]Parametros!$B$9/2))+(I544-2*([1]Parametros!$B$7+[1]Parametros!$B$9/2)))/(1.7*((H544-2*([1]Parametros!$B$7+[1]Parametros!$B$9/2))*(I544-2*([1]Parametros!$B$7+[1]Parametros!$B$9/2)))^2))^2)</f>
        <v>1.8469280255088407</v>
      </c>
      <c r="BG544" s="13">
        <f>[1]Parametros!$B$6*(AJ544*1000/(H544*MIN(U544,AB544))+0.66*SQRT([1]Parametros!$B$2))</f>
        <v>3.2939603822754151</v>
      </c>
      <c r="BH544" s="13" t="str">
        <f t="shared" si="115"/>
        <v>CUMPLE</v>
      </c>
      <c r="BI544" s="13">
        <f>AX544*[1]Parametros!$B$8</f>
        <v>0</v>
      </c>
      <c r="BJ544" s="15" t="str">
        <f t="shared" si="116"/>
        <v>CUMPLE</v>
      </c>
    </row>
    <row r="545" spans="1:62" x14ac:dyDescent="0.3">
      <c r="A545" s="35" t="s">
        <v>77</v>
      </c>
      <c r="B545" s="36">
        <v>978</v>
      </c>
      <c r="C545" s="13">
        <v>1</v>
      </c>
      <c r="D545" s="13">
        <v>2.35</v>
      </c>
      <c r="E545" s="13">
        <v>2.35</v>
      </c>
      <c r="F545" s="13">
        <v>500</v>
      </c>
      <c r="G545" s="13">
        <v>550</v>
      </c>
      <c r="H545" s="13">
        <v>500</v>
      </c>
      <c r="I545" s="13">
        <v>550</v>
      </c>
      <c r="J545" s="14">
        <v>159.76230000000001</v>
      </c>
      <c r="K545" s="13">
        <v>978</v>
      </c>
      <c r="L545" s="14">
        <v>139.7586</v>
      </c>
      <c r="M545" s="13">
        <v>978</v>
      </c>
      <c r="N545" s="14">
        <v>178.089</v>
      </c>
      <c r="O545" s="14">
        <v>208.85</v>
      </c>
      <c r="P545" s="13">
        <v>978</v>
      </c>
      <c r="Q545" s="14">
        <v>3.6934999999999998</v>
      </c>
      <c r="R545" s="13">
        <f>MAX(MAX(1.4/[1]Parametros!$B$3,0.25*SQRT([1]Parametros!$B$2)/[1]Parametros!$B$3)*H545*U545,(0.85*[1]Parametros!$B$2/[1]Parametros!$B$3)*(1-SQRT(1-2*(J545*1000000/([1]Parametros!$B$5*H545*U545^2))/(0.85*[1]Parametros!$B$2)))*H545*U545)</f>
        <v>892.42047048859592</v>
      </c>
      <c r="S545" s="14">
        <v>5</v>
      </c>
      <c r="T545" s="14">
        <v>1</v>
      </c>
      <c r="U545" s="13">
        <f>IF(T545=1,I545-([1]Parametros!$B$7+[1]Parametros!$B$9+[1]Parametros!$B$12/2),I545-(ROUNDUP(S545/2,0)*([1]Parametros!$B$7+[1]Parametros!$B$9+[1]Parametros!$B$12/2)+ROUNDDOWN(S545/2,0)*([1]Parametros!$B$7+[1]Parametros!$B$9+[1]Parametros!$B$12/2+[1]Parametros!$B$12+[1]Parametros!$B$10))/S545)</f>
        <v>489.35</v>
      </c>
      <c r="V545" s="13">
        <f>S545*[1]Parametros!$B$8</f>
        <v>995</v>
      </c>
      <c r="W545" s="13">
        <f>[1]Parametros!$B$5*V545*[1]Parametros!$B$3*(U545-(V545*[1]Parametros!$B$3/(0.85*[1]Parametros!$B$2*H545))/2)/1000000</f>
        <v>177.44537938235294</v>
      </c>
      <c r="X545" s="13" t="str">
        <f t="shared" si="104"/>
        <v>CUMPLE</v>
      </c>
      <c r="Y545" s="13">
        <f>MAX(MAX(1.4/[1]Parametros!$B$3,0.25*SQRT([1]Parametros!$B$2)/[1]Parametros!$B$3)*H545*AB545,(0.85*[1]Parametros!$B$2/[1]Parametros!$B$3)*(1-SQRT(1-2*(L545*1000000/([1]Parametros!$B$5*H545*AB545^2))/(0.85*[1]Parametros!$B$2)))*H545*AB545)</f>
        <v>815.58333333333326</v>
      </c>
      <c r="Z545" s="14">
        <v>5</v>
      </c>
      <c r="AA545" s="14">
        <v>1</v>
      </c>
      <c r="AB545" s="13">
        <f>IF(AA545=1,I545-([1]Parametros!$B$7+[1]Parametros!$B$9+[1]Parametros!$B$12/2),I545-(ROUNDUP(Z545/2,0)*([1]Parametros!$B$7+[1]Parametros!$B$9+[1]Parametros!$B$12/2)+ROUNDDOWN(Z545/2,0)*([1]Parametros!$B$7+[1]Parametros!$B$9+[1]Parametros!$B$12/2+[1]Parametros!$B$12+[1]Parametros!$B$10))/Z545)</f>
        <v>489.35</v>
      </c>
      <c r="AC545" s="13">
        <f>Z545*[1]Parametros!$B$8</f>
        <v>995</v>
      </c>
      <c r="AD545" s="13">
        <f>[1]Parametros!$B$5*AC545*[1]Parametros!$B$3*(AB545-(AC545*[1]Parametros!$B$3/(0.85*[1]Parametros!$B$2*H545))/2)/1000000</f>
        <v>177.44537938235294</v>
      </c>
      <c r="AE545" s="13" t="str">
        <f t="shared" si="105"/>
        <v>CUMPLE</v>
      </c>
      <c r="AF545" s="13">
        <f>V545*1.25*[1]Parametros!$B$3*(U545-(V545*1.25*[1]Parametros!$B$3/(0.85*[1]Parametros!$B$2*H545))/2)/1000000</f>
        <v>244.15884319852941</v>
      </c>
      <c r="AG545" s="13">
        <f>AC545*1.25*[1]Parametros!$B$3*(AB545-(AC545*1.25*[1]Parametros!$B$3/(0.85*[1]Parametros!$B$2*H545))/2)/1000000</f>
        <v>244.15884319852941</v>
      </c>
      <c r="AH545" s="13">
        <f t="shared" si="106"/>
        <v>385.8837601689612</v>
      </c>
      <c r="AI545" s="13">
        <f t="shared" si="107"/>
        <v>385.8837601689612</v>
      </c>
      <c r="AJ545" s="13">
        <f>0.17*SQRT([1]Parametros!$B$2)*H545*MIN(U545,AB545)/1000</f>
        <v>220.09872869180776</v>
      </c>
      <c r="AK545" s="13">
        <f>MAX(AI545/[1]Parametros!$B$6-AJ545,0)</f>
        <v>294.4129515334738</v>
      </c>
      <c r="AL545" s="13">
        <f>0.66*SQRT([1]Parametros!$B$2)*H545*MIN(U545,AB545)/1000</f>
        <v>854.500946685842</v>
      </c>
      <c r="AM545" s="13" t="str">
        <f t="shared" si="108"/>
        <v>CUMPLE</v>
      </c>
      <c r="AN545" s="13" t="s">
        <v>64</v>
      </c>
      <c r="AO545" s="14">
        <v>2</v>
      </c>
      <c r="AP545" s="13">
        <f>ROUNDDOWN(MIN(IF(BC545+BD545=0,1000000000,AO545*BB545/(BC545+BD545)),MIN(U545,AB545)/4,8*[1]Parametros!$B$12,24*BA545,300,IF(AV545=0,1000000000,2*((H545-2*([1]Parametros!$B$7+[1]Parametros!$B$9/2))+(I545-2*([1]Parametros!$B$7+[1]Parametros!$B$9/2)))/8))/10,0)*10</f>
        <v>90</v>
      </c>
      <c r="AQ545" s="13">
        <f>ROUNDDOWN(MIN(IF(BC545+BD545=0,1000000000,AO545*BB545/(BC545+BD545)),IF(AK545&gt;0.33*SQRT([1]Parametros!$B$2)*H545*MIN(U545,AB545)/1000,MIN(U545,AB545)/4,MIN(U545,AB545)/2),600,IF(AV545=0,1000000000,2*((H545-2*([1]Parametros!$B$7+[1]Parametros!$B$9/2))+(I545-2*([1]Parametros!$B$7+[1]Parametros!$B$9/2)))/8))/10,0)*10</f>
        <v>90</v>
      </c>
      <c r="AR545" s="13">
        <f>[1]Parametros!$B$6*(AJ545+MAX(BE545-BD545,0)*[1]Parametros!$B$4*MIN(U545,AB545)/1000)</f>
        <v>408.28099651885583</v>
      </c>
      <c r="AS545" s="13" t="str">
        <f t="shared" si="109"/>
        <v>CUMPLE</v>
      </c>
      <c r="AT545" s="13">
        <f>[1]Parametros!$B$6*0.083*SQRT([1]Parametros!$B$2)*(H545*I545)^2/(2*(H545+I545))/1000000</f>
        <v>11.862178757598967</v>
      </c>
      <c r="AU545" s="13" t="str">
        <f t="shared" si="110"/>
        <v>DESPRECIABLE</v>
      </c>
      <c r="AV545" s="13">
        <f>IF(Q545&lt;=AT545,0,Q545*1000000/([1]Parametros!$B$6*2*0.85*(H545-2*([1]Parametros!$B$7+[1]Parametros!$B$9/2))*(I545-2*([1]Parametros!$B$7+[1]Parametros!$B$9/2))*[1]Parametros!$B$4))</f>
        <v>0</v>
      </c>
      <c r="AW545" s="13">
        <f>AV545*2*((H545-2*([1]Parametros!$B$7+[1]Parametros!$B$9/2))+(I545-2*([1]Parametros!$B$7+[1]Parametros!$B$9/2)))*[1]Parametros!$B$4/[1]Parametros!$B$3</f>
        <v>0</v>
      </c>
      <c r="AX545" s="14">
        <v>0</v>
      </c>
      <c r="AY545" s="13" t="str">
        <f t="shared" si="111"/>
        <v>DESPRECIABLE</v>
      </c>
      <c r="AZ545" s="13" t="str">
        <f t="shared" si="112"/>
        <v>CUMPLE</v>
      </c>
      <c r="BA545" s="14">
        <v>9.5</v>
      </c>
      <c r="BB545" s="14">
        <v>71</v>
      </c>
      <c r="BC545" s="13">
        <f>MAX(IF(AK545=0,0,AK545*1000/([1]Parametros!$B$4*MIN(U545,AB545))),MAX(0.062*SQRT([1]Parametros!$B$2)*H545/[1]Parametros!$B$4,0.35*H545/[1]Parametros!$B$4))</f>
        <v>1.4324782220023344</v>
      </c>
      <c r="BD545" s="13">
        <f t="shared" si="113"/>
        <v>0</v>
      </c>
      <c r="BE545" s="13">
        <f t="shared" si="114"/>
        <v>1.5777777777777777</v>
      </c>
      <c r="BF545" s="13">
        <f>SQRT((AI545*1000/(H545*MIN(U545,AB545)))^2+(Q545*1000000*2*((H545-2*([1]Parametros!$B$7+[1]Parametros!$B$9/2))+(I545-2*([1]Parametros!$B$7+[1]Parametros!$B$9/2)))/(1.7*((H545-2*([1]Parametros!$B$7+[1]Parametros!$B$9/2))*(I545-2*([1]Parametros!$B$7+[1]Parametros!$B$9/2)))^2))^2)</f>
        <v>1.580841492718625</v>
      </c>
      <c r="BG545" s="13">
        <f>[1]Parametros!$B$6*(AJ545*1000/(H545*MIN(U545,AB545))+0.66*SQRT([1]Parametros!$B$2))</f>
        <v>3.2939603822754151</v>
      </c>
      <c r="BH545" s="13" t="str">
        <f t="shared" si="115"/>
        <v>CUMPLE</v>
      </c>
      <c r="BI545" s="13">
        <f>AX545*[1]Parametros!$B$8</f>
        <v>0</v>
      </c>
      <c r="BJ545" s="15" t="str">
        <f t="shared" si="116"/>
        <v>CUMPLE</v>
      </c>
    </row>
    <row r="546" spans="1:62" x14ac:dyDescent="0.3">
      <c r="A546" s="35" t="s">
        <v>77</v>
      </c>
      <c r="B546" s="36">
        <v>1353</v>
      </c>
      <c r="C546" s="13">
        <v>1</v>
      </c>
      <c r="D546" s="13">
        <v>2.7</v>
      </c>
      <c r="E546" s="13">
        <v>2.7</v>
      </c>
      <c r="F546" s="13">
        <v>500</v>
      </c>
      <c r="G546" s="13">
        <v>550</v>
      </c>
      <c r="H546" s="13">
        <v>500</v>
      </c>
      <c r="I546" s="13">
        <v>550</v>
      </c>
      <c r="J546" s="14">
        <v>222.119</v>
      </c>
      <c r="K546" s="13">
        <v>1353</v>
      </c>
      <c r="L546" s="14">
        <v>153.09889999999999</v>
      </c>
      <c r="M546" s="13">
        <v>1353</v>
      </c>
      <c r="N546" s="14">
        <v>154.47</v>
      </c>
      <c r="O546" s="14">
        <v>572.14599999999996</v>
      </c>
      <c r="P546" s="13">
        <v>1353</v>
      </c>
      <c r="Q546" s="14">
        <v>23.292400000000001</v>
      </c>
      <c r="R546" s="13">
        <f>MAX(MAX(1.4/[1]Parametros!$B$3,0.25*SQRT([1]Parametros!$B$2)/[1]Parametros!$B$3)*H546*U546,(0.85*[1]Parametros!$B$2/[1]Parametros!$B$3)*(1-SQRT(1-2*(J546*1000000/([1]Parametros!$B$5*H546*U546^2))/(0.85*[1]Parametros!$B$2)))*H546*U546)</f>
        <v>1257.8689794793545</v>
      </c>
      <c r="S546" s="14">
        <v>7</v>
      </c>
      <c r="T546" s="14">
        <v>1</v>
      </c>
      <c r="U546" s="13">
        <f>IF(T546=1,I546-([1]Parametros!$B$7+[1]Parametros!$B$9+[1]Parametros!$B$12/2),I546-(ROUNDUP(S546/2,0)*([1]Parametros!$B$7+[1]Parametros!$B$9+[1]Parametros!$B$12/2)+ROUNDDOWN(S546/2,0)*([1]Parametros!$B$7+[1]Parametros!$B$9+[1]Parametros!$B$12/2+[1]Parametros!$B$12+[1]Parametros!$B$10))/S546)</f>
        <v>489.35</v>
      </c>
      <c r="V546" s="13">
        <f>S546*[1]Parametros!$B$8</f>
        <v>1393</v>
      </c>
      <c r="W546" s="13">
        <f>[1]Parametros!$B$5*V546*[1]Parametros!$B$3*(U546-(V546*[1]Parametros!$B$3/(0.85*[1]Parametros!$B$2*H546))/2)/1000000</f>
        <v>244.72526362941178</v>
      </c>
      <c r="X546" s="13" t="str">
        <f t="shared" si="104"/>
        <v>CUMPLE</v>
      </c>
      <c r="Y546" s="13">
        <f>MAX(MAX(1.4/[1]Parametros!$B$3,0.25*SQRT([1]Parametros!$B$2)/[1]Parametros!$B$3)*H546*AB546,(0.85*[1]Parametros!$B$2/[1]Parametros!$B$3)*(1-SQRT(1-2*(L546*1000000/([1]Parametros!$B$5*H546*AB546^2))/(0.85*[1]Parametros!$B$2)))*H546*AB546)</f>
        <v>853.97588752069532</v>
      </c>
      <c r="Z546" s="14">
        <v>5</v>
      </c>
      <c r="AA546" s="14">
        <v>1</v>
      </c>
      <c r="AB546" s="13">
        <f>IF(AA546=1,I546-([1]Parametros!$B$7+[1]Parametros!$B$9+[1]Parametros!$B$12/2),I546-(ROUNDUP(Z546/2,0)*([1]Parametros!$B$7+[1]Parametros!$B$9+[1]Parametros!$B$12/2)+ROUNDDOWN(Z546/2,0)*([1]Parametros!$B$7+[1]Parametros!$B$9+[1]Parametros!$B$12/2+[1]Parametros!$B$12+[1]Parametros!$B$10))/Z546)</f>
        <v>489.35</v>
      </c>
      <c r="AC546" s="13">
        <f>Z546*[1]Parametros!$B$8</f>
        <v>995</v>
      </c>
      <c r="AD546" s="13">
        <f>[1]Parametros!$B$5*AC546*[1]Parametros!$B$3*(AB546-(AC546*[1]Parametros!$B$3/(0.85*[1]Parametros!$B$2*H546))/2)/1000000</f>
        <v>177.44537938235294</v>
      </c>
      <c r="AE546" s="13" t="str">
        <f t="shared" si="105"/>
        <v>CUMPLE</v>
      </c>
      <c r="AF546" s="13">
        <f>V546*1.25*[1]Parametros!$B$3*(U546-(V546*1.25*[1]Parametros!$B$3/(0.85*[1]Parametros!$B$2*H546))/2)/1000000</f>
        <v>335.40177716911762</v>
      </c>
      <c r="AG546" s="13">
        <f>AC546*1.25*[1]Parametros!$B$3*(AB546-(AC546*1.25*[1]Parametros!$B$3/(0.85*[1]Parametros!$B$2*H546))/2)/1000000</f>
        <v>244.15884319852941</v>
      </c>
      <c r="AH546" s="13">
        <f t="shared" si="106"/>
        <v>369.12208161764704</v>
      </c>
      <c r="AI546" s="13">
        <f t="shared" si="107"/>
        <v>572.14599999999996</v>
      </c>
      <c r="AJ546" s="13">
        <f>0.17*SQRT([1]Parametros!$B$2)*H546*MIN(U546,AB546)/1000</f>
        <v>220.09872869180776</v>
      </c>
      <c r="AK546" s="13">
        <f>MAX(AI546/[1]Parametros!$B$6-AJ546,0)</f>
        <v>542.76260464152551</v>
      </c>
      <c r="AL546" s="13">
        <f>0.66*SQRT([1]Parametros!$B$2)*H546*MIN(U546,AB546)/1000</f>
        <v>854.500946685842</v>
      </c>
      <c r="AM546" s="13" t="str">
        <f t="shared" si="108"/>
        <v>CUMPLE</v>
      </c>
      <c r="AN546" s="13" t="s">
        <v>68</v>
      </c>
      <c r="AO546" s="14">
        <v>2</v>
      </c>
      <c r="AP546" s="13">
        <f>ROUNDDOWN(MIN(IF(BC546+BD546=0,1000000000,AO546*BB546/(BC546+BD546)),MIN(U546,AB546)/4,8*[1]Parametros!$B$12,24*BA546,300,IF(AV546=0,1000000000,2*((H546-2*([1]Parametros!$B$7+[1]Parametros!$B$9/2))+(I546-2*([1]Parametros!$B$7+[1]Parametros!$B$9/2)))/8))/10,0)*10</f>
        <v>80</v>
      </c>
      <c r="AQ546" s="13">
        <f>ROUNDDOWN(MIN(IF(BC546+BD546=0,1000000000,AO546*BB546/(BC546+BD546)),IF(AK546&gt;0.33*SQRT([1]Parametros!$B$2)*H546*MIN(U546,AB546)/1000,MIN(U546,AB546)/4,MIN(U546,AB546)/2),600,IF(AV546=0,1000000000,2*((H546-2*([1]Parametros!$B$7+[1]Parametros!$B$9/2))+(I546-2*([1]Parametros!$B$7+[1]Parametros!$B$9/2)))/8))/10,0)*10</f>
        <v>80</v>
      </c>
      <c r="AR546" s="13">
        <f>[1]Parametros!$B$6*(AJ546+MAX(BE546-BD546,0)*[1]Parametros!$B$4*MIN(U546,AB546)/1000)</f>
        <v>590.19798187759829</v>
      </c>
      <c r="AS546" s="13" t="str">
        <f t="shared" si="109"/>
        <v>CUMPLE</v>
      </c>
      <c r="AT546" s="13">
        <f>[1]Parametros!$B$6*0.083*SQRT([1]Parametros!$B$2)*(H546*I546)^2/(2*(H546+I546))/1000000</f>
        <v>11.862178757598967</v>
      </c>
      <c r="AU546" s="13" t="str">
        <f t="shared" si="110"/>
        <v>DISEÑAR</v>
      </c>
      <c r="AV546" s="13">
        <f>IF(Q546&lt;=AT546,0,Q546*1000000/([1]Parametros!$B$6*2*0.85*(H546-2*([1]Parametros!$B$7+[1]Parametros!$B$9/2))*(I546-2*([1]Parametros!$B$7+[1]Parametros!$B$9/2))*[1]Parametros!$B$4))</f>
        <v>0.23352810382174441</v>
      </c>
      <c r="AW546" s="13">
        <f>AV546*2*((H546-2*([1]Parametros!$B$7+[1]Parametros!$B$9/2))+(I546-2*([1]Parametros!$B$7+[1]Parametros!$B$9/2)))*[1]Parametros!$B$4/[1]Parametros!$B$3</f>
        <v>403.81679712856049</v>
      </c>
      <c r="AX546" s="14">
        <v>8</v>
      </c>
      <c r="AY546" s="13" t="str">
        <f t="shared" si="111"/>
        <v>CUMPLE</v>
      </c>
      <c r="AZ546" s="13" t="str">
        <f t="shared" si="112"/>
        <v>CUMPLE</v>
      </c>
      <c r="BA546" s="14">
        <v>12.7</v>
      </c>
      <c r="BB546" s="14">
        <v>129</v>
      </c>
      <c r="BC546" s="13">
        <f>MAX(IF(AK546=0,0,AK546*1000/([1]Parametros!$B$4*MIN(U546,AB546))),MAX(0.062*SQRT([1]Parametros!$B$2)*H546/[1]Parametros!$B$4,0.35*H546/[1]Parametros!$B$4))</f>
        <v>2.6408335870300523</v>
      </c>
      <c r="BD546" s="13">
        <f t="shared" si="113"/>
        <v>0.46705620764348882</v>
      </c>
      <c r="BE546" s="13">
        <f t="shared" si="114"/>
        <v>3.2250000000000001</v>
      </c>
      <c r="BF546" s="13">
        <f>SQRT((AI546*1000/(H546*MIN(U546,AB546)))^2+(Q546*1000000*2*((H546-2*([1]Parametros!$B$7+[1]Parametros!$B$9/2))+(I546-2*([1]Parametros!$B$7+[1]Parametros!$B$9/2)))/(1.7*((H546-2*([1]Parametros!$B$7+[1]Parametros!$B$9/2))*(I546-2*([1]Parametros!$B$7+[1]Parametros!$B$9/2)))^2))^2)</f>
        <v>2.4360780076404542</v>
      </c>
      <c r="BG546" s="13">
        <f>[1]Parametros!$B$6*(AJ546*1000/(H546*MIN(U546,AB546))+0.66*SQRT([1]Parametros!$B$2))</f>
        <v>3.2939603822754151</v>
      </c>
      <c r="BH546" s="13" t="str">
        <f t="shared" si="115"/>
        <v>CUMPLE</v>
      </c>
      <c r="BI546" s="13">
        <f>AX546*[1]Parametros!$B$8</f>
        <v>1592</v>
      </c>
      <c r="BJ546" s="15" t="str">
        <f t="shared" si="116"/>
        <v>CUMPLE</v>
      </c>
    </row>
    <row r="547" spans="1:62" x14ac:dyDescent="0.3">
      <c r="A547" s="35" t="s">
        <v>77</v>
      </c>
      <c r="B547" s="36">
        <v>1354</v>
      </c>
      <c r="C547" s="13">
        <v>1</v>
      </c>
      <c r="D547" s="13">
        <v>2.7</v>
      </c>
      <c r="E547" s="13">
        <v>2.7</v>
      </c>
      <c r="F547" s="13">
        <v>500</v>
      </c>
      <c r="G547" s="13">
        <v>550</v>
      </c>
      <c r="H547" s="13">
        <v>500</v>
      </c>
      <c r="I547" s="13">
        <v>550</v>
      </c>
      <c r="J547" s="14">
        <v>222.20160000000001</v>
      </c>
      <c r="K547" s="13">
        <v>1354</v>
      </c>
      <c r="L547" s="14">
        <v>153.05590000000001</v>
      </c>
      <c r="M547" s="13">
        <v>1354</v>
      </c>
      <c r="N547" s="14">
        <v>154.423</v>
      </c>
      <c r="O547" s="14">
        <v>572.12</v>
      </c>
      <c r="P547" s="13">
        <v>1354</v>
      </c>
      <c r="Q547" s="14">
        <v>23.286000000000001</v>
      </c>
      <c r="R547" s="13">
        <f>MAX(MAX(1.4/[1]Parametros!$B$3,0.25*SQRT([1]Parametros!$B$2)/[1]Parametros!$B$3)*H547*U547,(0.85*[1]Parametros!$B$2/[1]Parametros!$B$3)*(1-SQRT(1-2*(J547*1000000/([1]Parametros!$B$5*H547*U547^2))/(0.85*[1]Parametros!$B$2)))*H547*U547)</f>
        <v>1258.3600919724656</v>
      </c>
      <c r="S547" s="14">
        <v>7</v>
      </c>
      <c r="T547" s="14">
        <v>1</v>
      </c>
      <c r="U547" s="13">
        <f>IF(T547=1,I547-([1]Parametros!$B$7+[1]Parametros!$B$9+[1]Parametros!$B$12/2),I547-(ROUNDUP(S547/2,0)*([1]Parametros!$B$7+[1]Parametros!$B$9+[1]Parametros!$B$12/2)+ROUNDDOWN(S547/2,0)*([1]Parametros!$B$7+[1]Parametros!$B$9+[1]Parametros!$B$12/2+[1]Parametros!$B$12+[1]Parametros!$B$10))/S547)</f>
        <v>489.35</v>
      </c>
      <c r="V547" s="13">
        <f>S547*[1]Parametros!$B$8</f>
        <v>1393</v>
      </c>
      <c r="W547" s="13">
        <f>[1]Parametros!$B$5*V547*[1]Parametros!$B$3*(U547-(V547*[1]Parametros!$B$3/(0.85*[1]Parametros!$B$2*H547))/2)/1000000</f>
        <v>244.72526362941178</v>
      </c>
      <c r="X547" s="13" t="str">
        <f t="shared" si="104"/>
        <v>CUMPLE</v>
      </c>
      <c r="Y547" s="13">
        <f>MAX(MAX(1.4/[1]Parametros!$B$3,0.25*SQRT([1]Parametros!$B$2)/[1]Parametros!$B$3)*H547*AB547,(0.85*[1]Parametros!$B$2/[1]Parametros!$B$3)*(1-SQRT(1-2*(L547*1000000/([1]Parametros!$B$5*H547*AB547^2))/(0.85*[1]Parametros!$B$2)))*H547*AB547)</f>
        <v>853.7281672805924</v>
      </c>
      <c r="Z547" s="14">
        <v>5</v>
      </c>
      <c r="AA547" s="14">
        <v>1</v>
      </c>
      <c r="AB547" s="13">
        <f>IF(AA547=1,I547-([1]Parametros!$B$7+[1]Parametros!$B$9+[1]Parametros!$B$12/2),I547-(ROUNDUP(Z547/2,0)*([1]Parametros!$B$7+[1]Parametros!$B$9+[1]Parametros!$B$12/2)+ROUNDDOWN(Z547/2,0)*([1]Parametros!$B$7+[1]Parametros!$B$9+[1]Parametros!$B$12/2+[1]Parametros!$B$12+[1]Parametros!$B$10))/Z547)</f>
        <v>489.35</v>
      </c>
      <c r="AC547" s="13">
        <f>Z547*[1]Parametros!$B$8</f>
        <v>995</v>
      </c>
      <c r="AD547" s="13">
        <f>[1]Parametros!$B$5*AC547*[1]Parametros!$B$3*(AB547-(AC547*[1]Parametros!$B$3/(0.85*[1]Parametros!$B$2*H547))/2)/1000000</f>
        <v>177.44537938235294</v>
      </c>
      <c r="AE547" s="13" t="str">
        <f t="shared" si="105"/>
        <v>CUMPLE</v>
      </c>
      <c r="AF547" s="13">
        <f>V547*1.25*[1]Parametros!$B$3*(U547-(V547*1.25*[1]Parametros!$B$3/(0.85*[1]Parametros!$B$2*H547))/2)/1000000</f>
        <v>335.40177716911762</v>
      </c>
      <c r="AG547" s="13">
        <f>AC547*1.25*[1]Parametros!$B$3*(AB547-(AC547*1.25*[1]Parametros!$B$3/(0.85*[1]Parametros!$B$2*H547))/2)/1000000</f>
        <v>244.15884319852941</v>
      </c>
      <c r="AH547" s="13">
        <f t="shared" si="106"/>
        <v>369.07508161764702</v>
      </c>
      <c r="AI547" s="13">
        <f t="shared" si="107"/>
        <v>572.12</v>
      </c>
      <c r="AJ547" s="13">
        <f>0.17*SQRT([1]Parametros!$B$2)*H547*MIN(U547,AB547)/1000</f>
        <v>220.09872869180776</v>
      </c>
      <c r="AK547" s="13">
        <f>MAX(AI547/[1]Parametros!$B$6-AJ547,0)</f>
        <v>542.72793797485895</v>
      </c>
      <c r="AL547" s="13">
        <f>0.66*SQRT([1]Parametros!$B$2)*H547*MIN(U547,AB547)/1000</f>
        <v>854.500946685842</v>
      </c>
      <c r="AM547" s="13" t="str">
        <f t="shared" si="108"/>
        <v>CUMPLE</v>
      </c>
      <c r="AN547" s="13" t="s">
        <v>68</v>
      </c>
      <c r="AO547" s="14">
        <v>2</v>
      </c>
      <c r="AP547" s="13">
        <f>ROUNDDOWN(MIN(IF(BC547+BD547=0,1000000000,AO547*BB547/(BC547+BD547)),MIN(U547,AB547)/4,8*[1]Parametros!$B$12,24*BA547,300,IF(AV547=0,1000000000,2*((H547-2*([1]Parametros!$B$7+[1]Parametros!$B$9/2))+(I547-2*([1]Parametros!$B$7+[1]Parametros!$B$9/2)))/8))/10,0)*10</f>
        <v>80</v>
      </c>
      <c r="AQ547" s="13">
        <f>ROUNDDOWN(MIN(IF(BC547+BD547=0,1000000000,AO547*BB547/(BC547+BD547)),IF(AK547&gt;0.33*SQRT([1]Parametros!$B$2)*H547*MIN(U547,AB547)/1000,MIN(U547,AB547)/4,MIN(U547,AB547)/2),600,IF(AV547=0,1000000000,2*((H547-2*([1]Parametros!$B$7+[1]Parametros!$B$9/2))+(I547-2*([1]Parametros!$B$7+[1]Parametros!$B$9/2)))/8))/10,0)*10</f>
        <v>80</v>
      </c>
      <c r="AR547" s="13">
        <f>[1]Parametros!$B$6*(AJ547+MAX(BE547-BD547,0)*[1]Parametros!$B$4*MIN(U547,AB547)/1000)</f>
        <v>590.21776364219556</v>
      </c>
      <c r="AS547" s="13" t="str">
        <f t="shared" si="109"/>
        <v>CUMPLE</v>
      </c>
      <c r="AT547" s="13">
        <f>[1]Parametros!$B$6*0.083*SQRT([1]Parametros!$B$2)*(H547*I547)^2/(2*(H547+I547))/1000000</f>
        <v>11.862178757598967</v>
      </c>
      <c r="AU547" s="13" t="str">
        <f t="shared" si="110"/>
        <v>DISEÑAR</v>
      </c>
      <c r="AV547" s="13">
        <f>IF(Q547&lt;=AT547,0,Q547*1000000/([1]Parametros!$B$6*2*0.85*(H547-2*([1]Parametros!$B$7+[1]Parametros!$B$9/2))*(I547-2*([1]Parametros!$B$7+[1]Parametros!$B$9/2))*[1]Parametros!$B$4))</f>
        <v>0.23346393783350536</v>
      </c>
      <c r="AW547" s="13">
        <f>AV547*2*((H547-2*([1]Parametros!$B$7+[1]Parametros!$B$9/2))+(I547-2*([1]Parametros!$B$7+[1]Parametros!$B$9/2)))*[1]Parametros!$B$4/[1]Parametros!$B$3</f>
        <v>403.70584130169749</v>
      </c>
      <c r="AX547" s="14">
        <v>8</v>
      </c>
      <c r="AY547" s="13" t="str">
        <f t="shared" si="111"/>
        <v>CUMPLE</v>
      </c>
      <c r="AZ547" s="13" t="str">
        <f t="shared" si="112"/>
        <v>CUMPLE</v>
      </c>
      <c r="BA547" s="14">
        <v>12.7</v>
      </c>
      <c r="BB547" s="14">
        <v>129</v>
      </c>
      <c r="BC547" s="13">
        <f>MAX(IF(AK547=0,0,AK547*1000/([1]Parametros!$B$4*MIN(U547,AB547))),MAX(0.062*SQRT([1]Parametros!$B$2)*H547/[1]Parametros!$B$4,0.35*H547/[1]Parametros!$B$4))</f>
        <v>2.6406649149496606</v>
      </c>
      <c r="BD547" s="13">
        <f t="shared" si="113"/>
        <v>0.46692787566701072</v>
      </c>
      <c r="BE547" s="13">
        <f t="shared" si="114"/>
        <v>3.2250000000000001</v>
      </c>
      <c r="BF547" s="13">
        <f>SQRT((AI547*1000/(H547*MIN(U547,AB547)))^2+(Q547*1000000*2*((H547-2*([1]Parametros!$B$7+[1]Parametros!$B$9/2))+(I547-2*([1]Parametros!$B$7+[1]Parametros!$B$9/2)))/(1.7*((H547-2*([1]Parametros!$B$7+[1]Parametros!$B$9/2))*(I547-2*([1]Parametros!$B$7+[1]Parametros!$B$9/2)))^2))^2)</f>
        <v>2.4359234042647744</v>
      </c>
      <c r="BG547" s="13">
        <f>[1]Parametros!$B$6*(AJ547*1000/(H547*MIN(U547,AB547))+0.66*SQRT([1]Parametros!$B$2))</f>
        <v>3.2939603822754151</v>
      </c>
      <c r="BH547" s="13" t="str">
        <f t="shared" si="115"/>
        <v>CUMPLE</v>
      </c>
      <c r="BI547" s="13">
        <f>AX547*[1]Parametros!$B$8</f>
        <v>1592</v>
      </c>
      <c r="BJ547" s="15" t="str">
        <f t="shared" si="116"/>
        <v>CUMPLE</v>
      </c>
    </row>
    <row r="548" spans="1:62" x14ac:dyDescent="0.3">
      <c r="A548" s="35" t="s">
        <v>77</v>
      </c>
      <c r="B548" s="36">
        <v>1355</v>
      </c>
      <c r="C548" s="13">
        <v>1</v>
      </c>
      <c r="D548" s="13">
        <v>2.7</v>
      </c>
      <c r="E548" s="13">
        <v>2.7</v>
      </c>
      <c r="F548" s="13">
        <v>500</v>
      </c>
      <c r="G548" s="13">
        <v>550</v>
      </c>
      <c r="H548" s="13">
        <v>500</v>
      </c>
      <c r="I548" s="13">
        <v>550</v>
      </c>
      <c r="J548" s="14">
        <v>190.93360000000001</v>
      </c>
      <c r="K548" s="13">
        <v>1355</v>
      </c>
      <c r="L548" s="14">
        <v>113.52760000000001</v>
      </c>
      <c r="M548" s="13">
        <v>1355</v>
      </c>
      <c r="N548" s="14">
        <v>137.17699999999999</v>
      </c>
      <c r="O548" s="14">
        <v>470.94600000000003</v>
      </c>
      <c r="P548" s="13">
        <v>1355</v>
      </c>
      <c r="Q548" s="14">
        <v>18.591699999999999</v>
      </c>
      <c r="R548" s="13">
        <f>MAX(MAX(1.4/[1]Parametros!$B$3,0.25*SQRT([1]Parametros!$B$2)/[1]Parametros!$B$3)*H548*U548,(0.85*[1]Parametros!$B$2/[1]Parametros!$B$3)*(1-SQRT(1-2*(J548*1000000/([1]Parametros!$B$5*H548*U548^2))/(0.85*[1]Parametros!$B$2)))*H548*U548)</f>
        <v>1073.798210810603</v>
      </c>
      <c r="S548" s="14">
        <v>6</v>
      </c>
      <c r="T548" s="14">
        <v>1</v>
      </c>
      <c r="U548" s="13">
        <f>IF(T548=1,I548-([1]Parametros!$B$7+[1]Parametros!$B$9+[1]Parametros!$B$12/2),I548-(ROUNDUP(S548/2,0)*([1]Parametros!$B$7+[1]Parametros!$B$9+[1]Parametros!$B$12/2)+ROUNDDOWN(S548/2,0)*([1]Parametros!$B$7+[1]Parametros!$B$9+[1]Parametros!$B$12/2+[1]Parametros!$B$12+[1]Parametros!$B$10))/S548)</f>
        <v>489.35</v>
      </c>
      <c r="V548" s="13">
        <f>S548*[1]Parametros!$B$8</f>
        <v>1194</v>
      </c>
      <c r="W548" s="13">
        <f>[1]Parametros!$B$5*V548*[1]Parametros!$B$3*(U548-(V548*[1]Parametros!$B$3/(0.85*[1]Parametros!$B$2*H548))/2)/1000000</f>
        <v>211.34948347058827</v>
      </c>
      <c r="X548" s="13" t="str">
        <f t="shared" si="104"/>
        <v>CUMPLE</v>
      </c>
      <c r="Y548" s="13">
        <f>MAX(MAX(1.4/[1]Parametros!$B$3,0.25*SQRT([1]Parametros!$B$2)/[1]Parametros!$B$3)*H548*AB548,(0.85*[1]Parametros!$B$2/[1]Parametros!$B$3)*(1-SQRT(1-2*(L548*1000000/([1]Parametros!$B$5*H548*AB548^2))/(0.85*[1]Parametros!$B$2)))*H548*AB548)</f>
        <v>815.58333333333326</v>
      </c>
      <c r="Z548" s="14">
        <v>5</v>
      </c>
      <c r="AA548" s="14">
        <v>1</v>
      </c>
      <c r="AB548" s="13">
        <f>IF(AA548=1,I548-([1]Parametros!$B$7+[1]Parametros!$B$9+[1]Parametros!$B$12/2),I548-(ROUNDUP(Z548/2,0)*([1]Parametros!$B$7+[1]Parametros!$B$9+[1]Parametros!$B$12/2)+ROUNDDOWN(Z548/2,0)*([1]Parametros!$B$7+[1]Parametros!$B$9+[1]Parametros!$B$12/2+[1]Parametros!$B$12+[1]Parametros!$B$10))/Z548)</f>
        <v>489.35</v>
      </c>
      <c r="AC548" s="13">
        <f>Z548*[1]Parametros!$B$8</f>
        <v>995</v>
      </c>
      <c r="AD548" s="13">
        <f>[1]Parametros!$B$5*AC548*[1]Parametros!$B$3*(AB548-(AC548*[1]Parametros!$B$3/(0.85*[1]Parametros!$B$2*H548))/2)/1000000</f>
        <v>177.44537938235294</v>
      </c>
      <c r="AE548" s="13" t="str">
        <f t="shared" si="105"/>
        <v>CUMPLE</v>
      </c>
      <c r="AF548" s="13">
        <f>V548*1.25*[1]Parametros!$B$3*(U548-(V548*1.25*[1]Parametros!$B$3/(0.85*[1]Parametros!$B$2*H548))/2)/1000000</f>
        <v>290.23892470588237</v>
      </c>
      <c r="AG548" s="13">
        <f>AC548*1.25*[1]Parametros!$B$3*(AB548-(AC548*1.25*[1]Parametros!$B$3/(0.85*[1]Parametros!$B$2*H548))/2)/1000000</f>
        <v>244.15884319852941</v>
      </c>
      <c r="AH548" s="13">
        <f t="shared" si="106"/>
        <v>335.10209922385621</v>
      </c>
      <c r="AI548" s="13">
        <f t="shared" si="107"/>
        <v>470.94600000000003</v>
      </c>
      <c r="AJ548" s="13">
        <f>0.17*SQRT([1]Parametros!$B$2)*H548*MIN(U548,AB548)/1000</f>
        <v>220.09872869180776</v>
      </c>
      <c r="AK548" s="13">
        <f>MAX(AI548/[1]Parametros!$B$6-AJ548,0)</f>
        <v>407.82927130819223</v>
      </c>
      <c r="AL548" s="13">
        <f>0.66*SQRT([1]Parametros!$B$2)*H548*MIN(U548,AB548)/1000</f>
        <v>854.500946685842</v>
      </c>
      <c r="AM548" s="13" t="str">
        <f t="shared" si="108"/>
        <v>CUMPLE</v>
      </c>
      <c r="AN548" s="13" t="s">
        <v>68</v>
      </c>
      <c r="AO548" s="14">
        <v>2</v>
      </c>
      <c r="AP548" s="13">
        <f>ROUNDDOWN(MIN(IF(BC548+BD548=0,1000000000,AO548*BB548/(BC548+BD548)),MIN(U548,AB548)/4,8*[1]Parametros!$B$12,24*BA548,300,IF(AV548=0,1000000000,2*((H548-2*([1]Parametros!$B$7+[1]Parametros!$B$9/2))+(I548-2*([1]Parametros!$B$7+[1]Parametros!$B$9/2)))/8))/10,0)*10</f>
        <v>100</v>
      </c>
      <c r="AQ548" s="13">
        <f>ROUNDDOWN(MIN(IF(BC548+BD548=0,1000000000,AO548*BB548/(BC548+BD548)),IF(AK548&gt;0.33*SQRT([1]Parametros!$B$2)*H548*MIN(U548,AB548)/1000,MIN(U548,AB548)/4,MIN(U548,AB548)/2),600,IF(AV548=0,1000000000,2*((H548-2*([1]Parametros!$B$7+[1]Parametros!$B$9/2))+(I548-2*([1]Parametros!$B$7+[1]Parametros!$B$9/2)))/8))/10,0)*10</f>
        <v>100</v>
      </c>
      <c r="AR548" s="13">
        <f>[1]Parametros!$B$6*(AJ548+MAX(BE548-BD548,0)*[1]Parametros!$B$4*MIN(U548,AB548)/1000)</f>
        <v>505.30369263417708</v>
      </c>
      <c r="AS548" s="13" t="str">
        <f t="shared" si="109"/>
        <v>CUMPLE</v>
      </c>
      <c r="AT548" s="13">
        <f>[1]Parametros!$B$6*0.083*SQRT([1]Parametros!$B$2)*(H548*I548)^2/(2*(H548+I548))/1000000</f>
        <v>11.862178757598967</v>
      </c>
      <c r="AU548" s="13" t="str">
        <f t="shared" si="110"/>
        <v>DISEÑAR</v>
      </c>
      <c r="AV548" s="13">
        <f>IF(Q548&lt;=AT548,0,Q548*1000000/([1]Parametros!$B$6*2*0.85*(H548-2*([1]Parametros!$B$7+[1]Parametros!$B$9/2))*(I548-2*([1]Parametros!$B$7+[1]Parametros!$B$9/2))*[1]Parametros!$B$4))</f>
        <v>0.18639918805373107</v>
      </c>
      <c r="AW548" s="13">
        <f>AV548*2*((H548-2*([1]Parametros!$B$7+[1]Parametros!$B$9/2))+(I548-2*([1]Parametros!$B$7+[1]Parametros!$B$9/2)))*[1]Parametros!$B$4/[1]Parametros!$B$3</f>
        <v>322.32147598251174</v>
      </c>
      <c r="AX548" s="14">
        <v>8</v>
      </c>
      <c r="AY548" s="13" t="str">
        <f t="shared" si="111"/>
        <v>CUMPLE</v>
      </c>
      <c r="AZ548" s="13" t="str">
        <f t="shared" si="112"/>
        <v>CUMPLE</v>
      </c>
      <c r="BA548" s="14">
        <v>12.7</v>
      </c>
      <c r="BB548" s="14">
        <v>129</v>
      </c>
      <c r="BC548" s="13">
        <f>MAX(IF(AK548=0,0,AK548*1000/([1]Parametros!$B$4*MIN(U548,AB548))),MAX(0.062*SQRT([1]Parametros!$B$2)*H548/[1]Parametros!$B$4,0.35*H548/[1]Parametros!$B$4))</f>
        <v>1.984309951043864</v>
      </c>
      <c r="BD548" s="13">
        <f t="shared" si="113"/>
        <v>0.37279837610746214</v>
      </c>
      <c r="BE548" s="13">
        <f t="shared" si="114"/>
        <v>2.58</v>
      </c>
      <c r="BF548" s="13">
        <f>SQRT((AI548*1000/(H548*MIN(U548,AB548)))^2+(Q548*1000000*2*((H548-2*([1]Parametros!$B$7+[1]Parametros!$B$9/2))+(I548-2*([1]Parametros!$B$7+[1]Parametros!$B$9/2)))/(1.7*((H548-2*([1]Parametros!$B$7+[1]Parametros!$B$9/2))*(I548-2*([1]Parametros!$B$7+[1]Parametros!$B$9/2)))^2))^2)</f>
        <v>2.0004824780974269</v>
      </c>
      <c r="BG548" s="13">
        <f>[1]Parametros!$B$6*(AJ548*1000/(H548*MIN(U548,AB548))+0.66*SQRT([1]Parametros!$B$2))</f>
        <v>3.2939603822754151</v>
      </c>
      <c r="BH548" s="13" t="str">
        <f t="shared" si="115"/>
        <v>CUMPLE</v>
      </c>
      <c r="BI548" s="13">
        <f>AX548*[1]Parametros!$B$8</f>
        <v>1592</v>
      </c>
      <c r="BJ548" s="15" t="str">
        <f t="shared" si="116"/>
        <v>CUMPLE</v>
      </c>
    </row>
    <row r="549" spans="1:62" x14ac:dyDescent="0.3">
      <c r="A549" s="35" t="s">
        <v>77</v>
      </c>
      <c r="B549" s="36">
        <v>1356</v>
      </c>
      <c r="C549" s="13">
        <v>1</v>
      </c>
      <c r="D549" s="13">
        <v>2.7</v>
      </c>
      <c r="E549" s="13">
        <v>2.7</v>
      </c>
      <c r="F549" s="13">
        <v>500</v>
      </c>
      <c r="G549" s="13">
        <v>550</v>
      </c>
      <c r="H549" s="13">
        <v>500</v>
      </c>
      <c r="I549" s="13">
        <v>550</v>
      </c>
      <c r="J549" s="14">
        <v>191.0043</v>
      </c>
      <c r="K549" s="13">
        <v>1356</v>
      </c>
      <c r="L549" s="14">
        <v>113.4545</v>
      </c>
      <c r="M549" s="13">
        <v>1356</v>
      </c>
      <c r="N549" s="14">
        <v>137.197</v>
      </c>
      <c r="O549" s="14">
        <v>470.88600000000002</v>
      </c>
      <c r="P549" s="13">
        <v>1356</v>
      </c>
      <c r="Q549" s="14">
        <v>18.593</v>
      </c>
      <c r="R549" s="13">
        <f>MAX(MAX(1.4/[1]Parametros!$B$3,0.25*SQRT([1]Parametros!$B$2)/[1]Parametros!$B$3)*H549*U549,(0.85*[1]Parametros!$B$2/[1]Parametros!$B$3)*(1-SQRT(1-2*(J549*1000000/([1]Parametros!$B$5*H549*U549^2))/(0.85*[1]Parametros!$B$2)))*H549*U549)</f>
        <v>1074.2125192669032</v>
      </c>
      <c r="S549" s="14">
        <v>6</v>
      </c>
      <c r="T549" s="14">
        <v>1</v>
      </c>
      <c r="U549" s="13">
        <f>IF(T549=1,I549-([1]Parametros!$B$7+[1]Parametros!$B$9+[1]Parametros!$B$12/2),I549-(ROUNDUP(S549/2,0)*([1]Parametros!$B$7+[1]Parametros!$B$9+[1]Parametros!$B$12/2)+ROUNDDOWN(S549/2,0)*([1]Parametros!$B$7+[1]Parametros!$B$9+[1]Parametros!$B$12/2+[1]Parametros!$B$12+[1]Parametros!$B$10))/S549)</f>
        <v>489.35</v>
      </c>
      <c r="V549" s="13">
        <f>S549*[1]Parametros!$B$8</f>
        <v>1194</v>
      </c>
      <c r="W549" s="13">
        <f>[1]Parametros!$B$5*V549*[1]Parametros!$B$3*(U549-(V549*[1]Parametros!$B$3/(0.85*[1]Parametros!$B$2*H549))/2)/1000000</f>
        <v>211.34948347058827</v>
      </c>
      <c r="X549" s="13" t="str">
        <f t="shared" si="104"/>
        <v>CUMPLE</v>
      </c>
      <c r="Y549" s="13">
        <f>MAX(MAX(1.4/[1]Parametros!$B$3,0.25*SQRT([1]Parametros!$B$2)/[1]Parametros!$B$3)*H549*AB549,(0.85*[1]Parametros!$B$2/[1]Parametros!$B$3)*(1-SQRT(1-2*(L549*1000000/([1]Parametros!$B$5*H549*AB549^2))/(0.85*[1]Parametros!$B$2)))*H549*AB549)</f>
        <v>815.58333333333326</v>
      </c>
      <c r="Z549" s="14">
        <v>5</v>
      </c>
      <c r="AA549" s="14">
        <v>1</v>
      </c>
      <c r="AB549" s="13">
        <f>IF(AA549=1,I549-([1]Parametros!$B$7+[1]Parametros!$B$9+[1]Parametros!$B$12/2),I549-(ROUNDUP(Z549/2,0)*([1]Parametros!$B$7+[1]Parametros!$B$9+[1]Parametros!$B$12/2)+ROUNDDOWN(Z549/2,0)*([1]Parametros!$B$7+[1]Parametros!$B$9+[1]Parametros!$B$12/2+[1]Parametros!$B$12+[1]Parametros!$B$10))/Z549)</f>
        <v>489.35</v>
      </c>
      <c r="AC549" s="13">
        <f>Z549*[1]Parametros!$B$8</f>
        <v>995</v>
      </c>
      <c r="AD549" s="13">
        <f>[1]Parametros!$B$5*AC549*[1]Parametros!$B$3*(AB549-(AC549*[1]Parametros!$B$3/(0.85*[1]Parametros!$B$2*H549))/2)/1000000</f>
        <v>177.44537938235294</v>
      </c>
      <c r="AE549" s="13" t="str">
        <f t="shared" si="105"/>
        <v>CUMPLE</v>
      </c>
      <c r="AF549" s="13">
        <f>V549*1.25*[1]Parametros!$B$3*(U549-(V549*1.25*[1]Parametros!$B$3/(0.85*[1]Parametros!$B$2*H549))/2)/1000000</f>
        <v>290.23892470588237</v>
      </c>
      <c r="AG549" s="13">
        <f>AC549*1.25*[1]Parametros!$B$3*(AB549-(AC549*1.25*[1]Parametros!$B$3/(0.85*[1]Parametros!$B$2*H549))/2)/1000000</f>
        <v>244.15884319852941</v>
      </c>
      <c r="AH549" s="13">
        <f t="shared" si="106"/>
        <v>335.12209922385625</v>
      </c>
      <c r="AI549" s="13">
        <f t="shared" si="107"/>
        <v>470.88600000000002</v>
      </c>
      <c r="AJ549" s="13">
        <f>0.17*SQRT([1]Parametros!$B$2)*H549*MIN(U549,AB549)/1000</f>
        <v>220.09872869180776</v>
      </c>
      <c r="AK549" s="13">
        <f>MAX(AI549/[1]Parametros!$B$6-AJ549,0)</f>
        <v>407.74927130819231</v>
      </c>
      <c r="AL549" s="13">
        <f>0.66*SQRT([1]Parametros!$B$2)*H549*MIN(U549,AB549)/1000</f>
        <v>854.500946685842</v>
      </c>
      <c r="AM549" s="13" t="str">
        <f t="shared" si="108"/>
        <v>CUMPLE</v>
      </c>
      <c r="AN549" s="13" t="s">
        <v>68</v>
      </c>
      <c r="AO549" s="14">
        <v>2</v>
      </c>
      <c r="AP549" s="13">
        <f>ROUNDDOWN(MIN(IF(BC549+BD549=0,1000000000,AO549*BB549/(BC549+BD549)),MIN(U549,AB549)/4,8*[1]Parametros!$B$12,24*BA549,300,IF(AV549=0,1000000000,2*((H549-2*([1]Parametros!$B$7+[1]Parametros!$B$9/2))+(I549-2*([1]Parametros!$B$7+[1]Parametros!$B$9/2)))/8))/10,0)*10</f>
        <v>100</v>
      </c>
      <c r="AQ549" s="13">
        <f>ROUNDDOWN(MIN(IF(BC549+BD549=0,1000000000,AO549*BB549/(BC549+BD549)),IF(AK549&gt;0.33*SQRT([1]Parametros!$B$2)*H549*MIN(U549,AB549)/1000,MIN(U549,AB549)/4,MIN(U549,AB549)/2),600,IF(AV549=0,1000000000,2*((H549-2*([1]Parametros!$B$7+[1]Parametros!$B$9/2))+(I549-2*([1]Parametros!$B$7+[1]Parametros!$B$9/2)))/8))/10,0)*10</f>
        <v>100</v>
      </c>
      <c r="AR549" s="13">
        <f>[1]Parametros!$B$6*(AJ549+MAX(BE549-BD549,0)*[1]Parametros!$B$4*MIN(U549,AB549)/1000)</f>
        <v>505.29967446324326</v>
      </c>
      <c r="AS549" s="13" t="str">
        <f t="shared" si="109"/>
        <v>CUMPLE</v>
      </c>
      <c r="AT549" s="13">
        <f>[1]Parametros!$B$6*0.083*SQRT([1]Parametros!$B$2)*(H549*I549)^2/(2*(H549+I549))/1000000</f>
        <v>11.862178757598967</v>
      </c>
      <c r="AU549" s="13" t="str">
        <f t="shared" si="110"/>
        <v>DISEÑAR</v>
      </c>
      <c r="AV549" s="13">
        <f>IF(Q549&lt;=AT549,0,Q549*1000000/([1]Parametros!$B$6*2*0.85*(H549-2*([1]Parametros!$B$7+[1]Parametros!$B$9/2))*(I549-2*([1]Parametros!$B$7+[1]Parametros!$B$9/2))*[1]Parametros!$B$4))</f>
        <v>0.18641222177009212</v>
      </c>
      <c r="AW549" s="13">
        <f>AV549*2*((H549-2*([1]Parametros!$B$7+[1]Parametros!$B$9/2))+(I549-2*([1]Parametros!$B$7+[1]Parametros!$B$9/2)))*[1]Parametros!$B$4/[1]Parametros!$B$3</f>
        <v>322.34401388484332</v>
      </c>
      <c r="AX549" s="14">
        <v>8</v>
      </c>
      <c r="AY549" s="13" t="str">
        <f t="shared" si="111"/>
        <v>CUMPLE</v>
      </c>
      <c r="AZ549" s="13" t="str">
        <f t="shared" si="112"/>
        <v>CUMPLE</v>
      </c>
      <c r="BA549" s="14">
        <v>12.7</v>
      </c>
      <c r="BB549" s="14">
        <v>129</v>
      </c>
      <c r="BC549" s="13">
        <f>MAX(IF(AK549=0,0,AK549*1000/([1]Parametros!$B$4*MIN(U549,AB549))),MAX(0.062*SQRT([1]Parametros!$B$2)*H549/[1]Parametros!$B$4,0.35*H549/[1]Parametros!$B$4))</f>
        <v>1.9839207077814218</v>
      </c>
      <c r="BD549" s="13">
        <f t="shared" si="113"/>
        <v>0.37282444354018424</v>
      </c>
      <c r="BE549" s="13">
        <f t="shared" si="114"/>
        <v>2.58</v>
      </c>
      <c r="BF549" s="13">
        <f>SQRT((AI549*1000/(H549*MIN(U549,AB549)))^2+(Q549*1000000*2*((H549-2*([1]Parametros!$B$7+[1]Parametros!$B$9/2))+(I549-2*([1]Parametros!$B$7+[1]Parametros!$B$9/2)))/(1.7*((H549-2*([1]Parametros!$B$7+[1]Parametros!$B$9/2))*(I549-2*([1]Parametros!$B$7+[1]Parametros!$B$9/2)))^2))^2)</f>
        <v>2.0002569232861251</v>
      </c>
      <c r="BG549" s="13">
        <f>[1]Parametros!$B$6*(AJ549*1000/(H549*MIN(U549,AB549))+0.66*SQRT([1]Parametros!$B$2))</f>
        <v>3.2939603822754151</v>
      </c>
      <c r="BH549" s="13" t="str">
        <f t="shared" si="115"/>
        <v>CUMPLE</v>
      </c>
      <c r="BI549" s="13">
        <f>AX549*[1]Parametros!$B$8</f>
        <v>1592</v>
      </c>
      <c r="BJ549" s="15" t="str">
        <f t="shared" si="116"/>
        <v>CUMPLE</v>
      </c>
    </row>
    <row r="550" spans="1:62" x14ac:dyDescent="0.3">
      <c r="A550" s="35" t="s">
        <v>77</v>
      </c>
      <c r="B550" s="36">
        <v>1357</v>
      </c>
      <c r="C550" s="13">
        <v>1</v>
      </c>
      <c r="D550" s="13">
        <v>2.7</v>
      </c>
      <c r="E550" s="13">
        <v>2.7</v>
      </c>
      <c r="F550" s="13">
        <v>500</v>
      </c>
      <c r="G550" s="13">
        <v>550</v>
      </c>
      <c r="H550" s="13">
        <v>500</v>
      </c>
      <c r="I550" s="13">
        <v>550</v>
      </c>
      <c r="J550" s="14">
        <v>156.13800000000001</v>
      </c>
      <c r="K550" s="13">
        <v>1357</v>
      </c>
      <c r="L550" s="14">
        <v>72.441699999999997</v>
      </c>
      <c r="M550" s="13">
        <v>1357</v>
      </c>
      <c r="N550" s="14">
        <v>116.331</v>
      </c>
      <c r="O550" s="14">
        <v>355.56299999999999</v>
      </c>
      <c r="P550" s="13">
        <v>1357</v>
      </c>
      <c r="Q550" s="14">
        <v>14.302899999999999</v>
      </c>
      <c r="R550" s="13">
        <f>MAX(MAX(1.4/[1]Parametros!$B$3,0.25*SQRT([1]Parametros!$B$2)/[1]Parametros!$B$3)*H550*U550,(0.85*[1]Parametros!$B$2/[1]Parametros!$B$3)*(1-SQRT(1-2*(J550*1000000/([1]Parametros!$B$5*H550*U550^2))/(0.85*[1]Parametros!$B$2)))*H550*U550)</f>
        <v>871.49591011914845</v>
      </c>
      <c r="S550" s="14">
        <v>5</v>
      </c>
      <c r="T550" s="14">
        <v>1</v>
      </c>
      <c r="U550" s="13">
        <f>IF(T550=1,I550-([1]Parametros!$B$7+[1]Parametros!$B$9+[1]Parametros!$B$12/2),I550-(ROUNDUP(S550/2,0)*([1]Parametros!$B$7+[1]Parametros!$B$9+[1]Parametros!$B$12/2)+ROUNDDOWN(S550/2,0)*([1]Parametros!$B$7+[1]Parametros!$B$9+[1]Parametros!$B$12/2+[1]Parametros!$B$12+[1]Parametros!$B$10))/S550)</f>
        <v>489.35</v>
      </c>
      <c r="V550" s="13">
        <f>S550*[1]Parametros!$B$8</f>
        <v>995</v>
      </c>
      <c r="W550" s="13">
        <f>[1]Parametros!$B$5*V550*[1]Parametros!$B$3*(U550-(V550*[1]Parametros!$B$3/(0.85*[1]Parametros!$B$2*H550))/2)/1000000</f>
        <v>177.44537938235294</v>
      </c>
      <c r="X550" s="13" t="str">
        <f t="shared" si="104"/>
        <v>CUMPLE</v>
      </c>
      <c r="Y550" s="13">
        <f>MAX(MAX(1.4/[1]Parametros!$B$3,0.25*SQRT([1]Parametros!$B$2)/[1]Parametros!$B$3)*H550*AB550,(0.85*[1]Parametros!$B$2/[1]Parametros!$B$3)*(1-SQRT(1-2*(L550*1000000/([1]Parametros!$B$5*H550*AB550^2))/(0.85*[1]Parametros!$B$2)))*H550*AB550)</f>
        <v>815.58333333333326</v>
      </c>
      <c r="Z550" s="14">
        <v>5</v>
      </c>
      <c r="AA550" s="14">
        <v>1</v>
      </c>
      <c r="AB550" s="13">
        <f>IF(AA550=1,I550-([1]Parametros!$B$7+[1]Parametros!$B$9+[1]Parametros!$B$12/2),I550-(ROUNDUP(Z550/2,0)*([1]Parametros!$B$7+[1]Parametros!$B$9+[1]Parametros!$B$12/2)+ROUNDDOWN(Z550/2,0)*([1]Parametros!$B$7+[1]Parametros!$B$9+[1]Parametros!$B$12/2+[1]Parametros!$B$12+[1]Parametros!$B$10))/Z550)</f>
        <v>489.35</v>
      </c>
      <c r="AC550" s="13">
        <f>Z550*[1]Parametros!$B$8</f>
        <v>995</v>
      </c>
      <c r="AD550" s="13">
        <f>[1]Parametros!$B$5*AC550*[1]Parametros!$B$3*(AB550-(AC550*[1]Parametros!$B$3/(0.85*[1]Parametros!$B$2*H550))/2)/1000000</f>
        <v>177.44537938235294</v>
      </c>
      <c r="AE550" s="13" t="str">
        <f t="shared" si="105"/>
        <v>CUMPLE</v>
      </c>
      <c r="AF550" s="13">
        <f>V550*1.25*[1]Parametros!$B$3*(U550-(V550*1.25*[1]Parametros!$B$3/(0.85*[1]Parametros!$B$2*H550))/2)/1000000</f>
        <v>244.15884319852941</v>
      </c>
      <c r="AG550" s="13">
        <f>AC550*1.25*[1]Parametros!$B$3*(AB550-(AC550*1.25*[1]Parametros!$B$3/(0.85*[1]Parametros!$B$2*H550))/2)/1000000</f>
        <v>244.15884319852941</v>
      </c>
      <c r="AH550" s="13">
        <f t="shared" si="106"/>
        <v>297.18940236928103</v>
      </c>
      <c r="AI550" s="13">
        <f t="shared" si="107"/>
        <v>355.56299999999999</v>
      </c>
      <c r="AJ550" s="13">
        <f>0.17*SQRT([1]Parametros!$B$2)*H550*MIN(U550,AB550)/1000</f>
        <v>220.09872869180776</v>
      </c>
      <c r="AK550" s="13">
        <f>MAX(AI550/[1]Parametros!$B$6-AJ550,0)</f>
        <v>253.98527130819224</v>
      </c>
      <c r="AL550" s="13">
        <f>0.66*SQRT([1]Parametros!$B$2)*H550*MIN(U550,AB550)/1000</f>
        <v>854.500946685842</v>
      </c>
      <c r="AM550" s="13" t="str">
        <f t="shared" si="108"/>
        <v>CUMPLE</v>
      </c>
      <c r="AN550" s="13" t="s">
        <v>64</v>
      </c>
      <c r="AO550" s="14">
        <v>2</v>
      </c>
      <c r="AP550" s="13">
        <f>ROUNDDOWN(MIN(IF(BC550+BD550=0,1000000000,AO550*BB550/(BC550+BD550)),MIN(U550,AB550)/4,8*[1]Parametros!$B$12,24*BA550,300,IF(AV550=0,1000000000,2*((H550-2*([1]Parametros!$B$7+[1]Parametros!$B$9/2))+(I550-2*([1]Parametros!$B$7+[1]Parametros!$B$9/2)))/8))/10,0)*10</f>
        <v>90</v>
      </c>
      <c r="AQ550" s="13">
        <f>ROUNDDOWN(MIN(IF(BC550+BD550=0,1000000000,AO550*BB550/(BC550+BD550)),IF(AK550&gt;0.33*SQRT([1]Parametros!$B$2)*H550*MIN(U550,AB550)/1000,MIN(U550,AB550)/4,MIN(U550,AB550)/2),600,IF(AV550=0,1000000000,2*((H550-2*([1]Parametros!$B$7+[1]Parametros!$B$9/2))+(I550-2*([1]Parametros!$B$7+[1]Parametros!$B$9/2)))/8))/10,0)*10</f>
        <v>90</v>
      </c>
      <c r="AR550" s="13">
        <f>[1]Parametros!$B$6*(AJ550+MAX(BE550-BD550,0)*[1]Parametros!$B$4*MIN(U550,AB550)/1000)</f>
        <v>364.07215263488223</v>
      </c>
      <c r="AS550" s="13" t="str">
        <f t="shared" si="109"/>
        <v>CUMPLE</v>
      </c>
      <c r="AT550" s="13">
        <f>[1]Parametros!$B$6*0.083*SQRT([1]Parametros!$B$2)*(H550*I550)^2/(2*(H550+I550))/1000000</f>
        <v>11.862178757598967</v>
      </c>
      <c r="AU550" s="13" t="str">
        <f t="shared" si="110"/>
        <v>DISEÑAR</v>
      </c>
      <c r="AV550" s="13">
        <f>IF(Q550&lt;=AT550,0,Q550*1000000/([1]Parametros!$B$6*2*0.85*(H550-2*([1]Parametros!$B$7+[1]Parametros!$B$9/2))*(I550-2*([1]Parametros!$B$7+[1]Parametros!$B$9/2))*[1]Parametros!$B$4))</f>
        <v>0.14339995518504009</v>
      </c>
      <c r="AW550" s="13">
        <f>AV550*2*((H550-2*([1]Parametros!$B$7+[1]Parametros!$B$9/2))+(I550-2*([1]Parametros!$B$7+[1]Parametros!$B$9/2)))*[1]Parametros!$B$4/[1]Parametros!$B$3</f>
        <v>247.96720250597133</v>
      </c>
      <c r="AX550" s="14">
        <v>8</v>
      </c>
      <c r="AY550" s="13" t="str">
        <f t="shared" si="111"/>
        <v>CUMPLE</v>
      </c>
      <c r="AZ550" s="13" t="str">
        <f t="shared" si="112"/>
        <v>CUMPLE</v>
      </c>
      <c r="BA550" s="14">
        <v>9.5</v>
      </c>
      <c r="BB550" s="14">
        <v>71</v>
      </c>
      <c r="BC550" s="13">
        <f>MAX(IF(AK550=0,0,AK550*1000/([1]Parametros!$B$4*MIN(U550,AB550))),MAX(0.062*SQRT([1]Parametros!$B$2)*H550/[1]Parametros!$B$4,0.35*H550/[1]Parametros!$B$4))</f>
        <v>1.2357756952039987</v>
      </c>
      <c r="BD550" s="13">
        <f t="shared" si="113"/>
        <v>0.28679991037008018</v>
      </c>
      <c r="BE550" s="13">
        <f t="shared" si="114"/>
        <v>1.5777777777777777</v>
      </c>
      <c r="BF550" s="13">
        <f>SQRT((AI550*1000/(H550*MIN(U550,AB550)))^2+(Q550*1000000*2*((H550-2*([1]Parametros!$B$7+[1]Parametros!$B$9/2))+(I550-2*([1]Parametros!$B$7+[1]Parametros!$B$9/2)))/(1.7*((H550-2*([1]Parametros!$B$7+[1]Parametros!$B$9/2))*(I550-2*([1]Parametros!$B$7+[1]Parametros!$B$9/2)))^2))^2)</f>
        <v>1.5125045915787987</v>
      </c>
      <c r="BG550" s="13">
        <f>[1]Parametros!$B$6*(AJ550*1000/(H550*MIN(U550,AB550))+0.66*SQRT([1]Parametros!$B$2))</f>
        <v>3.2939603822754151</v>
      </c>
      <c r="BH550" s="13" t="str">
        <f t="shared" si="115"/>
        <v>CUMPLE</v>
      </c>
      <c r="BI550" s="13">
        <f>AX550*[1]Parametros!$B$8</f>
        <v>1592</v>
      </c>
      <c r="BJ550" s="15" t="str">
        <f t="shared" si="116"/>
        <v>CUMPLE</v>
      </c>
    </row>
    <row r="551" spans="1:62" x14ac:dyDescent="0.3">
      <c r="A551" s="35" t="s">
        <v>77</v>
      </c>
      <c r="B551" s="36">
        <v>1358</v>
      </c>
      <c r="C551" s="13">
        <v>1</v>
      </c>
      <c r="D551" s="13">
        <v>2.7</v>
      </c>
      <c r="E551" s="13">
        <v>2.7</v>
      </c>
      <c r="F551" s="13">
        <v>500</v>
      </c>
      <c r="G551" s="13">
        <v>550</v>
      </c>
      <c r="H551" s="13">
        <v>500</v>
      </c>
      <c r="I551" s="13">
        <v>550</v>
      </c>
      <c r="J551" s="14">
        <v>156.2792</v>
      </c>
      <c r="K551" s="13">
        <v>1358</v>
      </c>
      <c r="L551" s="14">
        <v>72.514899999999997</v>
      </c>
      <c r="M551" s="13">
        <v>1358</v>
      </c>
      <c r="N551" s="14">
        <v>116.41500000000001</v>
      </c>
      <c r="O551" s="14">
        <v>355.63299999999998</v>
      </c>
      <c r="P551" s="13">
        <v>1358</v>
      </c>
      <c r="Q551" s="14">
        <v>14.298299999999999</v>
      </c>
      <c r="R551" s="13">
        <f>MAX(MAX(1.4/[1]Parametros!$B$3,0.25*SQRT([1]Parametros!$B$2)/[1]Parametros!$B$3)*H551*U551,(0.85*[1]Parametros!$B$2/[1]Parametros!$B$3)*(1-SQRT(1-2*(J551*1000000/([1]Parametros!$B$5*H551*U551^2))/(0.85*[1]Parametros!$B$2)))*H551*U551)</f>
        <v>872.31048437286859</v>
      </c>
      <c r="S551" s="14">
        <v>5</v>
      </c>
      <c r="T551" s="14">
        <v>1</v>
      </c>
      <c r="U551" s="13">
        <f>IF(T551=1,I551-([1]Parametros!$B$7+[1]Parametros!$B$9+[1]Parametros!$B$12/2),I551-(ROUNDUP(S551/2,0)*([1]Parametros!$B$7+[1]Parametros!$B$9+[1]Parametros!$B$12/2)+ROUNDDOWN(S551/2,0)*([1]Parametros!$B$7+[1]Parametros!$B$9+[1]Parametros!$B$12/2+[1]Parametros!$B$12+[1]Parametros!$B$10))/S551)</f>
        <v>489.35</v>
      </c>
      <c r="V551" s="13">
        <f>S551*[1]Parametros!$B$8</f>
        <v>995</v>
      </c>
      <c r="W551" s="13">
        <f>[1]Parametros!$B$5*V551*[1]Parametros!$B$3*(U551-(V551*[1]Parametros!$B$3/(0.85*[1]Parametros!$B$2*H551))/2)/1000000</f>
        <v>177.44537938235294</v>
      </c>
      <c r="X551" s="13" t="str">
        <f t="shared" si="104"/>
        <v>CUMPLE</v>
      </c>
      <c r="Y551" s="13">
        <f>MAX(MAX(1.4/[1]Parametros!$B$3,0.25*SQRT([1]Parametros!$B$2)/[1]Parametros!$B$3)*H551*AB551,(0.85*[1]Parametros!$B$2/[1]Parametros!$B$3)*(1-SQRT(1-2*(L551*1000000/([1]Parametros!$B$5*H551*AB551^2))/(0.85*[1]Parametros!$B$2)))*H551*AB551)</f>
        <v>815.58333333333326</v>
      </c>
      <c r="Z551" s="14">
        <v>5</v>
      </c>
      <c r="AA551" s="14">
        <v>1</v>
      </c>
      <c r="AB551" s="13">
        <f>IF(AA551=1,I551-([1]Parametros!$B$7+[1]Parametros!$B$9+[1]Parametros!$B$12/2),I551-(ROUNDUP(Z551/2,0)*([1]Parametros!$B$7+[1]Parametros!$B$9+[1]Parametros!$B$12/2)+ROUNDDOWN(Z551/2,0)*([1]Parametros!$B$7+[1]Parametros!$B$9+[1]Parametros!$B$12/2+[1]Parametros!$B$12+[1]Parametros!$B$10))/Z551)</f>
        <v>489.35</v>
      </c>
      <c r="AC551" s="13">
        <f>Z551*[1]Parametros!$B$8</f>
        <v>995</v>
      </c>
      <c r="AD551" s="13">
        <f>[1]Parametros!$B$5*AC551*[1]Parametros!$B$3*(AB551-(AC551*[1]Parametros!$B$3/(0.85*[1]Parametros!$B$2*H551))/2)/1000000</f>
        <v>177.44537938235294</v>
      </c>
      <c r="AE551" s="13" t="str">
        <f t="shared" si="105"/>
        <v>CUMPLE</v>
      </c>
      <c r="AF551" s="13">
        <f>V551*1.25*[1]Parametros!$B$3*(U551-(V551*1.25*[1]Parametros!$B$3/(0.85*[1]Parametros!$B$2*H551))/2)/1000000</f>
        <v>244.15884319852941</v>
      </c>
      <c r="AG551" s="13">
        <f>AC551*1.25*[1]Parametros!$B$3*(AB551-(AC551*1.25*[1]Parametros!$B$3/(0.85*[1]Parametros!$B$2*H551))/2)/1000000</f>
        <v>244.15884319852941</v>
      </c>
      <c r="AH551" s="13">
        <f t="shared" si="106"/>
        <v>297.27340236928103</v>
      </c>
      <c r="AI551" s="13">
        <f t="shared" si="107"/>
        <v>355.63299999999998</v>
      </c>
      <c r="AJ551" s="13">
        <f>0.17*SQRT([1]Parametros!$B$2)*H551*MIN(U551,AB551)/1000</f>
        <v>220.09872869180776</v>
      </c>
      <c r="AK551" s="13">
        <f>MAX(AI551/[1]Parametros!$B$6-AJ551,0)</f>
        <v>254.07860464152554</v>
      </c>
      <c r="AL551" s="13">
        <f>0.66*SQRT([1]Parametros!$B$2)*H551*MIN(U551,AB551)/1000</f>
        <v>854.500946685842</v>
      </c>
      <c r="AM551" s="13" t="str">
        <f t="shared" si="108"/>
        <v>CUMPLE</v>
      </c>
      <c r="AN551" s="13" t="s">
        <v>64</v>
      </c>
      <c r="AO551" s="14">
        <v>2</v>
      </c>
      <c r="AP551" s="13">
        <f>ROUNDDOWN(MIN(IF(BC551+BD551=0,1000000000,AO551*BB551/(BC551+BD551)),MIN(U551,AB551)/4,8*[1]Parametros!$B$12,24*BA551,300,IF(AV551=0,1000000000,2*((H551-2*([1]Parametros!$B$7+[1]Parametros!$B$9/2))+(I551-2*([1]Parametros!$B$7+[1]Parametros!$B$9/2)))/8))/10,0)*10</f>
        <v>90</v>
      </c>
      <c r="AQ551" s="13">
        <f>ROUNDDOWN(MIN(IF(BC551+BD551=0,1000000000,AO551*BB551/(BC551+BD551)),IF(AK551&gt;0.33*SQRT([1]Parametros!$B$2)*H551*MIN(U551,AB551)/1000,MIN(U551,AB551)/4,MIN(U551,AB551)/2),600,IF(AV551=0,1000000000,2*((H551-2*([1]Parametros!$B$7+[1]Parametros!$B$9/2))+(I551-2*([1]Parametros!$B$7+[1]Parametros!$B$9/2)))/8))/10,0)*10</f>
        <v>90</v>
      </c>
      <c r="AR551" s="13">
        <f>[1]Parametros!$B$6*(AJ551+MAX(BE551-BD551,0)*[1]Parametros!$B$4*MIN(U551,AB551)/1000)</f>
        <v>364.08637077818645</v>
      </c>
      <c r="AS551" s="13" t="str">
        <f t="shared" si="109"/>
        <v>CUMPLE</v>
      </c>
      <c r="AT551" s="13">
        <f>[1]Parametros!$B$6*0.083*SQRT([1]Parametros!$B$2)*(H551*I551)^2/(2*(H551+I551))/1000000</f>
        <v>11.862178757598967</v>
      </c>
      <c r="AU551" s="13" t="str">
        <f t="shared" si="110"/>
        <v>DISEÑAR</v>
      </c>
      <c r="AV551" s="13">
        <f>IF(Q551&lt;=AT551,0,Q551*1000000/([1]Parametros!$B$6*2*0.85*(H551-2*([1]Parametros!$B$7+[1]Parametros!$B$9/2))*(I551-2*([1]Parametros!$B$7+[1]Parametros!$B$9/2))*[1]Parametros!$B$4))</f>
        <v>0.14335383588099329</v>
      </c>
      <c r="AW551" s="13">
        <f>AV551*2*((H551-2*([1]Parametros!$B$7+[1]Parametros!$B$9/2))+(I551-2*([1]Parametros!$B$7+[1]Parametros!$B$9/2)))*[1]Parametros!$B$4/[1]Parametros!$B$3</f>
        <v>247.88745300541362</v>
      </c>
      <c r="AX551" s="14">
        <v>8</v>
      </c>
      <c r="AY551" s="13" t="str">
        <f t="shared" si="111"/>
        <v>CUMPLE</v>
      </c>
      <c r="AZ551" s="13" t="str">
        <f t="shared" si="112"/>
        <v>CUMPLE</v>
      </c>
      <c r="BA551" s="14">
        <v>9.5</v>
      </c>
      <c r="BB551" s="14">
        <v>71</v>
      </c>
      <c r="BC551" s="13">
        <f>MAX(IF(AK551=0,0,AK551*1000/([1]Parametros!$B$4*MIN(U551,AB551))),MAX(0.062*SQRT([1]Parametros!$B$2)*H551/[1]Parametros!$B$4,0.35*H551/[1]Parametros!$B$4))</f>
        <v>1.2362298123435147</v>
      </c>
      <c r="BD551" s="13">
        <f t="shared" si="113"/>
        <v>0.28670767176198658</v>
      </c>
      <c r="BE551" s="13">
        <f t="shared" si="114"/>
        <v>1.5777777777777777</v>
      </c>
      <c r="BF551" s="13">
        <f>SQRT((AI551*1000/(H551*MIN(U551,AB551)))^2+(Q551*1000000*2*((H551-2*([1]Parametros!$B$7+[1]Parametros!$B$9/2))+(I551-2*([1]Parametros!$B$7+[1]Parametros!$B$9/2)))/(1.7*((H551-2*([1]Parametros!$B$7+[1]Parametros!$B$9/2))*(I551-2*([1]Parametros!$B$7+[1]Parametros!$B$9/2)))^2))^2)</f>
        <v>1.5127420880359281</v>
      </c>
      <c r="BG551" s="13">
        <f>[1]Parametros!$B$6*(AJ551*1000/(H551*MIN(U551,AB551))+0.66*SQRT([1]Parametros!$B$2))</f>
        <v>3.2939603822754151</v>
      </c>
      <c r="BH551" s="13" t="str">
        <f t="shared" si="115"/>
        <v>CUMPLE</v>
      </c>
      <c r="BI551" s="13">
        <f>AX551*[1]Parametros!$B$8</f>
        <v>1592</v>
      </c>
      <c r="BJ551" s="15" t="str">
        <f t="shared" si="116"/>
        <v>CUMPLE</v>
      </c>
    </row>
    <row r="552" spans="1:62" x14ac:dyDescent="0.3">
      <c r="A552" s="35" t="s">
        <v>77</v>
      </c>
      <c r="B552" s="36">
        <v>1359</v>
      </c>
      <c r="C552" s="13">
        <v>1</v>
      </c>
      <c r="D552" s="13">
        <v>2.7</v>
      </c>
      <c r="E552" s="13">
        <v>2.7</v>
      </c>
      <c r="F552" s="13">
        <v>500</v>
      </c>
      <c r="G552" s="13">
        <v>550</v>
      </c>
      <c r="H552" s="13">
        <v>500</v>
      </c>
      <c r="I552" s="13">
        <v>550</v>
      </c>
      <c r="J552" s="14">
        <v>112.0069</v>
      </c>
      <c r="K552" s="13">
        <v>1359</v>
      </c>
      <c r="L552" s="14">
        <v>26.642299999999999</v>
      </c>
      <c r="M552" s="13">
        <v>1359</v>
      </c>
      <c r="N552" s="14">
        <v>90.396000000000001</v>
      </c>
      <c r="O552" s="14">
        <v>209.00299999999999</v>
      </c>
      <c r="P552" s="13">
        <v>1359</v>
      </c>
      <c r="Q552" s="14">
        <v>8.6285000000000007</v>
      </c>
      <c r="R552" s="13">
        <f>MAX(MAX(1.4/[1]Parametros!$B$3,0.25*SQRT([1]Parametros!$B$2)/[1]Parametros!$B$3)*H552*U552,(0.85*[1]Parametros!$B$2/[1]Parametros!$B$3)*(1-SQRT(1-2*(J552*1000000/([1]Parametros!$B$5*H552*U552^2))/(0.85*[1]Parametros!$B$2)))*H552*U552)</f>
        <v>815.58333333333326</v>
      </c>
      <c r="S552" s="14">
        <v>5</v>
      </c>
      <c r="T552" s="14">
        <v>1</v>
      </c>
      <c r="U552" s="13">
        <f>IF(T552=1,I552-([1]Parametros!$B$7+[1]Parametros!$B$9+[1]Parametros!$B$12/2),I552-(ROUNDUP(S552/2,0)*([1]Parametros!$B$7+[1]Parametros!$B$9+[1]Parametros!$B$12/2)+ROUNDDOWN(S552/2,0)*([1]Parametros!$B$7+[1]Parametros!$B$9+[1]Parametros!$B$12/2+[1]Parametros!$B$12+[1]Parametros!$B$10))/S552)</f>
        <v>489.35</v>
      </c>
      <c r="V552" s="13">
        <f>S552*[1]Parametros!$B$8</f>
        <v>995</v>
      </c>
      <c r="W552" s="13">
        <f>[1]Parametros!$B$5*V552*[1]Parametros!$B$3*(U552-(V552*[1]Parametros!$B$3/(0.85*[1]Parametros!$B$2*H552))/2)/1000000</f>
        <v>177.44537938235294</v>
      </c>
      <c r="X552" s="13" t="str">
        <f t="shared" si="104"/>
        <v>CUMPLE</v>
      </c>
      <c r="Y552" s="13">
        <f>MAX(MAX(1.4/[1]Parametros!$B$3,0.25*SQRT([1]Parametros!$B$2)/[1]Parametros!$B$3)*H552*AB552,(0.85*[1]Parametros!$B$2/[1]Parametros!$B$3)*(1-SQRT(1-2*(L552*1000000/([1]Parametros!$B$5*H552*AB552^2))/(0.85*[1]Parametros!$B$2)))*H552*AB552)</f>
        <v>815.58333333333326</v>
      </c>
      <c r="Z552" s="14">
        <v>5</v>
      </c>
      <c r="AA552" s="14">
        <v>1</v>
      </c>
      <c r="AB552" s="13">
        <f>IF(AA552=1,I552-([1]Parametros!$B$7+[1]Parametros!$B$9+[1]Parametros!$B$12/2),I552-(ROUNDUP(Z552/2,0)*([1]Parametros!$B$7+[1]Parametros!$B$9+[1]Parametros!$B$12/2)+ROUNDDOWN(Z552/2,0)*([1]Parametros!$B$7+[1]Parametros!$B$9+[1]Parametros!$B$12/2+[1]Parametros!$B$12+[1]Parametros!$B$10))/Z552)</f>
        <v>489.35</v>
      </c>
      <c r="AC552" s="13">
        <f>Z552*[1]Parametros!$B$8</f>
        <v>995</v>
      </c>
      <c r="AD552" s="13">
        <f>[1]Parametros!$B$5*AC552*[1]Parametros!$B$3*(AB552-(AC552*[1]Parametros!$B$3/(0.85*[1]Parametros!$B$2*H552))/2)/1000000</f>
        <v>177.44537938235294</v>
      </c>
      <c r="AE552" s="13" t="str">
        <f t="shared" si="105"/>
        <v>CUMPLE</v>
      </c>
      <c r="AF552" s="13">
        <f>V552*1.25*[1]Parametros!$B$3*(U552-(V552*1.25*[1]Parametros!$B$3/(0.85*[1]Parametros!$B$2*H552))/2)/1000000</f>
        <v>244.15884319852941</v>
      </c>
      <c r="AG552" s="13">
        <f>AC552*1.25*[1]Parametros!$B$3*(AB552-(AC552*1.25*[1]Parametros!$B$3/(0.85*[1]Parametros!$B$2*H552))/2)/1000000</f>
        <v>244.15884319852941</v>
      </c>
      <c r="AH552" s="13">
        <f t="shared" si="106"/>
        <v>271.25440236928102</v>
      </c>
      <c r="AI552" s="13">
        <f t="shared" si="107"/>
        <v>271.25440236928102</v>
      </c>
      <c r="AJ552" s="13">
        <f>0.17*SQRT([1]Parametros!$B$2)*H552*MIN(U552,AB552)/1000</f>
        <v>220.09872869180776</v>
      </c>
      <c r="AK552" s="13">
        <f>MAX(AI552/[1]Parametros!$B$6-AJ552,0)</f>
        <v>141.57380780056695</v>
      </c>
      <c r="AL552" s="13">
        <f>0.66*SQRT([1]Parametros!$B$2)*H552*MIN(U552,AB552)/1000</f>
        <v>854.500946685842</v>
      </c>
      <c r="AM552" s="13" t="str">
        <f t="shared" si="108"/>
        <v>CUMPLE</v>
      </c>
      <c r="AN552" s="13" t="s">
        <v>64</v>
      </c>
      <c r="AO552" s="14">
        <v>2</v>
      </c>
      <c r="AP552" s="13">
        <f>ROUNDDOWN(MIN(IF(BC552+BD552=0,1000000000,AO552*BB552/(BC552+BD552)),MIN(U552,AB552)/4,8*[1]Parametros!$B$12,24*BA552,300,IF(AV552=0,1000000000,2*((H552-2*([1]Parametros!$B$7+[1]Parametros!$B$9/2))+(I552-2*([1]Parametros!$B$7+[1]Parametros!$B$9/2)))/8))/10,0)*10</f>
        <v>120</v>
      </c>
      <c r="AQ552" s="13">
        <f>ROUNDDOWN(MIN(IF(BC552+BD552=0,1000000000,AO552*BB552/(BC552+BD552)),IF(AK552&gt;0.33*SQRT([1]Parametros!$B$2)*H552*MIN(U552,AB552)/1000,MIN(U552,AB552)/4,MIN(U552,AB552)/2),600,IF(AV552=0,1000000000,2*((H552-2*([1]Parametros!$B$7+[1]Parametros!$B$9/2))+(I552-2*([1]Parametros!$B$7+[1]Parametros!$B$9/2)))/8))/10,0)*10</f>
        <v>200</v>
      </c>
      <c r="AR552" s="13">
        <f>[1]Parametros!$B$6*(AJ552+MAX(BE552-BD552,0)*[1]Parametros!$B$4*MIN(U552,AB552)/1000)</f>
        <v>347.47925901885583</v>
      </c>
      <c r="AS552" s="13" t="str">
        <f t="shared" si="109"/>
        <v>CUMPLE</v>
      </c>
      <c r="AT552" s="13">
        <f>[1]Parametros!$B$6*0.083*SQRT([1]Parametros!$B$2)*(H552*I552)^2/(2*(H552+I552))/1000000</f>
        <v>11.862178757598967</v>
      </c>
      <c r="AU552" s="13" t="str">
        <f t="shared" si="110"/>
        <v>DESPRECIABLE</v>
      </c>
      <c r="AV552" s="13">
        <f>IF(Q552&lt;=AT552,0,Q552*1000000/([1]Parametros!$B$6*2*0.85*(H552-2*([1]Parametros!$B$7+[1]Parametros!$B$9/2))*(I552-2*([1]Parametros!$B$7+[1]Parametros!$B$9/2))*[1]Parametros!$B$4))</f>
        <v>0</v>
      </c>
      <c r="AW552" s="13">
        <f>AV552*2*((H552-2*([1]Parametros!$B$7+[1]Parametros!$B$9/2))+(I552-2*([1]Parametros!$B$7+[1]Parametros!$B$9/2)))*[1]Parametros!$B$4/[1]Parametros!$B$3</f>
        <v>0</v>
      </c>
      <c r="AX552" s="14">
        <v>0</v>
      </c>
      <c r="AY552" s="13" t="str">
        <f t="shared" si="111"/>
        <v>DESPRECIABLE</v>
      </c>
      <c r="AZ552" s="13" t="str">
        <f t="shared" si="112"/>
        <v>CUMPLE</v>
      </c>
      <c r="BA552" s="14">
        <v>9.5</v>
      </c>
      <c r="BB552" s="14">
        <v>71</v>
      </c>
      <c r="BC552" s="13">
        <f>MAX(IF(AK552=0,0,AK552*1000/([1]Parametros!$B$4*MIN(U552,AB552))),MAX(0.062*SQRT([1]Parametros!$B$2)*H552/[1]Parametros!$B$4,0.35*H552/[1]Parametros!$B$4))</f>
        <v>0.68883313530858215</v>
      </c>
      <c r="BD552" s="13">
        <f t="shared" si="113"/>
        <v>0</v>
      </c>
      <c r="BE552" s="13">
        <f t="shared" si="114"/>
        <v>1.1833333333333333</v>
      </c>
      <c r="BF552" s="13">
        <f>SQRT((AI552*1000/(H552*MIN(U552,AB552)))^2+(Q552*1000000*2*((H552-2*([1]Parametros!$B$7+[1]Parametros!$B$9/2))+(I552-2*([1]Parametros!$B$7+[1]Parametros!$B$9/2)))/(1.7*((H552-2*([1]Parametros!$B$7+[1]Parametros!$B$9/2))*(I552-2*([1]Parametros!$B$7+[1]Parametros!$B$9/2)))^2))^2)</f>
        <v>1.1371309415006821</v>
      </c>
      <c r="BG552" s="13">
        <f>[1]Parametros!$B$6*(AJ552*1000/(H552*MIN(U552,AB552))+0.66*SQRT([1]Parametros!$B$2))</f>
        <v>3.2939603822754151</v>
      </c>
      <c r="BH552" s="13" t="str">
        <f t="shared" si="115"/>
        <v>CUMPLE</v>
      </c>
      <c r="BI552" s="13">
        <f>AX552*[1]Parametros!$B$8</f>
        <v>0</v>
      </c>
      <c r="BJ552" s="15" t="str">
        <f t="shared" si="116"/>
        <v>CUMPLE</v>
      </c>
    </row>
    <row r="553" spans="1:62" x14ac:dyDescent="0.3">
      <c r="A553" s="35" t="s">
        <v>77</v>
      </c>
      <c r="B553" s="36">
        <v>1360</v>
      </c>
      <c r="C553" s="13">
        <v>1</v>
      </c>
      <c r="D553" s="13">
        <v>2.7</v>
      </c>
      <c r="E553" s="13">
        <v>2.7</v>
      </c>
      <c r="F553" s="13">
        <v>500</v>
      </c>
      <c r="G553" s="13">
        <v>550</v>
      </c>
      <c r="H553" s="13">
        <v>500</v>
      </c>
      <c r="I553" s="13">
        <v>550</v>
      </c>
      <c r="J553" s="14">
        <v>112.1584</v>
      </c>
      <c r="K553" s="13">
        <v>1360</v>
      </c>
      <c r="L553" s="14">
        <v>26.713799999999999</v>
      </c>
      <c r="M553" s="13">
        <v>1360</v>
      </c>
      <c r="N553" s="14">
        <v>90.481999999999999</v>
      </c>
      <c r="O553" s="14">
        <v>209.07400000000001</v>
      </c>
      <c r="P553" s="13">
        <v>1360</v>
      </c>
      <c r="Q553" s="14">
        <v>8.6282999999999994</v>
      </c>
      <c r="R553" s="13">
        <f>MAX(MAX(1.4/[1]Parametros!$B$3,0.25*SQRT([1]Parametros!$B$2)/[1]Parametros!$B$3)*H553*U553,(0.85*[1]Parametros!$B$2/[1]Parametros!$B$3)*(1-SQRT(1-2*(J553*1000000/([1]Parametros!$B$5*H553*U553^2))/(0.85*[1]Parametros!$B$2)))*H553*U553)</f>
        <v>815.58333333333326</v>
      </c>
      <c r="S553" s="14">
        <v>5</v>
      </c>
      <c r="T553" s="14">
        <v>1</v>
      </c>
      <c r="U553" s="13">
        <f>IF(T553=1,I553-([1]Parametros!$B$7+[1]Parametros!$B$9+[1]Parametros!$B$12/2),I553-(ROUNDUP(S553/2,0)*([1]Parametros!$B$7+[1]Parametros!$B$9+[1]Parametros!$B$12/2)+ROUNDDOWN(S553/2,0)*([1]Parametros!$B$7+[1]Parametros!$B$9+[1]Parametros!$B$12/2+[1]Parametros!$B$12+[1]Parametros!$B$10))/S553)</f>
        <v>489.35</v>
      </c>
      <c r="V553" s="13">
        <f>S553*[1]Parametros!$B$8</f>
        <v>995</v>
      </c>
      <c r="W553" s="13">
        <f>[1]Parametros!$B$5*V553*[1]Parametros!$B$3*(U553-(V553*[1]Parametros!$B$3/(0.85*[1]Parametros!$B$2*H553))/2)/1000000</f>
        <v>177.44537938235294</v>
      </c>
      <c r="X553" s="13" t="str">
        <f t="shared" si="104"/>
        <v>CUMPLE</v>
      </c>
      <c r="Y553" s="13">
        <f>MAX(MAX(1.4/[1]Parametros!$B$3,0.25*SQRT([1]Parametros!$B$2)/[1]Parametros!$B$3)*H553*AB553,(0.85*[1]Parametros!$B$2/[1]Parametros!$B$3)*(1-SQRT(1-2*(L553*1000000/([1]Parametros!$B$5*H553*AB553^2))/(0.85*[1]Parametros!$B$2)))*H553*AB553)</f>
        <v>815.58333333333326</v>
      </c>
      <c r="Z553" s="14">
        <v>5</v>
      </c>
      <c r="AA553" s="14">
        <v>1</v>
      </c>
      <c r="AB553" s="13">
        <f>IF(AA553=1,I553-([1]Parametros!$B$7+[1]Parametros!$B$9+[1]Parametros!$B$12/2),I553-(ROUNDUP(Z553/2,0)*([1]Parametros!$B$7+[1]Parametros!$B$9+[1]Parametros!$B$12/2)+ROUNDDOWN(Z553/2,0)*([1]Parametros!$B$7+[1]Parametros!$B$9+[1]Parametros!$B$12/2+[1]Parametros!$B$12+[1]Parametros!$B$10))/Z553)</f>
        <v>489.35</v>
      </c>
      <c r="AC553" s="13">
        <f>Z553*[1]Parametros!$B$8</f>
        <v>995</v>
      </c>
      <c r="AD553" s="13">
        <f>[1]Parametros!$B$5*AC553*[1]Parametros!$B$3*(AB553-(AC553*[1]Parametros!$B$3/(0.85*[1]Parametros!$B$2*H553))/2)/1000000</f>
        <v>177.44537938235294</v>
      </c>
      <c r="AE553" s="13" t="str">
        <f t="shared" si="105"/>
        <v>CUMPLE</v>
      </c>
      <c r="AF553" s="13">
        <f>V553*1.25*[1]Parametros!$B$3*(U553-(V553*1.25*[1]Parametros!$B$3/(0.85*[1]Parametros!$B$2*H553))/2)/1000000</f>
        <v>244.15884319852941</v>
      </c>
      <c r="AG553" s="13">
        <f>AC553*1.25*[1]Parametros!$B$3*(AB553-(AC553*1.25*[1]Parametros!$B$3/(0.85*[1]Parametros!$B$2*H553))/2)/1000000</f>
        <v>244.15884319852941</v>
      </c>
      <c r="AH553" s="13">
        <f t="shared" si="106"/>
        <v>271.34040236928104</v>
      </c>
      <c r="AI553" s="13">
        <f t="shared" si="107"/>
        <v>271.34040236928104</v>
      </c>
      <c r="AJ553" s="13">
        <f>0.17*SQRT([1]Parametros!$B$2)*H553*MIN(U553,AB553)/1000</f>
        <v>220.09872869180776</v>
      </c>
      <c r="AK553" s="13">
        <f>MAX(AI553/[1]Parametros!$B$6-AJ553,0)</f>
        <v>141.68847446723362</v>
      </c>
      <c r="AL553" s="13">
        <f>0.66*SQRT([1]Parametros!$B$2)*H553*MIN(U553,AB553)/1000</f>
        <v>854.500946685842</v>
      </c>
      <c r="AM553" s="13" t="str">
        <f t="shared" si="108"/>
        <v>CUMPLE</v>
      </c>
      <c r="AN553" s="13" t="s">
        <v>64</v>
      </c>
      <c r="AO553" s="14">
        <v>2</v>
      </c>
      <c r="AP553" s="13">
        <f>ROUNDDOWN(MIN(IF(BC553+BD553=0,1000000000,AO553*BB553/(BC553+BD553)),MIN(U553,AB553)/4,8*[1]Parametros!$B$12,24*BA553,300,IF(AV553=0,1000000000,2*((H553-2*([1]Parametros!$B$7+[1]Parametros!$B$9/2))+(I553-2*([1]Parametros!$B$7+[1]Parametros!$B$9/2)))/8))/10,0)*10</f>
        <v>120</v>
      </c>
      <c r="AQ553" s="13">
        <f>ROUNDDOWN(MIN(IF(BC553+BD553=0,1000000000,AO553*BB553/(BC553+BD553)),IF(AK553&gt;0.33*SQRT([1]Parametros!$B$2)*H553*MIN(U553,AB553)/1000,MIN(U553,AB553)/4,MIN(U553,AB553)/2),600,IF(AV553=0,1000000000,2*((H553-2*([1]Parametros!$B$7+[1]Parametros!$B$9/2))+(I553-2*([1]Parametros!$B$7+[1]Parametros!$B$9/2)))/8))/10,0)*10</f>
        <v>200</v>
      </c>
      <c r="AR553" s="13">
        <f>[1]Parametros!$B$6*(AJ553+MAX(BE553-BD553,0)*[1]Parametros!$B$4*MIN(U553,AB553)/1000)</f>
        <v>347.47925901885583</v>
      </c>
      <c r="AS553" s="13" t="str">
        <f t="shared" si="109"/>
        <v>CUMPLE</v>
      </c>
      <c r="AT553" s="13">
        <f>[1]Parametros!$B$6*0.083*SQRT([1]Parametros!$B$2)*(H553*I553)^2/(2*(H553+I553))/1000000</f>
        <v>11.862178757598967</v>
      </c>
      <c r="AU553" s="13" t="str">
        <f t="shared" si="110"/>
        <v>DESPRECIABLE</v>
      </c>
      <c r="AV553" s="13">
        <f>IF(Q553&lt;=AT553,0,Q553*1000000/([1]Parametros!$B$6*2*0.85*(H553-2*([1]Parametros!$B$7+[1]Parametros!$B$9/2))*(I553-2*([1]Parametros!$B$7+[1]Parametros!$B$9/2))*[1]Parametros!$B$4))</f>
        <v>0</v>
      </c>
      <c r="AW553" s="13">
        <f>AV553*2*((H553-2*([1]Parametros!$B$7+[1]Parametros!$B$9/2))+(I553-2*([1]Parametros!$B$7+[1]Parametros!$B$9/2)))*[1]Parametros!$B$4/[1]Parametros!$B$3</f>
        <v>0</v>
      </c>
      <c r="AX553" s="14">
        <v>0</v>
      </c>
      <c r="AY553" s="13" t="str">
        <f t="shared" si="111"/>
        <v>DESPRECIABLE</v>
      </c>
      <c r="AZ553" s="13" t="str">
        <f t="shared" si="112"/>
        <v>CUMPLE</v>
      </c>
      <c r="BA553" s="14">
        <v>9.5</v>
      </c>
      <c r="BB553" s="14">
        <v>71</v>
      </c>
      <c r="BC553" s="13">
        <f>MAX(IF(AK553=0,0,AK553*1000/([1]Parametros!$B$4*MIN(U553,AB553))),MAX(0.062*SQRT([1]Parametros!$B$2)*H553/[1]Parametros!$B$4,0.35*H553/[1]Parametros!$B$4))</f>
        <v>0.68939105065141615</v>
      </c>
      <c r="BD553" s="13">
        <f t="shared" si="113"/>
        <v>0</v>
      </c>
      <c r="BE553" s="13">
        <f t="shared" si="114"/>
        <v>1.1833333333333333</v>
      </c>
      <c r="BF553" s="13">
        <f>SQRT((AI553*1000/(H553*MIN(U553,AB553)))^2+(Q553*1000000*2*((H553-2*([1]Parametros!$B$7+[1]Parametros!$B$9/2))+(I553-2*([1]Parametros!$B$7+[1]Parametros!$B$9/2)))/(1.7*((H553-2*([1]Parametros!$B$7+[1]Parametros!$B$9/2))*(I553-2*([1]Parametros!$B$7+[1]Parametros!$B$9/2)))^2))^2)</f>
        <v>1.1374723174620496</v>
      </c>
      <c r="BG553" s="13">
        <f>[1]Parametros!$B$6*(AJ553*1000/(H553*MIN(U553,AB553))+0.66*SQRT([1]Parametros!$B$2))</f>
        <v>3.2939603822754151</v>
      </c>
      <c r="BH553" s="13" t="str">
        <f t="shared" si="115"/>
        <v>CUMPLE</v>
      </c>
      <c r="BI553" s="13">
        <f>AX553*[1]Parametros!$B$8</f>
        <v>0</v>
      </c>
      <c r="BJ553" s="15" t="str">
        <f t="shared" si="116"/>
        <v>CUMPLE</v>
      </c>
    </row>
    <row r="554" spans="1:62" x14ac:dyDescent="0.3">
      <c r="A554" s="35" t="s">
        <v>77</v>
      </c>
      <c r="B554" s="36">
        <v>1361</v>
      </c>
      <c r="C554" s="13">
        <v>1</v>
      </c>
      <c r="D554" s="13">
        <v>2.7</v>
      </c>
      <c r="E554" s="13">
        <v>2.7</v>
      </c>
      <c r="F554" s="13">
        <v>500</v>
      </c>
      <c r="G554" s="13">
        <v>550</v>
      </c>
      <c r="H554" s="13">
        <v>500</v>
      </c>
      <c r="I554" s="13">
        <v>550</v>
      </c>
      <c r="J554" s="14">
        <v>69.099299999999999</v>
      </c>
      <c r="K554" s="13">
        <v>1361</v>
      </c>
      <c r="L554" s="14">
        <v>0</v>
      </c>
      <c r="M554" s="13">
        <v>1361</v>
      </c>
      <c r="N554" s="14">
        <v>53.344000000000001</v>
      </c>
      <c r="O554" s="14">
        <v>78.070999999999998</v>
      </c>
      <c r="P554" s="13">
        <v>1361</v>
      </c>
      <c r="Q554" s="14">
        <v>3.2587999999999999</v>
      </c>
      <c r="R554" s="13">
        <f>MAX(MAX(1.4/[1]Parametros!$B$3,0.25*SQRT([1]Parametros!$B$2)/[1]Parametros!$B$3)*H554*U554,(0.85*[1]Parametros!$B$2/[1]Parametros!$B$3)*(1-SQRT(1-2*(J554*1000000/([1]Parametros!$B$5*H554*U554^2))/(0.85*[1]Parametros!$B$2)))*H554*U554)</f>
        <v>815.58333333333326</v>
      </c>
      <c r="S554" s="14">
        <v>5</v>
      </c>
      <c r="T554" s="14">
        <v>1</v>
      </c>
      <c r="U554" s="13">
        <f>IF(T554=1,I554-([1]Parametros!$B$7+[1]Parametros!$B$9+[1]Parametros!$B$12/2),I554-(ROUNDUP(S554/2,0)*([1]Parametros!$B$7+[1]Parametros!$B$9+[1]Parametros!$B$12/2)+ROUNDDOWN(S554/2,0)*([1]Parametros!$B$7+[1]Parametros!$B$9+[1]Parametros!$B$12/2+[1]Parametros!$B$12+[1]Parametros!$B$10))/S554)</f>
        <v>489.35</v>
      </c>
      <c r="V554" s="13">
        <f>S554*[1]Parametros!$B$8</f>
        <v>995</v>
      </c>
      <c r="W554" s="13">
        <f>[1]Parametros!$B$5*V554*[1]Parametros!$B$3*(U554-(V554*[1]Parametros!$B$3/(0.85*[1]Parametros!$B$2*H554))/2)/1000000</f>
        <v>177.44537938235294</v>
      </c>
      <c r="X554" s="13" t="str">
        <f t="shared" si="104"/>
        <v>CUMPLE</v>
      </c>
      <c r="Y554" s="13">
        <f>MAX(MAX(1.4/[1]Parametros!$B$3,0.25*SQRT([1]Parametros!$B$2)/[1]Parametros!$B$3)*H554*AB554,(0.85*[1]Parametros!$B$2/[1]Parametros!$B$3)*(1-SQRT(1-2*(L554*1000000/([1]Parametros!$B$5*H554*AB554^2))/(0.85*[1]Parametros!$B$2)))*H554*AB554)</f>
        <v>815.58333333333326</v>
      </c>
      <c r="Z554" s="14">
        <v>5</v>
      </c>
      <c r="AA554" s="14">
        <v>1</v>
      </c>
      <c r="AB554" s="13">
        <f>IF(AA554=1,I554-([1]Parametros!$B$7+[1]Parametros!$B$9+[1]Parametros!$B$12/2),I554-(ROUNDUP(Z554/2,0)*([1]Parametros!$B$7+[1]Parametros!$B$9+[1]Parametros!$B$12/2)+ROUNDDOWN(Z554/2,0)*([1]Parametros!$B$7+[1]Parametros!$B$9+[1]Parametros!$B$12/2+[1]Parametros!$B$12+[1]Parametros!$B$10))/Z554)</f>
        <v>489.35</v>
      </c>
      <c r="AC554" s="13">
        <f>Z554*[1]Parametros!$B$8</f>
        <v>995</v>
      </c>
      <c r="AD554" s="13">
        <f>[1]Parametros!$B$5*AC554*[1]Parametros!$B$3*(AB554-(AC554*[1]Parametros!$B$3/(0.85*[1]Parametros!$B$2*H554))/2)/1000000</f>
        <v>177.44537938235294</v>
      </c>
      <c r="AE554" s="13" t="str">
        <f t="shared" si="105"/>
        <v>CUMPLE</v>
      </c>
      <c r="AF554" s="13">
        <f>V554*1.25*[1]Parametros!$B$3*(U554-(V554*1.25*[1]Parametros!$B$3/(0.85*[1]Parametros!$B$2*H554))/2)/1000000</f>
        <v>244.15884319852941</v>
      </c>
      <c r="AG554" s="13">
        <f>AC554*1.25*[1]Parametros!$B$3*(AB554-(AC554*1.25*[1]Parametros!$B$3/(0.85*[1]Parametros!$B$2*H554))/2)/1000000</f>
        <v>244.15884319852941</v>
      </c>
      <c r="AH554" s="13">
        <f t="shared" si="106"/>
        <v>234.20240236928103</v>
      </c>
      <c r="AI554" s="13">
        <f t="shared" si="107"/>
        <v>234.20240236928103</v>
      </c>
      <c r="AJ554" s="13">
        <f>0.17*SQRT([1]Parametros!$B$2)*H554*MIN(U554,AB554)/1000</f>
        <v>220.09872869180776</v>
      </c>
      <c r="AK554" s="13">
        <f>MAX(AI554/[1]Parametros!$B$6-AJ554,0)</f>
        <v>92.171141133900278</v>
      </c>
      <c r="AL554" s="13">
        <f>0.66*SQRT([1]Parametros!$B$2)*H554*MIN(U554,AB554)/1000</f>
        <v>854.500946685842</v>
      </c>
      <c r="AM554" s="13" t="str">
        <f t="shared" si="108"/>
        <v>CUMPLE</v>
      </c>
      <c r="AN554" s="13" t="s">
        <v>64</v>
      </c>
      <c r="AO554" s="14">
        <v>2</v>
      </c>
      <c r="AP554" s="13">
        <f>ROUNDDOWN(MIN(IF(BC554+BD554=0,1000000000,AO554*BB554/(BC554+BD554)),MIN(U554,AB554)/4,8*[1]Parametros!$B$12,24*BA554,300,IF(AV554=0,1000000000,2*((H554-2*([1]Parametros!$B$7+[1]Parametros!$B$9/2))+(I554-2*([1]Parametros!$B$7+[1]Parametros!$B$9/2)))/8))/10,0)*10</f>
        <v>120</v>
      </c>
      <c r="AQ554" s="13">
        <f>ROUNDDOWN(MIN(IF(BC554+BD554=0,1000000000,AO554*BB554/(BC554+BD554)),IF(AK554&gt;0.33*SQRT([1]Parametros!$B$2)*H554*MIN(U554,AB554)/1000,MIN(U554,AB554)/4,MIN(U554,AB554)/2),600,IF(AV554=0,1000000000,2*((H554-2*([1]Parametros!$B$7+[1]Parametros!$B$9/2))+(I554-2*([1]Parametros!$B$7+[1]Parametros!$B$9/2)))/8))/10,0)*10</f>
        <v>240</v>
      </c>
      <c r="AR554" s="13">
        <f>[1]Parametros!$B$6*(AJ554+MAX(BE554-BD554,0)*[1]Parametros!$B$4*MIN(U554,AB554)/1000)</f>
        <v>347.47925901885583</v>
      </c>
      <c r="AS554" s="13" t="str">
        <f t="shared" si="109"/>
        <v>CUMPLE</v>
      </c>
      <c r="AT554" s="13">
        <f>[1]Parametros!$B$6*0.083*SQRT([1]Parametros!$B$2)*(H554*I554)^2/(2*(H554+I554))/1000000</f>
        <v>11.862178757598967</v>
      </c>
      <c r="AU554" s="13" t="str">
        <f t="shared" si="110"/>
        <v>DESPRECIABLE</v>
      </c>
      <c r="AV554" s="13">
        <f>IF(Q554&lt;=AT554,0,Q554*1000000/([1]Parametros!$B$6*2*0.85*(H554-2*([1]Parametros!$B$7+[1]Parametros!$B$9/2))*(I554-2*([1]Parametros!$B$7+[1]Parametros!$B$9/2))*[1]Parametros!$B$4))</f>
        <v>0</v>
      </c>
      <c r="AW554" s="13">
        <f>AV554*2*((H554-2*([1]Parametros!$B$7+[1]Parametros!$B$9/2))+(I554-2*([1]Parametros!$B$7+[1]Parametros!$B$9/2)))*[1]Parametros!$B$4/[1]Parametros!$B$3</f>
        <v>0</v>
      </c>
      <c r="AX554" s="14">
        <v>0</v>
      </c>
      <c r="AY554" s="13" t="str">
        <f t="shared" si="111"/>
        <v>DESPRECIABLE</v>
      </c>
      <c r="AZ554" s="13" t="str">
        <f t="shared" si="112"/>
        <v>CUMPLE</v>
      </c>
      <c r="BA554" s="14">
        <v>9.5</v>
      </c>
      <c r="BB554" s="14">
        <v>71</v>
      </c>
      <c r="BC554" s="13">
        <f>MAX(IF(AK554=0,0,AK554*1000/([1]Parametros!$B$4*MIN(U554,AB554))),MAX(0.062*SQRT([1]Parametros!$B$2)*H554/[1]Parametros!$B$4,0.35*H554/[1]Parametros!$B$4))</f>
        <v>0.44846244597498275</v>
      </c>
      <c r="BD554" s="13">
        <f t="shared" si="113"/>
        <v>0</v>
      </c>
      <c r="BE554" s="13">
        <f t="shared" si="114"/>
        <v>1.1833333333333333</v>
      </c>
      <c r="BF554" s="13">
        <f>SQRT((AI554*1000/(H554*MIN(U554,AB554)))^2+(Q554*1000000*2*((H554-2*([1]Parametros!$B$7+[1]Parametros!$B$9/2))+(I554-2*([1]Parametros!$B$7+[1]Parametros!$B$9/2)))/(1.7*((H554-2*([1]Parametros!$B$7+[1]Parametros!$B$9/2))*(I554-2*([1]Parametros!$B$7+[1]Parametros!$B$9/2)))^2))^2)</f>
        <v>0.96195495657376295</v>
      </c>
      <c r="BG554" s="13">
        <f>[1]Parametros!$B$6*(AJ554*1000/(H554*MIN(U554,AB554))+0.66*SQRT([1]Parametros!$B$2))</f>
        <v>3.2939603822754151</v>
      </c>
      <c r="BH554" s="13" t="str">
        <f t="shared" si="115"/>
        <v>CUMPLE</v>
      </c>
      <c r="BI554" s="13">
        <f>AX554*[1]Parametros!$B$8</f>
        <v>0</v>
      </c>
      <c r="BJ554" s="15" t="str">
        <f t="shared" si="116"/>
        <v>CUMPLE</v>
      </c>
    </row>
    <row r="555" spans="1:62" x14ac:dyDescent="0.3">
      <c r="A555" s="35" t="s">
        <v>77</v>
      </c>
      <c r="B555" s="36">
        <v>1362</v>
      </c>
      <c r="C555" s="13">
        <v>1</v>
      </c>
      <c r="D555" s="13">
        <v>2.7</v>
      </c>
      <c r="E555" s="13">
        <v>2.7</v>
      </c>
      <c r="F555" s="13">
        <v>500</v>
      </c>
      <c r="G555" s="13">
        <v>550</v>
      </c>
      <c r="H555" s="13">
        <v>500</v>
      </c>
      <c r="I555" s="13">
        <v>550</v>
      </c>
      <c r="J555" s="14">
        <v>69.197199999999995</v>
      </c>
      <c r="K555" s="13">
        <v>1362</v>
      </c>
      <c r="L555" s="14">
        <v>0</v>
      </c>
      <c r="M555" s="13">
        <v>1362</v>
      </c>
      <c r="N555" s="14">
        <v>53.418999999999997</v>
      </c>
      <c r="O555" s="14">
        <v>78.108000000000004</v>
      </c>
      <c r="P555" s="13">
        <v>1362</v>
      </c>
      <c r="Q555" s="14">
        <v>3.2532000000000001</v>
      </c>
      <c r="R555" s="13">
        <f>MAX(MAX(1.4/[1]Parametros!$B$3,0.25*SQRT([1]Parametros!$B$2)/[1]Parametros!$B$3)*H555*U555,(0.85*[1]Parametros!$B$2/[1]Parametros!$B$3)*(1-SQRT(1-2*(J555*1000000/([1]Parametros!$B$5*H555*U555^2))/(0.85*[1]Parametros!$B$2)))*H555*U555)</f>
        <v>815.58333333333326</v>
      </c>
      <c r="S555" s="14">
        <v>5</v>
      </c>
      <c r="T555" s="14">
        <v>1</v>
      </c>
      <c r="U555" s="13">
        <f>IF(T555=1,I555-([1]Parametros!$B$7+[1]Parametros!$B$9+[1]Parametros!$B$12/2),I555-(ROUNDUP(S555/2,0)*([1]Parametros!$B$7+[1]Parametros!$B$9+[1]Parametros!$B$12/2)+ROUNDDOWN(S555/2,0)*([1]Parametros!$B$7+[1]Parametros!$B$9+[1]Parametros!$B$12/2+[1]Parametros!$B$12+[1]Parametros!$B$10))/S555)</f>
        <v>489.35</v>
      </c>
      <c r="V555" s="13">
        <f>S555*[1]Parametros!$B$8</f>
        <v>995</v>
      </c>
      <c r="W555" s="13">
        <f>[1]Parametros!$B$5*V555*[1]Parametros!$B$3*(U555-(V555*[1]Parametros!$B$3/(0.85*[1]Parametros!$B$2*H555))/2)/1000000</f>
        <v>177.44537938235294</v>
      </c>
      <c r="X555" s="13" t="str">
        <f t="shared" si="104"/>
        <v>CUMPLE</v>
      </c>
      <c r="Y555" s="13">
        <f>MAX(MAX(1.4/[1]Parametros!$B$3,0.25*SQRT([1]Parametros!$B$2)/[1]Parametros!$B$3)*H555*AB555,(0.85*[1]Parametros!$B$2/[1]Parametros!$B$3)*(1-SQRT(1-2*(L555*1000000/([1]Parametros!$B$5*H555*AB555^2))/(0.85*[1]Parametros!$B$2)))*H555*AB555)</f>
        <v>815.58333333333326</v>
      </c>
      <c r="Z555" s="14">
        <v>5</v>
      </c>
      <c r="AA555" s="14">
        <v>1</v>
      </c>
      <c r="AB555" s="13">
        <f>IF(AA555=1,I555-([1]Parametros!$B$7+[1]Parametros!$B$9+[1]Parametros!$B$12/2),I555-(ROUNDUP(Z555/2,0)*([1]Parametros!$B$7+[1]Parametros!$B$9+[1]Parametros!$B$12/2)+ROUNDDOWN(Z555/2,0)*([1]Parametros!$B$7+[1]Parametros!$B$9+[1]Parametros!$B$12/2+[1]Parametros!$B$12+[1]Parametros!$B$10))/Z555)</f>
        <v>489.35</v>
      </c>
      <c r="AC555" s="13">
        <f>Z555*[1]Parametros!$B$8</f>
        <v>995</v>
      </c>
      <c r="AD555" s="13">
        <f>[1]Parametros!$B$5*AC555*[1]Parametros!$B$3*(AB555-(AC555*[1]Parametros!$B$3/(0.85*[1]Parametros!$B$2*H555))/2)/1000000</f>
        <v>177.44537938235294</v>
      </c>
      <c r="AE555" s="13" t="str">
        <f t="shared" si="105"/>
        <v>CUMPLE</v>
      </c>
      <c r="AF555" s="13">
        <f>V555*1.25*[1]Parametros!$B$3*(U555-(V555*1.25*[1]Parametros!$B$3/(0.85*[1]Parametros!$B$2*H555))/2)/1000000</f>
        <v>244.15884319852941</v>
      </c>
      <c r="AG555" s="13">
        <f>AC555*1.25*[1]Parametros!$B$3*(AB555-(AC555*1.25*[1]Parametros!$B$3/(0.85*[1]Parametros!$B$2*H555))/2)/1000000</f>
        <v>244.15884319852941</v>
      </c>
      <c r="AH555" s="13">
        <f t="shared" si="106"/>
        <v>234.27740236928105</v>
      </c>
      <c r="AI555" s="13">
        <f t="shared" si="107"/>
        <v>234.27740236928105</v>
      </c>
      <c r="AJ555" s="13">
        <f>0.17*SQRT([1]Parametros!$B$2)*H555*MIN(U555,AB555)/1000</f>
        <v>220.09872869180776</v>
      </c>
      <c r="AK555" s="13">
        <f>MAX(AI555/[1]Parametros!$B$6-AJ555,0)</f>
        <v>92.271141133900301</v>
      </c>
      <c r="AL555" s="13">
        <f>0.66*SQRT([1]Parametros!$B$2)*H555*MIN(U555,AB555)/1000</f>
        <v>854.500946685842</v>
      </c>
      <c r="AM555" s="13" t="str">
        <f t="shared" si="108"/>
        <v>CUMPLE</v>
      </c>
      <c r="AN555" s="13" t="s">
        <v>64</v>
      </c>
      <c r="AO555" s="14">
        <v>2</v>
      </c>
      <c r="AP555" s="13">
        <f>ROUNDDOWN(MIN(IF(BC555+BD555=0,1000000000,AO555*BB555/(BC555+BD555)),MIN(U555,AB555)/4,8*[1]Parametros!$B$12,24*BA555,300,IF(AV555=0,1000000000,2*((H555-2*([1]Parametros!$B$7+[1]Parametros!$B$9/2))+(I555-2*([1]Parametros!$B$7+[1]Parametros!$B$9/2)))/8))/10,0)*10</f>
        <v>120</v>
      </c>
      <c r="AQ555" s="13">
        <f>ROUNDDOWN(MIN(IF(BC555+BD555=0,1000000000,AO555*BB555/(BC555+BD555)),IF(AK555&gt;0.33*SQRT([1]Parametros!$B$2)*H555*MIN(U555,AB555)/1000,MIN(U555,AB555)/4,MIN(U555,AB555)/2),600,IF(AV555=0,1000000000,2*((H555-2*([1]Parametros!$B$7+[1]Parametros!$B$9/2))+(I555-2*([1]Parametros!$B$7+[1]Parametros!$B$9/2)))/8))/10,0)*10</f>
        <v>240</v>
      </c>
      <c r="AR555" s="13">
        <f>[1]Parametros!$B$6*(AJ555+MAX(BE555-BD555,0)*[1]Parametros!$B$4*MIN(U555,AB555)/1000)</f>
        <v>347.47925901885583</v>
      </c>
      <c r="AS555" s="13" t="str">
        <f t="shared" si="109"/>
        <v>CUMPLE</v>
      </c>
      <c r="AT555" s="13">
        <f>[1]Parametros!$B$6*0.083*SQRT([1]Parametros!$B$2)*(H555*I555)^2/(2*(H555+I555))/1000000</f>
        <v>11.862178757598967</v>
      </c>
      <c r="AU555" s="13" t="str">
        <f t="shared" si="110"/>
        <v>DESPRECIABLE</v>
      </c>
      <c r="AV555" s="13">
        <f>IF(Q555&lt;=AT555,0,Q555*1000000/([1]Parametros!$B$6*2*0.85*(H555-2*([1]Parametros!$B$7+[1]Parametros!$B$9/2))*(I555-2*([1]Parametros!$B$7+[1]Parametros!$B$9/2))*[1]Parametros!$B$4))</f>
        <v>0</v>
      </c>
      <c r="AW555" s="13">
        <f>AV555*2*((H555-2*([1]Parametros!$B$7+[1]Parametros!$B$9/2))+(I555-2*([1]Parametros!$B$7+[1]Parametros!$B$9/2)))*[1]Parametros!$B$4/[1]Parametros!$B$3</f>
        <v>0</v>
      </c>
      <c r="AX555" s="14">
        <v>0</v>
      </c>
      <c r="AY555" s="13" t="str">
        <f t="shared" si="111"/>
        <v>DESPRECIABLE</v>
      </c>
      <c r="AZ555" s="13" t="str">
        <f t="shared" si="112"/>
        <v>CUMPLE</v>
      </c>
      <c r="BA555" s="14">
        <v>9.5</v>
      </c>
      <c r="BB555" s="14">
        <v>71</v>
      </c>
      <c r="BC555" s="13">
        <f>MAX(IF(AK555=0,0,AK555*1000/([1]Parametros!$B$4*MIN(U555,AB555))),MAX(0.062*SQRT([1]Parametros!$B$2)*H555/[1]Parametros!$B$4,0.35*H555/[1]Parametros!$B$4))</f>
        <v>0.44894900005303584</v>
      </c>
      <c r="BD555" s="13">
        <f t="shared" si="113"/>
        <v>0</v>
      </c>
      <c r="BE555" s="13">
        <f t="shared" si="114"/>
        <v>1.1833333333333333</v>
      </c>
      <c r="BF555" s="13">
        <f>SQRT((AI555*1000/(H555*MIN(U555,AB555)))^2+(Q555*1000000*2*((H555-2*([1]Parametros!$B$7+[1]Parametros!$B$9/2))+(I555-2*([1]Parametros!$B$7+[1]Parametros!$B$9/2)))/(1.7*((H555-2*([1]Parametros!$B$7+[1]Parametros!$B$9/2))*(I555-2*([1]Parametros!$B$7+[1]Parametros!$B$9/2)))^2))^2)</f>
        <v>0.96224368055764931</v>
      </c>
      <c r="BG555" s="13">
        <f>[1]Parametros!$B$6*(AJ555*1000/(H555*MIN(U555,AB555))+0.66*SQRT([1]Parametros!$B$2))</f>
        <v>3.2939603822754151</v>
      </c>
      <c r="BH555" s="13" t="str">
        <f t="shared" si="115"/>
        <v>CUMPLE</v>
      </c>
      <c r="BI555" s="13">
        <f>AX555*[1]Parametros!$B$8</f>
        <v>0</v>
      </c>
      <c r="BJ555" s="15" t="str">
        <f t="shared" si="116"/>
        <v>CUMPLE</v>
      </c>
    </row>
    <row r="556" spans="1:62" x14ac:dyDescent="0.3">
      <c r="A556" s="45" t="s">
        <v>78</v>
      </c>
      <c r="B556" s="46">
        <v>105</v>
      </c>
      <c r="C556" s="13">
        <v>1</v>
      </c>
      <c r="D556" s="13">
        <v>2</v>
      </c>
      <c r="E556" s="13">
        <v>2</v>
      </c>
      <c r="F556" s="13">
        <v>450</v>
      </c>
      <c r="G556" s="13">
        <v>550</v>
      </c>
      <c r="H556" s="13">
        <v>450</v>
      </c>
      <c r="I556" s="13">
        <v>550</v>
      </c>
      <c r="J556" s="14">
        <v>40.371600000000001</v>
      </c>
      <c r="K556" s="13">
        <v>105</v>
      </c>
      <c r="L556" s="14">
        <v>35.104700000000001</v>
      </c>
      <c r="M556" s="13">
        <v>105</v>
      </c>
      <c r="N556" s="14">
        <v>36.86</v>
      </c>
      <c r="O556" s="14">
        <v>147.63200000000001</v>
      </c>
      <c r="P556" s="13">
        <v>105</v>
      </c>
      <c r="Q556" s="14">
        <v>4.4154</v>
      </c>
      <c r="R556" s="13">
        <f>MAX(MAX(1.4/[1]Parametros!$B$3,0.25*SQRT([1]Parametros!$B$2)/[1]Parametros!$B$3)*H556*U556,(0.85*[1]Parametros!$B$2/[1]Parametros!$B$3)*(1-SQRT(1-2*(J556*1000000/([1]Parametros!$B$5*H556*U556^2))/(0.85*[1]Parametros!$B$2)))*H556*U556)</f>
        <v>734.02500000000009</v>
      </c>
      <c r="S556" s="14">
        <v>4</v>
      </c>
      <c r="T556" s="14">
        <v>1</v>
      </c>
      <c r="U556" s="13">
        <f>IF(T556=1,I556-([1]Parametros!$B$7+[1]Parametros!$B$9+[1]Parametros!$B$12/2),I556-(ROUNDUP(S556/2,0)*([1]Parametros!$B$7+[1]Parametros!$B$9+[1]Parametros!$B$12/2)+ROUNDDOWN(S556/2,0)*([1]Parametros!$B$7+[1]Parametros!$B$9+[1]Parametros!$B$12/2+[1]Parametros!$B$12+[1]Parametros!$B$10))/S556)</f>
        <v>489.35</v>
      </c>
      <c r="V556" s="13">
        <f>S556*[1]Parametros!$B$8</f>
        <v>796</v>
      </c>
      <c r="W556" s="13">
        <f>[1]Parametros!$B$5*V556*[1]Parametros!$B$3*(U556-(V556*[1]Parametros!$B$3/(0.85*[1]Parametros!$B$2*H556))/2)/1000000</f>
        <v>142.54333009411764</v>
      </c>
      <c r="X556" s="13" t="str">
        <f t="shared" si="104"/>
        <v>CUMPLE</v>
      </c>
      <c r="Y556" s="13">
        <f>MAX(MAX(1.4/[1]Parametros!$B$3,0.25*SQRT([1]Parametros!$B$2)/[1]Parametros!$B$3)*H556*AB556,(0.85*[1]Parametros!$B$2/[1]Parametros!$B$3)*(1-SQRT(1-2*(L556*1000000/([1]Parametros!$B$5*H556*AB556^2))/(0.85*[1]Parametros!$B$2)))*H556*AB556)</f>
        <v>734.02500000000009</v>
      </c>
      <c r="Z556" s="14">
        <v>4</v>
      </c>
      <c r="AA556" s="14">
        <v>1</v>
      </c>
      <c r="AB556" s="13">
        <f>IF(AA556=1,I556-([1]Parametros!$B$7+[1]Parametros!$B$9+[1]Parametros!$B$12/2),I556-(ROUNDUP(Z556/2,0)*([1]Parametros!$B$7+[1]Parametros!$B$9+[1]Parametros!$B$12/2)+ROUNDDOWN(Z556/2,0)*([1]Parametros!$B$7+[1]Parametros!$B$9+[1]Parametros!$B$12/2+[1]Parametros!$B$12+[1]Parametros!$B$10))/Z556)</f>
        <v>489.35</v>
      </c>
      <c r="AC556" s="13">
        <f>Z556*[1]Parametros!$B$8</f>
        <v>796</v>
      </c>
      <c r="AD556" s="13">
        <f>[1]Parametros!$B$5*AC556*[1]Parametros!$B$3*(AB556-(AC556*[1]Parametros!$B$3/(0.85*[1]Parametros!$B$2*H556))/2)/1000000</f>
        <v>142.54333009411764</v>
      </c>
      <c r="AE556" s="13" t="str">
        <f t="shared" si="105"/>
        <v>CUMPLE</v>
      </c>
      <c r="AF556" s="13">
        <f>V556*1.25*[1]Parametros!$B$3*(U556-(V556*1.25*[1]Parametros!$B$3/(0.85*[1]Parametros!$B$2*H556))/2)/1000000</f>
        <v>196.34621794117646</v>
      </c>
      <c r="AG556" s="13">
        <f>AC556*1.25*[1]Parametros!$B$3*(AB556-(AC556*1.25*[1]Parametros!$B$3/(0.85*[1]Parametros!$B$2*H556))/2)/1000000</f>
        <v>196.34621794117646</v>
      </c>
      <c r="AH556" s="13">
        <f t="shared" si="106"/>
        <v>233.20621794117648</v>
      </c>
      <c r="AI556" s="13">
        <f t="shared" si="107"/>
        <v>233.20621794117648</v>
      </c>
      <c r="AJ556" s="13">
        <f>0.17*SQRT([1]Parametros!$B$2)*H556*MIN(U556,AB556)/1000</f>
        <v>198.08885582262698</v>
      </c>
      <c r="AK556" s="13">
        <f>MAX(AI556/[1]Parametros!$B$6-AJ556,0)</f>
        <v>112.85276809894165</v>
      </c>
      <c r="AL556" s="13">
        <f>0.66*SQRT([1]Parametros!$B$2)*H556*MIN(U556,AB556)/1000</f>
        <v>769.05085201725785</v>
      </c>
      <c r="AM556" s="13" t="str">
        <f t="shared" si="108"/>
        <v>CUMPLE</v>
      </c>
      <c r="AN556" s="13" t="s">
        <v>64</v>
      </c>
      <c r="AO556" s="14">
        <v>2</v>
      </c>
      <c r="AP556" s="13">
        <f>ROUNDDOWN(MIN(IF(BC556+BD556=0,1000000000,AO556*BB556/(BC556+BD556)),MIN(U556,AB556)/4,8*[1]Parametros!$B$12,24*BA556,300,IF(AV556=0,1000000000,2*((H556-2*([1]Parametros!$B$7+[1]Parametros!$B$9/2))+(I556-2*([1]Parametros!$B$7+[1]Parametros!$B$9/2)))/8))/10,0)*10</f>
        <v>120</v>
      </c>
      <c r="AQ556" s="13">
        <f>ROUNDDOWN(MIN(IF(BC556+BD556=0,1000000000,AO556*BB556/(BC556+BD556)),IF(AK556&gt;0.33*SQRT([1]Parametros!$B$2)*H556*MIN(U556,AB556)/1000,MIN(U556,AB556)/4,MIN(U556,AB556)/2),600,IF(AV556=0,1000000000,2*((H556-2*([1]Parametros!$B$7+[1]Parametros!$B$9/2))+(I556-2*([1]Parametros!$B$7+[1]Parametros!$B$9/2)))/8))/10,0)*10</f>
        <v>240</v>
      </c>
      <c r="AR556" s="13">
        <f>[1]Parametros!$B$6*(AJ556+MAX(BE556-BD556,0)*[1]Parametros!$B$4*MIN(U556,AB556)/1000)</f>
        <v>330.97185436697026</v>
      </c>
      <c r="AS556" s="13" t="str">
        <f t="shared" si="109"/>
        <v>CUMPLE</v>
      </c>
      <c r="AT556" s="13">
        <f>[1]Parametros!$B$6*0.083*SQRT([1]Parametros!$B$2)*(H556*I556)^2/(2*(H556+I556))/1000000</f>
        <v>10.08878303333792</v>
      </c>
      <c r="AU556" s="13" t="str">
        <f t="shared" si="110"/>
        <v>DESPRECIABLE</v>
      </c>
      <c r="AV556" s="13">
        <f>IF(Q556&lt;=AT556,0,Q556*1000000/([1]Parametros!$B$6*2*0.85*(H556-2*([1]Parametros!$B$7+[1]Parametros!$B$9/2))*(I556-2*([1]Parametros!$B$7+[1]Parametros!$B$9/2))*[1]Parametros!$B$4))</f>
        <v>0</v>
      </c>
      <c r="AW556" s="13">
        <f>AV556*2*((H556-2*([1]Parametros!$B$7+[1]Parametros!$B$9/2))+(I556-2*([1]Parametros!$B$7+[1]Parametros!$B$9/2)))*[1]Parametros!$B$4/[1]Parametros!$B$3</f>
        <v>0</v>
      </c>
      <c r="AX556" s="14">
        <v>0</v>
      </c>
      <c r="AY556" s="13" t="str">
        <f t="shared" si="111"/>
        <v>DESPRECIABLE</v>
      </c>
      <c r="AZ556" s="13" t="str">
        <f t="shared" si="112"/>
        <v>CUMPLE</v>
      </c>
      <c r="BA556" s="14">
        <v>9.5</v>
      </c>
      <c r="BB556" s="14">
        <v>71</v>
      </c>
      <c r="BC556" s="13">
        <f>MAX(IF(AK556=0,0,AK556*1000/([1]Parametros!$B$4*MIN(U556,AB556))),MAX(0.062*SQRT([1]Parametros!$B$2)*H556/[1]Parametros!$B$4,0.35*H556/[1]Parametros!$B$4))</f>
        <v>0.54908974538110156</v>
      </c>
      <c r="BD556" s="13">
        <f t="shared" si="113"/>
        <v>0</v>
      </c>
      <c r="BE556" s="13">
        <f t="shared" si="114"/>
        <v>1.1833333333333333</v>
      </c>
      <c r="BF556" s="13">
        <f>SQRT((AI556*1000/(H556*MIN(U556,AB556)))^2+(Q556*1000000*2*((H556-2*([1]Parametros!$B$7+[1]Parametros!$B$9/2))+(I556-2*([1]Parametros!$B$7+[1]Parametros!$B$9/2)))/(1.7*((H556-2*([1]Parametros!$B$7+[1]Parametros!$B$9/2))*(I556-2*([1]Parametros!$B$7+[1]Parametros!$B$9/2)))^2))^2)</f>
        <v>1.0708245804503904</v>
      </c>
      <c r="BG556" s="13">
        <f>[1]Parametros!$B$6*(AJ556*1000/(H556*MIN(U556,AB556))+0.66*SQRT([1]Parametros!$B$2))</f>
        <v>3.2939603822754151</v>
      </c>
      <c r="BH556" s="13" t="str">
        <f t="shared" si="115"/>
        <v>CUMPLE</v>
      </c>
      <c r="BI556" s="13">
        <f>AX556*[1]Parametros!$B$8</f>
        <v>0</v>
      </c>
      <c r="BJ556" s="15" t="str">
        <f t="shared" si="116"/>
        <v>CUMPLE</v>
      </c>
    </row>
    <row r="557" spans="1:62" x14ac:dyDescent="0.3">
      <c r="A557" s="45" t="s">
        <v>78</v>
      </c>
      <c r="B557" s="46">
        <v>106</v>
      </c>
      <c r="C557" s="13">
        <v>1</v>
      </c>
      <c r="D557" s="13">
        <v>2</v>
      </c>
      <c r="E557" s="13">
        <v>2</v>
      </c>
      <c r="F557" s="13">
        <v>450</v>
      </c>
      <c r="G557" s="13">
        <v>550</v>
      </c>
      <c r="H557" s="13">
        <v>450</v>
      </c>
      <c r="I557" s="13">
        <v>550</v>
      </c>
      <c r="J557" s="14">
        <v>40.364699999999999</v>
      </c>
      <c r="K557" s="13">
        <v>106</v>
      </c>
      <c r="L557" s="14">
        <v>35.108899999999998</v>
      </c>
      <c r="M557" s="13">
        <v>106</v>
      </c>
      <c r="N557" s="14">
        <v>36.854999999999997</v>
      </c>
      <c r="O557" s="14">
        <v>147.62700000000001</v>
      </c>
      <c r="P557" s="13">
        <v>106</v>
      </c>
      <c r="Q557" s="14">
        <v>4.4154</v>
      </c>
      <c r="R557" s="13">
        <f>MAX(MAX(1.4/[1]Parametros!$B$3,0.25*SQRT([1]Parametros!$B$2)/[1]Parametros!$B$3)*H557*U557,(0.85*[1]Parametros!$B$2/[1]Parametros!$B$3)*(1-SQRT(1-2*(J557*1000000/([1]Parametros!$B$5*H557*U557^2))/(0.85*[1]Parametros!$B$2)))*H557*U557)</f>
        <v>734.02500000000009</v>
      </c>
      <c r="S557" s="14">
        <v>4</v>
      </c>
      <c r="T557" s="14">
        <v>1</v>
      </c>
      <c r="U557" s="13">
        <f>IF(T557=1,I557-([1]Parametros!$B$7+[1]Parametros!$B$9+[1]Parametros!$B$12/2),I557-(ROUNDUP(S557/2,0)*([1]Parametros!$B$7+[1]Parametros!$B$9+[1]Parametros!$B$12/2)+ROUNDDOWN(S557/2,0)*([1]Parametros!$B$7+[1]Parametros!$B$9+[1]Parametros!$B$12/2+[1]Parametros!$B$12+[1]Parametros!$B$10))/S557)</f>
        <v>489.35</v>
      </c>
      <c r="V557" s="13">
        <f>S557*[1]Parametros!$B$8</f>
        <v>796</v>
      </c>
      <c r="W557" s="13">
        <f>[1]Parametros!$B$5*V557*[1]Parametros!$B$3*(U557-(V557*[1]Parametros!$B$3/(0.85*[1]Parametros!$B$2*H557))/2)/1000000</f>
        <v>142.54333009411764</v>
      </c>
      <c r="X557" s="13" t="str">
        <f t="shared" si="104"/>
        <v>CUMPLE</v>
      </c>
      <c r="Y557" s="13">
        <f>MAX(MAX(1.4/[1]Parametros!$B$3,0.25*SQRT([1]Parametros!$B$2)/[1]Parametros!$B$3)*H557*AB557,(0.85*[1]Parametros!$B$2/[1]Parametros!$B$3)*(1-SQRT(1-2*(L557*1000000/([1]Parametros!$B$5*H557*AB557^2))/(0.85*[1]Parametros!$B$2)))*H557*AB557)</f>
        <v>734.02500000000009</v>
      </c>
      <c r="Z557" s="14">
        <v>4</v>
      </c>
      <c r="AA557" s="14">
        <v>1</v>
      </c>
      <c r="AB557" s="13">
        <f>IF(AA557=1,I557-([1]Parametros!$B$7+[1]Parametros!$B$9+[1]Parametros!$B$12/2),I557-(ROUNDUP(Z557/2,0)*([1]Parametros!$B$7+[1]Parametros!$B$9+[1]Parametros!$B$12/2)+ROUNDDOWN(Z557/2,0)*([1]Parametros!$B$7+[1]Parametros!$B$9+[1]Parametros!$B$12/2+[1]Parametros!$B$12+[1]Parametros!$B$10))/Z557)</f>
        <v>489.35</v>
      </c>
      <c r="AC557" s="13">
        <f>Z557*[1]Parametros!$B$8</f>
        <v>796</v>
      </c>
      <c r="AD557" s="13">
        <f>[1]Parametros!$B$5*AC557*[1]Parametros!$B$3*(AB557-(AC557*[1]Parametros!$B$3/(0.85*[1]Parametros!$B$2*H557))/2)/1000000</f>
        <v>142.54333009411764</v>
      </c>
      <c r="AE557" s="13" t="str">
        <f t="shared" si="105"/>
        <v>CUMPLE</v>
      </c>
      <c r="AF557" s="13">
        <f>V557*1.25*[1]Parametros!$B$3*(U557-(V557*1.25*[1]Parametros!$B$3/(0.85*[1]Parametros!$B$2*H557))/2)/1000000</f>
        <v>196.34621794117646</v>
      </c>
      <c r="AG557" s="13">
        <f>AC557*1.25*[1]Parametros!$B$3*(AB557-(AC557*1.25*[1]Parametros!$B$3/(0.85*[1]Parametros!$B$2*H557))/2)/1000000</f>
        <v>196.34621794117646</v>
      </c>
      <c r="AH557" s="13">
        <f t="shared" si="106"/>
        <v>233.20121794117645</v>
      </c>
      <c r="AI557" s="13">
        <f t="shared" si="107"/>
        <v>233.20121794117645</v>
      </c>
      <c r="AJ557" s="13">
        <f>0.17*SQRT([1]Parametros!$B$2)*H557*MIN(U557,AB557)/1000</f>
        <v>198.08885582262698</v>
      </c>
      <c r="AK557" s="13">
        <f>MAX(AI557/[1]Parametros!$B$6-AJ557,0)</f>
        <v>112.84610143227493</v>
      </c>
      <c r="AL557" s="13">
        <f>0.66*SQRT([1]Parametros!$B$2)*H557*MIN(U557,AB557)/1000</f>
        <v>769.05085201725785</v>
      </c>
      <c r="AM557" s="13" t="str">
        <f t="shared" si="108"/>
        <v>CUMPLE</v>
      </c>
      <c r="AN557" s="13" t="s">
        <v>64</v>
      </c>
      <c r="AO557" s="14">
        <v>2</v>
      </c>
      <c r="AP557" s="13">
        <f>ROUNDDOWN(MIN(IF(BC557+BD557=0,1000000000,AO557*BB557/(BC557+BD557)),MIN(U557,AB557)/4,8*[1]Parametros!$B$12,24*BA557,300,IF(AV557=0,1000000000,2*((H557-2*([1]Parametros!$B$7+[1]Parametros!$B$9/2))+(I557-2*([1]Parametros!$B$7+[1]Parametros!$B$9/2)))/8))/10,0)*10</f>
        <v>120</v>
      </c>
      <c r="AQ557" s="13">
        <f>ROUNDDOWN(MIN(IF(BC557+BD557=0,1000000000,AO557*BB557/(BC557+BD557)),IF(AK557&gt;0.33*SQRT([1]Parametros!$B$2)*H557*MIN(U557,AB557)/1000,MIN(U557,AB557)/4,MIN(U557,AB557)/2),600,IF(AV557=0,1000000000,2*((H557-2*([1]Parametros!$B$7+[1]Parametros!$B$9/2))+(I557-2*([1]Parametros!$B$7+[1]Parametros!$B$9/2)))/8))/10,0)*10</f>
        <v>240</v>
      </c>
      <c r="AR557" s="13">
        <f>[1]Parametros!$B$6*(AJ557+MAX(BE557-BD557,0)*[1]Parametros!$B$4*MIN(U557,AB557)/1000)</f>
        <v>330.97185436697026</v>
      </c>
      <c r="AS557" s="13" t="str">
        <f t="shared" si="109"/>
        <v>CUMPLE</v>
      </c>
      <c r="AT557" s="13">
        <f>[1]Parametros!$B$6*0.083*SQRT([1]Parametros!$B$2)*(H557*I557)^2/(2*(H557+I557))/1000000</f>
        <v>10.08878303333792</v>
      </c>
      <c r="AU557" s="13" t="str">
        <f t="shared" si="110"/>
        <v>DESPRECIABLE</v>
      </c>
      <c r="AV557" s="13">
        <f>IF(Q557&lt;=AT557,0,Q557*1000000/([1]Parametros!$B$6*2*0.85*(H557-2*([1]Parametros!$B$7+[1]Parametros!$B$9/2))*(I557-2*([1]Parametros!$B$7+[1]Parametros!$B$9/2))*[1]Parametros!$B$4))</f>
        <v>0</v>
      </c>
      <c r="AW557" s="13">
        <f>AV557*2*((H557-2*([1]Parametros!$B$7+[1]Parametros!$B$9/2))+(I557-2*([1]Parametros!$B$7+[1]Parametros!$B$9/2)))*[1]Parametros!$B$4/[1]Parametros!$B$3</f>
        <v>0</v>
      </c>
      <c r="AX557" s="14">
        <v>0</v>
      </c>
      <c r="AY557" s="13" t="str">
        <f t="shared" si="111"/>
        <v>DESPRECIABLE</v>
      </c>
      <c r="AZ557" s="13" t="str">
        <f t="shared" si="112"/>
        <v>CUMPLE</v>
      </c>
      <c r="BA557" s="14">
        <v>9.5</v>
      </c>
      <c r="BB557" s="14">
        <v>71</v>
      </c>
      <c r="BC557" s="13">
        <f>MAX(IF(AK557=0,0,AK557*1000/([1]Parametros!$B$4*MIN(U557,AB557))),MAX(0.062*SQRT([1]Parametros!$B$2)*H557/[1]Parametros!$B$4,0.35*H557/[1]Parametros!$B$4))</f>
        <v>0.5490573084425644</v>
      </c>
      <c r="BD557" s="13">
        <f t="shared" si="113"/>
        <v>0</v>
      </c>
      <c r="BE557" s="13">
        <f t="shared" si="114"/>
        <v>1.1833333333333333</v>
      </c>
      <c r="BF557" s="13">
        <f>SQRT((AI557*1000/(H557*MIN(U557,AB557)))^2+(Q557*1000000*2*((H557-2*([1]Parametros!$B$7+[1]Parametros!$B$9/2))+(I557-2*([1]Parametros!$B$7+[1]Parametros!$B$9/2)))/(1.7*((H557-2*([1]Parametros!$B$7+[1]Parametros!$B$9/2))*(I557-2*([1]Parametros!$B$7+[1]Parametros!$B$9/2)))^2))^2)</f>
        <v>1.0708021247045856</v>
      </c>
      <c r="BG557" s="13">
        <f>[1]Parametros!$B$6*(AJ557*1000/(H557*MIN(U557,AB557))+0.66*SQRT([1]Parametros!$B$2))</f>
        <v>3.2939603822754151</v>
      </c>
      <c r="BH557" s="13" t="str">
        <f t="shared" si="115"/>
        <v>CUMPLE</v>
      </c>
      <c r="BI557" s="13">
        <f>AX557*[1]Parametros!$B$8</f>
        <v>0</v>
      </c>
      <c r="BJ557" s="15" t="str">
        <f t="shared" si="116"/>
        <v>CUMPLE</v>
      </c>
    </row>
    <row r="558" spans="1:62" x14ac:dyDescent="0.3">
      <c r="A558" s="45" t="s">
        <v>78</v>
      </c>
      <c r="B558" s="46">
        <v>107</v>
      </c>
      <c r="C558" s="13">
        <v>1</v>
      </c>
      <c r="D558" s="13">
        <v>2</v>
      </c>
      <c r="E558" s="13">
        <v>2</v>
      </c>
      <c r="F558" s="13">
        <v>450</v>
      </c>
      <c r="G558" s="13">
        <v>550</v>
      </c>
      <c r="H558" s="13">
        <v>450</v>
      </c>
      <c r="I558" s="13">
        <v>550</v>
      </c>
      <c r="J558" s="14">
        <v>40.383499999999998</v>
      </c>
      <c r="K558" s="13">
        <v>107</v>
      </c>
      <c r="L558" s="14">
        <v>35.097900000000003</v>
      </c>
      <c r="M558" s="13">
        <v>107</v>
      </c>
      <c r="N558" s="14">
        <v>36.869</v>
      </c>
      <c r="O558" s="14">
        <v>147.63999999999999</v>
      </c>
      <c r="P558" s="13">
        <v>107</v>
      </c>
      <c r="Q558" s="14">
        <v>4.4154</v>
      </c>
      <c r="R558" s="13">
        <f>MAX(MAX(1.4/[1]Parametros!$B$3,0.25*SQRT([1]Parametros!$B$2)/[1]Parametros!$B$3)*H558*U558,(0.85*[1]Parametros!$B$2/[1]Parametros!$B$3)*(1-SQRT(1-2*(J558*1000000/([1]Parametros!$B$5*H558*U558^2))/(0.85*[1]Parametros!$B$2)))*H558*U558)</f>
        <v>734.02500000000009</v>
      </c>
      <c r="S558" s="14">
        <v>4</v>
      </c>
      <c r="T558" s="14">
        <v>1</v>
      </c>
      <c r="U558" s="13">
        <f>IF(T558=1,I558-([1]Parametros!$B$7+[1]Parametros!$B$9+[1]Parametros!$B$12/2),I558-(ROUNDUP(S558/2,0)*([1]Parametros!$B$7+[1]Parametros!$B$9+[1]Parametros!$B$12/2)+ROUNDDOWN(S558/2,0)*([1]Parametros!$B$7+[1]Parametros!$B$9+[1]Parametros!$B$12/2+[1]Parametros!$B$12+[1]Parametros!$B$10))/S558)</f>
        <v>489.35</v>
      </c>
      <c r="V558" s="13">
        <f>S558*[1]Parametros!$B$8</f>
        <v>796</v>
      </c>
      <c r="W558" s="13">
        <f>[1]Parametros!$B$5*V558*[1]Parametros!$B$3*(U558-(V558*[1]Parametros!$B$3/(0.85*[1]Parametros!$B$2*H558))/2)/1000000</f>
        <v>142.54333009411764</v>
      </c>
      <c r="X558" s="13" t="str">
        <f t="shared" si="104"/>
        <v>CUMPLE</v>
      </c>
      <c r="Y558" s="13">
        <f>MAX(MAX(1.4/[1]Parametros!$B$3,0.25*SQRT([1]Parametros!$B$2)/[1]Parametros!$B$3)*H558*AB558,(0.85*[1]Parametros!$B$2/[1]Parametros!$B$3)*(1-SQRT(1-2*(L558*1000000/([1]Parametros!$B$5*H558*AB558^2))/(0.85*[1]Parametros!$B$2)))*H558*AB558)</f>
        <v>734.02500000000009</v>
      </c>
      <c r="Z558" s="14">
        <v>4</v>
      </c>
      <c r="AA558" s="14">
        <v>1</v>
      </c>
      <c r="AB558" s="13">
        <f>IF(AA558=1,I558-([1]Parametros!$B$7+[1]Parametros!$B$9+[1]Parametros!$B$12/2),I558-(ROUNDUP(Z558/2,0)*([1]Parametros!$B$7+[1]Parametros!$B$9+[1]Parametros!$B$12/2)+ROUNDDOWN(Z558/2,0)*([1]Parametros!$B$7+[1]Parametros!$B$9+[1]Parametros!$B$12/2+[1]Parametros!$B$12+[1]Parametros!$B$10))/Z558)</f>
        <v>489.35</v>
      </c>
      <c r="AC558" s="13">
        <f>Z558*[1]Parametros!$B$8</f>
        <v>796</v>
      </c>
      <c r="AD558" s="13">
        <f>[1]Parametros!$B$5*AC558*[1]Parametros!$B$3*(AB558-(AC558*[1]Parametros!$B$3/(0.85*[1]Parametros!$B$2*H558))/2)/1000000</f>
        <v>142.54333009411764</v>
      </c>
      <c r="AE558" s="13" t="str">
        <f t="shared" si="105"/>
        <v>CUMPLE</v>
      </c>
      <c r="AF558" s="13">
        <f>V558*1.25*[1]Parametros!$B$3*(U558-(V558*1.25*[1]Parametros!$B$3/(0.85*[1]Parametros!$B$2*H558))/2)/1000000</f>
        <v>196.34621794117646</v>
      </c>
      <c r="AG558" s="13">
        <f>AC558*1.25*[1]Parametros!$B$3*(AB558-(AC558*1.25*[1]Parametros!$B$3/(0.85*[1]Parametros!$B$2*H558))/2)/1000000</f>
        <v>196.34621794117646</v>
      </c>
      <c r="AH558" s="13">
        <f t="shared" si="106"/>
        <v>233.21521794117646</v>
      </c>
      <c r="AI558" s="13">
        <f t="shared" si="107"/>
        <v>233.21521794117646</v>
      </c>
      <c r="AJ558" s="13">
        <f>0.17*SQRT([1]Parametros!$B$2)*H558*MIN(U558,AB558)/1000</f>
        <v>198.08885582262698</v>
      </c>
      <c r="AK558" s="13">
        <f>MAX(AI558/[1]Parametros!$B$6-AJ558,0)</f>
        <v>112.86476809894165</v>
      </c>
      <c r="AL558" s="13">
        <f>0.66*SQRT([1]Parametros!$B$2)*H558*MIN(U558,AB558)/1000</f>
        <v>769.05085201725785</v>
      </c>
      <c r="AM558" s="13" t="str">
        <f t="shared" si="108"/>
        <v>CUMPLE</v>
      </c>
      <c r="AN558" s="13" t="s">
        <v>64</v>
      </c>
      <c r="AO558" s="14">
        <v>2</v>
      </c>
      <c r="AP558" s="13">
        <f>ROUNDDOWN(MIN(IF(BC558+BD558=0,1000000000,AO558*BB558/(BC558+BD558)),MIN(U558,AB558)/4,8*[1]Parametros!$B$12,24*BA558,300,IF(AV558=0,1000000000,2*((H558-2*([1]Parametros!$B$7+[1]Parametros!$B$9/2))+(I558-2*([1]Parametros!$B$7+[1]Parametros!$B$9/2)))/8))/10,0)*10</f>
        <v>120</v>
      </c>
      <c r="AQ558" s="13">
        <f>ROUNDDOWN(MIN(IF(BC558+BD558=0,1000000000,AO558*BB558/(BC558+BD558)),IF(AK558&gt;0.33*SQRT([1]Parametros!$B$2)*H558*MIN(U558,AB558)/1000,MIN(U558,AB558)/4,MIN(U558,AB558)/2),600,IF(AV558=0,1000000000,2*((H558-2*([1]Parametros!$B$7+[1]Parametros!$B$9/2))+(I558-2*([1]Parametros!$B$7+[1]Parametros!$B$9/2)))/8))/10,0)*10</f>
        <v>240</v>
      </c>
      <c r="AR558" s="13">
        <f>[1]Parametros!$B$6*(AJ558+MAX(BE558-BD558,0)*[1]Parametros!$B$4*MIN(U558,AB558)/1000)</f>
        <v>330.97185436697026</v>
      </c>
      <c r="AS558" s="13" t="str">
        <f t="shared" si="109"/>
        <v>CUMPLE</v>
      </c>
      <c r="AT558" s="13">
        <f>[1]Parametros!$B$6*0.083*SQRT([1]Parametros!$B$2)*(H558*I558)^2/(2*(H558+I558))/1000000</f>
        <v>10.08878303333792</v>
      </c>
      <c r="AU558" s="13" t="str">
        <f t="shared" si="110"/>
        <v>DESPRECIABLE</v>
      </c>
      <c r="AV558" s="13">
        <f>IF(Q558&lt;=AT558,0,Q558*1000000/([1]Parametros!$B$6*2*0.85*(H558-2*([1]Parametros!$B$7+[1]Parametros!$B$9/2))*(I558-2*([1]Parametros!$B$7+[1]Parametros!$B$9/2))*[1]Parametros!$B$4))</f>
        <v>0</v>
      </c>
      <c r="AW558" s="13">
        <f>AV558*2*((H558-2*([1]Parametros!$B$7+[1]Parametros!$B$9/2))+(I558-2*([1]Parametros!$B$7+[1]Parametros!$B$9/2)))*[1]Parametros!$B$4/[1]Parametros!$B$3</f>
        <v>0</v>
      </c>
      <c r="AX558" s="14">
        <v>0</v>
      </c>
      <c r="AY558" s="13" t="str">
        <f t="shared" si="111"/>
        <v>DESPRECIABLE</v>
      </c>
      <c r="AZ558" s="13" t="str">
        <f t="shared" si="112"/>
        <v>CUMPLE</v>
      </c>
      <c r="BA558" s="14">
        <v>9.5</v>
      </c>
      <c r="BB558" s="14">
        <v>71</v>
      </c>
      <c r="BC558" s="13">
        <f>MAX(IF(AK558=0,0,AK558*1000/([1]Parametros!$B$4*MIN(U558,AB558))),MAX(0.062*SQRT([1]Parametros!$B$2)*H558/[1]Parametros!$B$4,0.35*H558/[1]Parametros!$B$4))</f>
        <v>0.54914813187046785</v>
      </c>
      <c r="BD558" s="13">
        <f t="shared" si="113"/>
        <v>0</v>
      </c>
      <c r="BE558" s="13">
        <f t="shared" si="114"/>
        <v>1.1833333333333333</v>
      </c>
      <c r="BF558" s="13">
        <f>SQRT((AI558*1000/(H558*MIN(U558,AB558)))^2+(Q558*1000000*2*((H558-2*([1]Parametros!$B$7+[1]Parametros!$B$9/2))+(I558-2*([1]Parametros!$B$7+[1]Parametros!$B$9/2)))/(1.7*((H558-2*([1]Parametros!$B$7+[1]Parametros!$B$9/2))*(I558-2*([1]Parametros!$B$7+[1]Parametros!$B$9/2)))^2))^2)</f>
        <v>1.0708650008194198</v>
      </c>
      <c r="BG558" s="13">
        <f>[1]Parametros!$B$6*(AJ558*1000/(H558*MIN(U558,AB558))+0.66*SQRT([1]Parametros!$B$2))</f>
        <v>3.2939603822754151</v>
      </c>
      <c r="BH558" s="13" t="str">
        <f t="shared" si="115"/>
        <v>CUMPLE</v>
      </c>
      <c r="BI558" s="13">
        <f>AX558*[1]Parametros!$B$8</f>
        <v>0</v>
      </c>
      <c r="BJ558" s="15" t="str">
        <f t="shared" si="116"/>
        <v>CUMPLE</v>
      </c>
    </row>
    <row r="559" spans="1:62" x14ac:dyDescent="0.3">
      <c r="A559" s="45" t="s">
        <v>78</v>
      </c>
      <c r="B559" s="46">
        <v>108</v>
      </c>
      <c r="C559" s="13">
        <v>1</v>
      </c>
      <c r="D559" s="13">
        <v>2</v>
      </c>
      <c r="E559" s="13">
        <v>2</v>
      </c>
      <c r="F559" s="13">
        <v>450</v>
      </c>
      <c r="G559" s="13">
        <v>550</v>
      </c>
      <c r="H559" s="13">
        <v>450</v>
      </c>
      <c r="I559" s="13">
        <v>550</v>
      </c>
      <c r="J559" s="14">
        <v>40.386699999999998</v>
      </c>
      <c r="K559" s="13">
        <v>108</v>
      </c>
      <c r="L559" s="14">
        <v>35.095999999999997</v>
      </c>
      <c r="M559" s="13">
        <v>108</v>
      </c>
      <c r="N559" s="14">
        <v>36.871000000000002</v>
      </c>
      <c r="O559" s="14">
        <v>147.643</v>
      </c>
      <c r="P559" s="13">
        <v>108</v>
      </c>
      <c r="Q559" s="14">
        <v>4.4146999999999998</v>
      </c>
      <c r="R559" s="13">
        <f>MAX(MAX(1.4/[1]Parametros!$B$3,0.25*SQRT([1]Parametros!$B$2)/[1]Parametros!$B$3)*H559*U559,(0.85*[1]Parametros!$B$2/[1]Parametros!$B$3)*(1-SQRT(1-2*(J559*1000000/([1]Parametros!$B$5*H559*U559^2))/(0.85*[1]Parametros!$B$2)))*H559*U559)</f>
        <v>734.02500000000009</v>
      </c>
      <c r="S559" s="14">
        <v>4</v>
      </c>
      <c r="T559" s="14">
        <v>1</v>
      </c>
      <c r="U559" s="13">
        <f>IF(T559=1,I559-([1]Parametros!$B$7+[1]Parametros!$B$9+[1]Parametros!$B$12/2),I559-(ROUNDUP(S559/2,0)*([1]Parametros!$B$7+[1]Parametros!$B$9+[1]Parametros!$B$12/2)+ROUNDDOWN(S559/2,0)*([1]Parametros!$B$7+[1]Parametros!$B$9+[1]Parametros!$B$12/2+[1]Parametros!$B$12+[1]Parametros!$B$10))/S559)</f>
        <v>489.35</v>
      </c>
      <c r="V559" s="13">
        <f>S559*[1]Parametros!$B$8</f>
        <v>796</v>
      </c>
      <c r="W559" s="13">
        <f>[1]Parametros!$B$5*V559*[1]Parametros!$B$3*(U559-(V559*[1]Parametros!$B$3/(0.85*[1]Parametros!$B$2*H559))/2)/1000000</f>
        <v>142.54333009411764</v>
      </c>
      <c r="X559" s="13" t="str">
        <f t="shared" si="104"/>
        <v>CUMPLE</v>
      </c>
      <c r="Y559" s="13">
        <f>MAX(MAX(1.4/[1]Parametros!$B$3,0.25*SQRT([1]Parametros!$B$2)/[1]Parametros!$B$3)*H559*AB559,(0.85*[1]Parametros!$B$2/[1]Parametros!$B$3)*(1-SQRT(1-2*(L559*1000000/([1]Parametros!$B$5*H559*AB559^2))/(0.85*[1]Parametros!$B$2)))*H559*AB559)</f>
        <v>734.02500000000009</v>
      </c>
      <c r="Z559" s="14">
        <v>4</v>
      </c>
      <c r="AA559" s="14">
        <v>1</v>
      </c>
      <c r="AB559" s="13">
        <f>IF(AA559=1,I559-([1]Parametros!$B$7+[1]Parametros!$B$9+[1]Parametros!$B$12/2),I559-(ROUNDUP(Z559/2,0)*([1]Parametros!$B$7+[1]Parametros!$B$9+[1]Parametros!$B$12/2)+ROUNDDOWN(Z559/2,0)*([1]Parametros!$B$7+[1]Parametros!$B$9+[1]Parametros!$B$12/2+[1]Parametros!$B$12+[1]Parametros!$B$10))/Z559)</f>
        <v>489.35</v>
      </c>
      <c r="AC559" s="13">
        <f>Z559*[1]Parametros!$B$8</f>
        <v>796</v>
      </c>
      <c r="AD559" s="13">
        <f>[1]Parametros!$B$5*AC559*[1]Parametros!$B$3*(AB559-(AC559*[1]Parametros!$B$3/(0.85*[1]Parametros!$B$2*H559))/2)/1000000</f>
        <v>142.54333009411764</v>
      </c>
      <c r="AE559" s="13" t="str">
        <f t="shared" si="105"/>
        <v>CUMPLE</v>
      </c>
      <c r="AF559" s="13">
        <f>V559*1.25*[1]Parametros!$B$3*(U559-(V559*1.25*[1]Parametros!$B$3/(0.85*[1]Parametros!$B$2*H559))/2)/1000000</f>
        <v>196.34621794117646</v>
      </c>
      <c r="AG559" s="13">
        <f>AC559*1.25*[1]Parametros!$B$3*(AB559-(AC559*1.25*[1]Parametros!$B$3/(0.85*[1]Parametros!$B$2*H559))/2)/1000000</f>
        <v>196.34621794117646</v>
      </c>
      <c r="AH559" s="13">
        <f t="shared" si="106"/>
        <v>233.21721794117647</v>
      </c>
      <c r="AI559" s="13">
        <f t="shared" si="107"/>
        <v>233.21721794117647</v>
      </c>
      <c r="AJ559" s="13">
        <f>0.17*SQRT([1]Parametros!$B$2)*H559*MIN(U559,AB559)/1000</f>
        <v>198.08885582262698</v>
      </c>
      <c r="AK559" s="13">
        <f>MAX(AI559/[1]Parametros!$B$6-AJ559,0)</f>
        <v>112.86743476560829</v>
      </c>
      <c r="AL559" s="13">
        <f>0.66*SQRT([1]Parametros!$B$2)*H559*MIN(U559,AB559)/1000</f>
        <v>769.05085201725785</v>
      </c>
      <c r="AM559" s="13" t="str">
        <f t="shared" si="108"/>
        <v>CUMPLE</v>
      </c>
      <c r="AN559" s="13" t="s">
        <v>64</v>
      </c>
      <c r="AO559" s="14">
        <v>2</v>
      </c>
      <c r="AP559" s="13">
        <f>ROUNDDOWN(MIN(IF(BC559+BD559=0,1000000000,AO559*BB559/(BC559+BD559)),MIN(U559,AB559)/4,8*[1]Parametros!$B$12,24*BA559,300,IF(AV559=0,1000000000,2*((H559-2*([1]Parametros!$B$7+[1]Parametros!$B$9/2))+(I559-2*([1]Parametros!$B$7+[1]Parametros!$B$9/2)))/8))/10,0)*10</f>
        <v>120</v>
      </c>
      <c r="AQ559" s="13">
        <f>ROUNDDOWN(MIN(IF(BC559+BD559=0,1000000000,AO559*BB559/(BC559+BD559)),IF(AK559&gt;0.33*SQRT([1]Parametros!$B$2)*H559*MIN(U559,AB559)/1000,MIN(U559,AB559)/4,MIN(U559,AB559)/2),600,IF(AV559=0,1000000000,2*((H559-2*([1]Parametros!$B$7+[1]Parametros!$B$9/2))+(I559-2*([1]Parametros!$B$7+[1]Parametros!$B$9/2)))/8))/10,0)*10</f>
        <v>240</v>
      </c>
      <c r="AR559" s="13">
        <f>[1]Parametros!$B$6*(AJ559+MAX(BE559-BD559,0)*[1]Parametros!$B$4*MIN(U559,AB559)/1000)</f>
        <v>330.97185436697026</v>
      </c>
      <c r="AS559" s="13" t="str">
        <f t="shared" si="109"/>
        <v>CUMPLE</v>
      </c>
      <c r="AT559" s="13">
        <f>[1]Parametros!$B$6*0.083*SQRT([1]Parametros!$B$2)*(H559*I559)^2/(2*(H559+I559))/1000000</f>
        <v>10.08878303333792</v>
      </c>
      <c r="AU559" s="13" t="str">
        <f t="shared" si="110"/>
        <v>DESPRECIABLE</v>
      </c>
      <c r="AV559" s="13">
        <f>IF(Q559&lt;=AT559,0,Q559*1000000/([1]Parametros!$B$6*2*0.85*(H559-2*([1]Parametros!$B$7+[1]Parametros!$B$9/2))*(I559-2*([1]Parametros!$B$7+[1]Parametros!$B$9/2))*[1]Parametros!$B$4))</f>
        <v>0</v>
      </c>
      <c r="AW559" s="13">
        <f>AV559*2*((H559-2*([1]Parametros!$B$7+[1]Parametros!$B$9/2))+(I559-2*([1]Parametros!$B$7+[1]Parametros!$B$9/2)))*[1]Parametros!$B$4/[1]Parametros!$B$3</f>
        <v>0</v>
      </c>
      <c r="AX559" s="14">
        <v>0</v>
      </c>
      <c r="AY559" s="13" t="str">
        <f t="shared" si="111"/>
        <v>DESPRECIABLE</v>
      </c>
      <c r="AZ559" s="13" t="str">
        <f t="shared" si="112"/>
        <v>CUMPLE</v>
      </c>
      <c r="BA559" s="14">
        <v>9.5</v>
      </c>
      <c r="BB559" s="14">
        <v>71</v>
      </c>
      <c r="BC559" s="13">
        <f>MAX(IF(AK559=0,0,AK559*1000/([1]Parametros!$B$4*MIN(U559,AB559))),MAX(0.062*SQRT([1]Parametros!$B$2)*H559/[1]Parametros!$B$4,0.35*H559/[1]Parametros!$B$4))</f>
        <v>0.54916110664588247</v>
      </c>
      <c r="BD559" s="13">
        <f t="shared" si="113"/>
        <v>0</v>
      </c>
      <c r="BE559" s="13">
        <f t="shared" si="114"/>
        <v>1.1833333333333333</v>
      </c>
      <c r="BF559" s="13">
        <f>SQRT((AI559*1000/(H559*MIN(U559,AB559)))^2+(Q559*1000000*2*((H559-2*([1]Parametros!$B$7+[1]Parametros!$B$9/2))+(I559-2*([1]Parametros!$B$7+[1]Parametros!$B$9/2)))/(1.7*((H559-2*([1]Parametros!$B$7+[1]Parametros!$B$9/2))*(I559-2*([1]Parametros!$B$7+[1]Parametros!$B$9/2)))^2))^2)</f>
        <v>1.0708702642656058</v>
      </c>
      <c r="BG559" s="13">
        <f>[1]Parametros!$B$6*(AJ559*1000/(H559*MIN(U559,AB559))+0.66*SQRT([1]Parametros!$B$2))</f>
        <v>3.2939603822754151</v>
      </c>
      <c r="BH559" s="13" t="str">
        <f t="shared" si="115"/>
        <v>CUMPLE</v>
      </c>
      <c r="BI559" s="13">
        <f>AX559*[1]Parametros!$B$8</f>
        <v>0</v>
      </c>
      <c r="BJ559" s="15" t="str">
        <f t="shared" si="116"/>
        <v>CUMPLE</v>
      </c>
    </row>
    <row r="560" spans="1:62" x14ac:dyDescent="0.3">
      <c r="A560" s="45" t="s">
        <v>78</v>
      </c>
      <c r="B560" s="46">
        <v>109</v>
      </c>
      <c r="C560" s="13">
        <v>1</v>
      </c>
      <c r="D560" s="13">
        <v>1.9</v>
      </c>
      <c r="E560" s="13">
        <v>1.9</v>
      </c>
      <c r="F560" s="13">
        <v>450</v>
      </c>
      <c r="G560" s="13">
        <v>550</v>
      </c>
      <c r="H560" s="13">
        <v>450</v>
      </c>
      <c r="I560" s="13">
        <v>550</v>
      </c>
      <c r="J560" s="14">
        <v>48.916800000000002</v>
      </c>
      <c r="K560" s="13">
        <v>109</v>
      </c>
      <c r="L560" s="14">
        <v>41.186</v>
      </c>
      <c r="M560" s="13">
        <v>109</v>
      </c>
      <c r="N560" s="14">
        <v>43.256</v>
      </c>
      <c r="O560" s="14">
        <v>169.702</v>
      </c>
      <c r="P560" s="13">
        <v>109</v>
      </c>
      <c r="Q560" s="14">
        <v>16.969799999999999</v>
      </c>
      <c r="R560" s="13">
        <f>MAX(MAX(1.4/[1]Parametros!$B$3,0.25*SQRT([1]Parametros!$B$2)/[1]Parametros!$B$3)*H560*U560,(0.85*[1]Parametros!$B$2/[1]Parametros!$B$3)*(1-SQRT(1-2*(J560*1000000/([1]Parametros!$B$5*H560*U560^2))/(0.85*[1]Parametros!$B$2)))*H560*U560)</f>
        <v>734.02500000000009</v>
      </c>
      <c r="S560" s="14">
        <v>4</v>
      </c>
      <c r="T560" s="14">
        <v>1</v>
      </c>
      <c r="U560" s="13">
        <f>IF(T560=1,I560-([1]Parametros!$B$7+[1]Parametros!$B$9+[1]Parametros!$B$12/2),I560-(ROUNDUP(S560/2,0)*([1]Parametros!$B$7+[1]Parametros!$B$9+[1]Parametros!$B$12/2)+ROUNDDOWN(S560/2,0)*([1]Parametros!$B$7+[1]Parametros!$B$9+[1]Parametros!$B$12/2+[1]Parametros!$B$12+[1]Parametros!$B$10))/S560)</f>
        <v>489.35</v>
      </c>
      <c r="V560" s="13">
        <f>S560*[1]Parametros!$B$8</f>
        <v>796</v>
      </c>
      <c r="W560" s="13">
        <f>[1]Parametros!$B$5*V560*[1]Parametros!$B$3*(U560-(V560*[1]Parametros!$B$3/(0.85*[1]Parametros!$B$2*H560))/2)/1000000</f>
        <v>142.54333009411764</v>
      </c>
      <c r="X560" s="13" t="str">
        <f t="shared" si="104"/>
        <v>CUMPLE</v>
      </c>
      <c r="Y560" s="13">
        <f>MAX(MAX(1.4/[1]Parametros!$B$3,0.25*SQRT([1]Parametros!$B$2)/[1]Parametros!$B$3)*H560*AB560,(0.85*[1]Parametros!$B$2/[1]Parametros!$B$3)*(1-SQRT(1-2*(L560*1000000/([1]Parametros!$B$5*H560*AB560^2))/(0.85*[1]Parametros!$B$2)))*H560*AB560)</f>
        <v>734.02500000000009</v>
      </c>
      <c r="Z560" s="14">
        <v>4</v>
      </c>
      <c r="AA560" s="14">
        <v>1</v>
      </c>
      <c r="AB560" s="13">
        <f>IF(AA560=1,I560-([1]Parametros!$B$7+[1]Parametros!$B$9+[1]Parametros!$B$12/2),I560-(ROUNDUP(Z560/2,0)*([1]Parametros!$B$7+[1]Parametros!$B$9+[1]Parametros!$B$12/2)+ROUNDDOWN(Z560/2,0)*([1]Parametros!$B$7+[1]Parametros!$B$9+[1]Parametros!$B$12/2+[1]Parametros!$B$12+[1]Parametros!$B$10))/Z560)</f>
        <v>489.35</v>
      </c>
      <c r="AC560" s="13">
        <f>Z560*[1]Parametros!$B$8</f>
        <v>796</v>
      </c>
      <c r="AD560" s="13">
        <f>[1]Parametros!$B$5*AC560*[1]Parametros!$B$3*(AB560-(AC560*[1]Parametros!$B$3/(0.85*[1]Parametros!$B$2*H560))/2)/1000000</f>
        <v>142.54333009411764</v>
      </c>
      <c r="AE560" s="13" t="str">
        <f t="shared" si="105"/>
        <v>CUMPLE</v>
      </c>
      <c r="AF560" s="13">
        <f>V560*1.25*[1]Parametros!$B$3*(U560-(V560*1.25*[1]Parametros!$B$3/(0.85*[1]Parametros!$B$2*H560))/2)/1000000</f>
        <v>196.34621794117646</v>
      </c>
      <c r="AG560" s="13">
        <f>AC560*1.25*[1]Parametros!$B$3*(AB560-(AC560*1.25*[1]Parametros!$B$3/(0.85*[1]Parametros!$B$2*H560))/2)/1000000</f>
        <v>196.34621794117646</v>
      </c>
      <c r="AH560" s="13">
        <f t="shared" si="106"/>
        <v>249.93622941176471</v>
      </c>
      <c r="AI560" s="13">
        <f t="shared" si="107"/>
        <v>249.93622941176471</v>
      </c>
      <c r="AJ560" s="13">
        <f>0.17*SQRT([1]Parametros!$B$2)*H560*MIN(U560,AB560)/1000</f>
        <v>198.08885582262698</v>
      </c>
      <c r="AK560" s="13">
        <f>MAX(AI560/[1]Parametros!$B$6-AJ560,0)</f>
        <v>135.15945005972597</v>
      </c>
      <c r="AL560" s="13">
        <f>0.66*SQRT([1]Parametros!$B$2)*H560*MIN(U560,AB560)/1000</f>
        <v>769.05085201725785</v>
      </c>
      <c r="AM560" s="13" t="str">
        <f t="shared" si="108"/>
        <v>CUMPLE</v>
      </c>
      <c r="AN560" s="13" t="s">
        <v>64</v>
      </c>
      <c r="AO560" s="14">
        <v>2</v>
      </c>
      <c r="AP560" s="13">
        <f>ROUNDDOWN(MIN(IF(BC560+BD560=0,1000000000,AO560*BB560/(BC560+BD560)),MIN(U560,AB560)/4,8*[1]Parametros!$B$12,24*BA560,300,IF(AV560=0,1000000000,2*((H560-2*([1]Parametros!$B$7+[1]Parametros!$B$9/2))+(I560-2*([1]Parametros!$B$7+[1]Parametros!$B$9/2)))/8))/10,0)*10</f>
        <v>120</v>
      </c>
      <c r="AQ560" s="13">
        <f>ROUNDDOWN(MIN(IF(BC560+BD560=0,1000000000,AO560*BB560/(BC560+BD560)),IF(AK560&gt;0.33*SQRT([1]Parametros!$B$2)*H560*MIN(U560,AB560)/1000,MIN(U560,AB560)/4,MIN(U560,AB560)/2),600,IF(AV560=0,1000000000,2*((H560-2*([1]Parametros!$B$7+[1]Parametros!$B$9/2))+(I560-2*([1]Parametros!$B$7+[1]Parametros!$B$9/2)))/8))/10,0)*10</f>
        <v>130</v>
      </c>
      <c r="AR560" s="13">
        <f>[1]Parametros!$B$6*(AJ560+MAX(BE560-BD560,0)*[1]Parametros!$B$4*MIN(U560,AB560)/1000)</f>
        <v>271.17984159610955</v>
      </c>
      <c r="AS560" s="13" t="str">
        <f t="shared" si="109"/>
        <v>CUMPLE</v>
      </c>
      <c r="AT560" s="13">
        <f>[1]Parametros!$B$6*0.083*SQRT([1]Parametros!$B$2)*(H560*I560)^2/(2*(H560+I560))/1000000</f>
        <v>10.08878303333792</v>
      </c>
      <c r="AU560" s="13" t="str">
        <f t="shared" si="110"/>
        <v>DISEÑAR</v>
      </c>
      <c r="AV560" s="13">
        <f>IF(Q560&lt;=AT560,0,Q560*1000000/([1]Parametros!$B$6*2*0.85*(H560-2*([1]Parametros!$B$7+[1]Parametros!$B$9/2))*(I560-2*([1]Parametros!$B$7+[1]Parametros!$B$9/2))*[1]Parametros!$B$4))</f>
        <v>0.1939469843243975</v>
      </c>
      <c r="AW560" s="13">
        <f>AV560*2*((H560-2*([1]Parametros!$B$7+[1]Parametros!$B$9/2))+(I560-2*([1]Parametros!$B$7+[1]Parametros!$B$9/2)))*[1]Parametros!$B$4/[1]Parametros!$B$3</f>
        <v>315.97842686130844</v>
      </c>
      <c r="AX560" s="14">
        <v>8</v>
      </c>
      <c r="AY560" s="13" t="str">
        <f t="shared" si="111"/>
        <v>CUMPLE</v>
      </c>
      <c r="AZ560" s="13" t="str">
        <f t="shared" si="112"/>
        <v>CUMPLE</v>
      </c>
      <c r="BA560" s="14">
        <v>9.5</v>
      </c>
      <c r="BB560" s="14">
        <v>71</v>
      </c>
      <c r="BC560" s="13">
        <f>MAX(IF(AK560=0,0,AK560*1000/([1]Parametros!$B$4*MIN(U560,AB560))),MAX(0.062*SQRT([1]Parametros!$B$2)*H560/[1]Parametros!$B$4,0.35*H560/[1]Parametros!$B$4))</f>
        <v>0.65762381613961163</v>
      </c>
      <c r="BD560" s="13">
        <f t="shared" si="113"/>
        <v>0.387893968648795</v>
      </c>
      <c r="BE560" s="13">
        <f t="shared" si="114"/>
        <v>1.1833333333333333</v>
      </c>
      <c r="BF560" s="13">
        <f>SQRT((AI560*1000/(H560*MIN(U560,AB560)))^2+(Q560*1000000*2*((H560-2*([1]Parametros!$B$7+[1]Parametros!$B$9/2))+(I560-2*([1]Parametros!$B$7+[1]Parametros!$B$9/2)))/(1.7*((H560-2*([1]Parametros!$B$7+[1]Parametros!$B$9/2))*(I560-2*([1]Parametros!$B$7+[1]Parametros!$B$9/2)))^2))^2)</f>
        <v>1.2881429972660385</v>
      </c>
      <c r="BG560" s="13">
        <f>[1]Parametros!$B$6*(AJ560*1000/(H560*MIN(U560,AB560))+0.66*SQRT([1]Parametros!$B$2))</f>
        <v>3.2939603822754151</v>
      </c>
      <c r="BH560" s="13" t="str">
        <f t="shared" si="115"/>
        <v>CUMPLE</v>
      </c>
      <c r="BI560" s="13">
        <f>AX560*[1]Parametros!$B$8</f>
        <v>1592</v>
      </c>
      <c r="BJ560" s="15" t="str">
        <f t="shared" si="116"/>
        <v>CUMPLE</v>
      </c>
    </row>
    <row r="561" spans="1:62" x14ac:dyDescent="0.3">
      <c r="A561" s="45" t="s">
        <v>78</v>
      </c>
      <c r="B561" s="46">
        <v>110</v>
      </c>
      <c r="C561" s="13">
        <v>1</v>
      </c>
      <c r="D561" s="13">
        <v>1.9</v>
      </c>
      <c r="E561" s="13">
        <v>1.9</v>
      </c>
      <c r="F561" s="13">
        <v>450</v>
      </c>
      <c r="G561" s="13">
        <v>550</v>
      </c>
      <c r="H561" s="13">
        <v>450</v>
      </c>
      <c r="I561" s="13">
        <v>550</v>
      </c>
      <c r="J561" s="14">
        <v>48.917900000000003</v>
      </c>
      <c r="K561" s="13">
        <v>110</v>
      </c>
      <c r="L561" s="14">
        <v>41.185200000000002</v>
      </c>
      <c r="M561" s="13">
        <v>110</v>
      </c>
      <c r="N561" s="14">
        <v>43.226999999999997</v>
      </c>
      <c r="O561" s="14">
        <v>169.67</v>
      </c>
      <c r="P561" s="13">
        <v>110</v>
      </c>
      <c r="Q561" s="14">
        <v>16.958400000000001</v>
      </c>
      <c r="R561" s="13">
        <f>MAX(MAX(1.4/[1]Parametros!$B$3,0.25*SQRT([1]Parametros!$B$2)/[1]Parametros!$B$3)*H561*U561,(0.85*[1]Parametros!$B$2/[1]Parametros!$B$3)*(1-SQRT(1-2*(J561*1000000/([1]Parametros!$B$5*H561*U561^2))/(0.85*[1]Parametros!$B$2)))*H561*U561)</f>
        <v>734.02500000000009</v>
      </c>
      <c r="S561" s="14">
        <v>4</v>
      </c>
      <c r="T561" s="14">
        <v>1</v>
      </c>
      <c r="U561" s="13">
        <f>IF(T561=1,I561-([1]Parametros!$B$7+[1]Parametros!$B$9+[1]Parametros!$B$12/2),I561-(ROUNDUP(S561/2,0)*([1]Parametros!$B$7+[1]Parametros!$B$9+[1]Parametros!$B$12/2)+ROUNDDOWN(S561/2,0)*([1]Parametros!$B$7+[1]Parametros!$B$9+[1]Parametros!$B$12/2+[1]Parametros!$B$12+[1]Parametros!$B$10))/S561)</f>
        <v>489.35</v>
      </c>
      <c r="V561" s="13">
        <f>S561*[1]Parametros!$B$8</f>
        <v>796</v>
      </c>
      <c r="W561" s="13">
        <f>[1]Parametros!$B$5*V561*[1]Parametros!$B$3*(U561-(V561*[1]Parametros!$B$3/(0.85*[1]Parametros!$B$2*H561))/2)/1000000</f>
        <v>142.54333009411764</v>
      </c>
      <c r="X561" s="13" t="str">
        <f t="shared" si="104"/>
        <v>CUMPLE</v>
      </c>
      <c r="Y561" s="13">
        <f>MAX(MAX(1.4/[1]Parametros!$B$3,0.25*SQRT([1]Parametros!$B$2)/[1]Parametros!$B$3)*H561*AB561,(0.85*[1]Parametros!$B$2/[1]Parametros!$B$3)*(1-SQRT(1-2*(L561*1000000/([1]Parametros!$B$5*H561*AB561^2))/(0.85*[1]Parametros!$B$2)))*H561*AB561)</f>
        <v>734.02500000000009</v>
      </c>
      <c r="Z561" s="14">
        <v>4</v>
      </c>
      <c r="AA561" s="14">
        <v>1</v>
      </c>
      <c r="AB561" s="13">
        <f>IF(AA561=1,I561-([1]Parametros!$B$7+[1]Parametros!$B$9+[1]Parametros!$B$12/2),I561-(ROUNDUP(Z561/2,0)*([1]Parametros!$B$7+[1]Parametros!$B$9+[1]Parametros!$B$12/2)+ROUNDDOWN(Z561/2,0)*([1]Parametros!$B$7+[1]Parametros!$B$9+[1]Parametros!$B$12/2+[1]Parametros!$B$12+[1]Parametros!$B$10))/Z561)</f>
        <v>489.35</v>
      </c>
      <c r="AC561" s="13">
        <f>Z561*[1]Parametros!$B$8</f>
        <v>796</v>
      </c>
      <c r="AD561" s="13">
        <f>[1]Parametros!$B$5*AC561*[1]Parametros!$B$3*(AB561-(AC561*[1]Parametros!$B$3/(0.85*[1]Parametros!$B$2*H561))/2)/1000000</f>
        <v>142.54333009411764</v>
      </c>
      <c r="AE561" s="13" t="str">
        <f t="shared" si="105"/>
        <v>CUMPLE</v>
      </c>
      <c r="AF561" s="13">
        <f>V561*1.25*[1]Parametros!$B$3*(U561-(V561*1.25*[1]Parametros!$B$3/(0.85*[1]Parametros!$B$2*H561))/2)/1000000</f>
        <v>196.34621794117646</v>
      </c>
      <c r="AG561" s="13">
        <f>AC561*1.25*[1]Parametros!$B$3*(AB561-(AC561*1.25*[1]Parametros!$B$3/(0.85*[1]Parametros!$B$2*H561))/2)/1000000</f>
        <v>196.34621794117646</v>
      </c>
      <c r="AH561" s="13">
        <f t="shared" si="106"/>
        <v>249.90722941176472</v>
      </c>
      <c r="AI561" s="13">
        <f t="shared" si="107"/>
        <v>249.90722941176472</v>
      </c>
      <c r="AJ561" s="13">
        <f>0.17*SQRT([1]Parametros!$B$2)*H561*MIN(U561,AB561)/1000</f>
        <v>198.08885582262698</v>
      </c>
      <c r="AK561" s="13">
        <f>MAX(AI561/[1]Parametros!$B$6-AJ561,0)</f>
        <v>135.12078339305933</v>
      </c>
      <c r="AL561" s="13">
        <f>0.66*SQRT([1]Parametros!$B$2)*H561*MIN(U561,AB561)/1000</f>
        <v>769.05085201725785</v>
      </c>
      <c r="AM561" s="13" t="str">
        <f t="shared" si="108"/>
        <v>CUMPLE</v>
      </c>
      <c r="AN561" s="13" t="s">
        <v>64</v>
      </c>
      <c r="AO561" s="14">
        <v>2</v>
      </c>
      <c r="AP561" s="13">
        <f>ROUNDDOWN(MIN(IF(BC561+BD561=0,1000000000,AO561*BB561/(BC561+BD561)),MIN(U561,AB561)/4,8*[1]Parametros!$B$12,24*BA561,300,IF(AV561=0,1000000000,2*((H561-2*([1]Parametros!$B$7+[1]Parametros!$B$9/2))+(I561-2*([1]Parametros!$B$7+[1]Parametros!$B$9/2)))/8))/10,0)*10</f>
        <v>120</v>
      </c>
      <c r="AQ561" s="13">
        <f>ROUNDDOWN(MIN(IF(BC561+BD561=0,1000000000,AO561*BB561/(BC561+BD561)),IF(AK561&gt;0.33*SQRT([1]Parametros!$B$2)*H561*MIN(U561,AB561)/1000,MIN(U561,AB561)/4,MIN(U561,AB561)/2),600,IF(AV561=0,1000000000,2*((H561-2*([1]Parametros!$B$7+[1]Parametros!$B$9/2))+(I561-2*([1]Parametros!$B$7+[1]Parametros!$B$9/2)))/8))/10,0)*10</f>
        <v>130</v>
      </c>
      <c r="AR561" s="13">
        <f>[1]Parametros!$B$6*(AJ561+MAX(BE561-BD561,0)*[1]Parametros!$B$4*MIN(U561,AB561)/1000)</f>
        <v>271.22000877224531</v>
      </c>
      <c r="AS561" s="13" t="str">
        <f t="shared" si="109"/>
        <v>CUMPLE</v>
      </c>
      <c r="AT561" s="13">
        <f>[1]Parametros!$B$6*0.083*SQRT([1]Parametros!$B$2)*(H561*I561)^2/(2*(H561+I561))/1000000</f>
        <v>10.08878303333792</v>
      </c>
      <c r="AU561" s="13" t="str">
        <f t="shared" si="110"/>
        <v>DISEÑAR</v>
      </c>
      <c r="AV561" s="13">
        <f>IF(Q561&lt;=AT561,0,Q561*1000000/([1]Parametros!$B$6*2*0.85*(H561-2*([1]Parametros!$B$7+[1]Parametros!$B$9/2))*(I561-2*([1]Parametros!$B$7+[1]Parametros!$B$9/2))*[1]Parametros!$B$4))</f>
        <v>0.19381669430204615</v>
      </c>
      <c r="AW561" s="13">
        <f>AV561*2*((H561-2*([1]Parametros!$B$7+[1]Parametros!$B$9/2))+(I561-2*([1]Parametros!$B$7+[1]Parametros!$B$9/2)))*[1]Parametros!$B$4/[1]Parametros!$B$3</f>
        <v>315.76615835689364</v>
      </c>
      <c r="AX561" s="14">
        <v>8</v>
      </c>
      <c r="AY561" s="13" t="str">
        <f t="shared" si="111"/>
        <v>CUMPLE</v>
      </c>
      <c r="AZ561" s="13" t="str">
        <f t="shared" si="112"/>
        <v>CUMPLE</v>
      </c>
      <c r="BA561" s="14">
        <v>9.5</v>
      </c>
      <c r="BB561" s="14">
        <v>71</v>
      </c>
      <c r="BC561" s="13">
        <f>MAX(IF(AK561=0,0,AK561*1000/([1]Parametros!$B$4*MIN(U561,AB561))),MAX(0.062*SQRT([1]Parametros!$B$2)*H561/[1]Parametros!$B$4,0.35*H561/[1]Parametros!$B$4))</f>
        <v>0.65743568189609802</v>
      </c>
      <c r="BD561" s="13">
        <f t="shared" si="113"/>
        <v>0.3876333886040923</v>
      </c>
      <c r="BE561" s="13">
        <f t="shared" si="114"/>
        <v>1.1833333333333333</v>
      </c>
      <c r="BF561" s="13">
        <f>SQRT((AI561*1000/(H561*MIN(U561,AB561)))^2+(Q561*1000000*2*((H561-2*([1]Parametros!$B$7+[1]Parametros!$B$9/2))+(I561-2*([1]Parametros!$B$7+[1]Parametros!$B$9/2)))/(1.7*((H561-2*([1]Parametros!$B$7+[1]Parametros!$B$9/2))*(I561-2*([1]Parametros!$B$7+[1]Parametros!$B$9/2)))^2))^2)</f>
        <v>1.2878334716090118</v>
      </c>
      <c r="BG561" s="13">
        <f>[1]Parametros!$B$6*(AJ561*1000/(H561*MIN(U561,AB561))+0.66*SQRT([1]Parametros!$B$2))</f>
        <v>3.2939603822754151</v>
      </c>
      <c r="BH561" s="13" t="str">
        <f t="shared" si="115"/>
        <v>CUMPLE</v>
      </c>
      <c r="BI561" s="13">
        <f>AX561*[1]Parametros!$B$8</f>
        <v>1592</v>
      </c>
      <c r="BJ561" s="15" t="str">
        <f t="shared" si="116"/>
        <v>CUMPLE</v>
      </c>
    </row>
    <row r="562" spans="1:62" x14ac:dyDescent="0.3">
      <c r="A562" s="45" t="s">
        <v>78</v>
      </c>
      <c r="B562" s="46">
        <v>111</v>
      </c>
      <c r="C562" s="13">
        <v>1</v>
      </c>
      <c r="D562" s="13">
        <v>1.9</v>
      </c>
      <c r="E562" s="13">
        <v>1.9</v>
      </c>
      <c r="F562" s="13">
        <v>450</v>
      </c>
      <c r="G562" s="13">
        <v>550</v>
      </c>
      <c r="H562" s="13">
        <v>450</v>
      </c>
      <c r="I562" s="13">
        <v>550</v>
      </c>
      <c r="J562" s="14">
        <v>48.9285</v>
      </c>
      <c r="K562" s="13">
        <v>111</v>
      </c>
      <c r="L562" s="14">
        <v>41.167999999999999</v>
      </c>
      <c r="M562" s="13">
        <v>111</v>
      </c>
      <c r="N562" s="14">
        <v>43.213999999999999</v>
      </c>
      <c r="O562" s="14">
        <v>169.637</v>
      </c>
      <c r="P562" s="13">
        <v>111</v>
      </c>
      <c r="Q562" s="14">
        <v>16.95</v>
      </c>
      <c r="R562" s="13">
        <f>MAX(MAX(1.4/[1]Parametros!$B$3,0.25*SQRT([1]Parametros!$B$2)/[1]Parametros!$B$3)*H562*U562,(0.85*[1]Parametros!$B$2/[1]Parametros!$B$3)*(1-SQRT(1-2*(J562*1000000/([1]Parametros!$B$5*H562*U562^2))/(0.85*[1]Parametros!$B$2)))*H562*U562)</f>
        <v>734.02500000000009</v>
      </c>
      <c r="S562" s="14">
        <v>4</v>
      </c>
      <c r="T562" s="14">
        <v>1</v>
      </c>
      <c r="U562" s="13">
        <f>IF(T562=1,I562-([1]Parametros!$B$7+[1]Parametros!$B$9+[1]Parametros!$B$12/2),I562-(ROUNDUP(S562/2,0)*([1]Parametros!$B$7+[1]Parametros!$B$9+[1]Parametros!$B$12/2)+ROUNDDOWN(S562/2,0)*([1]Parametros!$B$7+[1]Parametros!$B$9+[1]Parametros!$B$12/2+[1]Parametros!$B$12+[1]Parametros!$B$10))/S562)</f>
        <v>489.35</v>
      </c>
      <c r="V562" s="13">
        <f>S562*[1]Parametros!$B$8</f>
        <v>796</v>
      </c>
      <c r="W562" s="13">
        <f>[1]Parametros!$B$5*V562*[1]Parametros!$B$3*(U562-(V562*[1]Parametros!$B$3/(0.85*[1]Parametros!$B$2*H562))/2)/1000000</f>
        <v>142.54333009411764</v>
      </c>
      <c r="X562" s="13" t="str">
        <f t="shared" si="104"/>
        <v>CUMPLE</v>
      </c>
      <c r="Y562" s="13">
        <f>MAX(MAX(1.4/[1]Parametros!$B$3,0.25*SQRT([1]Parametros!$B$2)/[1]Parametros!$B$3)*H562*AB562,(0.85*[1]Parametros!$B$2/[1]Parametros!$B$3)*(1-SQRT(1-2*(L562*1000000/([1]Parametros!$B$5*H562*AB562^2))/(0.85*[1]Parametros!$B$2)))*H562*AB562)</f>
        <v>734.02500000000009</v>
      </c>
      <c r="Z562" s="14">
        <v>4</v>
      </c>
      <c r="AA562" s="14">
        <v>1</v>
      </c>
      <c r="AB562" s="13">
        <f>IF(AA562=1,I562-([1]Parametros!$B$7+[1]Parametros!$B$9+[1]Parametros!$B$12/2),I562-(ROUNDUP(Z562/2,0)*([1]Parametros!$B$7+[1]Parametros!$B$9+[1]Parametros!$B$12/2)+ROUNDDOWN(Z562/2,0)*([1]Parametros!$B$7+[1]Parametros!$B$9+[1]Parametros!$B$12/2+[1]Parametros!$B$12+[1]Parametros!$B$10))/Z562)</f>
        <v>489.35</v>
      </c>
      <c r="AC562" s="13">
        <f>Z562*[1]Parametros!$B$8</f>
        <v>796</v>
      </c>
      <c r="AD562" s="13">
        <f>[1]Parametros!$B$5*AC562*[1]Parametros!$B$3*(AB562-(AC562*[1]Parametros!$B$3/(0.85*[1]Parametros!$B$2*H562))/2)/1000000</f>
        <v>142.54333009411764</v>
      </c>
      <c r="AE562" s="13" t="str">
        <f t="shared" si="105"/>
        <v>CUMPLE</v>
      </c>
      <c r="AF562" s="13">
        <f>V562*1.25*[1]Parametros!$B$3*(U562-(V562*1.25*[1]Parametros!$B$3/(0.85*[1]Parametros!$B$2*H562))/2)/1000000</f>
        <v>196.34621794117646</v>
      </c>
      <c r="AG562" s="13">
        <f>AC562*1.25*[1]Parametros!$B$3*(AB562-(AC562*1.25*[1]Parametros!$B$3/(0.85*[1]Parametros!$B$2*H562))/2)/1000000</f>
        <v>196.34621794117646</v>
      </c>
      <c r="AH562" s="13">
        <f t="shared" si="106"/>
        <v>249.89422941176471</v>
      </c>
      <c r="AI562" s="13">
        <f t="shared" si="107"/>
        <v>249.89422941176471</v>
      </c>
      <c r="AJ562" s="13">
        <f>0.17*SQRT([1]Parametros!$B$2)*H562*MIN(U562,AB562)/1000</f>
        <v>198.08885582262698</v>
      </c>
      <c r="AK562" s="13">
        <f>MAX(AI562/[1]Parametros!$B$6-AJ562,0)</f>
        <v>135.10345005972599</v>
      </c>
      <c r="AL562" s="13">
        <f>0.66*SQRT([1]Parametros!$B$2)*H562*MIN(U562,AB562)/1000</f>
        <v>769.05085201725785</v>
      </c>
      <c r="AM562" s="13" t="str">
        <f t="shared" si="108"/>
        <v>CUMPLE</v>
      </c>
      <c r="AN562" s="13" t="s">
        <v>64</v>
      </c>
      <c r="AO562" s="14">
        <v>2</v>
      </c>
      <c r="AP562" s="13">
        <f>ROUNDDOWN(MIN(IF(BC562+BD562=0,1000000000,AO562*BB562/(BC562+BD562)),MIN(U562,AB562)/4,8*[1]Parametros!$B$12,24*BA562,300,IF(AV562=0,1000000000,2*((H562-2*([1]Parametros!$B$7+[1]Parametros!$B$9/2))+(I562-2*([1]Parametros!$B$7+[1]Parametros!$B$9/2)))/8))/10,0)*10</f>
        <v>120</v>
      </c>
      <c r="AQ562" s="13">
        <f>ROUNDDOWN(MIN(IF(BC562+BD562=0,1000000000,AO562*BB562/(BC562+BD562)),IF(AK562&gt;0.33*SQRT([1]Parametros!$B$2)*H562*MIN(U562,AB562)/1000,MIN(U562,AB562)/4,MIN(U562,AB562)/2),600,IF(AV562=0,1000000000,2*((H562-2*([1]Parametros!$B$7+[1]Parametros!$B$9/2))+(I562-2*([1]Parametros!$B$7+[1]Parametros!$B$9/2)))/8))/10,0)*10</f>
        <v>130</v>
      </c>
      <c r="AR562" s="13">
        <f>[1]Parametros!$B$6*(AJ562+MAX(BE562-BD562,0)*[1]Parametros!$B$4*MIN(U562,AB562)/1000)</f>
        <v>271.24960563887157</v>
      </c>
      <c r="AS562" s="13" t="str">
        <f t="shared" si="109"/>
        <v>CUMPLE</v>
      </c>
      <c r="AT562" s="13">
        <f>[1]Parametros!$B$6*0.083*SQRT([1]Parametros!$B$2)*(H562*I562)^2/(2*(H562+I562))/1000000</f>
        <v>10.08878303333792</v>
      </c>
      <c r="AU562" s="13" t="str">
        <f t="shared" si="110"/>
        <v>DISEÑAR</v>
      </c>
      <c r="AV562" s="13">
        <f>IF(Q562&lt;=AT562,0,Q562*1000000/([1]Parametros!$B$6*2*0.85*(H562-2*([1]Parametros!$B$7+[1]Parametros!$B$9/2))*(I562-2*([1]Parametros!$B$7+[1]Parametros!$B$9/2))*[1]Parametros!$B$4))</f>
        <v>0.19372069112768198</v>
      </c>
      <c r="AW562" s="13">
        <f>AV562*2*((H562-2*([1]Parametros!$B$7+[1]Parametros!$B$9/2))+(I562-2*([1]Parametros!$B$7+[1]Parametros!$B$9/2)))*[1]Parametros!$B$4/[1]Parametros!$B$3</f>
        <v>315.60974998521948</v>
      </c>
      <c r="AX562" s="14">
        <v>8</v>
      </c>
      <c r="AY562" s="13" t="str">
        <f t="shared" si="111"/>
        <v>CUMPLE</v>
      </c>
      <c r="AZ562" s="13" t="str">
        <f t="shared" si="112"/>
        <v>CUMPLE</v>
      </c>
      <c r="BA562" s="14">
        <v>9.5</v>
      </c>
      <c r="BB562" s="14">
        <v>71</v>
      </c>
      <c r="BC562" s="13">
        <f>MAX(IF(AK562=0,0,AK562*1000/([1]Parametros!$B$4*MIN(U562,AB562))),MAX(0.062*SQRT([1]Parametros!$B$2)*H562/[1]Parametros!$B$4,0.35*H562/[1]Parametros!$B$4))</f>
        <v>0.65735134585590205</v>
      </c>
      <c r="BD562" s="13">
        <f t="shared" si="113"/>
        <v>0.38744138225536395</v>
      </c>
      <c r="BE562" s="13">
        <f t="shared" si="114"/>
        <v>1.1833333333333333</v>
      </c>
      <c r="BF562" s="13">
        <f>SQRT((AI562*1000/(H562*MIN(U562,AB562)))^2+(Q562*1000000*2*((H562-2*([1]Parametros!$B$7+[1]Parametros!$B$9/2))+(I562-2*([1]Parametros!$B$7+[1]Parametros!$B$9/2)))/(1.7*((H562-2*([1]Parametros!$B$7+[1]Parametros!$B$9/2))*(I562-2*([1]Parametros!$B$7+[1]Parametros!$B$9/2)))^2))^2)</f>
        <v>1.2876389362049223</v>
      </c>
      <c r="BG562" s="13">
        <f>[1]Parametros!$B$6*(AJ562*1000/(H562*MIN(U562,AB562))+0.66*SQRT([1]Parametros!$B$2))</f>
        <v>3.2939603822754151</v>
      </c>
      <c r="BH562" s="13" t="str">
        <f t="shared" si="115"/>
        <v>CUMPLE</v>
      </c>
      <c r="BI562" s="13">
        <f>AX562*[1]Parametros!$B$8</f>
        <v>1592</v>
      </c>
      <c r="BJ562" s="15" t="str">
        <f t="shared" si="116"/>
        <v>CUMPLE</v>
      </c>
    </row>
    <row r="563" spans="1:62" x14ac:dyDescent="0.3">
      <c r="A563" s="45" t="s">
        <v>78</v>
      </c>
      <c r="B563" s="46">
        <v>112</v>
      </c>
      <c r="C563" s="13">
        <v>1</v>
      </c>
      <c r="D563" s="13">
        <v>1.9</v>
      </c>
      <c r="E563" s="13">
        <v>1.9</v>
      </c>
      <c r="F563" s="13">
        <v>450</v>
      </c>
      <c r="G563" s="13">
        <v>550</v>
      </c>
      <c r="H563" s="13">
        <v>450</v>
      </c>
      <c r="I563" s="13">
        <v>550</v>
      </c>
      <c r="J563" s="14">
        <v>48.929499999999997</v>
      </c>
      <c r="K563" s="13">
        <v>112</v>
      </c>
      <c r="L563" s="14">
        <v>41.1676</v>
      </c>
      <c r="M563" s="13">
        <v>112</v>
      </c>
      <c r="N563" s="14">
        <v>43.235999999999997</v>
      </c>
      <c r="O563" s="14">
        <v>169.66300000000001</v>
      </c>
      <c r="P563" s="13">
        <v>112</v>
      </c>
      <c r="Q563" s="14">
        <v>16.963100000000001</v>
      </c>
      <c r="R563" s="13">
        <f>MAX(MAX(1.4/[1]Parametros!$B$3,0.25*SQRT([1]Parametros!$B$2)/[1]Parametros!$B$3)*H563*U563,(0.85*[1]Parametros!$B$2/[1]Parametros!$B$3)*(1-SQRT(1-2*(J563*1000000/([1]Parametros!$B$5*H563*U563^2))/(0.85*[1]Parametros!$B$2)))*H563*U563)</f>
        <v>734.02500000000009</v>
      </c>
      <c r="S563" s="14">
        <v>4</v>
      </c>
      <c r="T563" s="14">
        <v>1</v>
      </c>
      <c r="U563" s="13">
        <f>IF(T563=1,I563-([1]Parametros!$B$7+[1]Parametros!$B$9+[1]Parametros!$B$12/2),I563-(ROUNDUP(S563/2,0)*([1]Parametros!$B$7+[1]Parametros!$B$9+[1]Parametros!$B$12/2)+ROUNDDOWN(S563/2,0)*([1]Parametros!$B$7+[1]Parametros!$B$9+[1]Parametros!$B$12/2+[1]Parametros!$B$12+[1]Parametros!$B$10))/S563)</f>
        <v>489.35</v>
      </c>
      <c r="V563" s="13">
        <f>S563*[1]Parametros!$B$8</f>
        <v>796</v>
      </c>
      <c r="W563" s="13">
        <f>[1]Parametros!$B$5*V563*[1]Parametros!$B$3*(U563-(V563*[1]Parametros!$B$3/(0.85*[1]Parametros!$B$2*H563))/2)/1000000</f>
        <v>142.54333009411764</v>
      </c>
      <c r="X563" s="13" t="str">
        <f t="shared" si="104"/>
        <v>CUMPLE</v>
      </c>
      <c r="Y563" s="13">
        <f>MAX(MAX(1.4/[1]Parametros!$B$3,0.25*SQRT([1]Parametros!$B$2)/[1]Parametros!$B$3)*H563*AB563,(0.85*[1]Parametros!$B$2/[1]Parametros!$B$3)*(1-SQRT(1-2*(L563*1000000/([1]Parametros!$B$5*H563*AB563^2))/(0.85*[1]Parametros!$B$2)))*H563*AB563)</f>
        <v>734.02500000000009</v>
      </c>
      <c r="Z563" s="14">
        <v>4</v>
      </c>
      <c r="AA563" s="14">
        <v>1</v>
      </c>
      <c r="AB563" s="13">
        <f>IF(AA563=1,I563-([1]Parametros!$B$7+[1]Parametros!$B$9+[1]Parametros!$B$12/2),I563-(ROUNDUP(Z563/2,0)*([1]Parametros!$B$7+[1]Parametros!$B$9+[1]Parametros!$B$12/2)+ROUNDDOWN(Z563/2,0)*([1]Parametros!$B$7+[1]Parametros!$B$9+[1]Parametros!$B$12/2+[1]Parametros!$B$12+[1]Parametros!$B$10))/Z563)</f>
        <v>489.35</v>
      </c>
      <c r="AC563" s="13">
        <f>Z563*[1]Parametros!$B$8</f>
        <v>796</v>
      </c>
      <c r="AD563" s="13">
        <f>[1]Parametros!$B$5*AC563*[1]Parametros!$B$3*(AB563-(AC563*[1]Parametros!$B$3/(0.85*[1]Parametros!$B$2*H563))/2)/1000000</f>
        <v>142.54333009411764</v>
      </c>
      <c r="AE563" s="13" t="str">
        <f t="shared" si="105"/>
        <v>CUMPLE</v>
      </c>
      <c r="AF563" s="13">
        <f>V563*1.25*[1]Parametros!$B$3*(U563-(V563*1.25*[1]Parametros!$B$3/(0.85*[1]Parametros!$B$2*H563))/2)/1000000</f>
        <v>196.34621794117646</v>
      </c>
      <c r="AG563" s="13">
        <f>AC563*1.25*[1]Parametros!$B$3*(AB563-(AC563*1.25*[1]Parametros!$B$3/(0.85*[1]Parametros!$B$2*H563))/2)/1000000</f>
        <v>196.34621794117646</v>
      </c>
      <c r="AH563" s="13">
        <f t="shared" si="106"/>
        <v>249.9162294117647</v>
      </c>
      <c r="AI563" s="13">
        <f t="shared" si="107"/>
        <v>249.9162294117647</v>
      </c>
      <c r="AJ563" s="13">
        <f>0.17*SQRT([1]Parametros!$B$2)*H563*MIN(U563,AB563)/1000</f>
        <v>198.08885582262698</v>
      </c>
      <c r="AK563" s="13">
        <f>MAX(AI563/[1]Parametros!$B$6-AJ563,0)</f>
        <v>135.13278339305927</v>
      </c>
      <c r="AL563" s="13">
        <f>0.66*SQRT([1]Parametros!$B$2)*H563*MIN(U563,AB563)/1000</f>
        <v>769.05085201725785</v>
      </c>
      <c r="AM563" s="13" t="str">
        <f t="shared" si="108"/>
        <v>CUMPLE</v>
      </c>
      <c r="AN563" s="13" t="s">
        <v>64</v>
      </c>
      <c r="AO563" s="14">
        <v>2</v>
      </c>
      <c r="AP563" s="13">
        <f>ROUNDDOWN(MIN(IF(BC563+BD563=0,1000000000,AO563*BB563/(BC563+BD563)),MIN(U563,AB563)/4,8*[1]Parametros!$B$12,24*BA563,300,IF(AV563=0,1000000000,2*((H563-2*([1]Parametros!$B$7+[1]Parametros!$B$9/2))+(I563-2*([1]Parametros!$B$7+[1]Parametros!$B$9/2)))/8))/10,0)*10</f>
        <v>120</v>
      </c>
      <c r="AQ563" s="13">
        <f>ROUNDDOWN(MIN(IF(BC563+BD563=0,1000000000,AO563*BB563/(BC563+BD563)),IF(AK563&gt;0.33*SQRT([1]Parametros!$B$2)*H563*MIN(U563,AB563)/1000,MIN(U563,AB563)/4,MIN(U563,AB563)/2),600,IF(AV563=0,1000000000,2*((H563-2*([1]Parametros!$B$7+[1]Parametros!$B$9/2))+(I563-2*([1]Parametros!$B$7+[1]Parametros!$B$9/2)))/8))/10,0)*10</f>
        <v>130</v>
      </c>
      <c r="AR563" s="13">
        <f>[1]Parametros!$B$6*(AJ563+MAX(BE563-BD563,0)*[1]Parametros!$B$4*MIN(U563,AB563)/1000)</f>
        <v>271.20344862068055</v>
      </c>
      <c r="AS563" s="13" t="str">
        <f t="shared" si="109"/>
        <v>CUMPLE</v>
      </c>
      <c r="AT563" s="13">
        <f>[1]Parametros!$B$6*0.083*SQRT([1]Parametros!$B$2)*(H563*I563)^2/(2*(H563+I563))/1000000</f>
        <v>10.08878303333792</v>
      </c>
      <c r="AU563" s="13" t="str">
        <f t="shared" si="110"/>
        <v>DISEÑAR</v>
      </c>
      <c r="AV563" s="13">
        <f>IF(Q563&lt;=AT563,0,Q563*1000000/([1]Parametros!$B$6*2*0.85*(H563-2*([1]Parametros!$B$7+[1]Parametros!$B$9/2))*(I563-2*([1]Parametros!$B$7+[1]Parametros!$B$9/2))*[1]Parametros!$B$4))</f>
        <v>0.19387041036389277</v>
      </c>
      <c r="AW563" s="13">
        <f>AV563*2*((H563-2*([1]Parametros!$B$7+[1]Parametros!$B$9/2))+(I563-2*([1]Parametros!$B$7+[1]Parametros!$B$9/2)))*[1]Parametros!$B$4/[1]Parametros!$B$3</f>
        <v>315.85367256485409</v>
      </c>
      <c r="AX563" s="14">
        <v>8</v>
      </c>
      <c r="AY563" s="13" t="str">
        <f t="shared" si="111"/>
        <v>CUMPLE</v>
      </c>
      <c r="AZ563" s="13" t="str">
        <f t="shared" si="112"/>
        <v>CUMPLE</v>
      </c>
      <c r="BA563" s="14">
        <v>9.5</v>
      </c>
      <c r="BB563" s="14">
        <v>71</v>
      </c>
      <c r="BC563" s="13">
        <f>MAX(IF(AK563=0,0,AK563*1000/([1]Parametros!$B$4*MIN(U563,AB563))),MAX(0.062*SQRT([1]Parametros!$B$2)*H563/[1]Parametros!$B$4,0.35*H563/[1]Parametros!$B$4))</f>
        <v>0.65749406838546409</v>
      </c>
      <c r="BD563" s="13">
        <f t="shared" si="113"/>
        <v>0.38774082072778554</v>
      </c>
      <c r="BE563" s="13">
        <f t="shared" si="114"/>
        <v>1.1833333333333333</v>
      </c>
      <c r="BF563" s="13">
        <f>SQRT((AI563*1000/(H563*MIN(U563,AB563)))^2+(Q563*1000000*2*((H563-2*([1]Parametros!$B$7+[1]Parametros!$B$9/2))+(I563-2*([1]Parametros!$B$7+[1]Parametros!$B$9/2)))/(1.7*((H563-2*([1]Parametros!$B$7+[1]Parametros!$B$9/2))*(I563-2*([1]Parametros!$B$7+[1]Parametros!$B$9/2)))^2))^2)</f>
        <v>1.2879492454444947</v>
      </c>
      <c r="BG563" s="13">
        <f>[1]Parametros!$B$6*(AJ563*1000/(H563*MIN(U563,AB563))+0.66*SQRT([1]Parametros!$B$2))</f>
        <v>3.2939603822754151</v>
      </c>
      <c r="BH563" s="13" t="str">
        <f t="shared" si="115"/>
        <v>CUMPLE</v>
      </c>
      <c r="BI563" s="13">
        <f>AX563*[1]Parametros!$B$8</f>
        <v>1592</v>
      </c>
      <c r="BJ563" s="15" t="str">
        <f t="shared" si="116"/>
        <v>CUMPLE</v>
      </c>
    </row>
    <row r="564" spans="1:62" x14ac:dyDescent="0.3">
      <c r="A564" s="45" t="s">
        <v>78</v>
      </c>
      <c r="B564" s="46">
        <v>113</v>
      </c>
      <c r="C564" s="13">
        <v>1</v>
      </c>
      <c r="D564" s="13">
        <v>2</v>
      </c>
      <c r="E564" s="13">
        <v>2</v>
      </c>
      <c r="F564" s="13">
        <v>450</v>
      </c>
      <c r="G564" s="13">
        <v>550</v>
      </c>
      <c r="H564" s="13">
        <v>450</v>
      </c>
      <c r="I564" s="13">
        <v>550</v>
      </c>
      <c r="J564" s="14">
        <v>35.137300000000003</v>
      </c>
      <c r="K564" s="13">
        <v>113</v>
      </c>
      <c r="L564" s="14">
        <v>30.545500000000001</v>
      </c>
      <c r="M564" s="13">
        <v>113</v>
      </c>
      <c r="N564" s="14">
        <v>34.154000000000003</v>
      </c>
      <c r="O564" s="14">
        <v>132.04499999999999</v>
      </c>
      <c r="P564" s="13">
        <v>113</v>
      </c>
      <c r="Q564" s="14">
        <v>2.1206</v>
      </c>
      <c r="R564" s="13">
        <f>MAX(MAX(1.4/[1]Parametros!$B$3,0.25*SQRT([1]Parametros!$B$2)/[1]Parametros!$B$3)*H564*U564,(0.85*[1]Parametros!$B$2/[1]Parametros!$B$3)*(1-SQRT(1-2*(J564*1000000/([1]Parametros!$B$5*H564*U564^2))/(0.85*[1]Parametros!$B$2)))*H564*U564)</f>
        <v>734.02500000000009</v>
      </c>
      <c r="S564" s="14">
        <v>4</v>
      </c>
      <c r="T564" s="14">
        <v>1</v>
      </c>
      <c r="U564" s="13">
        <f>IF(T564=1,I564-([1]Parametros!$B$7+[1]Parametros!$B$9+[1]Parametros!$B$12/2),I564-(ROUNDUP(S564/2,0)*([1]Parametros!$B$7+[1]Parametros!$B$9+[1]Parametros!$B$12/2)+ROUNDDOWN(S564/2,0)*([1]Parametros!$B$7+[1]Parametros!$B$9+[1]Parametros!$B$12/2+[1]Parametros!$B$12+[1]Parametros!$B$10))/S564)</f>
        <v>489.35</v>
      </c>
      <c r="V564" s="13">
        <f>S564*[1]Parametros!$B$8</f>
        <v>796</v>
      </c>
      <c r="W564" s="13">
        <f>[1]Parametros!$B$5*V564*[1]Parametros!$B$3*(U564-(V564*[1]Parametros!$B$3/(0.85*[1]Parametros!$B$2*H564))/2)/1000000</f>
        <v>142.54333009411764</v>
      </c>
      <c r="X564" s="13" t="str">
        <f t="shared" si="104"/>
        <v>CUMPLE</v>
      </c>
      <c r="Y564" s="13">
        <f>MAX(MAX(1.4/[1]Parametros!$B$3,0.25*SQRT([1]Parametros!$B$2)/[1]Parametros!$B$3)*H564*AB564,(0.85*[1]Parametros!$B$2/[1]Parametros!$B$3)*(1-SQRT(1-2*(L564*1000000/([1]Parametros!$B$5*H564*AB564^2))/(0.85*[1]Parametros!$B$2)))*H564*AB564)</f>
        <v>734.02500000000009</v>
      </c>
      <c r="Z564" s="14">
        <v>4</v>
      </c>
      <c r="AA564" s="14">
        <v>1</v>
      </c>
      <c r="AB564" s="13">
        <f>IF(AA564=1,I564-([1]Parametros!$B$7+[1]Parametros!$B$9+[1]Parametros!$B$12/2),I564-(ROUNDUP(Z564/2,0)*([1]Parametros!$B$7+[1]Parametros!$B$9+[1]Parametros!$B$12/2)+ROUNDDOWN(Z564/2,0)*([1]Parametros!$B$7+[1]Parametros!$B$9+[1]Parametros!$B$12/2+[1]Parametros!$B$12+[1]Parametros!$B$10))/Z564)</f>
        <v>489.35</v>
      </c>
      <c r="AC564" s="13">
        <f>Z564*[1]Parametros!$B$8</f>
        <v>796</v>
      </c>
      <c r="AD564" s="13">
        <f>[1]Parametros!$B$5*AC564*[1]Parametros!$B$3*(AB564-(AC564*[1]Parametros!$B$3/(0.85*[1]Parametros!$B$2*H564))/2)/1000000</f>
        <v>142.54333009411764</v>
      </c>
      <c r="AE564" s="13" t="str">
        <f t="shared" si="105"/>
        <v>CUMPLE</v>
      </c>
      <c r="AF564" s="13">
        <f>V564*1.25*[1]Parametros!$B$3*(U564-(V564*1.25*[1]Parametros!$B$3/(0.85*[1]Parametros!$B$2*H564))/2)/1000000</f>
        <v>196.34621794117646</v>
      </c>
      <c r="AG564" s="13">
        <f>AC564*1.25*[1]Parametros!$B$3*(AB564-(AC564*1.25*[1]Parametros!$B$3/(0.85*[1]Parametros!$B$2*H564))/2)/1000000</f>
        <v>196.34621794117646</v>
      </c>
      <c r="AH564" s="13">
        <f t="shared" si="106"/>
        <v>230.50021794117646</v>
      </c>
      <c r="AI564" s="13">
        <f t="shared" si="107"/>
        <v>230.50021794117646</v>
      </c>
      <c r="AJ564" s="13">
        <f>0.17*SQRT([1]Parametros!$B$2)*H564*MIN(U564,AB564)/1000</f>
        <v>198.08885582262698</v>
      </c>
      <c r="AK564" s="13">
        <f>MAX(AI564/[1]Parametros!$B$6-AJ564,0)</f>
        <v>109.24476809894165</v>
      </c>
      <c r="AL564" s="13">
        <f>0.66*SQRT([1]Parametros!$B$2)*H564*MIN(U564,AB564)/1000</f>
        <v>769.05085201725785</v>
      </c>
      <c r="AM564" s="13" t="str">
        <f t="shared" si="108"/>
        <v>CUMPLE</v>
      </c>
      <c r="AN564" s="13" t="s">
        <v>64</v>
      </c>
      <c r="AO564" s="14">
        <v>2</v>
      </c>
      <c r="AP564" s="13">
        <f>ROUNDDOWN(MIN(IF(BC564+BD564=0,1000000000,AO564*BB564/(BC564+BD564)),MIN(U564,AB564)/4,8*[1]Parametros!$B$12,24*BA564,300,IF(AV564=0,1000000000,2*((H564-2*([1]Parametros!$B$7+[1]Parametros!$B$9/2))+(I564-2*([1]Parametros!$B$7+[1]Parametros!$B$9/2)))/8))/10,0)*10</f>
        <v>120</v>
      </c>
      <c r="AQ564" s="13">
        <f>ROUNDDOWN(MIN(IF(BC564+BD564=0,1000000000,AO564*BB564/(BC564+BD564)),IF(AK564&gt;0.33*SQRT([1]Parametros!$B$2)*H564*MIN(U564,AB564)/1000,MIN(U564,AB564)/4,MIN(U564,AB564)/2),600,IF(AV564=0,1000000000,2*((H564-2*([1]Parametros!$B$7+[1]Parametros!$B$9/2))+(I564-2*([1]Parametros!$B$7+[1]Parametros!$B$9/2)))/8))/10,0)*10</f>
        <v>240</v>
      </c>
      <c r="AR564" s="13">
        <f>[1]Parametros!$B$6*(AJ564+MAX(BE564-BD564,0)*[1]Parametros!$B$4*MIN(U564,AB564)/1000)</f>
        <v>330.97185436697026</v>
      </c>
      <c r="AS564" s="13" t="str">
        <f t="shared" si="109"/>
        <v>CUMPLE</v>
      </c>
      <c r="AT564" s="13">
        <f>[1]Parametros!$B$6*0.083*SQRT([1]Parametros!$B$2)*(H564*I564)^2/(2*(H564+I564))/1000000</f>
        <v>10.08878303333792</v>
      </c>
      <c r="AU564" s="13" t="str">
        <f t="shared" si="110"/>
        <v>DESPRECIABLE</v>
      </c>
      <c r="AV564" s="13">
        <f>IF(Q564&lt;=AT564,0,Q564*1000000/([1]Parametros!$B$6*2*0.85*(H564-2*([1]Parametros!$B$7+[1]Parametros!$B$9/2))*(I564-2*([1]Parametros!$B$7+[1]Parametros!$B$9/2))*[1]Parametros!$B$4))</f>
        <v>0</v>
      </c>
      <c r="AW564" s="13">
        <f>AV564*2*((H564-2*([1]Parametros!$B$7+[1]Parametros!$B$9/2))+(I564-2*([1]Parametros!$B$7+[1]Parametros!$B$9/2)))*[1]Parametros!$B$4/[1]Parametros!$B$3</f>
        <v>0</v>
      </c>
      <c r="AX564" s="14">
        <v>0</v>
      </c>
      <c r="AY564" s="13" t="str">
        <f t="shared" si="111"/>
        <v>DESPRECIABLE</v>
      </c>
      <c r="AZ564" s="13" t="str">
        <f t="shared" si="112"/>
        <v>CUMPLE</v>
      </c>
      <c r="BA564" s="14">
        <v>9.5</v>
      </c>
      <c r="BB564" s="14">
        <v>71</v>
      </c>
      <c r="BC564" s="13">
        <f>MAX(IF(AK564=0,0,AK564*1000/([1]Parametros!$B$4*MIN(U564,AB564))),MAX(0.062*SQRT([1]Parametros!$B$2)*H564/[1]Parametros!$B$4,0.35*H564/[1]Parametros!$B$4))</f>
        <v>0.53153487424494905</v>
      </c>
      <c r="BD564" s="13">
        <f t="shared" si="113"/>
        <v>0</v>
      </c>
      <c r="BE564" s="13">
        <f t="shared" si="114"/>
        <v>1.1833333333333333</v>
      </c>
      <c r="BF564" s="13">
        <f>SQRT((AI564*1000/(H564*MIN(U564,AB564)))^2+(Q564*1000000*2*((H564-2*([1]Parametros!$B$7+[1]Parametros!$B$9/2))+(I564-2*([1]Parametros!$B$7+[1]Parametros!$B$9/2)))/(1.7*((H564-2*([1]Parametros!$B$7+[1]Parametros!$B$9/2))*(I564-2*([1]Parametros!$B$7+[1]Parametros!$B$9/2)))^2))^2)</f>
        <v>1.049505322499046</v>
      </c>
      <c r="BG564" s="13">
        <f>[1]Parametros!$B$6*(AJ564*1000/(H564*MIN(U564,AB564))+0.66*SQRT([1]Parametros!$B$2))</f>
        <v>3.2939603822754151</v>
      </c>
      <c r="BH564" s="13" t="str">
        <f t="shared" si="115"/>
        <v>CUMPLE</v>
      </c>
      <c r="BI564" s="13">
        <f>AX564*[1]Parametros!$B$8</f>
        <v>0</v>
      </c>
      <c r="BJ564" s="15" t="str">
        <f t="shared" si="116"/>
        <v>CUMPLE</v>
      </c>
    </row>
    <row r="565" spans="1:62" x14ac:dyDescent="0.3">
      <c r="A565" s="45" t="s">
        <v>78</v>
      </c>
      <c r="B565" s="46">
        <v>114</v>
      </c>
      <c r="C565" s="13">
        <v>1</v>
      </c>
      <c r="D565" s="13">
        <v>2</v>
      </c>
      <c r="E565" s="13">
        <v>2</v>
      </c>
      <c r="F565" s="13">
        <v>450</v>
      </c>
      <c r="G565" s="13">
        <v>550</v>
      </c>
      <c r="H565" s="13">
        <v>450</v>
      </c>
      <c r="I565" s="13">
        <v>550</v>
      </c>
      <c r="J565" s="14">
        <v>35.1295</v>
      </c>
      <c r="K565" s="13">
        <v>114</v>
      </c>
      <c r="L565" s="14">
        <v>30.540500000000002</v>
      </c>
      <c r="M565" s="13">
        <v>114</v>
      </c>
      <c r="N565" s="14">
        <v>34.148000000000003</v>
      </c>
      <c r="O565" s="14">
        <v>132.03800000000001</v>
      </c>
      <c r="P565" s="13">
        <v>114</v>
      </c>
      <c r="Q565" s="14">
        <v>2.1219000000000001</v>
      </c>
      <c r="R565" s="13">
        <f>MAX(MAX(1.4/[1]Parametros!$B$3,0.25*SQRT([1]Parametros!$B$2)/[1]Parametros!$B$3)*H565*U565,(0.85*[1]Parametros!$B$2/[1]Parametros!$B$3)*(1-SQRT(1-2*(J565*1000000/([1]Parametros!$B$5*H565*U565^2))/(0.85*[1]Parametros!$B$2)))*H565*U565)</f>
        <v>734.02500000000009</v>
      </c>
      <c r="S565" s="14">
        <v>4</v>
      </c>
      <c r="T565" s="14">
        <v>1</v>
      </c>
      <c r="U565" s="13">
        <f>IF(T565=1,I565-([1]Parametros!$B$7+[1]Parametros!$B$9+[1]Parametros!$B$12/2),I565-(ROUNDUP(S565/2,0)*([1]Parametros!$B$7+[1]Parametros!$B$9+[1]Parametros!$B$12/2)+ROUNDDOWN(S565/2,0)*([1]Parametros!$B$7+[1]Parametros!$B$9+[1]Parametros!$B$12/2+[1]Parametros!$B$12+[1]Parametros!$B$10))/S565)</f>
        <v>489.35</v>
      </c>
      <c r="V565" s="13">
        <f>S565*[1]Parametros!$B$8</f>
        <v>796</v>
      </c>
      <c r="W565" s="13">
        <f>[1]Parametros!$B$5*V565*[1]Parametros!$B$3*(U565-(V565*[1]Parametros!$B$3/(0.85*[1]Parametros!$B$2*H565))/2)/1000000</f>
        <v>142.54333009411764</v>
      </c>
      <c r="X565" s="13" t="str">
        <f t="shared" si="104"/>
        <v>CUMPLE</v>
      </c>
      <c r="Y565" s="13">
        <f>MAX(MAX(1.4/[1]Parametros!$B$3,0.25*SQRT([1]Parametros!$B$2)/[1]Parametros!$B$3)*H565*AB565,(0.85*[1]Parametros!$B$2/[1]Parametros!$B$3)*(1-SQRT(1-2*(L565*1000000/([1]Parametros!$B$5*H565*AB565^2))/(0.85*[1]Parametros!$B$2)))*H565*AB565)</f>
        <v>734.02500000000009</v>
      </c>
      <c r="Z565" s="14">
        <v>4</v>
      </c>
      <c r="AA565" s="14">
        <v>1</v>
      </c>
      <c r="AB565" s="13">
        <f>IF(AA565=1,I565-([1]Parametros!$B$7+[1]Parametros!$B$9+[1]Parametros!$B$12/2),I565-(ROUNDUP(Z565/2,0)*([1]Parametros!$B$7+[1]Parametros!$B$9+[1]Parametros!$B$12/2)+ROUNDDOWN(Z565/2,0)*([1]Parametros!$B$7+[1]Parametros!$B$9+[1]Parametros!$B$12/2+[1]Parametros!$B$12+[1]Parametros!$B$10))/Z565)</f>
        <v>489.35</v>
      </c>
      <c r="AC565" s="13">
        <f>Z565*[1]Parametros!$B$8</f>
        <v>796</v>
      </c>
      <c r="AD565" s="13">
        <f>[1]Parametros!$B$5*AC565*[1]Parametros!$B$3*(AB565-(AC565*[1]Parametros!$B$3/(0.85*[1]Parametros!$B$2*H565))/2)/1000000</f>
        <v>142.54333009411764</v>
      </c>
      <c r="AE565" s="13" t="str">
        <f t="shared" si="105"/>
        <v>CUMPLE</v>
      </c>
      <c r="AF565" s="13">
        <f>V565*1.25*[1]Parametros!$B$3*(U565-(V565*1.25*[1]Parametros!$B$3/(0.85*[1]Parametros!$B$2*H565))/2)/1000000</f>
        <v>196.34621794117646</v>
      </c>
      <c r="AG565" s="13">
        <f>AC565*1.25*[1]Parametros!$B$3*(AB565-(AC565*1.25*[1]Parametros!$B$3/(0.85*[1]Parametros!$B$2*H565))/2)/1000000</f>
        <v>196.34621794117646</v>
      </c>
      <c r="AH565" s="13">
        <f t="shared" si="106"/>
        <v>230.49421794117646</v>
      </c>
      <c r="AI565" s="13">
        <f t="shared" si="107"/>
        <v>230.49421794117646</v>
      </c>
      <c r="AJ565" s="13">
        <f>0.17*SQRT([1]Parametros!$B$2)*H565*MIN(U565,AB565)/1000</f>
        <v>198.08885582262698</v>
      </c>
      <c r="AK565" s="13">
        <f>MAX(AI565/[1]Parametros!$B$6-AJ565,0)</f>
        <v>109.23676809894161</v>
      </c>
      <c r="AL565" s="13">
        <f>0.66*SQRT([1]Parametros!$B$2)*H565*MIN(U565,AB565)/1000</f>
        <v>769.05085201725785</v>
      </c>
      <c r="AM565" s="13" t="str">
        <f t="shared" si="108"/>
        <v>CUMPLE</v>
      </c>
      <c r="AN565" s="13" t="s">
        <v>64</v>
      </c>
      <c r="AO565" s="14">
        <v>2</v>
      </c>
      <c r="AP565" s="13">
        <f>ROUNDDOWN(MIN(IF(BC565+BD565=0,1000000000,AO565*BB565/(BC565+BD565)),MIN(U565,AB565)/4,8*[1]Parametros!$B$12,24*BA565,300,IF(AV565=0,1000000000,2*((H565-2*([1]Parametros!$B$7+[1]Parametros!$B$9/2))+(I565-2*([1]Parametros!$B$7+[1]Parametros!$B$9/2)))/8))/10,0)*10</f>
        <v>120</v>
      </c>
      <c r="AQ565" s="13">
        <f>ROUNDDOWN(MIN(IF(BC565+BD565=0,1000000000,AO565*BB565/(BC565+BD565)),IF(AK565&gt;0.33*SQRT([1]Parametros!$B$2)*H565*MIN(U565,AB565)/1000,MIN(U565,AB565)/4,MIN(U565,AB565)/2),600,IF(AV565=0,1000000000,2*((H565-2*([1]Parametros!$B$7+[1]Parametros!$B$9/2))+(I565-2*([1]Parametros!$B$7+[1]Parametros!$B$9/2)))/8))/10,0)*10</f>
        <v>240</v>
      </c>
      <c r="AR565" s="13">
        <f>[1]Parametros!$B$6*(AJ565+MAX(BE565-BD565,0)*[1]Parametros!$B$4*MIN(U565,AB565)/1000)</f>
        <v>330.97185436697026</v>
      </c>
      <c r="AS565" s="13" t="str">
        <f t="shared" si="109"/>
        <v>CUMPLE</v>
      </c>
      <c r="AT565" s="13">
        <f>[1]Parametros!$B$6*0.083*SQRT([1]Parametros!$B$2)*(H565*I565)^2/(2*(H565+I565))/1000000</f>
        <v>10.08878303333792</v>
      </c>
      <c r="AU565" s="13" t="str">
        <f t="shared" si="110"/>
        <v>DESPRECIABLE</v>
      </c>
      <c r="AV565" s="13">
        <f>IF(Q565&lt;=AT565,0,Q565*1000000/([1]Parametros!$B$6*2*0.85*(H565-2*([1]Parametros!$B$7+[1]Parametros!$B$9/2))*(I565-2*([1]Parametros!$B$7+[1]Parametros!$B$9/2))*[1]Parametros!$B$4))</f>
        <v>0</v>
      </c>
      <c r="AW565" s="13">
        <f>AV565*2*((H565-2*([1]Parametros!$B$7+[1]Parametros!$B$9/2))+(I565-2*([1]Parametros!$B$7+[1]Parametros!$B$9/2)))*[1]Parametros!$B$4/[1]Parametros!$B$3</f>
        <v>0</v>
      </c>
      <c r="AX565" s="14">
        <v>0</v>
      </c>
      <c r="AY565" s="13" t="str">
        <f t="shared" si="111"/>
        <v>DESPRECIABLE</v>
      </c>
      <c r="AZ565" s="13" t="str">
        <f t="shared" si="112"/>
        <v>CUMPLE</v>
      </c>
      <c r="BA565" s="14">
        <v>9.5</v>
      </c>
      <c r="BB565" s="14">
        <v>71</v>
      </c>
      <c r="BC565" s="13">
        <f>MAX(IF(AK565=0,0,AK565*1000/([1]Parametros!$B$4*MIN(U565,AB565))),MAX(0.062*SQRT([1]Parametros!$B$2)*H565/[1]Parametros!$B$4,0.35*H565/[1]Parametros!$B$4))</f>
        <v>0.53149594991870464</v>
      </c>
      <c r="BD565" s="13">
        <f t="shared" si="113"/>
        <v>0</v>
      </c>
      <c r="BE565" s="13">
        <f t="shared" si="114"/>
        <v>1.1833333333333333</v>
      </c>
      <c r="BF565" s="13">
        <f>SQRT((AI565*1000/(H565*MIN(U565,AB565)))^2+(Q565*1000000*2*((H565-2*([1]Parametros!$B$7+[1]Parametros!$B$9/2))+(I565-2*([1]Parametros!$B$7+[1]Parametros!$B$9/2)))/(1.7*((H565-2*([1]Parametros!$B$7+[1]Parametros!$B$9/2))*(I565-2*([1]Parametros!$B$7+[1]Parametros!$B$9/2)))^2))^2)</f>
        <v>1.0494815331477083</v>
      </c>
      <c r="BG565" s="13">
        <f>[1]Parametros!$B$6*(AJ565*1000/(H565*MIN(U565,AB565))+0.66*SQRT([1]Parametros!$B$2))</f>
        <v>3.2939603822754151</v>
      </c>
      <c r="BH565" s="13" t="str">
        <f t="shared" si="115"/>
        <v>CUMPLE</v>
      </c>
      <c r="BI565" s="13">
        <f>AX565*[1]Parametros!$B$8</f>
        <v>0</v>
      </c>
      <c r="BJ565" s="15" t="str">
        <f t="shared" si="116"/>
        <v>CUMPLE</v>
      </c>
    </row>
    <row r="566" spans="1:62" x14ac:dyDescent="0.3">
      <c r="A566" s="45" t="s">
        <v>78</v>
      </c>
      <c r="B566" s="46">
        <v>115</v>
      </c>
      <c r="C566" s="13">
        <v>1</v>
      </c>
      <c r="D566" s="13">
        <v>2</v>
      </c>
      <c r="E566" s="13">
        <v>2</v>
      </c>
      <c r="F566" s="13">
        <v>450</v>
      </c>
      <c r="G566" s="13">
        <v>550</v>
      </c>
      <c r="H566" s="13">
        <v>450</v>
      </c>
      <c r="I566" s="13">
        <v>550</v>
      </c>
      <c r="J566" s="14">
        <v>35.109699999999997</v>
      </c>
      <c r="K566" s="13">
        <v>115</v>
      </c>
      <c r="L566" s="14">
        <v>30.531099999999999</v>
      </c>
      <c r="M566" s="13">
        <v>115</v>
      </c>
      <c r="N566" s="14">
        <v>34.134</v>
      </c>
      <c r="O566" s="14">
        <v>132.02500000000001</v>
      </c>
      <c r="P566" s="13">
        <v>115</v>
      </c>
      <c r="Q566" s="14">
        <v>2.1257000000000001</v>
      </c>
      <c r="R566" s="13">
        <f>MAX(MAX(1.4/[1]Parametros!$B$3,0.25*SQRT([1]Parametros!$B$2)/[1]Parametros!$B$3)*H566*U566,(0.85*[1]Parametros!$B$2/[1]Parametros!$B$3)*(1-SQRT(1-2*(J566*1000000/([1]Parametros!$B$5*H566*U566^2))/(0.85*[1]Parametros!$B$2)))*H566*U566)</f>
        <v>734.02500000000009</v>
      </c>
      <c r="S566" s="14">
        <v>4</v>
      </c>
      <c r="T566" s="14">
        <v>1</v>
      </c>
      <c r="U566" s="13">
        <f>IF(T566=1,I566-([1]Parametros!$B$7+[1]Parametros!$B$9+[1]Parametros!$B$12/2),I566-(ROUNDUP(S566/2,0)*([1]Parametros!$B$7+[1]Parametros!$B$9+[1]Parametros!$B$12/2)+ROUNDDOWN(S566/2,0)*([1]Parametros!$B$7+[1]Parametros!$B$9+[1]Parametros!$B$12/2+[1]Parametros!$B$12+[1]Parametros!$B$10))/S566)</f>
        <v>489.35</v>
      </c>
      <c r="V566" s="13">
        <f>S566*[1]Parametros!$B$8</f>
        <v>796</v>
      </c>
      <c r="W566" s="13">
        <f>[1]Parametros!$B$5*V566*[1]Parametros!$B$3*(U566-(V566*[1]Parametros!$B$3/(0.85*[1]Parametros!$B$2*H566))/2)/1000000</f>
        <v>142.54333009411764</v>
      </c>
      <c r="X566" s="13" t="str">
        <f t="shared" si="104"/>
        <v>CUMPLE</v>
      </c>
      <c r="Y566" s="13">
        <f>MAX(MAX(1.4/[1]Parametros!$B$3,0.25*SQRT([1]Parametros!$B$2)/[1]Parametros!$B$3)*H566*AB566,(0.85*[1]Parametros!$B$2/[1]Parametros!$B$3)*(1-SQRT(1-2*(L566*1000000/([1]Parametros!$B$5*H566*AB566^2))/(0.85*[1]Parametros!$B$2)))*H566*AB566)</f>
        <v>734.02500000000009</v>
      </c>
      <c r="Z566" s="14">
        <v>4</v>
      </c>
      <c r="AA566" s="14">
        <v>1</v>
      </c>
      <c r="AB566" s="13">
        <f>IF(AA566=1,I566-([1]Parametros!$B$7+[1]Parametros!$B$9+[1]Parametros!$B$12/2),I566-(ROUNDUP(Z566/2,0)*([1]Parametros!$B$7+[1]Parametros!$B$9+[1]Parametros!$B$12/2)+ROUNDDOWN(Z566/2,0)*([1]Parametros!$B$7+[1]Parametros!$B$9+[1]Parametros!$B$12/2+[1]Parametros!$B$12+[1]Parametros!$B$10))/Z566)</f>
        <v>489.35</v>
      </c>
      <c r="AC566" s="13">
        <f>Z566*[1]Parametros!$B$8</f>
        <v>796</v>
      </c>
      <c r="AD566" s="13">
        <f>[1]Parametros!$B$5*AC566*[1]Parametros!$B$3*(AB566-(AC566*[1]Parametros!$B$3/(0.85*[1]Parametros!$B$2*H566))/2)/1000000</f>
        <v>142.54333009411764</v>
      </c>
      <c r="AE566" s="13" t="str">
        <f t="shared" si="105"/>
        <v>CUMPLE</v>
      </c>
      <c r="AF566" s="13">
        <f>V566*1.25*[1]Parametros!$B$3*(U566-(V566*1.25*[1]Parametros!$B$3/(0.85*[1]Parametros!$B$2*H566))/2)/1000000</f>
        <v>196.34621794117646</v>
      </c>
      <c r="AG566" s="13">
        <f>AC566*1.25*[1]Parametros!$B$3*(AB566-(AC566*1.25*[1]Parametros!$B$3/(0.85*[1]Parametros!$B$2*H566))/2)/1000000</f>
        <v>196.34621794117646</v>
      </c>
      <c r="AH566" s="13">
        <f t="shared" si="106"/>
        <v>230.48021794117648</v>
      </c>
      <c r="AI566" s="13">
        <f t="shared" si="107"/>
        <v>230.48021794117648</v>
      </c>
      <c r="AJ566" s="13">
        <f>0.17*SQRT([1]Parametros!$B$2)*H566*MIN(U566,AB566)/1000</f>
        <v>198.08885582262698</v>
      </c>
      <c r="AK566" s="13">
        <f>MAX(AI566/[1]Parametros!$B$6-AJ566,0)</f>
        <v>109.21810143227501</v>
      </c>
      <c r="AL566" s="13">
        <f>0.66*SQRT([1]Parametros!$B$2)*H566*MIN(U566,AB566)/1000</f>
        <v>769.05085201725785</v>
      </c>
      <c r="AM566" s="13" t="str">
        <f t="shared" si="108"/>
        <v>CUMPLE</v>
      </c>
      <c r="AN566" s="13" t="s">
        <v>64</v>
      </c>
      <c r="AO566" s="14">
        <v>2</v>
      </c>
      <c r="AP566" s="13">
        <f>ROUNDDOWN(MIN(IF(BC566+BD566=0,1000000000,AO566*BB566/(BC566+BD566)),MIN(U566,AB566)/4,8*[1]Parametros!$B$12,24*BA566,300,IF(AV566=0,1000000000,2*((H566-2*([1]Parametros!$B$7+[1]Parametros!$B$9/2))+(I566-2*([1]Parametros!$B$7+[1]Parametros!$B$9/2)))/8))/10,0)*10</f>
        <v>120</v>
      </c>
      <c r="AQ566" s="13">
        <f>ROUNDDOWN(MIN(IF(BC566+BD566=0,1000000000,AO566*BB566/(BC566+BD566)),IF(AK566&gt;0.33*SQRT([1]Parametros!$B$2)*H566*MIN(U566,AB566)/1000,MIN(U566,AB566)/4,MIN(U566,AB566)/2),600,IF(AV566=0,1000000000,2*((H566-2*([1]Parametros!$B$7+[1]Parametros!$B$9/2))+(I566-2*([1]Parametros!$B$7+[1]Parametros!$B$9/2)))/8))/10,0)*10</f>
        <v>240</v>
      </c>
      <c r="AR566" s="13">
        <f>[1]Parametros!$B$6*(AJ566+MAX(BE566-BD566,0)*[1]Parametros!$B$4*MIN(U566,AB566)/1000)</f>
        <v>330.97185436697026</v>
      </c>
      <c r="AS566" s="13" t="str">
        <f t="shared" si="109"/>
        <v>CUMPLE</v>
      </c>
      <c r="AT566" s="13">
        <f>[1]Parametros!$B$6*0.083*SQRT([1]Parametros!$B$2)*(H566*I566)^2/(2*(H566+I566))/1000000</f>
        <v>10.08878303333792</v>
      </c>
      <c r="AU566" s="13" t="str">
        <f t="shared" si="110"/>
        <v>DESPRECIABLE</v>
      </c>
      <c r="AV566" s="13">
        <f>IF(Q566&lt;=AT566,0,Q566*1000000/([1]Parametros!$B$6*2*0.85*(H566-2*([1]Parametros!$B$7+[1]Parametros!$B$9/2))*(I566-2*([1]Parametros!$B$7+[1]Parametros!$B$9/2))*[1]Parametros!$B$4))</f>
        <v>0</v>
      </c>
      <c r="AW566" s="13">
        <f>AV566*2*((H566-2*([1]Parametros!$B$7+[1]Parametros!$B$9/2))+(I566-2*([1]Parametros!$B$7+[1]Parametros!$B$9/2)))*[1]Parametros!$B$4/[1]Parametros!$B$3</f>
        <v>0</v>
      </c>
      <c r="AX566" s="14">
        <v>0</v>
      </c>
      <c r="AY566" s="13" t="str">
        <f t="shared" si="111"/>
        <v>DESPRECIABLE</v>
      </c>
      <c r="AZ566" s="13" t="str">
        <f t="shared" si="112"/>
        <v>CUMPLE</v>
      </c>
      <c r="BA566" s="14">
        <v>9.5</v>
      </c>
      <c r="BB566" s="14">
        <v>71</v>
      </c>
      <c r="BC566" s="13">
        <f>MAX(IF(AK566=0,0,AK566*1000/([1]Parametros!$B$4*MIN(U566,AB566))),MAX(0.062*SQRT([1]Parametros!$B$2)*H566/[1]Parametros!$B$4,0.35*H566/[1]Parametros!$B$4))</f>
        <v>0.53140512649080174</v>
      </c>
      <c r="BD566" s="13">
        <f t="shared" si="113"/>
        <v>0</v>
      </c>
      <c r="BE566" s="13">
        <f t="shared" si="114"/>
        <v>1.1833333333333333</v>
      </c>
      <c r="BF566" s="13">
        <f>SQRT((AI566*1000/(H566*MIN(U566,AB566)))^2+(Q566*1000000*2*((H566-2*([1]Parametros!$B$7+[1]Parametros!$B$9/2))+(I566-2*([1]Parametros!$B$7+[1]Parametros!$B$9/2)))/(1.7*((H566-2*([1]Parametros!$B$7+[1]Parametros!$B$9/2))*(I566-2*([1]Parametros!$B$7+[1]Parametros!$B$9/2)))^2))^2)</f>
        <v>1.0494280341317366</v>
      </c>
      <c r="BG566" s="13">
        <f>[1]Parametros!$B$6*(AJ566*1000/(H566*MIN(U566,AB566))+0.66*SQRT([1]Parametros!$B$2))</f>
        <v>3.2939603822754151</v>
      </c>
      <c r="BH566" s="13" t="str">
        <f t="shared" si="115"/>
        <v>CUMPLE</v>
      </c>
      <c r="BI566" s="13">
        <f>AX566*[1]Parametros!$B$8</f>
        <v>0</v>
      </c>
      <c r="BJ566" s="15" t="str">
        <f t="shared" si="116"/>
        <v>CUMPLE</v>
      </c>
    </row>
    <row r="567" spans="1:62" x14ac:dyDescent="0.3">
      <c r="A567" s="45" t="s">
        <v>78</v>
      </c>
      <c r="B567" s="46">
        <v>116</v>
      </c>
      <c r="C567" s="13">
        <v>1</v>
      </c>
      <c r="D567" s="13">
        <v>2</v>
      </c>
      <c r="E567" s="13">
        <v>2</v>
      </c>
      <c r="F567" s="13">
        <v>450</v>
      </c>
      <c r="G567" s="13">
        <v>550</v>
      </c>
      <c r="H567" s="13">
        <v>450</v>
      </c>
      <c r="I567" s="13">
        <v>550</v>
      </c>
      <c r="J567" s="14">
        <v>35.109900000000003</v>
      </c>
      <c r="K567" s="13">
        <v>116</v>
      </c>
      <c r="L567" s="14">
        <v>30.531300000000002</v>
      </c>
      <c r="M567" s="13">
        <v>116</v>
      </c>
      <c r="N567" s="14">
        <v>34.134</v>
      </c>
      <c r="O567" s="14">
        <v>132.02600000000001</v>
      </c>
      <c r="P567" s="13">
        <v>116</v>
      </c>
      <c r="Q567" s="14">
        <v>2.1219000000000001</v>
      </c>
      <c r="R567" s="13">
        <f>MAX(MAX(1.4/[1]Parametros!$B$3,0.25*SQRT([1]Parametros!$B$2)/[1]Parametros!$B$3)*H567*U567,(0.85*[1]Parametros!$B$2/[1]Parametros!$B$3)*(1-SQRT(1-2*(J567*1000000/([1]Parametros!$B$5*H567*U567^2))/(0.85*[1]Parametros!$B$2)))*H567*U567)</f>
        <v>734.02500000000009</v>
      </c>
      <c r="S567" s="14">
        <v>4</v>
      </c>
      <c r="T567" s="14">
        <v>1</v>
      </c>
      <c r="U567" s="13">
        <f>IF(T567=1,I567-([1]Parametros!$B$7+[1]Parametros!$B$9+[1]Parametros!$B$12/2),I567-(ROUNDUP(S567/2,0)*([1]Parametros!$B$7+[1]Parametros!$B$9+[1]Parametros!$B$12/2)+ROUNDDOWN(S567/2,0)*([1]Parametros!$B$7+[1]Parametros!$B$9+[1]Parametros!$B$12/2+[1]Parametros!$B$12+[1]Parametros!$B$10))/S567)</f>
        <v>489.35</v>
      </c>
      <c r="V567" s="13">
        <f>S567*[1]Parametros!$B$8</f>
        <v>796</v>
      </c>
      <c r="W567" s="13">
        <f>[1]Parametros!$B$5*V567*[1]Parametros!$B$3*(U567-(V567*[1]Parametros!$B$3/(0.85*[1]Parametros!$B$2*H567))/2)/1000000</f>
        <v>142.54333009411764</v>
      </c>
      <c r="X567" s="13" t="str">
        <f t="shared" si="104"/>
        <v>CUMPLE</v>
      </c>
      <c r="Y567" s="13">
        <f>MAX(MAX(1.4/[1]Parametros!$B$3,0.25*SQRT([1]Parametros!$B$2)/[1]Parametros!$B$3)*H567*AB567,(0.85*[1]Parametros!$B$2/[1]Parametros!$B$3)*(1-SQRT(1-2*(L567*1000000/([1]Parametros!$B$5*H567*AB567^2))/(0.85*[1]Parametros!$B$2)))*H567*AB567)</f>
        <v>734.02500000000009</v>
      </c>
      <c r="Z567" s="14">
        <v>4</v>
      </c>
      <c r="AA567" s="14">
        <v>1</v>
      </c>
      <c r="AB567" s="13">
        <f>IF(AA567=1,I567-([1]Parametros!$B$7+[1]Parametros!$B$9+[1]Parametros!$B$12/2),I567-(ROUNDUP(Z567/2,0)*([1]Parametros!$B$7+[1]Parametros!$B$9+[1]Parametros!$B$12/2)+ROUNDDOWN(Z567/2,0)*([1]Parametros!$B$7+[1]Parametros!$B$9+[1]Parametros!$B$12/2+[1]Parametros!$B$12+[1]Parametros!$B$10))/Z567)</f>
        <v>489.35</v>
      </c>
      <c r="AC567" s="13">
        <f>Z567*[1]Parametros!$B$8</f>
        <v>796</v>
      </c>
      <c r="AD567" s="13">
        <f>[1]Parametros!$B$5*AC567*[1]Parametros!$B$3*(AB567-(AC567*[1]Parametros!$B$3/(0.85*[1]Parametros!$B$2*H567))/2)/1000000</f>
        <v>142.54333009411764</v>
      </c>
      <c r="AE567" s="13" t="str">
        <f t="shared" si="105"/>
        <v>CUMPLE</v>
      </c>
      <c r="AF567" s="13">
        <f>V567*1.25*[1]Parametros!$B$3*(U567-(V567*1.25*[1]Parametros!$B$3/(0.85*[1]Parametros!$B$2*H567))/2)/1000000</f>
        <v>196.34621794117646</v>
      </c>
      <c r="AG567" s="13">
        <f>AC567*1.25*[1]Parametros!$B$3*(AB567-(AC567*1.25*[1]Parametros!$B$3/(0.85*[1]Parametros!$B$2*H567))/2)/1000000</f>
        <v>196.34621794117646</v>
      </c>
      <c r="AH567" s="13">
        <f t="shared" si="106"/>
        <v>230.48021794117648</v>
      </c>
      <c r="AI567" s="13">
        <f t="shared" si="107"/>
        <v>230.48021794117648</v>
      </c>
      <c r="AJ567" s="13">
        <f>0.17*SQRT([1]Parametros!$B$2)*H567*MIN(U567,AB567)/1000</f>
        <v>198.08885582262698</v>
      </c>
      <c r="AK567" s="13">
        <f>MAX(AI567/[1]Parametros!$B$6-AJ567,0)</f>
        <v>109.21810143227501</v>
      </c>
      <c r="AL567" s="13">
        <f>0.66*SQRT([1]Parametros!$B$2)*H567*MIN(U567,AB567)/1000</f>
        <v>769.05085201725785</v>
      </c>
      <c r="AM567" s="13" t="str">
        <f t="shared" si="108"/>
        <v>CUMPLE</v>
      </c>
      <c r="AN567" s="13" t="s">
        <v>64</v>
      </c>
      <c r="AO567" s="14">
        <v>2</v>
      </c>
      <c r="AP567" s="13">
        <f>ROUNDDOWN(MIN(IF(BC567+BD567=0,1000000000,AO567*BB567/(BC567+BD567)),MIN(U567,AB567)/4,8*[1]Parametros!$B$12,24*BA567,300,IF(AV567=0,1000000000,2*((H567-2*([1]Parametros!$B$7+[1]Parametros!$B$9/2))+(I567-2*([1]Parametros!$B$7+[1]Parametros!$B$9/2)))/8))/10,0)*10</f>
        <v>120</v>
      </c>
      <c r="AQ567" s="13">
        <f>ROUNDDOWN(MIN(IF(BC567+BD567=0,1000000000,AO567*BB567/(BC567+BD567)),IF(AK567&gt;0.33*SQRT([1]Parametros!$B$2)*H567*MIN(U567,AB567)/1000,MIN(U567,AB567)/4,MIN(U567,AB567)/2),600,IF(AV567=0,1000000000,2*((H567-2*([1]Parametros!$B$7+[1]Parametros!$B$9/2))+(I567-2*([1]Parametros!$B$7+[1]Parametros!$B$9/2)))/8))/10,0)*10</f>
        <v>240</v>
      </c>
      <c r="AR567" s="13">
        <f>[1]Parametros!$B$6*(AJ567+MAX(BE567-BD567,0)*[1]Parametros!$B$4*MIN(U567,AB567)/1000)</f>
        <v>330.97185436697026</v>
      </c>
      <c r="AS567" s="13" t="str">
        <f t="shared" si="109"/>
        <v>CUMPLE</v>
      </c>
      <c r="AT567" s="13">
        <f>[1]Parametros!$B$6*0.083*SQRT([1]Parametros!$B$2)*(H567*I567)^2/(2*(H567+I567))/1000000</f>
        <v>10.08878303333792</v>
      </c>
      <c r="AU567" s="13" t="str">
        <f t="shared" si="110"/>
        <v>DESPRECIABLE</v>
      </c>
      <c r="AV567" s="13">
        <f>IF(Q567&lt;=AT567,0,Q567*1000000/([1]Parametros!$B$6*2*0.85*(H567-2*([1]Parametros!$B$7+[1]Parametros!$B$9/2))*(I567-2*([1]Parametros!$B$7+[1]Parametros!$B$9/2))*[1]Parametros!$B$4))</f>
        <v>0</v>
      </c>
      <c r="AW567" s="13">
        <f>AV567*2*((H567-2*([1]Parametros!$B$7+[1]Parametros!$B$9/2))+(I567-2*([1]Parametros!$B$7+[1]Parametros!$B$9/2)))*[1]Parametros!$B$4/[1]Parametros!$B$3</f>
        <v>0</v>
      </c>
      <c r="AX567" s="14">
        <v>0</v>
      </c>
      <c r="AY567" s="13" t="str">
        <f t="shared" si="111"/>
        <v>DESPRECIABLE</v>
      </c>
      <c r="AZ567" s="13" t="str">
        <f t="shared" si="112"/>
        <v>CUMPLE</v>
      </c>
      <c r="BA567" s="14">
        <v>9.5</v>
      </c>
      <c r="BB567" s="14">
        <v>71</v>
      </c>
      <c r="BC567" s="13">
        <f>MAX(IF(AK567=0,0,AK567*1000/([1]Parametros!$B$4*MIN(U567,AB567))),MAX(0.062*SQRT([1]Parametros!$B$2)*H567/[1]Parametros!$B$4,0.35*H567/[1]Parametros!$B$4))</f>
        <v>0.53140512649080174</v>
      </c>
      <c r="BD567" s="13">
        <f t="shared" si="113"/>
        <v>0</v>
      </c>
      <c r="BE567" s="13">
        <f t="shared" si="114"/>
        <v>1.1833333333333333</v>
      </c>
      <c r="BF567" s="13">
        <f>SQRT((AI567*1000/(H567*MIN(U567,AB567)))^2+(Q567*1000000*2*((H567-2*([1]Parametros!$B$7+[1]Parametros!$B$9/2))+(I567-2*([1]Parametros!$B$7+[1]Parametros!$B$9/2)))/(1.7*((H567-2*([1]Parametros!$B$7+[1]Parametros!$B$9/2))*(I567-2*([1]Parametros!$B$7+[1]Parametros!$B$9/2)))^2))^2)</f>
        <v>1.0494181244275251</v>
      </c>
      <c r="BG567" s="13">
        <f>[1]Parametros!$B$6*(AJ567*1000/(H567*MIN(U567,AB567))+0.66*SQRT([1]Parametros!$B$2))</f>
        <v>3.2939603822754151</v>
      </c>
      <c r="BH567" s="13" t="str">
        <f t="shared" si="115"/>
        <v>CUMPLE</v>
      </c>
      <c r="BI567" s="13">
        <f>AX567*[1]Parametros!$B$8</f>
        <v>0</v>
      </c>
      <c r="BJ567" s="15" t="str">
        <f t="shared" si="116"/>
        <v>CUMPLE</v>
      </c>
    </row>
    <row r="568" spans="1:62" x14ac:dyDescent="0.3">
      <c r="A568" s="45" t="s">
        <v>78</v>
      </c>
      <c r="B568" s="46">
        <v>117</v>
      </c>
      <c r="C568" s="13">
        <v>1</v>
      </c>
      <c r="D568" s="13">
        <v>1.9</v>
      </c>
      <c r="E568" s="13">
        <v>1.9</v>
      </c>
      <c r="F568" s="13">
        <v>450</v>
      </c>
      <c r="G568" s="13">
        <v>550</v>
      </c>
      <c r="H568" s="13">
        <v>450</v>
      </c>
      <c r="I568" s="13">
        <v>550</v>
      </c>
      <c r="J568" s="14">
        <v>43.1601</v>
      </c>
      <c r="K568" s="13">
        <v>117</v>
      </c>
      <c r="L568" s="14">
        <v>34.978400000000001</v>
      </c>
      <c r="M568" s="13">
        <v>117</v>
      </c>
      <c r="N568" s="14">
        <v>39.479999999999997</v>
      </c>
      <c r="O568" s="14">
        <v>146.97800000000001</v>
      </c>
      <c r="P568" s="13">
        <v>117</v>
      </c>
      <c r="Q568" s="14">
        <v>17.506699999999999</v>
      </c>
      <c r="R568" s="13">
        <f>MAX(MAX(1.4/[1]Parametros!$B$3,0.25*SQRT([1]Parametros!$B$2)/[1]Parametros!$B$3)*H568*U568,(0.85*[1]Parametros!$B$2/[1]Parametros!$B$3)*(1-SQRT(1-2*(J568*1000000/([1]Parametros!$B$5*H568*U568^2))/(0.85*[1]Parametros!$B$2)))*H568*U568)</f>
        <v>734.02500000000009</v>
      </c>
      <c r="S568" s="14">
        <v>4</v>
      </c>
      <c r="T568" s="14">
        <v>1</v>
      </c>
      <c r="U568" s="13">
        <f>IF(T568=1,I568-([1]Parametros!$B$7+[1]Parametros!$B$9+[1]Parametros!$B$12/2),I568-(ROUNDUP(S568/2,0)*([1]Parametros!$B$7+[1]Parametros!$B$9+[1]Parametros!$B$12/2)+ROUNDDOWN(S568/2,0)*([1]Parametros!$B$7+[1]Parametros!$B$9+[1]Parametros!$B$12/2+[1]Parametros!$B$12+[1]Parametros!$B$10))/S568)</f>
        <v>489.35</v>
      </c>
      <c r="V568" s="13">
        <f>S568*[1]Parametros!$B$8</f>
        <v>796</v>
      </c>
      <c r="W568" s="13">
        <f>[1]Parametros!$B$5*V568*[1]Parametros!$B$3*(U568-(V568*[1]Parametros!$B$3/(0.85*[1]Parametros!$B$2*H568))/2)/1000000</f>
        <v>142.54333009411764</v>
      </c>
      <c r="X568" s="13" t="str">
        <f t="shared" si="104"/>
        <v>CUMPLE</v>
      </c>
      <c r="Y568" s="13">
        <f>MAX(MAX(1.4/[1]Parametros!$B$3,0.25*SQRT([1]Parametros!$B$2)/[1]Parametros!$B$3)*H568*AB568,(0.85*[1]Parametros!$B$2/[1]Parametros!$B$3)*(1-SQRT(1-2*(L568*1000000/([1]Parametros!$B$5*H568*AB568^2))/(0.85*[1]Parametros!$B$2)))*H568*AB568)</f>
        <v>734.02500000000009</v>
      </c>
      <c r="Z568" s="14">
        <v>4</v>
      </c>
      <c r="AA568" s="14">
        <v>1</v>
      </c>
      <c r="AB568" s="13">
        <f>IF(AA568=1,I568-([1]Parametros!$B$7+[1]Parametros!$B$9+[1]Parametros!$B$12/2),I568-(ROUNDUP(Z568/2,0)*([1]Parametros!$B$7+[1]Parametros!$B$9+[1]Parametros!$B$12/2)+ROUNDDOWN(Z568/2,0)*([1]Parametros!$B$7+[1]Parametros!$B$9+[1]Parametros!$B$12/2+[1]Parametros!$B$12+[1]Parametros!$B$10))/Z568)</f>
        <v>489.35</v>
      </c>
      <c r="AC568" s="13">
        <f>Z568*[1]Parametros!$B$8</f>
        <v>796</v>
      </c>
      <c r="AD568" s="13">
        <f>[1]Parametros!$B$5*AC568*[1]Parametros!$B$3*(AB568-(AC568*[1]Parametros!$B$3/(0.85*[1]Parametros!$B$2*H568))/2)/1000000</f>
        <v>142.54333009411764</v>
      </c>
      <c r="AE568" s="13" t="str">
        <f t="shared" si="105"/>
        <v>CUMPLE</v>
      </c>
      <c r="AF568" s="13">
        <f>V568*1.25*[1]Parametros!$B$3*(U568-(V568*1.25*[1]Parametros!$B$3/(0.85*[1]Parametros!$B$2*H568))/2)/1000000</f>
        <v>196.34621794117646</v>
      </c>
      <c r="AG568" s="13">
        <f>AC568*1.25*[1]Parametros!$B$3*(AB568-(AC568*1.25*[1]Parametros!$B$3/(0.85*[1]Parametros!$B$2*H568))/2)/1000000</f>
        <v>196.34621794117646</v>
      </c>
      <c r="AH568" s="13">
        <f t="shared" si="106"/>
        <v>246.1602294117647</v>
      </c>
      <c r="AI568" s="13">
        <f t="shared" si="107"/>
        <v>246.1602294117647</v>
      </c>
      <c r="AJ568" s="13">
        <f>0.17*SQRT([1]Parametros!$B$2)*H568*MIN(U568,AB568)/1000</f>
        <v>198.08885582262698</v>
      </c>
      <c r="AK568" s="13">
        <f>MAX(AI568/[1]Parametros!$B$6-AJ568,0)</f>
        <v>130.12478339305929</v>
      </c>
      <c r="AL568" s="13">
        <f>0.66*SQRT([1]Parametros!$B$2)*H568*MIN(U568,AB568)/1000</f>
        <v>769.05085201725785</v>
      </c>
      <c r="AM568" s="13" t="str">
        <f t="shared" si="108"/>
        <v>CUMPLE</v>
      </c>
      <c r="AN568" s="13" t="s">
        <v>64</v>
      </c>
      <c r="AO568" s="14">
        <v>2</v>
      </c>
      <c r="AP568" s="13">
        <f>ROUNDDOWN(MIN(IF(BC568+BD568=0,1000000000,AO568*BB568/(BC568+BD568)),MIN(U568,AB568)/4,8*[1]Parametros!$B$12,24*BA568,300,IF(AV568=0,1000000000,2*((H568-2*([1]Parametros!$B$7+[1]Parametros!$B$9/2))+(I568-2*([1]Parametros!$B$7+[1]Parametros!$B$9/2)))/8))/10,0)*10</f>
        <v>120</v>
      </c>
      <c r="AQ568" s="13">
        <f>ROUNDDOWN(MIN(IF(BC568+BD568=0,1000000000,AO568*BB568/(BC568+BD568)),IF(AK568&gt;0.33*SQRT([1]Parametros!$B$2)*H568*MIN(U568,AB568)/1000,MIN(U568,AB568)/4,MIN(U568,AB568)/2),600,IF(AV568=0,1000000000,2*((H568-2*([1]Parametros!$B$7+[1]Parametros!$B$9/2))+(I568-2*([1]Parametros!$B$7+[1]Parametros!$B$9/2)))/8))/10,0)*10</f>
        <v>130</v>
      </c>
      <c r="AR568" s="13">
        <f>[1]Parametros!$B$6*(AJ568+MAX(BE568-BD568,0)*[1]Parametros!$B$4*MIN(U568,AB568)/1000)</f>
        <v>269.28810853757767</v>
      </c>
      <c r="AS568" s="13" t="str">
        <f t="shared" si="109"/>
        <v>CUMPLE</v>
      </c>
      <c r="AT568" s="13">
        <f>[1]Parametros!$B$6*0.083*SQRT([1]Parametros!$B$2)*(H568*I568)^2/(2*(H568+I568))/1000000</f>
        <v>10.08878303333792</v>
      </c>
      <c r="AU568" s="13" t="str">
        <f t="shared" si="110"/>
        <v>DISEÑAR</v>
      </c>
      <c r="AV568" s="13">
        <f>IF(Q568&lt;=AT568,0,Q568*1000000/([1]Parametros!$B$6*2*0.85*(H568-2*([1]Parametros!$B$7+[1]Parametros!$B$9/2))*(I568-2*([1]Parametros!$B$7+[1]Parametros!$B$9/2))*[1]Parametros!$B$4))</f>
        <v>0.20008318721917345</v>
      </c>
      <c r="AW568" s="13">
        <f>AV568*2*((H568-2*([1]Parametros!$B$7+[1]Parametros!$B$9/2))+(I568-2*([1]Parametros!$B$7+[1]Parametros!$B$9/2)))*[1]Parametros!$B$4/[1]Parametros!$B$3</f>
        <v>325.97552861747738</v>
      </c>
      <c r="AX568" s="14">
        <v>8</v>
      </c>
      <c r="AY568" s="13" t="str">
        <f t="shared" si="111"/>
        <v>CUMPLE</v>
      </c>
      <c r="AZ568" s="13" t="str">
        <f t="shared" si="112"/>
        <v>CUMPLE</v>
      </c>
      <c r="BA568" s="14">
        <v>9.5</v>
      </c>
      <c r="BB568" s="14">
        <v>71</v>
      </c>
      <c r="BC568" s="13">
        <f>MAX(IF(AK568=0,0,AK568*1000/([1]Parametros!$B$4*MIN(U568,AB568))),MAX(0.062*SQRT([1]Parametros!$B$2)*H568/[1]Parametros!$B$4,0.35*H568/[1]Parametros!$B$4))</f>
        <v>0.63312744015656963</v>
      </c>
      <c r="BD568" s="13">
        <f t="shared" si="113"/>
        <v>0.40016637443834691</v>
      </c>
      <c r="BE568" s="13">
        <f t="shared" si="114"/>
        <v>1.1833333333333333</v>
      </c>
      <c r="BF568" s="13">
        <f>SQRT((AI568*1000/(H568*MIN(U568,AB568)))^2+(Q568*1000000*2*((H568-2*([1]Parametros!$B$7+[1]Parametros!$B$9/2))+(I568-2*([1]Parametros!$B$7+[1]Parametros!$B$9/2)))/(1.7*((H568-2*([1]Parametros!$B$7+[1]Parametros!$B$9/2))*(I568-2*([1]Parametros!$B$7+[1]Parametros!$B$9/2)))^2))^2)</f>
        <v>1.282393810748282</v>
      </c>
      <c r="BG568" s="13">
        <f>[1]Parametros!$B$6*(AJ568*1000/(H568*MIN(U568,AB568))+0.66*SQRT([1]Parametros!$B$2))</f>
        <v>3.2939603822754151</v>
      </c>
      <c r="BH568" s="13" t="str">
        <f t="shared" si="115"/>
        <v>CUMPLE</v>
      </c>
      <c r="BI568" s="13">
        <f>AX568*[1]Parametros!$B$8</f>
        <v>1592</v>
      </c>
      <c r="BJ568" s="15" t="str">
        <f t="shared" si="116"/>
        <v>CUMPLE</v>
      </c>
    </row>
    <row r="569" spans="1:62" x14ac:dyDescent="0.3">
      <c r="A569" s="45" t="s">
        <v>78</v>
      </c>
      <c r="B569" s="46">
        <v>118</v>
      </c>
      <c r="C569" s="13">
        <v>1</v>
      </c>
      <c r="D569" s="13">
        <v>1.9</v>
      </c>
      <c r="E569" s="13">
        <v>1.9</v>
      </c>
      <c r="F569" s="13">
        <v>450</v>
      </c>
      <c r="G569" s="13">
        <v>550</v>
      </c>
      <c r="H569" s="13">
        <v>450</v>
      </c>
      <c r="I569" s="13">
        <v>550</v>
      </c>
      <c r="J569" s="14">
        <v>43.086199999999998</v>
      </c>
      <c r="K569" s="13">
        <v>118</v>
      </c>
      <c r="L569" s="14">
        <v>34.977600000000002</v>
      </c>
      <c r="M569" s="13">
        <v>118</v>
      </c>
      <c r="N569" s="14">
        <v>39.448999999999998</v>
      </c>
      <c r="O569" s="14">
        <v>146.94499999999999</v>
      </c>
      <c r="P569" s="13">
        <v>118</v>
      </c>
      <c r="Q569" s="14">
        <v>17.494900000000001</v>
      </c>
      <c r="R569" s="13">
        <f>MAX(MAX(1.4/[1]Parametros!$B$3,0.25*SQRT([1]Parametros!$B$2)/[1]Parametros!$B$3)*H569*U569,(0.85*[1]Parametros!$B$2/[1]Parametros!$B$3)*(1-SQRT(1-2*(J569*1000000/([1]Parametros!$B$5*H569*U569^2))/(0.85*[1]Parametros!$B$2)))*H569*U569)</f>
        <v>734.02500000000009</v>
      </c>
      <c r="S569" s="14">
        <v>4</v>
      </c>
      <c r="T569" s="14">
        <v>1</v>
      </c>
      <c r="U569" s="13">
        <f>IF(T569=1,I569-([1]Parametros!$B$7+[1]Parametros!$B$9+[1]Parametros!$B$12/2),I569-(ROUNDUP(S569/2,0)*([1]Parametros!$B$7+[1]Parametros!$B$9+[1]Parametros!$B$12/2)+ROUNDDOWN(S569/2,0)*([1]Parametros!$B$7+[1]Parametros!$B$9+[1]Parametros!$B$12/2+[1]Parametros!$B$12+[1]Parametros!$B$10))/S569)</f>
        <v>489.35</v>
      </c>
      <c r="V569" s="13">
        <f>S569*[1]Parametros!$B$8</f>
        <v>796</v>
      </c>
      <c r="W569" s="13">
        <f>[1]Parametros!$B$5*V569*[1]Parametros!$B$3*(U569-(V569*[1]Parametros!$B$3/(0.85*[1]Parametros!$B$2*H569))/2)/1000000</f>
        <v>142.54333009411764</v>
      </c>
      <c r="X569" s="13" t="str">
        <f t="shared" si="104"/>
        <v>CUMPLE</v>
      </c>
      <c r="Y569" s="13">
        <f>MAX(MAX(1.4/[1]Parametros!$B$3,0.25*SQRT([1]Parametros!$B$2)/[1]Parametros!$B$3)*H569*AB569,(0.85*[1]Parametros!$B$2/[1]Parametros!$B$3)*(1-SQRT(1-2*(L569*1000000/([1]Parametros!$B$5*H569*AB569^2))/(0.85*[1]Parametros!$B$2)))*H569*AB569)</f>
        <v>734.02500000000009</v>
      </c>
      <c r="Z569" s="14">
        <v>4</v>
      </c>
      <c r="AA569" s="14">
        <v>1</v>
      </c>
      <c r="AB569" s="13">
        <f>IF(AA569=1,I569-([1]Parametros!$B$7+[1]Parametros!$B$9+[1]Parametros!$B$12/2),I569-(ROUNDUP(Z569/2,0)*([1]Parametros!$B$7+[1]Parametros!$B$9+[1]Parametros!$B$12/2)+ROUNDDOWN(Z569/2,0)*([1]Parametros!$B$7+[1]Parametros!$B$9+[1]Parametros!$B$12/2+[1]Parametros!$B$12+[1]Parametros!$B$10))/Z569)</f>
        <v>489.35</v>
      </c>
      <c r="AC569" s="13">
        <f>Z569*[1]Parametros!$B$8</f>
        <v>796</v>
      </c>
      <c r="AD569" s="13">
        <f>[1]Parametros!$B$5*AC569*[1]Parametros!$B$3*(AB569-(AC569*[1]Parametros!$B$3/(0.85*[1]Parametros!$B$2*H569))/2)/1000000</f>
        <v>142.54333009411764</v>
      </c>
      <c r="AE569" s="13" t="str">
        <f t="shared" si="105"/>
        <v>CUMPLE</v>
      </c>
      <c r="AF569" s="13">
        <f>V569*1.25*[1]Parametros!$B$3*(U569-(V569*1.25*[1]Parametros!$B$3/(0.85*[1]Parametros!$B$2*H569))/2)/1000000</f>
        <v>196.34621794117646</v>
      </c>
      <c r="AG569" s="13">
        <f>AC569*1.25*[1]Parametros!$B$3*(AB569-(AC569*1.25*[1]Parametros!$B$3/(0.85*[1]Parametros!$B$2*H569))/2)/1000000</f>
        <v>196.34621794117646</v>
      </c>
      <c r="AH569" s="13">
        <f t="shared" si="106"/>
        <v>246.1292294117647</v>
      </c>
      <c r="AI569" s="13">
        <f t="shared" si="107"/>
        <v>246.1292294117647</v>
      </c>
      <c r="AJ569" s="13">
        <f>0.17*SQRT([1]Parametros!$B$2)*H569*MIN(U569,AB569)/1000</f>
        <v>198.08885582262698</v>
      </c>
      <c r="AK569" s="13">
        <f>MAX(AI569/[1]Parametros!$B$6-AJ569,0)</f>
        <v>130.08345005972595</v>
      </c>
      <c r="AL569" s="13">
        <f>0.66*SQRT([1]Parametros!$B$2)*H569*MIN(U569,AB569)/1000</f>
        <v>769.05085201725785</v>
      </c>
      <c r="AM569" s="13" t="str">
        <f t="shared" si="108"/>
        <v>CUMPLE</v>
      </c>
      <c r="AN569" s="13" t="s">
        <v>64</v>
      </c>
      <c r="AO569" s="14">
        <v>2</v>
      </c>
      <c r="AP569" s="13">
        <f>ROUNDDOWN(MIN(IF(BC569+BD569=0,1000000000,AO569*BB569/(BC569+BD569)),MIN(U569,AB569)/4,8*[1]Parametros!$B$12,24*BA569,300,IF(AV569=0,1000000000,2*((H569-2*([1]Parametros!$B$7+[1]Parametros!$B$9/2))+(I569-2*([1]Parametros!$B$7+[1]Parametros!$B$9/2)))/8))/10,0)*10</f>
        <v>120</v>
      </c>
      <c r="AQ569" s="13">
        <f>ROUNDDOWN(MIN(IF(BC569+BD569=0,1000000000,AO569*BB569/(BC569+BD569)),IF(AK569&gt;0.33*SQRT([1]Parametros!$B$2)*H569*MIN(U569,AB569)/1000,MIN(U569,AB569)/4,MIN(U569,AB569)/2),600,IF(AV569=0,1000000000,2*((H569-2*([1]Parametros!$B$7+[1]Parametros!$B$9/2))+(I569-2*([1]Parametros!$B$7+[1]Parametros!$B$9/2)))/8))/10,0)*10</f>
        <v>130</v>
      </c>
      <c r="AR569" s="13">
        <f>[1]Parametros!$B$6*(AJ569+MAX(BE569-BD569,0)*[1]Parametros!$B$4*MIN(U569,AB569)/1000)</f>
        <v>269.32968508831459</v>
      </c>
      <c r="AS569" s="13" t="str">
        <f t="shared" si="109"/>
        <v>CUMPLE</v>
      </c>
      <c r="AT569" s="13">
        <f>[1]Parametros!$B$6*0.083*SQRT([1]Parametros!$B$2)*(H569*I569)^2/(2*(H569+I569))/1000000</f>
        <v>10.08878303333792</v>
      </c>
      <c r="AU569" s="13" t="str">
        <f t="shared" si="110"/>
        <v>DISEÑAR</v>
      </c>
      <c r="AV569" s="13">
        <f>IF(Q569&lt;=AT569,0,Q569*1000000/([1]Parametros!$B$6*2*0.85*(H569-2*([1]Parametros!$B$7+[1]Parametros!$B$9/2))*(I569-2*([1]Parametros!$B$7+[1]Parametros!$B$9/2))*[1]Parametros!$B$4))</f>
        <v>0.19994832561709047</v>
      </c>
      <c r="AW569" s="13">
        <f>AV569*2*((H569-2*([1]Parametros!$B$7+[1]Parametros!$B$9/2))+(I569-2*([1]Parametros!$B$7+[1]Parametros!$B$9/2)))*[1]Parametros!$B$4/[1]Parametros!$B$3</f>
        <v>325.75581209536386</v>
      </c>
      <c r="AX569" s="14">
        <v>8</v>
      </c>
      <c r="AY569" s="13" t="str">
        <f t="shared" si="111"/>
        <v>CUMPLE</v>
      </c>
      <c r="AZ569" s="13" t="str">
        <f t="shared" si="112"/>
        <v>CUMPLE</v>
      </c>
      <c r="BA569" s="14">
        <v>9.5</v>
      </c>
      <c r="BB569" s="14">
        <v>71</v>
      </c>
      <c r="BC569" s="13">
        <f>MAX(IF(AK569=0,0,AK569*1000/([1]Parametros!$B$4*MIN(U569,AB569))),MAX(0.062*SQRT([1]Parametros!$B$2)*H569/[1]Parametros!$B$4,0.35*H569/[1]Parametros!$B$4))</f>
        <v>0.63292633113764107</v>
      </c>
      <c r="BD569" s="13">
        <f t="shared" si="113"/>
        <v>0.39989665123418094</v>
      </c>
      <c r="BE569" s="13">
        <f t="shared" si="114"/>
        <v>1.1833333333333333</v>
      </c>
      <c r="BF569" s="13">
        <f>SQRT((AI569*1000/(H569*MIN(U569,AB569)))^2+(Q569*1000000*2*((H569-2*([1]Parametros!$B$7+[1]Parametros!$B$9/2))+(I569-2*([1]Parametros!$B$7+[1]Parametros!$B$9/2)))/(1.7*((H569-2*([1]Parametros!$B$7+[1]Parametros!$B$9/2))*(I569-2*([1]Parametros!$B$7+[1]Parametros!$B$9/2)))^2))^2)</f>
        <v>1.2820635550735537</v>
      </c>
      <c r="BG569" s="13">
        <f>[1]Parametros!$B$6*(AJ569*1000/(H569*MIN(U569,AB569))+0.66*SQRT([1]Parametros!$B$2))</f>
        <v>3.2939603822754151</v>
      </c>
      <c r="BH569" s="13" t="str">
        <f t="shared" si="115"/>
        <v>CUMPLE</v>
      </c>
      <c r="BI569" s="13">
        <f>AX569*[1]Parametros!$B$8</f>
        <v>1592</v>
      </c>
      <c r="BJ569" s="15" t="str">
        <f t="shared" si="116"/>
        <v>CUMPLE</v>
      </c>
    </row>
    <row r="570" spans="1:62" x14ac:dyDescent="0.3">
      <c r="A570" s="45" t="s">
        <v>78</v>
      </c>
      <c r="B570" s="46">
        <v>119</v>
      </c>
      <c r="C570" s="13">
        <v>1</v>
      </c>
      <c r="D570" s="13">
        <v>1.9</v>
      </c>
      <c r="E570" s="13">
        <v>1.9</v>
      </c>
      <c r="F570" s="13">
        <v>450</v>
      </c>
      <c r="G570" s="13">
        <v>550</v>
      </c>
      <c r="H570" s="13">
        <v>450</v>
      </c>
      <c r="I570" s="13">
        <v>550</v>
      </c>
      <c r="J570" s="14">
        <v>43.052999999999997</v>
      </c>
      <c r="K570" s="13">
        <v>119</v>
      </c>
      <c r="L570" s="14">
        <v>34.96</v>
      </c>
      <c r="M570" s="13">
        <v>119</v>
      </c>
      <c r="N570" s="14">
        <v>39.421999999999997</v>
      </c>
      <c r="O570" s="14">
        <v>146.917</v>
      </c>
      <c r="P570" s="13">
        <v>119</v>
      </c>
      <c r="Q570" s="14">
        <v>17.480799999999999</v>
      </c>
      <c r="R570" s="13">
        <f>MAX(MAX(1.4/[1]Parametros!$B$3,0.25*SQRT([1]Parametros!$B$2)/[1]Parametros!$B$3)*H570*U570,(0.85*[1]Parametros!$B$2/[1]Parametros!$B$3)*(1-SQRT(1-2*(J570*1000000/([1]Parametros!$B$5*H570*U570^2))/(0.85*[1]Parametros!$B$2)))*H570*U570)</f>
        <v>734.02500000000009</v>
      </c>
      <c r="S570" s="14">
        <v>4</v>
      </c>
      <c r="T570" s="14">
        <v>1</v>
      </c>
      <c r="U570" s="13">
        <f>IF(T570=1,I570-([1]Parametros!$B$7+[1]Parametros!$B$9+[1]Parametros!$B$12/2),I570-(ROUNDUP(S570/2,0)*([1]Parametros!$B$7+[1]Parametros!$B$9+[1]Parametros!$B$12/2)+ROUNDDOWN(S570/2,0)*([1]Parametros!$B$7+[1]Parametros!$B$9+[1]Parametros!$B$12/2+[1]Parametros!$B$12+[1]Parametros!$B$10))/S570)</f>
        <v>489.35</v>
      </c>
      <c r="V570" s="13">
        <f>S570*[1]Parametros!$B$8</f>
        <v>796</v>
      </c>
      <c r="W570" s="13">
        <f>[1]Parametros!$B$5*V570*[1]Parametros!$B$3*(U570-(V570*[1]Parametros!$B$3/(0.85*[1]Parametros!$B$2*H570))/2)/1000000</f>
        <v>142.54333009411764</v>
      </c>
      <c r="X570" s="13" t="str">
        <f t="shared" si="104"/>
        <v>CUMPLE</v>
      </c>
      <c r="Y570" s="13">
        <f>MAX(MAX(1.4/[1]Parametros!$B$3,0.25*SQRT([1]Parametros!$B$2)/[1]Parametros!$B$3)*H570*AB570,(0.85*[1]Parametros!$B$2/[1]Parametros!$B$3)*(1-SQRT(1-2*(L570*1000000/([1]Parametros!$B$5*H570*AB570^2))/(0.85*[1]Parametros!$B$2)))*H570*AB570)</f>
        <v>734.02500000000009</v>
      </c>
      <c r="Z570" s="14">
        <v>4</v>
      </c>
      <c r="AA570" s="14">
        <v>1</v>
      </c>
      <c r="AB570" s="13">
        <f>IF(AA570=1,I570-([1]Parametros!$B$7+[1]Parametros!$B$9+[1]Parametros!$B$12/2),I570-(ROUNDUP(Z570/2,0)*([1]Parametros!$B$7+[1]Parametros!$B$9+[1]Parametros!$B$12/2)+ROUNDDOWN(Z570/2,0)*([1]Parametros!$B$7+[1]Parametros!$B$9+[1]Parametros!$B$12/2+[1]Parametros!$B$12+[1]Parametros!$B$10))/Z570)</f>
        <v>489.35</v>
      </c>
      <c r="AC570" s="13">
        <f>Z570*[1]Parametros!$B$8</f>
        <v>796</v>
      </c>
      <c r="AD570" s="13">
        <f>[1]Parametros!$B$5*AC570*[1]Parametros!$B$3*(AB570-(AC570*[1]Parametros!$B$3/(0.85*[1]Parametros!$B$2*H570))/2)/1000000</f>
        <v>142.54333009411764</v>
      </c>
      <c r="AE570" s="13" t="str">
        <f t="shared" si="105"/>
        <v>CUMPLE</v>
      </c>
      <c r="AF570" s="13">
        <f>V570*1.25*[1]Parametros!$B$3*(U570-(V570*1.25*[1]Parametros!$B$3/(0.85*[1]Parametros!$B$2*H570))/2)/1000000</f>
        <v>196.34621794117646</v>
      </c>
      <c r="AG570" s="13">
        <f>AC570*1.25*[1]Parametros!$B$3*(AB570-(AC570*1.25*[1]Parametros!$B$3/(0.85*[1]Parametros!$B$2*H570))/2)/1000000</f>
        <v>196.34621794117646</v>
      </c>
      <c r="AH570" s="13">
        <f t="shared" si="106"/>
        <v>246.10222941176471</v>
      </c>
      <c r="AI570" s="13">
        <f t="shared" si="107"/>
        <v>246.10222941176471</v>
      </c>
      <c r="AJ570" s="13">
        <f>0.17*SQRT([1]Parametros!$B$2)*H570*MIN(U570,AB570)/1000</f>
        <v>198.08885582262698</v>
      </c>
      <c r="AK570" s="13">
        <f>MAX(AI570/[1]Parametros!$B$6-AJ570,0)</f>
        <v>130.04745005972595</v>
      </c>
      <c r="AL570" s="13">
        <f>0.66*SQRT([1]Parametros!$B$2)*H570*MIN(U570,AB570)/1000</f>
        <v>769.05085201725785</v>
      </c>
      <c r="AM570" s="13" t="str">
        <f t="shared" si="108"/>
        <v>CUMPLE</v>
      </c>
      <c r="AN570" s="13" t="s">
        <v>64</v>
      </c>
      <c r="AO570" s="14">
        <v>2</v>
      </c>
      <c r="AP570" s="13">
        <f>ROUNDDOWN(MIN(IF(BC570+BD570=0,1000000000,AO570*BB570/(BC570+BD570)),MIN(U570,AB570)/4,8*[1]Parametros!$B$12,24*BA570,300,IF(AV570=0,1000000000,2*((H570-2*([1]Parametros!$B$7+[1]Parametros!$B$9/2))+(I570-2*([1]Parametros!$B$7+[1]Parametros!$B$9/2)))/8))/10,0)*10</f>
        <v>120</v>
      </c>
      <c r="AQ570" s="13">
        <f>ROUNDDOWN(MIN(IF(BC570+BD570=0,1000000000,AO570*BB570/(BC570+BD570)),IF(AK570&gt;0.33*SQRT([1]Parametros!$B$2)*H570*MIN(U570,AB570)/1000,MIN(U570,AB570)/4,MIN(U570,AB570)/2),600,IF(AV570=0,1000000000,2*((H570-2*([1]Parametros!$B$7+[1]Parametros!$B$9/2))+(I570-2*([1]Parametros!$B$7+[1]Parametros!$B$9/2)))/8))/10,0)*10</f>
        <v>130</v>
      </c>
      <c r="AR570" s="13">
        <f>[1]Parametros!$B$6*(AJ570+MAX(BE570-BD570,0)*[1]Parametros!$B$4*MIN(U570,AB570)/1000)</f>
        <v>269.37936554300882</v>
      </c>
      <c r="AS570" s="13" t="str">
        <f t="shared" si="109"/>
        <v>CUMPLE</v>
      </c>
      <c r="AT570" s="13">
        <f>[1]Parametros!$B$6*0.083*SQRT([1]Parametros!$B$2)*(H570*I570)^2/(2*(H570+I570))/1000000</f>
        <v>10.08878303333792</v>
      </c>
      <c r="AU570" s="13" t="str">
        <f t="shared" si="110"/>
        <v>DISEÑAR</v>
      </c>
      <c r="AV570" s="13">
        <f>IF(Q570&lt;=AT570,0,Q570*1000000/([1]Parametros!$B$6*2*0.85*(H570-2*([1]Parametros!$B$7+[1]Parametros!$B$9/2))*(I570-2*([1]Parametros!$B$7+[1]Parametros!$B$9/2))*[1]Parametros!$B$4))</f>
        <v>0.19978717743155064</v>
      </c>
      <c r="AW570" s="13">
        <f>AV570*2*((H570-2*([1]Parametros!$B$7+[1]Parametros!$B$9/2))+(I570-2*([1]Parametros!$B$7+[1]Parametros!$B$9/2)))*[1]Parametros!$B$4/[1]Parametros!$B$3</f>
        <v>325.49326947148234</v>
      </c>
      <c r="AX570" s="14">
        <v>8</v>
      </c>
      <c r="AY570" s="13" t="str">
        <f t="shared" si="111"/>
        <v>CUMPLE</v>
      </c>
      <c r="AZ570" s="13" t="str">
        <f t="shared" si="112"/>
        <v>CUMPLE</v>
      </c>
      <c r="BA570" s="14">
        <v>9.5</v>
      </c>
      <c r="BB570" s="14">
        <v>71</v>
      </c>
      <c r="BC570" s="13">
        <f>MAX(IF(AK570=0,0,AK570*1000/([1]Parametros!$B$4*MIN(U570,AB570))),MAX(0.062*SQRT([1]Parametros!$B$2)*H570/[1]Parametros!$B$4,0.35*H570/[1]Parametros!$B$4))</f>
        <v>0.63275117166954198</v>
      </c>
      <c r="BD570" s="13">
        <f t="shared" si="113"/>
        <v>0.39957435486310128</v>
      </c>
      <c r="BE570" s="13">
        <f t="shared" si="114"/>
        <v>1.1833333333333333</v>
      </c>
      <c r="BF570" s="13">
        <f>SQRT((AI570*1000/(H570*MIN(U570,AB570)))^2+(Q570*1000000*2*((H570-2*([1]Parametros!$B$7+[1]Parametros!$B$9/2))+(I570-2*([1]Parametros!$B$7+[1]Parametros!$B$9/2)))/(1.7*((H570-2*([1]Parametros!$B$7+[1]Parametros!$B$9/2))*(I570-2*([1]Parametros!$B$7+[1]Parametros!$B$9/2)))^2))^2)</f>
        <v>1.2817087843528248</v>
      </c>
      <c r="BG570" s="13">
        <f>[1]Parametros!$B$6*(AJ570*1000/(H570*MIN(U570,AB570))+0.66*SQRT([1]Parametros!$B$2))</f>
        <v>3.2939603822754151</v>
      </c>
      <c r="BH570" s="13" t="str">
        <f t="shared" si="115"/>
        <v>CUMPLE</v>
      </c>
      <c r="BI570" s="13">
        <f>AX570*[1]Parametros!$B$8</f>
        <v>1592</v>
      </c>
      <c r="BJ570" s="15" t="str">
        <f t="shared" si="116"/>
        <v>CUMPLE</v>
      </c>
    </row>
    <row r="571" spans="1:62" x14ac:dyDescent="0.3">
      <c r="A571" s="45" t="s">
        <v>78</v>
      </c>
      <c r="B571" s="46">
        <v>120</v>
      </c>
      <c r="C571" s="13">
        <v>1</v>
      </c>
      <c r="D571" s="13">
        <v>1.9</v>
      </c>
      <c r="E571" s="13">
        <v>1.9</v>
      </c>
      <c r="F571" s="13">
        <v>450</v>
      </c>
      <c r="G571" s="13">
        <v>550</v>
      </c>
      <c r="H571" s="13">
        <v>450</v>
      </c>
      <c r="I571" s="13">
        <v>550</v>
      </c>
      <c r="J571" s="14">
        <v>43.051299999999998</v>
      </c>
      <c r="K571" s="13">
        <v>120</v>
      </c>
      <c r="L571" s="14">
        <v>34.959800000000001</v>
      </c>
      <c r="M571" s="13">
        <v>120</v>
      </c>
      <c r="N571" s="14">
        <v>39.42</v>
      </c>
      <c r="O571" s="14">
        <v>146.917</v>
      </c>
      <c r="P571" s="13">
        <v>120</v>
      </c>
      <c r="Q571" s="14">
        <v>17.479399999999998</v>
      </c>
      <c r="R571" s="13">
        <f>MAX(MAX(1.4/[1]Parametros!$B$3,0.25*SQRT([1]Parametros!$B$2)/[1]Parametros!$B$3)*H571*U571,(0.85*[1]Parametros!$B$2/[1]Parametros!$B$3)*(1-SQRT(1-2*(J571*1000000/([1]Parametros!$B$5*H571*U571^2))/(0.85*[1]Parametros!$B$2)))*H571*U571)</f>
        <v>734.02500000000009</v>
      </c>
      <c r="S571" s="14">
        <v>4</v>
      </c>
      <c r="T571" s="14">
        <v>1</v>
      </c>
      <c r="U571" s="13">
        <f>IF(T571=1,I571-([1]Parametros!$B$7+[1]Parametros!$B$9+[1]Parametros!$B$12/2),I571-(ROUNDUP(S571/2,0)*([1]Parametros!$B$7+[1]Parametros!$B$9+[1]Parametros!$B$12/2)+ROUNDDOWN(S571/2,0)*([1]Parametros!$B$7+[1]Parametros!$B$9+[1]Parametros!$B$12/2+[1]Parametros!$B$12+[1]Parametros!$B$10))/S571)</f>
        <v>489.35</v>
      </c>
      <c r="V571" s="13">
        <f>S571*[1]Parametros!$B$8</f>
        <v>796</v>
      </c>
      <c r="W571" s="13">
        <f>[1]Parametros!$B$5*V571*[1]Parametros!$B$3*(U571-(V571*[1]Parametros!$B$3/(0.85*[1]Parametros!$B$2*H571))/2)/1000000</f>
        <v>142.54333009411764</v>
      </c>
      <c r="X571" s="13" t="str">
        <f t="shared" si="104"/>
        <v>CUMPLE</v>
      </c>
      <c r="Y571" s="13">
        <f>MAX(MAX(1.4/[1]Parametros!$B$3,0.25*SQRT([1]Parametros!$B$2)/[1]Parametros!$B$3)*H571*AB571,(0.85*[1]Parametros!$B$2/[1]Parametros!$B$3)*(1-SQRT(1-2*(L571*1000000/([1]Parametros!$B$5*H571*AB571^2))/(0.85*[1]Parametros!$B$2)))*H571*AB571)</f>
        <v>734.02500000000009</v>
      </c>
      <c r="Z571" s="14">
        <v>4</v>
      </c>
      <c r="AA571" s="14">
        <v>1</v>
      </c>
      <c r="AB571" s="13">
        <f>IF(AA571=1,I571-([1]Parametros!$B$7+[1]Parametros!$B$9+[1]Parametros!$B$12/2),I571-(ROUNDUP(Z571/2,0)*([1]Parametros!$B$7+[1]Parametros!$B$9+[1]Parametros!$B$12/2)+ROUNDDOWN(Z571/2,0)*([1]Parametros!$B$7+[1]Parametros!$B$9+[1]Parametros!$B$12/2+[1]Parametros!$B$12+[1]Parametros!$B$10))/Z571)</f>
        <v>489.35</v>
      </c>
      <c r="AC571" s="13">
        <f>Z571*[1]Parametros!$B$8</f>
        <v>796</v>
      </c>
      <c r="AD571" s="13">
        <f>[1]Parametros!$B$5*AC571*[1]Parametros!$B$3*(AB571-(AC571*[1]Parametros!$B$3/(0.85*[1]Parametros!$B$2*H571))/2)/1000000</f>
        <v>142.54333009411764</v>
      </c>
      <c r="AE571" s="13" t="str">
        <f t="shared" si="105"/>
        <v>CUMPLE</v>
      </c>
      <c r="AF571" s="13">
        <f>V571*1.25*[1]Parametros!$B$3*(U571-(V571*1.25*[1]Parametros!$B$3/(0.85*[1]Parametros!$B$2*H571))/2)/1000000</f>
        <v>196.34621794117646</v>
      </c>
      <c r="AG571" s="13">
        <f>AC571*1.25*[1]Parametros!$B$3*(AB571-(AC571*1.25*[1]Parametros!$B$3/(0.85*[1]Parametros!$B$2*H571))/2)/1000000</f>
        <v>196.34621794117646</v>
      </c>
      <c r="AH571" s="13">
        <f t="shared" si="106"/>
        <v>246.1002294117647</v>
      </c>
      <c r="AI571" s="13">
        <f t="shared" si="107"/>
        <v>246.1002294117647</v>
      </c>
      <c r="AJ571" s="13">
        <f>0.17*SQRT([1]Parametros!$B$2)*H571*MIN(U571,AB571)/1000</f>
        <v>198.08885582262698</v>
      </c>
      <c r="AK571" s="13">
        <f>MAX(AI571/[1]Parametros!$B$6-AJ571,0)</f>
        <v>130.0447833930593</v>
      </c>
      <c r="AL571" s="13">
        <f>0.66*SQRT([1]Parametros!$B$2)*H571*MIN(U571,AB571)/1000</f>
        <v>769.05085201725785</v>
      </c>
      <c r="AM571" s="13" t="str">
        <f t="shared" si="108"/>
        <v>CUMPLE</v>
      </c>
      <c r="AN571" s="13" t="s">
        <v>64</v>
      </c>
      <c r="AO571" s="14">
        <v>2</v>
      </c>
      <c r="AP571" s="13">
        <f>ROUNDDOWN(MIN(IF(BC571+BD571=0,1000000000,AO571*BB571/(BC571+BD571)),MIN(U571,AB571)/4,8*[1]Parametros!$B$12,24*BA571,300,IF(AV571=0,1000000000,2*((H571-2*([1]Parametros!$B$7+[1]Parametros!$B$9/2))+(I571-2*([1]Parametros!$B$7+[1]Parametros!$B$9/2)))/8))/10,0)*10</f>
        <v>120</v>
      </c>
      <c r="AQ571" s="13">
        <f>ROUNDDOWN(MIN(IF(BC571+BD571=0,1000000000,AO571*BB571/(BC571+BD571)),IF(AK571&gt;0.33*SQRT([1]Parametros!$B$2)*H571*MIN(U571,AB571)/1000,MIN(U571,AB571)/4,MIN(U571,AB571)/2),600,IF(AV571=0,1000000000,2*((H571-2*([1]Parametros!$B$7+[1]Parametros!$B$9/2))+(I571-2*([1]Parametros!$B$7+[1]Parametros!$B$9/2)))/8))/10,0)*10</f>
        <v>130</v>
      </c>
      <c r="AR571" s="13">
        <f>[1]Parametros!$B$6*(AJ571+MAX(BE571-BD571,0)*[1]Parametros!$B$4*MIN(U571,AB571)/1000)</f>
        <v>269.38429835411318</v>
      </c>
      <c r="AS571" s="13" t="str">
        <f t="shared" si="109"/>
        <v>CUMPLE</v>
      </c>
      <c r="AT571" s="13">
        <f>[1]Parametros!$B$6*0.083*SQRT([1]Parametros!$B$2)*(H571*I571)^2/(2*(H571+I571))/1000000</f>
        <v>10.08878303333792</v>
      </c>
      <c r="AU571" s="13" t="str">
        <f t="shared" si="110"/>
        <v>DISEÑAR</v>
      </c>
      <c r="AV571" s="13">
        <f>IF(Q571&lt;=AT571,0,Q571*1000000/([1]Parametros!$B$6*2*0.85*(H571-2*([1]Parametros!$B$7+[1]Parametros!$B$9/2))*(I571-2*([1]Parametros!$B$7+[1]Parametros!$B$9/2))*[1]Parametros!$B$4))</f>
        <v>0.19977117690248994</v>
      </c>
      <c r="AW571" s="13">
        <f>AV571*2*((H571-2*([1]Parametros!$B$7+[1]Parametros!$B$9/2))+(I571-2*([1]Parametros!$B$7+[1]Parametros!$B$9/2)))*[1]Parametros!$B$4/[1]Parametros!$B$3</f>
        <v>325.46720140953664</v>
      </c>
      <c r="AX571" s="14">
        <v>8</v>
      </c>
      <c r="AY571" s="13" t="str">
        <f t="shared" si="111"/>
        <v>CUMPLE</v>
      </c>
      <c r="AZ571" s="13" t="str">
        <f t="shared" si="112"/>
        <v>CUMPLE</v>
      </c>
      <c r="BA571" s="14">
        <v>9.5</v>
      </c>
      <c r="BB571" s="14">
        <v>71</v>
      </c>
      <c r="BC571" s="13">
        <f>MAX(IF(AK571=0,0,AK571*1000/([1]Parametros!$B$4*MIN(U571,AB571))),MAX(0.062*SQRT([1]Parametros!$B$2)*H571/[1]Parametros!$B$4,0.35*H571/[1]Parametros!$B$4))</f>
        <v>0.63273819689412736</v>
      </c>
      <c r="BD571" s="13">
        <f t="shared" si="113"/>
        <v>0.39954235380497988</v>
      </c>
      <c r="BE571" s="13">
        <f t="shared" si="114"/>
        <v>1.1833333333333333</v>
      </c>
      <c r="BF571" s="13">
        <f>SQRT((AI571*1000/(H571*MIN(U571,AB571)))^2+(Q571*1000000*2*((H571-2*([1]Parametros!$B$7+[1]Parametros!$B$9/2))+(I571-2*([1]Parametros!$B$7+[1]Parametros!$B$9/2)))/(1.7*((H571-2*([1]Parametros!$B$7+[1]Parametros!$B$9/2))*(I571-2*([1]Parametros!$B$7+[1]Parametros!$B$9/2)))^2))^2)</f>
        <v>1.2816762610901962</v>
      </c>
      <c r="BG571" s="13">
        <f>[1]Parametros!$B$6*(AJ571*1000/(H571*MIN(U571,AB571))+0.66*SQRT([1]Parametros!$B$2))</f>
        <v>3.2939603822754151</v>
      </c>
      <c r="BH571" s="13" t="str">
        <f t="shared" si="115"/>
        <v>CUMPLE</v>
      </c>
      <c r="BI571" s="13">
        <f>AX571*[1]Parametros!$B$8</f>
        <v>1592</v>
      </c>
      <c r="BJ571" s="15" t="str">
        <f t="shared" si="116"/>
        <v>CUMPLE</v>
      </c>
    </row>
    <row r="572" spans="1:62" x14ac:dyDescent="0.3">
      <c r="A572" s="45" t="s">
        <v>78</v>
      </c>
      <c r="B572" s="46">
        <v>121</v>
      </c>
      <c r="C572" s="13">
        <v>1</v>
      </c>
      <c r="D572" s="13">
        <v>2</v>
      </c>
      <c r="E572" s="13">
        <v>2</v>
      </c>
      <c r="F572" s="13">
        <v>450</v>
      </c>
      <c r="G572" s="13">
        <v>550</v>
      </c>
      <c r="H572" s="13">
        <v>450</v>
      </c>
      <c r="I572" s="13">
        <v>550</v>
      </c>
      <c r="J572" s="14">
        <v>28.243500000000001</v>
      </c>
      <c r="K572" s="13">
        <v>121</v>
      </c>
      <c r="L572" s="14">
        <v>22.326000000000001</v>
      </c>
      <c r="M572" s="13">
        <v>121</v>
      </c>
      <c r="N572" s="14">
        <v>28.39</v>
      </c>
      <c r="O572" s="14">
        <v>101.955</v>
      </c>
      <c r="P572" s="13">
        <v>121</v>
      </c>
      <c r="Q572" s="14">
        <v>2.1126999999999998</v>
      </c>
      <c r="R572" s="13">
        <f>MAX(MAX(1.4/[1]Parametros!$B$3,0.25*SQRT([1]Parametros!$B$2)/[1]Parametros!$B$3)*H572*U572,(0.85*[1]Parametros!$B$2/[1]Parametros!$B$3)*(1-SQRT(1-2*(J572*1000000/([1]Parametros!$B$5*H572*U572^2))/(0.85*[1]Parametros!$B$2)))*H572*U572)</f>
        <v>734.02500000000009</v>
      </c>
      <c r="S572" s="14">
        <v>4</v>
      </c>
      <c r="T572" s="14">
        <v>1</v>
      </c>
      <c r="U572" s="13">
        <f>IF(T572=1,I572-([1]Parametros!$B$7+[1]Parametros!$B$9+[1]Parametros!$B$12/2),I572-(ROUNDUP(S572/2,0)*([1]Parametros!$B$7+[1]Parametros!$B$9+[1]Parametros!$B$12/2)+ROUNDDOWN(S572/2,0)*([1]Parametros!$B$7+[1]Parametros!$B$9+[1]Parametros!$B$12/2+[1]Parametros!$B$12+[1]Parametros!$B$10))/S572)</f>
        <v>489.35</v>
      </c>
      <c r="V572" s="13">
        <f>S572*[1]Parametros!$B$8</f>
        <v>796</v>
      </c>
      <c r="W572" s="13">
        <f>[1]Parametros!$B$5*V572*[1]Parametros!$B$3*(U572-(V572*[1]Parametros!$B$3/(0.85*[1]Parametros!$B$2*H572))/2)/1000000</f>
        <v>142.54333009411764</v>
      </c>
      <c r="X572" s="13" t="str">
        <f t="shared" si="104"/>
        <v>CUMPLE</v>
      </c>
      <c r="Y572" s="13">
        <f>MAX(MAX(1.4/[1]Parametros!$B$3,0.25*SQRT([1]Parametros!$B$2)/[1]Parametros!$B$3)*H572*AB572,(0.85*[1]Parametros!$B$2/[1]Parametros!$B$3)*(1-SQRT(1-2*(L572*1000000/([1]Parametros!$B$5*H572*AB572^2))/(0.85*[1]Parametros!$B$2)))*H572*AB572)</f>
        <v>734.02500000000009</v>
      </c>
      <c r="Z572" s="14">
        <v>4</v>
      </c>
      <c r="AA572" s="14">
        <v>1</v>
      </c>
      <c r="AB572" s="13">
        <f>IF(AA572=1,I572-([1]Parametros!$B$7+[1]Parametros!$B$9+[1]Parametros!$B$12/2),I572-(ROUNDUP(Z572/2,0)*([1]Parametros!$B$7+[1]Parametros!$B$9+[1]Parametros!$B$12/2)+ROUNDDOWN(Z572/2,0)*([1]Parametros!$B$7+[1]Parametros!$B$9+[1]Parametros!$B$12/2+[1]Parametros!$B$12+[1]Parametros!$B$10))/Z572)</f>
        <v>489.35</v>
      </c>
      <c r="AC572" s="13">
        <f>Z572*[1]Parametros!$B$8</f>
        <v>796</v>
      </c>
      <c r="AD572" s="13">
        <f>[1]Parametros!$B$5*AC572*[1]Parametros!$B$3*(AB572-(AC572*[1]Parametros!$B$3/(0.85*[1]Parametros!$B$2*H572))/2)/1000000</f>
        <v>142.54333009411764</v>
      </c>
      <c r="AE572" s="13" t="str">
        <f t="shared" si="105"/>
        <v>CUMPLE</v>
      </c>
      <c r="AF572" s="13">
        <f>V572*1.25*[1]Parametros!$B$3*(U572-(V572*1.25*[1]Parametros!$B$3/(0.85*[1]Parametros!$B$2*H572))/2)/1000000</f>
        <v>196.34621794117646</v>
      </c>
      <c r="AG572" s="13">
        <f>AC572*1.25*[1]Parametros!$B$3*(AB572-(AC572*1.25*[1]Parametros!$B$3/(0.85*[1]Parametros!$B$2*H572))/2)/1000000</f>
        <v>196.34621794117646</v>
      </c>
      <c r="AH572" s="13">
        <f t="shared" si="106"/>
        <v>224.73621794117645</v>
      </c>
      <c r="AI572" s="13">
        <f t="shared" si="107"/>
        <v>224.73621794117645</v>
      </c>
      <c r="AJ572" s="13">
        <f>0.17*SQRT([1]Parametros!$B$2)*H572*MIN(U572,AB572)/1000</f>
        <v>198.08885582262698</v>
      </c>
      <c r="AK572" s="13">
        <f>MAX(AI572/[1]Parametros!$B$6-AJ572,0)</f>
        <v>101.5594347656083</v>
      </c>
      <c r="AL572" s="13">
        <f>0.66*SQRT([1]Parametros!$B$2)*H572*MIN(U572,AB572)/1000</f>
        <v>769.05085201725785</v>
      </c>
      <c r="AM572" s="13" t="str">
        <f t="shared" si="108"/>
        <v>CUMPLE</v>
      </c>
      <c r="AN572" s="13" t="s">
        <v>64</v>
      </c>
      <c r="AO572" s="14">
        <v>2</v>
      </c>
      <c r="AP572" s="13">
        <f>ROUNDDOWN(MIN(IF(BC572+BD572=0,1000000000,AO572*BB572/(BC572+BD572)),MIN(U572,AB572)/4,8*[1]Parametros!$B$12,24*BA572,300,IF(AV572=0,1000000000,2*((H572-2*([1]Parametros!$B$7+[1]Parametros!$B$9/2))+(I572-2*([1]Parametros!$B$7+[1]Parametros!$B$9/2)))/8))/10,0)*10</f>
        <v>120</v>
      </c>
      <c r="AQ572" s="13">
        <f>ROUNDDOWN(MIN(IF(BC572+BD572=0,1000000000,AO572*BB572/(BC572+BD572)),IF(AK572&gt;0.33*SQRT([1]Parametros!$B$2)*H572*MIN(U572,AB572)/1000,MIN(U572,AB572)/4,MIN(U572,AB572)/2),600,IF(AV572=0,1000000000,2*((H572-2*([1]Parametros!$B$7+[1]Parametros!$B$9/2))+(I572-2*([1]Parametros!$B$7+[1]Parametros!$B$9/2)))/8))/10,0)*10</f>
        <v>240</v>
      </c>
      <c r="AR572" s="13">
        <f>[1]Parametros!$B$6*(AJ572+MAX(BE572-BD572,0)*[1]Parametros!$B$4*MIN(U572,AB572)/1000)</f>
        <v>330.97185436697026</v>
      </c>
      <c r="AS572" s="13" t="str">
        <f t="shared" si="109"/>
        <v>CUMPLE</v>
      </c>
      <c r="AT572" s="13">
        <f>[1]Parametros!$B$6*0.083*SQRT([1]Parametros!$B$2)*(H572*I572)^2/(2*(H572+I572))/1000000</f>
        <v>10.08878303333792</v>
      </c>
      <c r="AU572" s="13" t="str">
        <f t="shared" si="110"/>
        <v>DESPRECIABLE</v>
      </c>
      <c r="AV572" s="13">
        <f>IF(Q572&lt;=AT572,0,Q572*1000000/([1]Parametros!$B$6*2*0.85*(H572-2*([1]Parametros!$B$7+[1]Parametros!$B$9/2))*(I572-2*([1]Parametros!$B$7+[1]Parametros!$B$9/2))*[1]Parametros!$B$4))</f>
        <v>0</v>
      </c>
      <c r="AW572" s="13">
        <f>AV572*2*((H572-2*([1]Parametros!$B$7+[1]Parametros!$B$9/2))+(I572-2*([1]Parametros!$B$7+[1]Parametros!$B$9/2)))*[1]Parametros!$B$4/[1]Parametros!$B$3</f>
        <v>0</v>
      </c>
      <c r="AX572" s="14">
        <v>0</v>
      </c>
      <c r="AY572" s="13" t="str">
        <f t="shared" si="111"/>
        <v>DESPRECIABLE</v>
      </c>
      <c r="AZ572" s="13" t="str">
        <f t="shared" si="112"/>
        <v>CUMPLE</v>
      </c>
      <c r="BA572" s="14">
        <v>9.5</v>
      </c>
      <c r="BB572" s="14">
        <v>71</v>
      </c>
      <c r="BC572" s="13">
        <f>MAX(IF(AK572=0,0,AK572*1000/([1]Parametros!$B$4*MIN(U572,AB572))),MAX(0.062*SQRT([1]Parametros!$B$2)*H572/[1]Parametros!$B$4,0.35*H572/[1]Parametros!$B$4))</f>
        <v>0.49414157149964871</v>
      </c>
      <c r="BD572" s="13">
        <f t="shared" si="113"/>
        <v>0</v>
      </c>
      <c r="BE572" s="13">
        <f t="shared" si="114"/>
        <v>1.1833333333333333</v>
      </c>
      <c r="BF572" s="13">
        <f>SQRT((AI572*1000/(H572*MIN(U572,AB572)))^2+(Q572*1000000*2*((H572-2*([1]Parametros!$B$7+[1]Parametros!$B$9/2))+(I572-2*([1]Parametros!$B$7+[1]Parametros!$B$9/2)))/(1.7*((H572-2*([1]Parametros!$B$7+[1]Parametros!$B$9/2))*(I572-2*([1]Parametros!$B$7+[1]Parametros!$B$9/2)))^2))^2)</f>
        <v>1.023379660932451</v>
      </c>
      <c r="BG572" s="13">
        <f>[1]Parametros!$B$6*(AJ572*1000/(H572*MIN(U572,AB572))+0.66*SQRT([1]Parametros!$B$2))</f>
        <v>3.2939603822754151</v>
      </c>
      <c r="BH572" s="13" t="str">
        <f t="shared" si="115"/>
        <v>CUMPLE</v>
      </c>
      <c r="BI572" s="13">
        <f>AX572*[1]Parametros!$B$8</f>
        <v>0</v>
      </c>
      <c r="BJ572" s="15" t="str">
        <f t="shared" si="116"/>
        <v>CUMPLE</v>
      </c>
    </row>
    <row r="573" spans="1:62" x14ac:dyDescent="0.3">
      <c r="A573" s="45" t="s">
        <v>78</v>
      </c>
      <c r="B573" s="46">
        <v>122</v>
      </c>
      <c r="C573" s="13">
        <v>1</v>
      </c>
      <c r="D573" s="13">
        <v>2</v>
      </c>
      <c r="E573" s="13">
        <v>2</v>
      </c>
      <c r="F573" s="13">
        <v>450</v>
      </c>
      <c r="G573" s="13">
        <v>550</v>
      </c>
      <c r="H573" s="13">
        <v>450</v>
      </c>
      <c r="I573" s="13">
        <v>550</v>
      </c>
      <c r="J573" s="14">
        <v>28.244299999999999</v>
      </c>
      <c r="K573" s="13">
        <v>122</v>
      </c>
      <c r="L573" s="14">
        <v>22.326599999999999</v>
      </c>
      <c r="M573" s="13">
        <v>122</v>
      </c>
      <c r="N573" s="14">
        <v>28.390999999999998</v>
      </c>
      <c r="O573" s="14">
        <v>101.955</v>
      </c>
      <c r="P573" s="13">
        <v>122</v>
      </c>
      <c r="Q573" s="14">
        <v>2.1162000000000001</v>
      </c>
      <c r="R573" s="13">
        <f>MAX(MAX(1.4/[1]Parametros!$B$3,0.25*SQRT([1]Parametros!$B$2)/[1]Parametros!$B$3)*H573*U573,(0.85*[1]Parametros!$B$2/[1]Parametros!$B$3)*(1-SQRT(1-2*(J573*1000000/([1]Parametros!$B$5*H573*U573^2))/(0.85*[1]Parametros!$B$2)))*H573*U573)</f>
        <v>734.02500000000009</v>
      </c>
      <c r="S573" s="14">
        <v>4</v>
      </c>
      <c r="T573" s="14">
        <v>1</v>
      </c>
      <c r="U573" s="13">
        <f>IF(T573=1,I573-([1]Parametros!$B$7+[1]Parametros!$B$9+[1]Parametros!$B$12/2),I573-(ROUNDUP(S573/2,0)*([1]Parametros!$B$7+[1]Parametros!$B$9+[1]Parametros!$B$12/2)+ROUNDDOWN(S573/2,0)*([1]Parametros!$B$7+[1]Parametros!$B$9+[1]Parametros!$B$12/2+[1]Parametros!$B$12+[1]Parametros!$B$10))/S573)</f>
        <v>489.35</v>
      </c>
      <c r="V573" s="13">
        <f>S573*[1]Parametros!$B$8</f>
        <v>796</v>
      </c>
      <c r="W573" s="13">
        <f>[1]Parametros!$B$5*V573*[1]Parametros!$B$3*(U573-(V573*[1]Parametros!$B$3/(0.85*[1]Parametros!$B$2*H573))/2)/1000000</f>
        <v>142.54333009411764</v>
      </c>
      <c r="X573" s="13" t="str">
        <f t="shared" si="104"/>
        <v>CUMPLE</v>
      </c>
      <c r="Y573" s="13">
        <f>MAX(MAX(1.4/[1]Parametros!$B$3,0.25*SQRT([1]Parametros!$B$2)/[1]Parametros!$B$3)*H573*AB573,(0.85*[1]Parametros!$B$2/[1]Parametros!$B$3)*(1-SQRT(1-2*(L573*1000000/([1]Parametros!$B$5*H573*AB573^2))/(0.85*[1]Parametros!$B$2)))*H573*AB573)</f>
        <v>734.02500000000009</v>
      </c>
      <c r="Z573" s="14">
        <v>4</v>
      </c>
      <c r="AA573" s="14">
        <v>1</v>
      </c>
      <c r="AB573" s="13">
        <f>IF(AA573=1,I573-([1]Parametros!$B$7+[1]Parametros!$B$9+[1]Parametros!$B$12/2),I573-(ROUNDUP(Z573/2,0)*([1]Parametros!$B$7+[1]Parametros!$B$9+[1]Parametros!$B$12/2)+ROUNDDOWN(Z573/2,0)*([1]Parametros!$B$7+[1]Parametros!$B$9+[1]Parametros!$B$12/2+[1]Parametros!$B$12+[1]Parametros!$B$10))/Z573)</f>
        <v>489.35</v>
      </c>
      <c r="AC573" s="13">
        <f>Z573*[1]Parametros!$B$8</f>
        <v>796</v>
      </c>
      <c r="AD573" s="13">
        <f>[1]Parametros!$B$5*AC573*[1]Parametros!$B$3*(AB573-(AC573*[1]Parametros!$B$3/(0.85*[1]Parametros!$B$2*H573))/2)/1000000</f>
        <v>142.54333009411764</v>
      </c>
      <c r="AE573" s="13" t="str">
        <f t="shared" si="105"/>
        <v>CUMPLE</v>
      </c>
      <c r="AF573" s="13">
        <f>V573*1.25*[1]Parametros!$B$3*(U573-(V573*1.25*[1]Parametros!$B$3/(0.85*[1]Parametros!$B$2*H573))/2)/1000000</f>
        <v>196.34621794117646</v>
      </c>
      <c r="AG573" s="13">
        <f>AC573*1.25*[1]Parametros!$B$3*(AB573-(AC573*1.25*[1]Parametros!$B$3/(0.85*[1]Parametros!$B$2*H573))/2)/1000000</f>
        <v>196.34621794117646</v>
      </c>
      <c r="AH573" s="13">
        <f t="shared" si="106"/>
        <v>224.73721794117645</v>
      </c>
      <c r="AI573" s="13">
        <f t="shared" si="107"/>
        <v>224.73721794117645</v>
      </c>
      <c r="AJ573" s="13">
        <f>0.17*SQRT([1]Parametros!$B$2)*H573*MIN(U573,AB573)/1000</f>
        <v>198.08885582262698</v>
      </c>
      <c r="AK573" s="13">
        <f>MAX(AI573/[1]Parametros!$B$6-AJ573,0)</f>
        <v>101.56076809894162</v>
      </c>
      <c r="AL573" s="13">
        <f>0.66*SQRT([1]Parametros!$B$2)*H573*MIN(U573,AB573)/1000</f>
        <v>769.05085201725785</v>
      </c>
      <c r="AM573" s="13" t="str">
        <f t="shared" si="108"/>
        <v>CUMPLE</v>
      </c>
      <c r="AN573" s="13" t="s">
        <v>64</v>
      </c>
      <c r="AO573" s="14">
        <v>2</v>
      </c>
      <c r="AP573" s="13">
        <f>ROUNDDOWN(MIN(IF(BC573+BD573=0,1000000000,AO573*BB573/(BC573+BD573)),MIN(U573,AB573)/4,8*[1]Parametros!$B$12,24*BA573,300,IF(AV573=0,1000000000,2*((H573-2*([1]Parametros!$B$7+[1]Parametros!$B$9/2))+(I573-2*([1]Parametros!$B$7+[1]Parametros!$B$9/2)))/8))/10,0)*10</f>
        <v>120</v>
      </c>
      <c r="AQ573" s="13">
        <f>ROUNDDOWN(MIN(IF(BC573+BD573=0,1000000000,AO573*BB573/(BC573+BD573)),IF(AK573&gt;0.33*SQRT([1]Parametros!$B$2)*H573*MIN(U573,AB573)/1000,MIN(U573,AB573)/4,MIN(U573,AB573)/2),600,IF(AV573=0,1000000000,2*((H573-2*([1]Parametros!$B$7+[1]Parametros!$B$9/2))+(I573-2*([1]Parametros!$B$7+[1]Parametros!$B$9/2)))/8))/10,0)*10</f>
        <v>240</v>
      </c>
      <c r="AR573" s="13">
        <f>[1]Parametros!$B$6*(AJ573+MAX(BE573-BD573,0)*[1]Parametros!$B$4*MIN(U573,AB573)/1000)</f>
        <v>330.97185436697026</v>
      </c>
      <c r="AS573" s="13" t="str">
        <f t="shared" si="109"/>
        <v>CUMPLE</v>
      </c>
      <c r="AT573" s="13">
        <f>[1]Parametros!$B$6*0.083*SQRT([1]Parametros!$B$2)*(H573*I573)^2/(2*(H573+I573))/1000000</f>
        <v>10.08878303333792</v>
      </c>
      <c r="AU573" s="13" t="str">
        <f t="shared" si="110"/>
        <v>DESPRECIABLE</v>
      </c>
      <c r="AV573" s="13">
        <f>IF(Q573&lt;=AT573,0,Q573*1000000/([1]Parametros!$B$6*2*0.85*(H573-2*([1]Parametros!$B$7+[1]Parametros!$B$9/2))*(I573-2*([1]Parametros!$B$7+[1]Parametros!$B$9/2))*[1]Parametros!$B$4))</f>
        <v>0</v>
      </c>
      <c r="AW573" s="13">
        <f>AV573*2*((H573-2*([1]Parametros!$B$7+[1]Parametros!$B$9/2))+(I573-2*([1]Parametros!$B$7+[1]Parametros!$B$9/2)))*[1]Parametros!$B$4/[1]Parametros!$B$3</f>
        <v>0</v>
      </c>
      <c r="AX573" s="14">
        <v>0</v>
      </c>
      <c r="AY573" s="13" t="str">
        <f t="shared" si="111"/>
        <v>DESPRECIABLE</v>
      </c>
      <c r="AZ573" s="13" t="str">
        <f t="shared" si="112"/>
        <v>CUMPLE</v>
      </c>
      <c r="BA573" s="14">
        <v>9.5</v>
      </c>
      <c r="BB573" s="14">
        <v>71</v>
      </c>
      <c r="BC573" s="13">
        <f>MAX(IF(AK573=0,0,AK573*1000/([1]Parametros!$B$4*MIN(U573,AB573))),MAX(0.062*SQRT([1]Parametros!$B$2)*H573/[1]Parametros!$B$4,0.35*H573/[1]Parametros!$B$4))</f>
        <v>0.49414805888735602</v>
      </c>
      <c r="BD573" s="13">
        <f t="shared" si="113"/>
        <v>0</v>
      </c>
      <c r="BE573" s="13">
        <f t="shared" si="114"/>
        <v>1.1833333333333333</v>
      </c>
      <c r="BF573" s="13">
        <f>SQRT((AI573*1000/(H573*MIN(U573,AB573)))^2+(Q573*1000000*2*((H573-2*([1]Parametros!$B$7+[1]Parametros!$B$9/2))+(I573-2*([1]Parametros!$B$7+[1]Parametros!$B$9/2)))/(1.7*((H573-2*([1]Parametros!$B$7+[1]Parametros!$B$9/2))*(I573-2*([1]Parametros!$B$7+[1]Parametros!$B$9/2)))^2))^2)</f>
        <v>1.0233935079639769</v>
      </c>
      <c r="BG573" s="13">
        <f>[1]Parametros!$B$6*(AJ573*1000/(H573*MIN(U573,AB573))+0.66*SQRT([1]Parametros!$B$2))</f>
        <v>3.2939603822754151</v>
      </c>
      <c r="BH573" s="13" t="str">
        <f t="shared" si="115"/>
        <v>CUMPLE</v>
      </c>
      <c r="BI573" s="13">
        <f>AX573*[1]Parametros!$B$8</f>
        <v>0</v>
      </c>
      <c r="BJ573" s="15" t="str">
        <f t="shared" si="116"/>
        <v>CUMPLE</v>
      </c>
    </row>
    <row r="574" spans="1:62" x14ac:dyDescent="0.3">
      <c r="A574" s="45" t="s">
        <v>78</v>
      </c>
      <c r="B574" s="46">
        <v>123</v>
      </c>
      <c r="C574" s="13">
        <v>1</v>
      </c>
      <c r="D574" s="13">
        <v>2</v>
      </c>
      <c r="E574" s="13">
        <v>2</v>
      </c>
      <c r="F574" s="13">
        <v>450</v>
      </c>
      <c r="G574" s="13">
        <v>550</v>
      </c>
      <c r="H574" s="13">
        <v>450</v>
      </c>
      <c r="I574" s="13">
        <v>550</v>
      </c>
      <c r="J574" s="14">
        <v>28.208500000000001</v>
      </c>
      <c r="K574" s="13">
        <v>123</v>
      </c>
      <c r="L574" s="14">
        <v>22.308499999999999</v>
      </c>
      <c r="M574" s="13">
        <v>123</v>
      </c>
      <c r="N574" s="14">
        <v>28.364999999999998</v>
      </c>
      <c r="O574" s="14">
        <v>101.93</v>
      </c>
      <c r="P574" s="13">
        <v>123</v>
      </c>
      <c r="Q574" s="14">
        <v>2.1158000000000001</v>
      </c>
      <c r="R574" s="13">
        <f>MAX(MAX(1.4/[1]Parametros!$B$3,0.25*SQRT([1]Parametros!$B$2)/[1]Parametros!$B$3)*H574*U574,(0.85*[1]Parametros!$B$2/[1]Parametros!$B$3)*(1-SQRT(1-2*(J574*1000000/([1]Parametros!$B$5*H574*U574^2))/(0.85*[1]Parametros!$B$2)))*H574*U574)</f>
        <v>734.02500000000009</v>
      </c>
      <c r="S574" s="14">
        <v>4</v>
      </c>
      <c r="T574" s="14">
        <v>1</v>
      </c>
      <c r="U574" s="13">
        <f>IF(T574=1,I574-([1]Parametros!$B$7+[1]Parametros!$B$9+[1]Parametros!$B$12/2),I574-(ROUNDUP(S574/2,0)*([1]Parametros!$B$7+[1]Parametros!$B$9+[1]Parametros!$B$12/2)+ROUNDDOWN(S574/2,0)*([1]Parametros!$B$7+[1]Parametros!$B$9+[1]Parametros!$B$12/2+[1]Parametros!$B$12+[1]Parametros!$B$10))/S574)</f>
        <v>489.35</v>
      </c>
      <c r="V574" s="13">
        <f>S574*[1]Parametros!$B$8</f>
        <v>796</v>
      </c>
      <c r="W574" s="13">
        <f>[1]Parametros!$B$5*V574*[1]Parametros!$B$3*(U574-(V574*[1]Parametros!$B$3/(0.85*[1]Parametros!$B$2*H574))/2)/1000000</f>
        <v>142.54333009411764</v>
      </c>
      <c r="X574" s="13" t="str">
        <f t="shared" si="104"/>
        <v>CUMPLE</v>
      </c>
      <c r="Y574" s="13">
        <f>MAX(MAX(1.4/[1]Parametros!$B$3,0.25*SQRT([1]Parametros!$B$2)/[1]Parametros!$B$3)*H574*AB574,(0.85*[1]Parametros!$B$2/[1]Parametros!$B$3)*(1-SQRT(1-2*(L574*1000000/([1]Parametros!$B$5*H574*AB574^2))/(0.85*[1]Parametros!$B$2)))*H574*AB574)</f>
        <v>734.02500000000009</v>
      </c>
      <c r="Z574" s="14">
        <v>4</v>
      </c>
      <c r="AA574" s="14">
        <v>1</v>
      </c>
      <c r="AB574" s="13">
        <f>IF(AA574=1,I574-([1]Parametros!$B$7+[1]Parametros!$B$9+[1]Parametros!$B$12/2),I574-(ROUNDUP(Z574/2,0)*([1]Parametros!$B$7+[1]Parametros!$B$9+[1]Parametros!$B$12/2)+ROUNDDOWN(Z574/2,0)*([1]Parametros!$B$7+[1]Parametros!$B$9+[1]Parametros!$B$12/2+[1]Parametros!$B$12+[1]Parametros!$B$10))/Z574)</f>
        <v>489.35</v>
      </c>
      <c r="AC574" s="13">
        <f>Z574*[1]Parametros!$B$8</f>
        <v>796</v>
      </c>
      <c r="AD574" s="13">
        <f>[1]Parametros!$B$5*AC574*[1]Parametros!$B$3*(AB574-(AC574*[1]Parametros!$B$3/(0.85*[1]Parametros!$B$2*H574))/2)/1000000</f>
        <v>142.54333009411764</v>
      </c>
      <c r="AE574" s="13" t="str">
        <f t="shared" si="105"/>
        <v>CUMPLE</v>
      </c>
      <c r="AF574" s="13">
        <f>V574*1.25*[1]Parametros!$B$3*(U574-(V574*1.25*[1]Parametros!$B$3/(0.85*[1]Parametros!$B$2*H574))/2)/1000000</f>
        <v>196.34621794117646</v>
      </c>
      <c r="AG574" s="13">
        <f>AC574*1.25*[1]Parametros!$B$3*(AB574-(AC574*1.25*[1]Parametros!$B$3/(0.85*[1]Parametros!$B$2*H574))/2)/1000000</f>
        <v>196.34621794117646</v>
      </c>
      <c r="AH574" s="13">
        <f t="shared" si="106"/>
        <v>224.71121794117647</v>
      </c>
      <c r="AI574" s="13">
        <f t="shared" si="107"/>
        <v>224.71121794117647</v>
      </c>
      <c r="AJ574" s="13">
        <f>0.17*SQRT([1]Parametros!$B$2)*H574*MIN(U574,AB574)/1000</f>
        <v>198.08885582262698</v>
      </c>
      <c r="AK574" s="13">
        <f>MAX(AI574/[1]Parametros!$B$6-AJ574,0)</f>
        <v>101.526101432275</v>
      </c>
      <c r="AL574" s="13">
        <f>0.66*SQRT([1]Parametros!$B$2)*H574*MIN(U574,AB574)/1000</f>
        <v>769.05085201725785</v>
      </c>
      <c r="AM574" s="13" t="str">
        <f t="shared" si="108"/>
        <v>CUMPLE</v>
      </c>
      <c r="AN574" s="13" t="s">
        <v>64</v>
      </c>
      <c r="AO574" s="14">
        <v>2</v>
      </c>
      <c r="AP574" s="13">
        <f>ROUNDDOWN(MIN(IF(BC574+BD574=0,1000000000,AO574*BB574/(BC574+BD574)),MIN(U574,AB574)/4,8*[1]Parametros!$B$12,24*BA574,300,IF(AV574=0,1000000000,2*((H574-2*([1]Parametros!$B$7+[1]Parametros!$B$9/2))+(I574-2*([1]Parametros!$B$7+[1]Parametros!$B$9/2)))/8))/10,0)*10</f>
        <v>120</v>
      </c>
      <c r="AQ574" s="13">
        <f>ROUNDDOWN(MIN(IF(BC574+BD574=0,1000000000,AO574*BB574/(BC574+BD574)),IF(AK574&gt;0.33*SQRT([1]Parametros!$B$2)*H574*MIN(U574,AB574)/1000,MIN(U574,AB574)/4,MIN(U574,AB574)/2),600,IF(AV574=0,1000000000,2*((H574-2*([1]Parametros!$B$7+[1]Parametros!$B$9/2))+(I574-2*([1]Parametros!$B$7+[1]Parametros!$B$9/2)))/8))/10,0)*10</f>
        <v>240</v>
      </c>
      <c r="AR574" s="13">
        <f>[1]Parametros!$B$6*(AJ574+MAX(BE574-BD574,0)*[1]Parametros!$B$4*MIN(U574,AB574)/1000)</f>
        <v>330.97185436697026</v>
      </c>
      <c r="AS574" s="13" t="str">
        <f t="shared" si="109"/>
        <v>CUMPLE</v>
      </c>
      <c r="AT574" s="13">
        <f>[1]Parametros!$B$6*0.083*SQRT([1]Parametros!$B$2)*(H574*I574)^2/(2*(H574+I574))/1000000</f>
        <v>10.08878303333792</v>
      </c>
      <c r="AU574" s="13" t="str">
        <f t="shared" si="110"/>
        <v>DESPRECIABLE</v>
      </c>
      <c r="AV574" s="13">
        <f>IF(Q574&lt;=AT574,0,Q574*1000000/([1]Parametros!$B$6*2*0.85*(H574-2*([1]Parametros!$B$7+[1]Parametros!$B$9/2))*(I574-2*([1]Parametros!$B$7+[1]Parametros!$B$9/2))*[1]Parametros!$B$4))</f>
        <v>0</v>
      </c>
      <c r="AW574" s="13">
        <f>AV574*2*((H574-2*([1]Parametros!$B$7+[1]Parametros!$B$9/2))+(I574-2*([1]Parametros!$B$7+[1]Parametros!$B$9/2)))*[1]Parametros!$B$4/[1]Parametros!$B$3</f>
        <v>0</v>
      </c>
      <c r="AX574" s="14">
        <v>0</v>
      </c>
      <c r="AY574" s="13" t="str">
        <f t="shared" si="111"/>
        <v>DESPRECIABLE</v>
      </c>
      <c r="AZ574" s="13" t="str">
        <f t="shared" si="112"/>
        <v>CUMPLE</v>
      </c>
      <c r="BA574" s="14">
        <v>9.5</v>
      </c>
      <c r="BB574" s="14">
        <v>71</v>
      </c>
      <c r="BC574" s="13">
        <f>MAX(IF(AK574=0,0,AK574*1000/([1]Parametros!$B$4*MIN(U574,AB574))),MAX(0.062*SQRT([1]Parametros!$B$2)*H574/[1]Parametros!$B$4,0.35*H574/[1]Parametros!$B$4))</f>
        <v>0.49397938680696452</v>
      </c>
      <c r="BD574" s="13">
        <f t="shared" si="113"/>
        <v>0</v>
      </c>
      <c r="BE574" s="13">
        <f t="shared" si="114"/>
        <v>1.1833333333333333</v>
      </c>
      <c r="BF574" s="13">
        <f>SQRT((AI574*1000/(H574*MIN(U574,AB574)))^2+(Q574*1000000*2*((H574-2*([1]Parametros!$B$7+[1]Parametros!$B$9/2))+(I574-2*([1]Parametros!$B$7+[1]Parametros!$B$9/2)))/(1.7*((H574-2*([1]Parametros!$B$7+[1]Parametros!$B$9/2))*(I574-2*([1]Parametros!$B$7+[1]Parametros!$B$9/2)))^2))^2)</f>
        <v>1.0232746974186675</v>
      </c>
      <c r="BG574" s="13">
        <f>[1]Parametros!$B$6*(AJ574*1000/(H574*MIN(U574,AB574))+0.66*SQRT([1]Parametros!$B$2))</f>
        <v>3.2939603822754151</v>
      </c>
      <c r="BH574" s="13" t="str">
        <f t="shared" si="115"/>
        <v>CUMPLE</v>
      </c>
      <c r="BI574" s="13">
        <f>AX574*[1]Parametros!$B$8</f>
        <v>0</v>
      </c>
      <c r="BJ574" s="15" t="str">
        <f t="shared" si="116"/>
        <v>CUMPLE</v>
      </c>
    </row>
    <row r="575" spans="1:62" x14ac:dyDescent="0.3">
      <c r="A575" s="45" t="s">
        <v>78</v>
      </c>
      <c r="B575" s="46">
        <v>124</v>
      </c>
      <c r="C575" s="13">
        <v>1</v>
      </c>
      <c r="D575" s="13">
        <v>2</v>
      </c>
      <c r="E575" s="13">
        <v>2</v>
      </c>
      <c r="F575" s="13">
        <v>450</v>
      </c>
      <c r="G575" s="13">
        <v>550</v>
      </c>
      <c r="H575" s="13">
        <v>450</v>
      </c>
      <c r="I575" s="13">
        <v>550</v>
      </c>
      <c r="J575" s="14">
        <v>28.209700000000002</v>
      </c>
      <c r="K575" s="13">
        <v>124</v>
      </c>
      <c r="L575" s="14">
        <v>22.309200000000001</v>
      </c>
      <c r="M575" s="13">
        <v>124</v>
      </c>
      <c r="N575" s="14">
        <v>28.366</v>
      </c>
      <c r="O575" s="14">
        <v>101.931</v>
      </c>
      <c r="P575" s="13">
        <v>124</v>
      </c>
      <c r="Q575" s="14">
        <v>2.1118999999999999</v>
      </c>
      <c r="R575" s="13">
        <f>MAX(MAX(1.4/[1]Parametros!$B$3,0.25*SQRT([1]Parametros!$B$2)/[1]Parametros!$B$3)*H575*U575,(0.85*[1]Parametros!$B$2/[1]Parametros!$B$3)*(1-SQRT(1-2*(J575*1000000/([1]Parametros!$B$5*H575*U575^2))/(0.85*[1]Parametros!$B$2)))*H575*U575)</f>
        <v>734.02500000000009</v>
      </c>
      <c r="S575" s="14">
        <v>4</v>
      </c>
      <c r="T575" s="14">
        <v>1</v>
      </c>
      <c r="U575" s="13">
        <f>IF(T575=1,I575-([1]Parametros!$B$7+[1]Parametros!$B$9+[1]Parametros!$B$12/2),I575-(ROUNDUP(S575/2,0)*([1]Parametros!$B$7+[1]Parametros!$B$9+[1]Parametros!$B$12/2)+ROUNDDOWN(S575/2,0)*([1]Parametros!$B$7+[1]Parametros!$B$9+[1]Parametros!$B$12/2+[1]Parametros!$B$12+[1]Parametros!$B$10))/S575)</f>
        <v>489.35</v>
      </c>
      <c r="V575" s="13">
        <f>S575*[1]Parametros!$B$8</f>
        <v>796</v>
      </c>
      <c r="W575" s="13">
        <f>[1]Parametros!$B$5*V575*[1]Parametros!$B$3*(U575-(V575*[1]Parametros!$B$3/(0.85*[1]Parametros!$B$2*H575))/2)/1000000</f>
        <v>142.54333009411764</v>
      </c>
      <c r="X575" s="13" t="str">
        <f t="shared" si="104"/>
        <v>CUMPLE</v>
      </c>
      <c r="Y575" s="13">
        <f>MAX(MAX(1.4/[1]Parametros!$B$3,0.25*SQRT([1]Parametros!$B$2)/[1]Parametros!$B$3)*H575*AB575,(0.85*[1]Parametros!$B$2/[1]Parametros!$B$3)*(1-SQRT(1-2*(L575*1000000/([1]Parametros!$B$5*H575*AB575^2))/(0.85*[1]Parametros!$B$2)))*H575*AB575)</f>
        <v>734.02500000000009</v>
      </c>
      <c r="Z575" s="14">
        <v>4</v>
      </c>
      <c r="AA575" s="14">
        <v>1</v>
      </c>
      <c r="AB575" s="13">
        <f>IF(AA575=1,I575-([1]Parametros!$B$7+[1]Parametros!$B$9+[1]Parametros!$B$12/2),I575-(ROUNDUP(Z575/2,0)*([1]Parametros!$B$7+[1]Parametros!$B$9+[1]Parametros!$B$12/2)+ROUNDDOWN(Z575/2,0)*([1]Parametros!$B$7+[1]Parametros!$B$9+[1]Parametros!$B$12/2+[1]Parametros!$B$12+[1]Parametros!$B$10))/Z575)</f>
        <v>489.35</v>
      </c>
      <c r="AC575" s="13">
        <f>Z575*[1]Parametros!$B$8</f>
        <v>796</v>
      </c>
      <c r="AD575" s="13">
        <f>[1]Parametros!$B$5*AC575*[1]Parametros!$B$3*(AB575-(AC575*[1]Parametros!$B$3/(0.85*[1]Parametros!$B$2*H575))/2)/1000000</f>
        <v>142.54333009411764</v>
      </c>
      <c r="AE575" s="13" t="str">
        <f t="shared" si="105"/>
        <v>CUMPLE</v>
      </c>
      <c r="AF575" s="13">
        <f>V575*1.25*[1]Parametros!$B$3*(U575-(V575*1.25*[1]Parametros!$B$3/(0.85*[1]Parametros!$B$2*H575))/2)/1000000</f>
        <v>196.34621794117646</v>
      </c>
      <c r="AG575" s="13">
        <f>AC575*1.25*[1]Parametros!$B$3*(AB575-(AC575*1.25*[1]Parametros!$B$3/(0.85*[1]Parametros!$B$2*H575))/2)/1000000</f>
        <v>196.34621794117646</v>
      </c>
      <c r="AH575" s="13">
        <f t="shared" si="106"/>
        <v>224.71221794117645</v>
      </c>
      <c r="AI575" s="13">
        <f t="shared" si="107"/>
        <v>224.71221794117645</v>
      </c>
      <c r="AJ575" s="13">
        <f>0.17*SQRT([1]Parametros!$B$2)*H575*MIN(U575,AB575)/1000</f>
        <v>198.08885582262698</v>
      </c>
      <c r="AK575" s="13">
        <f>MAX(AI575/[1]Parametros!$B$6-AJ575,0)</f>
        <v>101.52743476560826</v>
      </c>
      <c r="AL575" s="13">
        <f>0.66*SQRT([1]Parametros!$B$2)*H575*MIN(U575,AB575)/1000</f>
        <v>769.05085201725785</v>
      </c>
      <c r="AM575" s="13" t="str">
        <f t="shared" si="108"/>
        <v>CUMPLE</v>
      </c>
      <c r="AN575" s="13" t="s">
        <v>64</v>
      </c>
      <c r="AO575" s="14">
        <v>2</v>
      </c>
      <c r="AP575" s="13">
        <f>ROUNDDOWN(MIN(IF(BC575+BD575=0,1000000000,AO575*BB575/(BC575+BD575)),MIN(U575,AB575)/4,8*[1]Parametros!$B$12,24*BA575,300,IF(AV575=0,1000000000,2*((H575-2*([1]Parametros!$B$7+[1]Parametros!$B$9/2))+(I575-2*([1]Parametros!$B$7+[1]Parametros!$B$9/2)))/8))/10,0)*10</f>
        <v>120</v>
      </c>
      <c r="AQ575" s="13">
        <f>ROUNDDOWN(MIN(IF(BC575+BD575=0,1000000000,AO575*BB575/(BC575+BD575)),IF(AK575&gt;0.33*SQRT([1]Parametros!$B$2)*H575*MIN(U575,AB575)/1000,MIN(U575,AB575)/4,MIN(U575,AB575)/2),600,IF(AV575=0,1000000000,2*((H575-2*([1]Parametros!$B$7+[1]Parametros!$B$9/2))+(I575-2*([1]Parametros!$B$7+[1]Parametros!$B$9/2)))/8))/10,0)*10</f>
        <v>240</v>
      </c>
      <c r="AR575" s="13">
        <f>[1]Parametros!$B$6*(AJ575+MAX(BE575-BD575,0)*[1]Parametros!$B$4*MIN(U575,AB575)/1000)</f>
        <v>330.97185436697026</v>
      </c>
      <c r="AS575" s="13" t="str">
        <f t="shared" si="109"/>
        <v>CUMPLE</v>
      </c>
      <c r="AT575" s="13">
        <f>[1]Parametros!$B$6*0.083*SQRT([1]Parametros!$B$2)*(H575*I575)^2/(2*(H575+I575))/1000000</f>
        <v>10.08878303333792</v>
      </c>
      <c r="AU575" s="13" t="str">
        <f t="shared" si="110"/>
        <v>DESPRECIABLE</v>
      </c>
      <c r="AV575" s="13">
        <f>IF(Q575&lt;=AT575,0,Q575*1000000/([1]Parametros!$B$6*2*0.85*(H575-2*([1]Parametros!$B$7+[1]Parametros!$B$9/2))*(I575-2*([1]Parametros!$B$7+[1]Parametros!$B$9/2))*[1]Parametros!$B$4))</f>
        <v>0</v>
      </c>
      <c r="AW575" s="13">
        <f>AV575*2*((H575-2*([1]Parametros!$B$7+[1]Parametros!$B$9/2))+(I575-2*([1]Parametros!$B$7+[1]Parametros!$B$9/2)))*[1]Parametros!$B$4/[1]Parametros!$B$3</f>
        <v>0</v>
      </c>
      <c r="AX575" s="14">
        <v>0</v>
      </c>
      <c r="AY575" s="13" t="str">
        <f t="shared" si="111"/>
        <v>DESPRECIABLE</v>
      </c>
      <c r="AZ575" s="13" t="str">
        <f t="shared" si="112"/>
        <v>CUMPLE</v>
      </c>
      <c r="BA575" s="14">
        <v>9.5</v>
      </c>
      <c r="BB575" s="14">
        <v>71</v>
      </c>
      <c r="BC575" s="13">
        <f>MAX(IF(AK575=0,0,AK575*1000/([1]Parametros!$B$4*MIN(U575,AB575))),MAX(0.062*SQRT([1]Parametros!$B$2)*H575/[1]Parametros!$B$4,0.35*H575/[1]Parametros!$B$4))</f>
        <v>0.4939858741946716</v>
      </c>
      <c r="BD575" s="13">
        <f t="shared" si="113"/>
        <v>0</v>
      </c>
      <c r="BE575" s="13">
        <f t="shared" si="114"/>
        <v>1.1833333333333333</v>
      </c>
      <c r="BF575" s="13">
        <f>SQRT((AI575*1000/(H575*MIN(U575,AB575)))^2+(Q575*1000000*2*((H575-2*([1]Parametros!$B$7+[1]Parametros!$B$9/2))+(I575-2*([1]Parametros!$B$7+[1]Parametros!$B$9/2)))/(1.7*((H575-2*([1]Parametros!$B$7+[1]Parametros!$B$9/2))*(I575-2*([1]Parametros!$B$7+[1]Parametros!$B$9/2)))^2))^2)</f>
        <v>1.0232688445448794</v>
      </c>
      <c r="BG575" s="13">
        <f>[1]Parametros!$B$6*(AJ575*1000/(H575*MIN(U575,AB575))+0.66*SQRT([1]Parametros!$B$2))</f>
        <v>3.2939603822754151</v>
      </c>
      <c r="BH575" s="13" t="str">
        <f t="shared" si="115"/>
        <v>CUMPLE</v>
      </c>
      <c r="BI575" s="13">
        <f>AX575*[1]Parametros!$B$8</f>
        <v>0</v>
      </c>
      <c r="BJ575" s="15" t="str">
        <f t="shared" si="116"/>
        <v>CUMPLE</v>
      </c>
    </row>
    <row r="576" spans="1:62" x14ac:dyDescent="0.3">
      <c r="A576" s="45" t="s">
        <v>78</v>
      </c>
      <c r="B576" s="46">
        <v>125</v>
      </c>
      <c r="C576" s="13">
        <v>1</v>
      </c>
      <c r="D576" s="13">
        <v>1.9</v>
      </c>
      <c r="E576" s="13">
        <v>1.9</v>
      </c>
      <c r="F576" s="13">
        <v>450</v>
      </c>
      <c r="G576" s="13">
        <v>550</v>
      </c>
      <c r="H576" s="13">
        <v>450</v>
      </c>
      <c r="I576" s="13">
        <v>550</v>
      </c>
      <c r="J576" s="14">
        <v>35.865699999999997</v>
      </c>
      <c r="K576" s="13">
        <v>125</v>
      </c>
      <c r="L576" s="14">
        <v>24.834599999999998</v>
      </c>
      <c r="M576" s="13">
        <v>125</v>
      </c>
      <c r="N576" s="14">
        <v>32.521999999999998</v>
      </c>
      <c r="O576" s="14">
        <v>110.38200000000001</v>
      </c>
      <c r="P576" s="13">
        <v>125</v>
      </c>
      <c r="Q576" s="14">
        <v>16.2699</v>
      </c>
      <c r="R576" s="13">
        <f>MAX(MAX(1.4/[1]Parametros!$B$3,0.25*SQRT([1]Parametros!$B$2)/[1]Parametros!$B$3)*H576*U576,(0.85*[1]Parametros!$B$2/[1]Parametros!$B$3)*(1-SQRT(1-2*(J576*1000000/([1]Parametros!$B$5*H576*U576^2))/(0.85*[1]Parametros!$B$2)))*H576*U576)</f>
        <v>734.02500000000009</v>
      </c>
      <c r="S576" s="14">
        <v>4</v>
      </c>
      <c r="T576" s="14">
        <v>1</v>
      </c>
      <c r="U576" s="13">
        <f>IF(T576=1,I576-([1]Parametros!$B$7+[1]Parametros!$B$9+[1]Parametros!$B$12/2),I576-(ROUNDUP(S576/2,0)*([1]Parametros!$B$7+[1]Parametros!$B$9+[1]Parametros!$B$12/2)+ROUNDDOWN(S576/2,0)*([1]Parametros!$B$7+[1]Parametros!$B$9+[1]Parametros!$B$12/2+[1]Parametros!$B$12+[1]Parametros!$B$10))/S576)</f>
        <v>489.35</v>
      </c>
      <c r="V576" s="13">
        <f>S576*[1]Parametros!$B$8</f>
        <v>796</v>
      </c>
      <c r="W576" s="13">
        <f>[1]Parametros!$B$5*V576*[1]Parametros!$B$3*(U576-(V576*[1]Parametros!$B$3/(0.85*[1]Parametros!$B$2*H576))/2)/1000000</f>
        <v>142.54333009411764</v>
      </c>
      <c r="X576" s="13" t="str">
        <f t="shared" si="104"/>
        <v>CUMPLE</v>
      </c>
      <c r="Y576" s="13">
        <f>MAX(MAX(1.4/[1]Parametros!$B$3,0.25*SQRT([1]Parametros!$B$2)/[1]Parametros!$B$3)*H576*AB576,(0.85*[1]Parametros!$B$2/[1]Parametros!$B$3)*(1-SQRT(1-2*(L576*1000000/([1]Parametros!$B$5*H576*AB576^2))/(0.85*[1]Parametros!$B$2)))*H576*AB576)</f>
        <v>734.02500000000009</v>
      </c>
      <c r="Z576" s="14">
        <v>4</v>
      </c>
      <c r="AA576" s="14">
        <v>1</v>
      </c>
      <c r="AB576" s="13">
        <f>IF(AA576=1,I576-([1]Parametros!$B$7+[1]Parametros!$B$9+[1]Parametros!$B$12/2),I576-(ROUNDUP(Z576/2,0)*([1]Parametros!$B$7+[1]Parametros!$B$9+[1]Parametros!$B$12/2)+ROUNDDOWN(Z576/2,0)*([1]Parametros!$B$7+[1]Parametros!$B$9+[1]Parametros!$B$12/2+[1]Parametros!$B$12+[1]Parametros!$B$10))/Z576)</f>
        <v>489.35</v>
      </c>
      <c r="AC576" s="13">
        <f>Z576*[1]Parametros!$B$8</f>
        <v>796</v>
      </c>
      <c r="AD576" s="13">
        <f>[1]Parametros!$B$5*AC576*[1]Parametros!$B$3*(AB576-(AC576*[1]Parametros!$B$3/(0.85*[1]Parametros!$B$2*H576))/2)/1000000</f>
        <v>142.54333009411764</v>
      </c>
      <c r="AE576" s="13" t="str">
        <f t="shared" si="105"/>
        <v>CUMPLE</v>
      </c>
      <c r="AF576" s="13">
        <f>V576*1.25*[1]Parametros!$B$3*(U576-(V576*1.25*[1]Parametros!$B$3/(0.85*[1]Parametros!$B$2*H576))/2)/1000000</f>
        <v>196.34621794117646</v>
      </c>
      <c r="AG576" s="13">
        <f>AC576*1.25*[1]Parametros!$B$3*(AB576-(AC576*1.25*[1]Parametros!$B$3/(0.85*[1]Parametros!$B$2*H576))/2)/1000000</f>
        <v>196.34621794117646</v>
      </c>
      <c r="AH576" s="13">
        <f t="shared" si="106"/>
        <v>239.2022294117647</v>
      </c>
      <c r="AI576" s="13">
        <f t="shared" si="107"/>
        <v>239.2022294117647</v>
      </c>
      <c r="AJ576" s="13">
        <f>0.17*SQRT([1]Parametros!$B$2)*H576*MIN(U576,AB576)/1000</f>
        <v>198.08885582262698</v>
      </c>
      <c r="AK576" s="13">
        <f>MAX(AI576/[1]Parametros!$B$6-AJ576,0)</f>
        <v>120.84745005972596</v>
      </c>
      <c r="AL576" s="13">
        <f>0.66*SQRT([1]Parametros!$B$2)*H576*MIN(U576,AB576)/1000</f>
        <v>769.05085201725785</v>
      </c>
      <c r="AM576" s="13" t="str">
        <f t="shared" si="108"/>
        <v>CUMPLE</v>
      </c>
      <c r="AN576" s="13" t="s">
        <v>64</v>
      </c>
      <c r="AO576" s="14">
        <v>2</v>
      </c>
      <c r="AP576" s="13">
        <f>ROUNDDOWN(MIN(IF(BC576+BD576=0,1000000000,AO576*BB576/(BC576+BD576)),MIN(U576,AB576)/4,8*[1]Parametros!$B$12,24*BA576,300,IF(AV576=0,1000000000,2*((H576-2*([1]Parametros!$B$7+[1]Parametros!$B$9/2))+(I576-2*([1]Parametros!$B$7+[1]Parametros!$B$9/2)))/8))/10,0)*10</f>
        <v>120</v>
      </c>
      <c r="AQ576" s="13">
        <f>ROUNDDOWN(MIN(IF(BC576+BD576=0,1000000000,AO576*BB576/(BC576+BD576)),IF(AK576&gt;0.33*SQRT([1]Parametros!$B$2)*H576*MIN(U576,AB576)/1000,MIN(U576,AB576)/4,MIN(U576,AB576)/2),600,IF(AV576=0,1000000000,2*((H576-2*([1]Parametros!$B$7+[1]Parametros!$B$9/2))+(I576-2*([1]Parametros!$B$7+[1]Parametros!$B$9/2)))/8))/10,0)*10</f>
        <v>140</v>
      </c>
      <c r="AR576" s="13">
        <f>[1]Parametros!$B$6*(AJ576+MAX(BE576-BD576,0)*[1]Parametros!$B$4*MIN(U576,AB576)/1000)</f>
        <v>273.64589480465213</v>
      </c>
      <c r="AS576" s="13" t="str">
        <f t="shared" si="109"/>
        <v>CUMPLE</v>
      </c>
      <c r="AT576" s="13">
        <f>[1]Parametros!$B$6*0.083*SQRT([1]Parametros!$B$2)*(H576*I576)^2/(2*(H576+I576))/1000000</f>
        <v>10.08878303333792</v>
      </c>
      <c r="AU576" s="13" t="str">
        <f t="shared" si="110"/>
        <v>DISEÑAR</v>
      </c>
      <c r="AV576" s="13">
        <f>IF(Q576&lt;=AT576,0,Q576*1000000/([1]Parametros!$B$6*2*0.85*(H576-2*([1]Parametros!$B$7+[1]Parametros!$B$9/2))*(I576-2*([1]Parametros!$B$7+[1]Parametros!$B$9/2))*[1]Parametros!$B$4))</f>
        <v>0.18594786268898367</v>
      </c>
      <c r="AW576" s="13">
        <f>AV576*2*((H576-2*([1]Parametros!$B$7+[1]Parametros!$B$9/2))+(I576-2*([1]Parametros!$B$7+[1]Parametros!$B$9/2)))*[1]Parametros!$B$4/[1]Parametros!$B$3</f>
        <v>302.94625789289222</v>
      </c>
      <c r="AX576" s="14">
        <v>8</v>
      </c>
      <c r="AY576" s="13" t="str">
        <f t="shared" si="111"/>
        <v>CUMPLE</v>
      </c>
      <c r="AZ576" s="13" t="str">
        <f t="shared" si="112"/>
        <v>CUMPLE</v>
      </c>
      <c r="BA576" s="14">
        <v>9.5</v>
      </c>
      <c r="BB576" s="14">
        <v>71</v>
      </c>
      <c r="BC576" s="13">
        <f>MAX(IF(AK576=0,0,AK576*1000/([1]Parametros!$B$4*MIN(U576,AB576))),MAX(0.062*SQRT([1]Parametros!$B$2)*H576/[1]Parametros!$B$4,0.35*H576/[1]Parametros!$B$4))</f>
        <v>0.58798819648866552</v>
      </c>
      <c r="BD576" s="13">
        <f t="shared" si="113"/>
        <v>0.37189572537796733</v>
      </c>
      <c r="BE576" s="13">
        <f t="shared" si="114"/>
        <v>1.1833333333333333</v>
      </c>
      <c r="BF576" s="13">
        <f>SQRT((AI576*1000/(H576*MIN(U576,AB576)))^2+(Q576*1000000*2*((H576-2*([1]Parametros!$B$7+[1]Parametros!$B$9/2))+(I576-2*([1]Parametros!$B$7+[1]Parametros!$B$9/2)))/(1.7*((H576-2*([1]Parametros!$B$7+[1]Parametros!$B$9/2))*(I576-2*([1]Parametros!$B$7+[1]Parametros!$B$9/2)))^2))^2)</f>
        <v>1.2333121343420714</v>
      </c>
      <c r="BG576" s="13">
        <f>[1]Parametros!$B$6*(AJ576*1000/(H576*MIN(U576,AB576))+0.66*SQRT([1]Parametros!$B$2))</f>
        <v>3.2939603822754151</v>
      </c>
      <c r="BH576" s="13" t="str">
        <f t="shared" si="115"/>
        <v>CUMPLE</v>
      </c>
      <c r="BI576" s="13">
        <f>AX576*[1]Parametros!$B$8</f>
        <v>1592</v>
      </c>
      <c r="BJ576" s="15" t="str">
        <f t="shared" si="116"/>
        <v>CUMPLE</v>
      </c>
    </row>
    <row r="577" spans="1:62" x14ac:dyDescent="0.3">
      <c r="A577" s="45" t="s">
        <v>78</v>
      </c>
      <c r="B577" s="46">
        <v>126</v>
      </c>
      <c r="C577" s="13">
        <v>1</v>
      </c>
      <c r="D577" s="13">
        <v>1.9</v>
      </c>
      <c r="E577" s="13">
        <v>1.9</v>
      </c>
      <c r="F577" s="13">
        <v>450</v>
      </c>
      <c r="G577" s="13">
        <v>550</v>
      </c>
      <c r="H577" s="13">
        <v>450</v>
      </c>
      <c r="I577" s="13">
        <v>550</v>
      </c>
      <c r="J577" s="14">
        <v>35.793999999999997</v>
      </c>
      <c r="K577" s="13">
        <v>126</v>
      </c>
      <c r="L577" s="14">
        <v>24.834199999999999</v>
      </c>
      <c r="M577" s="13">
        <v>126</v>
      </c>
      <c r="N577" s="14">
        <v>32.491999999999997</v>
      </c>
      <c r="O577" s="14">
        <v>110.351</v>
      </c>
      <c r="P577" s="13">
        <v>126</v>
      </c>
      <c r="Q577" s="14">
        <v>16.258199999999999</v>
      </c>
      <c r="R577" s="13">
        <f>MAX(MAX(1.4/[1]Parametros!$B$3,0.25*SQRT([1]Parametros!$B$2)/[1]Parametros!$B$3)*H577*U577,(0.85*[1]Parametros!$B$2/[1]Parametros!$B$3)*(1-SQRT(1-2*(J577*1000000/([1]Parametros!$B$5*H577*U577^2))/(0.85*[1]Parametros!$B$2)))*H577*U577)</f>
        <v>734.02500000000009</v>
      </c>
      <c r="S577" s="14">
        <v>4</v>
      </c>
      <c r="T577" s="14">
        <v>1</v>
      </c>
      <c r="U577" s="13">
        <f>IF(T577=1,I577-([1]Parametros!$B$7+[1]Parametros!$B$9+[1]Parametros!$B$12/2),I577-(ROUNDUP(S577/2,0)*([1]Parametros!$B$7+[1]Parametros!$B$9+[1]Parametros!$B$12/2)+ROUNDDOWN(S577/2,0)*([1]Parametros!$B$7+[1]Parametros!$B$9+[1]Parametros!$B$12/2+[1]Parametros!$B$12+[1]Parametros!$B$10))/S577)</f>
        <v>489.35</v>
      </c>
      <c r="V577" s="13">
        <f>S577*[1]Parametros!$B$8</f>
        <v>796</v>
      </c>
      <c r="W577" s="13">
        <f>[1]Parametros!$B$5*V577*[1]Parametros!$B$3*(U577-(V577*[1]Parametros!$B$3/(0.85*[1]Parametros!$B$2*H577))/2)/1000000</f>
        <v>142.54333009411764</v>
      </c>
      <c r="X577" s="13" t="str">
        <f t="shared" si="104"/>
        <v>CUMPLE</v>
      </c>
      <c r="Y577" s="13">
        <f>MAX(MAX(1.4/[1]Parametros!$B$3,0.25*SQRT([1]Parametros!$B$2)/[1]Parametros!$B$3)*H577*AB577,(0.85*[1]Parametros!$B$2/[1]Parametros!$B$3)*(1-SQRT(1-2*(L577*1000000/([1]Parametros!$B$5*H577*AB577^2))/(0.85*[1]Parametros!$B$2)))*H577*AB577)</f>
        <v>734.02500000000009</v>
      </c>
      <c r="Z577" s="14">
        <v>4</v>
      </c>
      <c r="AA577" s="14">
        <v>1</v>
      </c>
      <c r="AB577" s="13">
        <f>IF(AA577=1,I577-([1]Parametros!$B$7+[1]Parametros!$B$9+[1]Parametros!$B$12/2),I577-(ROUNDUP(Z577/2,0)*([1]Parametros!$B$7+[1]Parametros!$B$9+[1]Parametros!$B$12/2)+ROUNDDOWN(Z577/2,0)*([1]Parametros!$B$7+[1]Parametros!$B$9+[1]Parametros!$B$12/2+[1]Parametros!$B$12+[1]Parametros!$B$10))/Z577)</f>
        <v>489.35</v>
      </c>
      <c r="AC577" s="13">
        <f>Z577*[1]Parametros!$B$8</f>
        <v>796</v>
      </c>
      <c r="AD577" s="13">
        <f>[1]Parametros!$B$5*AC577*[1]Parametros!$B$3*(AB577-(AC577*[1]Parametros!$B$3/(0.85*[1]Parametros!$B$2*H577))/2)/1000000</f>
        <v>142.54333009411764</v>
      </c>
      <c r="AE577" s="13" t="str">
        <f t="shared" si="105"/>
        <v>CUMPLE</v>
      </c>
      <c r="AF577" s="13">
        <f>V577*1.25*[1]Parametros!$B$3*(U577-(V577*1.25*[1]Parametros!$B$3/(0.85*[1]Parametros!$B$2*H577))/2)/1000000</f>
        <v>196.34621794117646</v>
      </c>
      <c r="AG577" s="13">
        <f>AC577*1.25*[1]Parametros!$B$3*(AB577-(AC577*1.25*[1]Parametros!$B$3/(0.85*[1]Parametros!$B$2*H577))/2)/1000000</f>
        <v>196.34621794117646</v>
      </c>
      <c r="AH577" s="13">
        <f t="shared" si="106"/>
        <v>239.1722294117647</v>
      </c>
      <c r="AI577" s="13">
        <f t="shared" si="107"/>
        <v>239.1722294117647</v>
      </c>
      <c r="AJ577" s="13">
        <f>0.17*SQRT([1]Parametros!$B$2)*H577*MIN(U577,AB577)/1000</f>
        <v>198.08885582262698</v>
      </c>
      <c r="AK577" s="13">
        <f>MAX(AI577/[1]Parametros!$B$6-AJ577,0)</f>
        <v>120.80745005972594</v>
      </c>
      <c r="AL577" s="13">
        <f>0.66*SQRT([1]Parametros!$B$2)*H577*MIN(U577,AB577)/1000</f>
        <v>769.05085201725785</v>
      </c>
      <c r="AM577" s="13" t="str">
        <f t="shared" si="108"/>
        <v>CUMPLE</v>
      </c>
      <c r="AN577" s="13" t="s">
        <v>64</v>
      </c>
      <c r="AO577" s="14">
        <v>2</v>
      </c>
      <c r="AP577" s="13">
        <f>ROUNDDOWN(MIN(IF(BC577+BD577=0,1000000000,AO577*BB577/(BC577+BD577)),MIN(U577,AB577)/4,8*[1]Parametros!$B$12,24*BA577,300,IF(AV577=0,1000000000,2*((H577-2*([1]Parametros!$B$7+[1]Parametros!$B$9/2))+(I577-2*([1]Parametros!$B$7+[1]Parametros!$B$9/2)))/8))/10,0)*10</f>
        <v>120</v>
      </c>
      <c r="AQ577" s="13">
        <f>ROUNDDOWN(MIN(IF(BC577+BD577=0,1000000000,AO577*BB577/(BC577+BD577)),IF(AK577&gt;0.33*SQRT([1]Parametros!$B$2)*H577*MIN(U577,AB577)/1000,MIN(U577,AB577)/4,MIN(U577,AB577)/2),600,IF(AV577=0,1000000000,2*((H577-2*([1]Parametros!$B$7+[1]Parametros!$B$9/2))+(I577-2*([1]Parametros!$B$7+[1]Parametros!$B$9/2)))/8))/10,0)*10</f>
        <v>140</v>
      </c>
      <c r="AR577" s="13">
        <f>[1]Parametros!$B$6*(AJ577+MAX(BE577-BD577,0)*[1]Parametros!$B$4*MIN(U577,AB577)/1000)</f>
        <v>273.68711901173879</v>
      </c>
      <c r="AS577" s="13" t="str">
        <f t="shared" si="109"/>
        <v>CUMPLE</v>
      </c>
      <c r="AT577" s="13">
        <f>[1]Parametros!$B$6*0.083*SQRT([1]Parametros!$B$2)*(H577*I577)^2/(2*(H577+I577))/1000000</f>
        <v>10.08878303333792</v>
      </c>
      <c r="AU577" s="13" t="str">
        <f t="shared" si="110"/>
        <v>DISEÑAR</v>
      </c>
      <c r="AV577" s="13">
        <f>IF(Q577&lt;=AT577,0,Q577*1000000/([1]Parametros!$B$6*2*0.85*(H577-2*([1]Parametros!$B$7+[1]Parametros!$B$9/2))*(I577-2*([1]Parametros!$B$7+[1]Parametros!$B$9/2))*[1]Parametros!$B$4))</f>
        <v>0.18581414398183357</v>
      </c>
      <c r="AW577" s="13">
        <f>AV577*2*((H577-2*([1]Parametros!$B$7+[1]Parametros!$B$9/2))+(I577-2*([1]Parametros!$B$7+[1]Parametros!$B$9/2)))*[1]Parametros!$B$4/[1]Parametros!$B$3</f>
        <v>302.72840337520324</v>
      </c>
      <c r="AX577" s="14">
        <v>8</v>
      </c>
      <c r="AY577" s="13" t="str">
        <f t="shared" si="111"/>
        <v>CUMPLE</v>
      </c>
      <c r="AZ577" s="13" t="str">
        <f t="shared" si="112"/>
        <v>CUMPLE</v>
      </c>
      <c r="BA577" s="14">
        <v>9.5</v>
      </c>
      <c r="BB577" s="14">
        <v>71</v>
      </c>
      <c r="BC577" s="13">
        <f>MAX(IF(AK577=0,0,AK577*1000/([1]Parametros!$B$4*MIN(U577,AB577))),MAX(0.062*SQRT([1]Parametros!$B$2)*H577/[1]Parametros!$B$4,0.35*H577/[1]Parametros!$B$4))</f>
        <v>0.58779357485744421</v>
      </c>
      <c r="BD577" s="13">
        <f t="shared" si="113"/>
        <v>0.37162828796366715</v>
      </c>
      <c r="BE577" s="13">
        <f t="shared" si="114"/>
        <v>1.1833333333333333</v>
      </c>
      <c r="BF577" s="13">
        <f>SQRT((AI577*1000/(H577*MIN(U577,AB577)))^2+(Q577*1000000*2*((H577-2*([1]Parametros!$B$7+[1]Parametros!$B$9/2))+(I577-2*([1]Parametros!$B$7+[1]Parametros!$B$9/2)))/(1.7*((H577-2*([1]Parametros!$B$7+[1]Parametros!$B$9/2))*(I577-2*([1]Parametros!$B$7+[1]Parametros!$B$9/2)))^2))^2)</f>
        <v>1.2329932915138637</v>
      </c>
      <c r="BG577" s="13">
        <f>[1]Parametros!$B$6*(AJ577*1000/(H577*MIN(U577,AB577))+0.66*SQRT([1]Parametros!$B$2))</f>
        <v>3.2939603822754151</v>
      </c>
      <c r="BH577" s="13" t="str">
        <f t="shared" si="115"/>
        <v>CUMPLE</v>
      </c>
      <c r="BI577" s="13">
        <f>AX577*[1]Parametros!$B$8</f>
        <v>1592</v>
      </c>
      <c r="BJ577" s="15" t="str">
        <f t="shared" si="116"/>
        <v>CUMPLE</v>
      </c>
    </row>
    <row r="578" spans="1:62" x14ac:dyDescent="0.3">
      <c r="A578" s="45" t="s">
        <v>78</v>
      </c>
      <c r="B578" s="46">
        <v>127</v>
      </c>
      <c r="C578" s="13">
        <v>1</v>
      </c>
      <c r="D578" s="13">
        <v>1.9</v>
      </c>
      <c r="E578" s="13">
        <v>1.9</v>
      </c>
      <c r="F578" s="13">
        <v>450</v>
      </c>
      <c r="G578" s="13">
        <v>550</v>
      </c>
      <c r="H578" s="13">
        <v>450</v>
      </c>
      <c r="I578" s="13">
        <v>550</v>
      </c>
      <c r="J578" s="14">
        <v>35.768900000000002</v>
      </c>
      <c r="K578" s="13">
        <v>127</v>
      </c>
      <c r="L578" s="14">
        <v>24.812799999999999</v>
      </c>
      <c r="M578" s="13">
        <v>127</v>
      </c>
      <c r="N578" s="14">
        <v>32.466000000000001</v>
      </c>
      <c r="O578" s="14">
        <v>110.316</v>
      </c>
      <c r="P578" s="13">
        <v>127</v>
      </c>
      <c r="Q578" s="14">
        <v>16.232099999999999</v>
      </c>
      <c r="R578" s="13">
        <f>MAX(MAX(1.4/[1]Parametros!$B$3,0.25*SQRT([1]Parametros!$B$2)/[1]Parametros!$B$3)*H578*U578,(0.85*[1]Parametros!$B$2/[1]Parametros!$B$3)*(1-SQRT(1-2*(J578*1000000/([1]Parametros!$B$5*H578*U578^2))/(0.85*[1]Parametros!$B$2)))*H578*U578)</f>
        <v>734.02500000000009</v>
      </c>
      <c r="S578" s="14">
        <v>4</v>
      </c>
      <c r="T578" s="14">
        <v>1</v>
      </c>
      <c r="U578" s="13">
        <f>IF(T578=1,I578-([1]Parametros!$B$7+[1]Parametros!$B$9+[1]Parametros!$B$12/2),I578-(ROUNDUP(S578/2,0)*([1]Parametros!$B$7+[1]Parametros!$B$9+[1]Parametros!$B$12/2)+ROUNDDOWN(S578/2,0)*([1]Parametros!$B$7+[1]Parametros!$B$9+[1]Parametros!$B$12/2+[1]Parametros!$B$12+[1]Parametros!$B$10))/S578)</f>
        <v>489.35</v>
      </c>
      <c r="V578" s="13">
        <f>S578*[1]Parametros!$B$8</f>
        <v>796</v>
      </c>
      <c r="W578" s="13">
        <f>[1]Parametros!$B$5*V578*[1]Parametros!$B$3*(U578-(V578*[1]Parametros!$B$3/(0.85*[1]Parametros!$B$2*H578))/2)/1000000</f>
        <v>142.54333009411764</v>
      </c>
      <c r="X578" s="13" t="str">
        <f t="shared" si="104"/>
        <v>CUMPLE</v>
      </c>
      <c r="Y578" s="13">
        <f>MAX(MAX(1.4/[1]Parametros!$B$3,0.25*SQRT([1]Parametros!$B$2)/[1]Parametros!$B$3)*H578*AB578,(0.85*[1]Parametros!$B$2/[1]Parametros!$B$3)*(1-SQRT(1-2*(L578*1000000/([1]Parametros!$B$5*H578*AB578^2))/(0.85*[1]Parametros!$B$2)))*H578*AB578)</f>
        <v>734.02500000000009</v>
      </c>
      <c r="Z578" s="14">
        <v>4</v>
      </c>
      <c r="AA578" s="14">
        <v>1</v>
      </c>
      <c r="AB578" s="13">
        <f>IF(AA578=1,I578-([1]Parametros!$B$7+[1]Parametros!$B$9+[1]Parametros!$B$12/2),I578-(ROUNDUP(Z578/2,0)*([1]Parametros!$B$7+[1]Parametros!$B$9+[1]Parametros!$B$12/2)+ROUNDDOWN(Z578/2,0)*([1]Parametros!$B$7+[1]Parametros!$B$9+[1]Parametros!$B$12/2+[1]Parametros!$B$12+[1]Parametros!$B$10))/Z578)</f>
        <v>489.35</v>
      </c>
      <c r="AC578" s="13">
        <f>Z578*[1]Parametros!$B$8</f>
        <v>796</v>
      </c>
      <c r="AD578" s="13">
        <f>[1]Parametros!$B$5*AC578*[1]Parametros!$B$3*(AB578-(AC578*[1]Parametros!$B$3/(0.85*[1]Parametros!$B$2*H578))/2)/1000000</f>
        <v>142.54333009411764</v>
      </c>
      <c r="AE578" s="13" t="str">
        <f t="shared" si="105"/>
        <v>CUMPLE</v>
      </c>
      <c r="AF578" s="13">
        <f>V578*1.25*[1]Parametros!$B$3*(U578-(V578*1.25*[1]Parametros!$B$3/(0.85*[1]Parametros!$B$2*H578))/2)/1000000</f>
        <v>196.34621794117646</v>
      </c>
      <c r="AG578" s="13">
        <f>AC578*1.25*[1]Parametros!$B$3*(AB578-(AC578*1.25*[1]Parametros!$B$3/(0.85*[1]Parametros!$B$2*H578))/2)/1000000</f>
        <v>196.34621794117646</v>
      </c>
      <c r="AH578" s="13">
        <f t="shared" si="106"/>
        <v>239.14622941176472</v>
      </c>
      <c r="AI578" s="13">
        <f t="shared" si="107"/>
        <v>239.14622941176472</v>
      </c>
      <c r="AJ578" s="13">
        <f>0.17*SQRT([1]Parametros!$B$2)*H578*MIN(U578,AB578)/1000</f>
        <v>198.08885582262698</v>
      </c>
      <c r="AK578" s="13">
        <f>MAX(AI578/[1]Parametros!$B$6-AJ578,0)</f>
        <v>120.77278339305931</v>
      </c>
      <c r="AL578" s="13">
        <f>0.66*SQRT([1]Parametros!$B$2)*H578*MIN(U578,AB578)/1000</f>
        <v>769.05085201725785</v>
      </c>
      <c r="AM578" s="13" t="str">
        <f t="shared" si="108"/>
        <v>CUMPLE</v>
      </c>
      <c r="AN578" s="13" t="s">
        <v>64</v>
      </c>
      <c r="AO578" s="14">
        <v>2</v>
      </c>
      <c r="AP578" s="13">
        <f>ROUNDDOWN(MIN(IF(BC578+BD578=0,1000000000,AO578*BB578/(BC578+BD578)),MIN(U578,AB578)/4,8*[1]Parametros!$B$12,24*BA578,300,IF(AV578=0,1000000000,2*((H578-2*([1]Parametros!$B$7+[1]Parametros!$B$9/2))+(I578-2*([1]Parametros!$B$7+[1]Parametros!$B$9/2)))/8))/10,0)*10</f>
        <v>120</v>
      </c>
      <c r="AQ578" s="13">
        <f>ROUNDDOWN(MIN(IF(BC578+BD578=0,1000000000,AO578*BB578/(BC578+BD578)),IF(AK578&gt;0.33*SQRT([1]Parametros!$B$2)*H578*MIN(U578,AB578)/1000,MIN(U578,AB578)/4,MIN(U578,AB578)/2),600,IF(AV578=0,1000000000,2*((H578-2*([1]Parametros!$B$7+[1]Parametros!$B$9/2))+(I578-2*([1]Parametros!$B$7+[1]Parametros!$B$9/2)))/8))/10,0)*10</f>
        <v>140</v>
      </c>
      <c r="AR578" s="13">
        <f>[1]Parametros!$B$6*(AJ578+MAX(BE578-BD578,0)*[1]Parametros!$B$4*MIN(U578,AB578)/1000)</f>
        <v>273.77908070447052</v>
      </c>
      <c r="AS578" s="13" t="str">
        <f t="shared" si="109"/>
        <v>CUMPLE</v>
      </c>
      <c r="AT578" s="13">
        <f>[1]Parametros!$B$6*0.083*SQRT([1]Parametros!$B$2)*(H578*I578)^2/(2*(H578+I578))/1000000</f>
        <v>10.08878303333792</v>
      </c>
      <c r="AU578" s="13" t="str">
        <f t="shared" si="110"/>
        <v>DISEÑAR</v>
      </c>
      <c r="AV578" s="13">
        <f>IF(Q578&lt;=AT578,0,Q578*1000000/([1]Parametros!$B$6*2*0.85*(H578-2*([1]Parametros!$B$7+[1]Parametros!$B$9/2))*(I578-2*([1]Parametros!$B$7+[1]Parametros!$B$9/2))*[1]Parametros!$B$4))</f>
        <v>0.18551584840434493</v>
      </c>
      <c r="AW578" s="13">
        <f>AV578*2*((H578-2*([1]Parametros!$B$7+[1]Parametros!$B$9/2))+(I578-2*([1]Parametros!$B$7+[1]Parametros!$B$9/2)))*[1]Parametros!$B$4/[1]Parametros!$B$3</f>
        <v>302.24242022035878</v>
      </c>
      <c r="AX578" s="14">
        <v>8</v>
      </c>
      <c r="AY578" s="13" t="str">
        <f t="shared" si="111"/>
        <v>CUMPLE</v>
      </c>
      <c r="AZ578" s="13" t="str">
        <f t="shared" si="112"/>
        <v>CUMPLE</v>
      </c>
      <c r="BA578" s="14">
        <v>9.5</v>
      </c>
      <c r="BB578" s="14">
        <v>71</v>
      </c>
      <c r="BC578" s="13">
        <f>MAX(IF(AK578=0,0,AK578*1000/([1]Parametros!$B$4*MIN(U578,AB578))),MAX(0.062*SQRT([1]Parametros!$B$2)*H578/[1]Parametros!$B$4,0.35*H578/[1]Parametros!$B$4))</f>
        <v>0.5876249027770527</v>
      </c>
      <c r="BD578" s="13">
        <f t="shared" si="113"/>
        <v>0.37103169680868986</v>
      </c>
      <c r="BE578" s="13">
        <f t="shared" si="114"/>
        <v>1.1833333333333333</v>
      </c>
      <c r="BF578" s="13">
        <f>SQRT((AI578*1000/(H578*MIN(U578,AB578)))^2+(Q578*1000000*2*((H578-2*([1]Parametros!$B$7+[1]Parametros!$B$9/2))+(I578-2*([1]Parametros!$B$7+[1]Parametros!$B$9/2)))/(1.7*((H578-2*([1]Parametros!$B$7+[1]Parametros!$B$9/2))*(I578-2*([1]Parametros!$B$7+[1]Parametros!$B$9/2)))^2))^2)</f>
        <v>1.2324460533593848</v>
      </c>
      <c r="BG578" s="13">
        <f>[1]Parametros!$B$6*(AJ578*1000/(H578*MIN(U578,AB578))+0.66*SQRT([1]Parametros!$B$2))</f>
        <v>3.2939603822754151</v>
      </c>
      <c r="BH578" s="13" t="str">
        <f t="shared" si="115"/>
        <v>CUMPLE</v>
      </c>
      <c r="BI578" s="13">
        <f>AX578*[1]Parametros!$B$8</f>
        <v>1592</v>
      </c>
      <c r="BJ578" s="15" t="str">
        <f t="shared" si="116"/>
        <v>CUMPLE</v>
      </c>
    </row>
    <row r="579" spans="1:62" x14ac:dyDescent="0.3">
      <c r="A579" s="45" t="s">
        <v>78</v>
      </c>
      <c r="B579" s="46">
        <v>128</v>
      </c>
      <c r="C579" s="13">
        <v>1</v>
      </c>
      <c r="D579" s="13">
        <v>1.9</v>
      </c>
      <c r="E579" s="13">
        <v>1.9</v>
      </c>
      <c r="F579" s="13">
        <v>450</v>
      </c>
      <c r="G579" s="13">
        <v>550</v>
      </c>
      <c r="H579" s="13">
        <v>450</v>
      </c>
      <c r="I579" s="13">
        <v>550</v>
      </c>
      <c r="J579" s="14">
        <v>35.825000000000003</v>
      </c>
      <c r="K579" s="13">
        <v>128</v>
      </c>
      <c r="L579" s="14">
        <v>24.8124</v>
      </c>
      <c r="M579" s="13">
        <v>128</v>
      </c>
      <c r="N579" s="14">
        <v>32.488999999999997</v>
      </c>
      <c r="O579" s="14">
        <v>110.342</v>
      </c>
      <c r="P579" s="13">
        <v>128</v>
      </c>
      <c r="Q579" s="14">
        <v>16.2454</v>
      </c>
      <c r="R579" s="13">
        <f>MAX(MAX(1.4/[1]Parametros!$B$3,0.25*SQRT([1]Parametros!$B$2)/[1]Parametros!$B$3)*H579*U579,(0.85*[1]Parametros!$B$2/[1]Parametros!$B$3)*(1-SQRT(1-2*(J579*1000000/([1]Parametros!$B$5*H579*U579^2))/(0.85*[1]Parametros!$B$2)))*H579*U579)</f>
        <v>734.02500000000009</v>
      </c>
      <c r="S579" s="14">
        <v>4</v>
      </c>
      <c r="T579" s="14">
        <v>1</v>
      </c>
      <c r="U579" s="13">
        <f>IF(T579=1,I579-([1]Parametros!$B$7+[1]Parametros!$B$9+[1]Parametros!$B$12/2),I579-(ROUNDUP(S579/2,0)*([1]Parametros!$B$7+[1]Parametros!$B$9+[1]Parametros!$B$12/2)+ROUNDDOWN(S579/2,0)*([1]Parametros!$B$7+[1]Parametros!$B$9+[1]Parametros!$B$12/2+[1]Parametros!$B$12+[1]Parametros!$B$10))/S579)</f>
        <v>489.35</v>
      </c>
      <c r="V579" s="13">
        <f>S579*[1]Parametros!$B$8</f>
        <v>796</v>
      </c>
      <c r="W579" s="13">
        <f>[1]Parametros!$B$5*V579*[1]Parametros!$B$3*(U579-(V579*[1]Parametros!$B$3/(0.85*[1]Parametros!$B$2*H579))/2)/1000000</f>
        <v>142.54333009411764</v>
      </c>
      <c r="X579" s="13" t="str">
        <f t="shared" si="104"/>
        <v>CUMPLE</v>
      </c>
      <c r="Y579" s="13">
        <f>MAX(MAX(1.4/[1]Parametros!$B$3,0.25*SQRT([1]Parametros!$B$2)/[1]Parametros!$B$3)*H579*AB579,(0.85*[1]Parametros!$B$2/[1]Parametros!$B$3)*(1-SQRT(1-2*(L579*1000000/([1]Parametros!$B$5*H579*AB579^2))/(0.85*[1]Parametros!$B$2)))*H579*AB579)</f>
        <v>734.02500000000009</v>
      </c>
      <c r="Z579" s="14">
        <v>4</v>
      </c>
      <c r="AA579" s="14">
        <v>1</v>
      </c>
      <c r="AB579" s="13">
        <f>IF(AA579=1,I579-([1]Parametros!$B$7+[1]Parametros!$B$9+[1]Parametros!$B$12/2),I579-(ROUNDUP(Z579/2,0)*([1]Parametros!$B$7+[1]Parametros!$B$9+[1]Parametros!$B$12/2)+ROUNDDOWN(Z579/2,0)*([1]Parametros!$B$7+[1]Parametros!$B$9+[1]Parametros!$B$12/2+[1]Parametros!$B$12+[1]Parametros!$B$10))/Z579)</f>
        <v>489.35</v>
      </c>
      <c r="AC579" s="13">
        <f>Z579*[1]Parametros!$B$8</f>
        <v>796</v>
      </c>
      <c r="AD579" s="13">
        <f>[1]Parametros!$B$5*AC579*[1]Parametros!$B$3*(AB579-(AC579*[1]Parametros!$B$3/(0.85*[1]Parametros!$B$2*H579))/2)/1000000</f>
        <v>142.54333009411764</v>
      </c>
      <c r="AE579" s="13" t="str">
        <f t="shared" si="105"/>
        <v>CUMPLE</v>
      </c>
      <c r="AF579" s="13">
        <f>V579*1.25*[1]Parametros!$B$3*(U579-(V579*1.25*[1]Parametros!$B$3/(0.85*[1]Parametros!$B$2*H579))/2)/1000000</f>
        <v>196.34621794117646</v>
      </c>
      <c r="AG579" s="13">
        <f>AC579*1.25*[1]Parametros!$B$3*(AB579-(AC579*1.25*[1]Parametros!$B$3/(0.85*[1]Parametros!$B$2*H579))/2)/1000000</f>
        <v>196.34621794117646</v>
      </c>
      <c r="AH579" s="13">
        <f t="shared" si="106"/>
        <v>239.16922941176472</v>
      </c>
      <c r="AI579" s="13">
        <f t="shared" si="107"/>
        <v>239.16922941176472</v>
      </c>
      <c r="AJ579" s="13">
        <f>0.17*SQRT([1]Parametros!$B$2)*H579*MIN(U579,AB579)/1000</f>
        <v>198.08885582262698</v>
      </c>
      <c r="AK579" s="13">
        <f>MAX(AI579/[1]Parametros!$B$6-AJ579,0)</f>
        <v>120.80345005972598</v>
      </c>
      <c r="AL579" s="13">
        <f>0.66*SQRT([1]Parametros!$B$2)*H579*MIN(U579,AB579)/1000</f>
        <v>769.05085201725785</v>
      </c>
      <c r="AM579" s="13" t="str">
        <f t="shared" si="108"/>
        <v>CUMPLE</v>
      </c>
      <c r="AN579" s="13" t="s">
        <v>64</v>
      </c>
      <c r="AO579" s="14">
        <v>2</v>
      </c>
      <c r="AP579" s="13">
        <f>ROUNDDOWN(MIN(IF(BC579+BD579=0,1000000000,AO579*BB579/(BC579+BD579)),MIN(U579,AB579)/4,8*[1]Parametros!$B$12,24*BA579,300,IF(AV579=0,1000000000,2*((H579-2*([1]Parametros!$B$7+[1]Parametros!$B$9/2))+(I579-2*([1]Parametros!$B$7+[1]Parametros!$B$9/2)))/8))/10,0)*10</f>
        <v>120</v>
      </c>
      <c r="AQ579" s="13">
        <f>ROUNDDOWN(MIN(IF(BC579+BD579=0,1000000000,AO579*BB579/(BC579+BD579)),IF(AK579&gt;0.33*SQRT([1]Parametros!$B$2)*H579*MIN(U579,AB579)/1000,MIN(U579,AB579)/4,MIN(U579,AB579)/2),600,IF(AV579=0,1000000000,2*((H579-2*([1]Parametros!$B$7+[1]Parametros!$B$9/2))+(I579-2*([1]Parametros!$B$7+[1]Parametros!$B$9/2)))/8))/10,0)*10</f>
        <v>140</v>
      </c>
      <c r="AR579" s="13">
        <f>[1]Parametros!$B$6*(AJ579+MAX(BE579-BD579,0)*[1]Parametros!$B$4*MIN(U579,AB579)/1000)</f>
        <v>273.73221899897885</v>
      </c>
      <c r="AS579" s="13" t="str">
        <f t="shared" si="109"/>
        <v>CUMPLE</v>
      </c>
      <c r="AT579" s="13">
        <f>[1]Parametros!$B$6*0.083*SQRT([1]Parametros!$B$2)*(H579*I579)^2/(2*(H579+I579))/1000000</f>
        <v>10.08878303333792</v>
      </c>
      <c r="AU579" s="13" t="str">
        <f t="shared" si="110"/>
        <v>DISEÑAR</v>
      </c>
      <c r="AV579" s="13">
        <f>IF(Q579&lt;=AT579,0,Q579*1000000/([1]Parametros!$B$6*2*0.85*(H579-2*([1]Parametros!$B$7+[1]Parametros!$B$9/2))*(I579-2*([1]Parametros!$B$7+[1]Parametros!$B$9/2))*[1]Parametros!$B$4))</f>
        <v>0.18566785343042153</v>
      </c>
      <c r="AW579" s="13">
        <f>AV579*2*((H579-2*([1]Parametros!$B$7+[1]Parametros!$B$9/2))+(I579-2*([1]Parametros!$B$7+[1]Parametros!$B$9/2)))*[1]Parametros!$B$4/[1]Parametros!$B$3</f>
        <v>302.49006680884276</v>
      </c>
      <c r="AX579" s="14">
        <v>8</v>
      </c>
      <c r="AY579" s="13" t="str">
        <f t="shared" si="111"/>
        <v>CUMPLE</v>
      </c>
      <c r="AZ579" s="13" t="str">
        <f t="shared" si="112"/>
        <v>CUMPLE</v>
      </c>
      <c r="BA579" s="14">
        <v>9.5</v>
      </c>
      <c r="BB579" s="14">
        <v>71</v>
      </c>
      <c r="BC579" s="13">
        <f>MAX(IF(AK579=0,0,AK579*1000/([1]Parametros!$B$4*MIN(U579,AB579))),MAX(0.062*SQRT([1]Parametros!$B$2)*H579/[1]Parametros!$B$4,0.35*H579/[1]Parametros!$B$4))</f>
        <v>0.58777411269432234</v>
      </c>
      <c r="BD579" s="13">
        <f t="shared" si="113"/>
        <v>0.37133570686084305</v>
      </c>
      <c r="BE579" s="13">
        <f t="shared" si="114"/>
        <v>1.1833333333333333</v>
      </c>
      <c r="BF579" s="13">
        <f>SQRT((AI579*1000/(H579*MIN(U579,AB579)))^2+(Q579*1000000*2*((H579-2*([1]Parametros!$B$7+[1]Parametros!$B$9/2))+(I579-2*([1]Parametros!$B$7+[1]Parametros!$B$9/2)))/(1.7*((H579-2*([1]Parametros!$B$7+[1]Parametros!$B$9/2))*(I579-2*([1]Parametros!$B$7+[1]Parametros!$B$9/2)))^2))^2)</f>
        <v>1.2327638668900056</v>
      </c>
      <c r="BG579" s="13">
        <f>[1]Parametros!$B$6*(AJ579*1000/(H579*MIN(U579,AB579))+0.66*SQRT([1]Parametros!$B$2))</f>
        <v>3.2939603822754151</v>
      </c>
      <c r="BH579" s="13" t="str">
        <f t="shared" si="115"/>
        <v>CUMPLE</v>
      </c>
      <c r="BI579" s="13">
        <f>AX579*[1]Parametros!$B$8</f>
        <v>1592</v>
      </c>
      <c r="BJ579" s="15" t="str">
        <f t="shared" si="116"/>
        <v>CUMPLE</v>
      </c>
    </row>
    <row r="580" spans="1:62" x14ac:dyDescent="0.3">
      <c r="A580" s="45" t="s">
        <v>78</v>
      </c>
      <c r="B580" s="46">
        <v>129</v>
      </c>
      <c r="C580" s="13">
        <v>1</v>
      </c>
      <c r="D580" s="13">
        <v>2</v>
      </c>
      <c r="E580" s="13">
        <v>2</v>
      </c>
      <c r="F580" s="13">
        <v>450</v>
      </c>
      <c r="G580" s="13">
        <v>550</v>
      </c>
      <c r="H580" s="13">
        <v>450</v>
      </c>
      <c r="I580" s="13">
        <v>550</v>
      </c>
      <c r="J580" s="14">
        <v>19.1585</v>
      </c>
      <c r="K580" s="13">
        <v>129</v>
      </c>
      <c r="L580" s="14">
        <v>12.3363</v>
      </c>
      <c r="M580" s="13">
        <v>129</v>
      </c>
      <c r="N580" s="14">
        <v>21.15</v>
      </c>
      <c r="O580" s="14">
        <v>64.635999999999996</v>
      </c>
      <c r="P580" s="13">
        <v>129</v>
      </c>
      <c r="Q580" s="14">
        <v>3.5684</v>
      </c>
      <c r="R580" s="13">
        <f>MAX(MAX(1.4/[1]Parametros!$B$3,0.25*SQRT([1]Parametros!$B$2)/[1]Parametros!$B$3)*H580*U580,(0.85*[1]Parametros!$B$2/[1]Parametros!$B$3)*(1-SQRT(1-2*(J580*1000000/([1]Parametros!$B$5*H580*U580^2))/(0.85*[1]Parametros!$B$2)))*H580*U580)</f>
        <v>734.02500000000009</v>
      </c>
      <c r="S580" s="14">
        <v>4</v>
      </c>
      <c r="T580" s="14">
        <v>1</v>
      </c>
      <c r="U580" s="13">
        <f>IF(T580=1,I580-([1]Parametros!$B$7+[1]Parametros!$B$9+[1]Parametros!$B$12/2),I580-(ROUNDUP(S580/2,0)*([1]Parametros!$B$7+[1]Parametros!$B$9+[1]Parametros!$B$12/2)+ROUNDDOWN(S580/2,0)*([1]Parametros!$B$7+[1]Parametros!$B$9+[1]Parametros!$B$12/2+[1]Parametros!$B$12+[1]Parametros!$B$10))/S580)</f>
        <v>489.35</v>
      </c>
      <c r="V580" s="13">
        <f>S580*[1]Parametros!$B$8</f>
        <v>796</v>
      </c>
      <c r="W580" s="13">
        <f>[1]Parametros!$B$5*V580*[1]Parametros!$B$3*(U580-(V580*[1]Parametros!$B$3/(0.85*[1]Parametros!$B$2*H580))/2)/1000000</f>
        <v>142.54333009411764</v>
      </c>
      <c r="X580" s="13" t="str">
        <f t="shared" ref="X580:X595" si="117">IF(W580&gt;=J580,"CUMPLE","NO CUMPLE")</f>
        <v>CUMPLE</v>
      </c>
      <c r="Y580" s="13">
        <f>MAX(MAX(1.4/[1]Parametros!$B$3,0.25*SQRT([1]Parametros!$B$2)/[1]Parametros!$B$3)*H580*AB580,(0.85*[1]Parametros!$B$2/[1]Parametros!$B$3)*(1-SQRT(1-2*(L580*1000000/([1]Parametros!$B$5*H580*AB580^2))/(0.85*[1]Parametros!$B$2)))*H580*AB580)</f>
        <v>734.02500000000009</v>
      </c>
      <c r="Z580" s="14">
        <v>4</v>
      </c>
      <c r="AA580" s="14">
        <v>1</v>
      </c>
      <c r="AB580" s="13">
        <f>IF(AA580=1,I580-([1]Parametros!$B$7+[1]Parametros!$B$9+[1]Parametros!$B$12/2),I580-(ROUNDUP(Z580/2,0)*([1]Parametros!$B$7+[1]Parametros!$B$9+[1]Parametros!$B$12/2)+ROUNDDOWN(Z580/2,0)*([1]Parametros!$B$7+[1]Parametros!$B$9+[1]Parametros!$B$12/2+[1]Parametros!$B$12+[1]Parametros!$B$10))/Z580)</f>
        <v>489.35</v>
      </c>
      <c r="AC580" s="13">
        <f>Z580*[1]Parametros!$B$8</f>
        <v>796</v>
      </c>
      <c r="AD580" s="13">
        <f>[1]Parametros!$B$5*AC580*[1]Parametros!$B$3*(AB580-(AC580*[1]Parametros!$B$3/(0.85*[1]Parametros!$B$2*H580))/2)/1000000</f>
        <v>142.54333009411764</v>
      </c>
      <c r="AE580" s="13" t="str">
        <f t="shared" ref="AE580:AE595" si="118">IF(AD580&gt;=L580,"CUMPLE","NO CUMPLE")</f>
        <v>CUMPLE</v>
      </c>
      <c r="AF580" s="13">
        <f>V580*1.25*[1]Parametros!$B$3*(U580-(V580*1.25*[1]Parametros!$B$3/(0.85*[1]Parametros!$B$2*H580))/2)/1000000</f>
        <v>196.34621794117646</v>
      </c>
      <c r="AG580" s="13">
        <f>AC580*1.25*[1]Parametros!$B$3*(AB580-(AC580*1.25*[1]Parametros!$B$3/(0.85*[1]Parametros!$B$2*H580))/2)/1000000</f>
        <v>196.34621794117646</v>
      </c>
      <c r="AH580" s="13">
        <f t="shared" ref="AH580:AH595" si="119">N580+(AF580+AG580)/D580</f>
        <v>217.49621794117647</v>
      </c>
      <c r="AI580" s="13">
        <f t="shared" ref="AI580:AI595" si="120">MAX(O580,AH580)</f>
        <v>217.49621794117647</v>
      </c>
      <c r="AJ580" s="13">
        <f>0.17*SQRT([1]Parametros!$B$2)*H580*MIN(U580,AB580)/1000</f>
        <v>198.08885582262698</v>
      </c>
      <c r="AK580" s="13">
        <f>MAX(AI580/[1]Parametros!$B$6-AJ580,0)</f>
        <v>91.906101432274994</v>
      </c>
      <c r="AL580" s="13">
        <f>0.66*SQRT([1]Parametros!$B$2)*H580*MIN(U580,AB580)/1000</f>
        <v>769.05085201725785</v>
      </c>
      <c r="AM580" s="13" t="str">
        <f t="shared" ref="AM580:AM595" si="121">IF(AK580&lt;=AL580,"CUMPLE","NO CUMPLE")</f>
        <v>CUMPLE</v>
      </c>
      <c r="AN580" s="13" t="s">
        <v>64</v>
      </c>
      <c r="AO580" s="14">
        <v>2</v>
      </c>
      <c r="AP580" s="13">
        <f>ROUNDDOWN(MIN(IF(BC580+BD580=0,1000000000,AO580*BB580/(BC580+BD580)),MIN(U580,AB580)/4,8*[1]Parametros!$B$12,24*BA580,300,IF(AV580=0,1000000000,2*((H580-2*([1]Parametros!$B$7+[1]Parametros!$B$9/2))+(I580-2*([1]Parametros!$B$7+[1]Parametros!$B$9/2)))/8))/10,0)*10</f>
        <v>120</v>
      </c>
      <c r="AQ580" s="13">
        <f>ROUNDDOWN(MIN(IF(BC580+BD580=0,1000000000,AO580*BB580/(BC580+BD580)),IF(AK580&gt;0.33*SQRT([1]Parametros!$B$2)*H580*MIN(U580,AB580)/1000,MIN(U580,AB580)/4,MIN(U580,AB580)/2),600,IF(AV580=0,1000000000,2*((H580-2*([1]Parametros!$B$7+[1]Parametros!$B$9/2))+(I580-2*([1]Parametros!$B$7+[1]Parametros!$B$9/2)))/8))/10,0)*10</f>
        <v>240</v>
      </c>
      <c r="AR580" s="13">
        <f>[1]Parametros!$B$6*(AJ580+MAX(BE580-BD580,0)*[1]Parametros!$B$4*MIN(U580,AB580)/1000)</f>
        <v>330.97185436697026</v>
      </c>
      <c r="AS580" s="13" t="str">
        <f t="shared" ref="AS580:AS595" si="122">IF(AND(ISERROR(SEARCH("referencia",AN580)),AM580="CUMPLE",AR580&gt;=AI580),"CUMPLE","NO CUMPLE")</f>
        <v>CUMPLE</v>
      </c>
      <c r="AT580" s="13">
        <f>[1]Parametros!$B$6*0.083*SQRT([1]Parametros!$B$2)*(H580*I580)^2/(2*(H580+I580))/1000000</f>
        <v>10.08878303333792</v>
      </c>
      <c r="AU580" s="13" t="str">
        <f t="shared" ref="AU580:AU595" si="123">IF(Q580&lt;=AT580,"DESPRECIABLE","DISEÑAR")</f>
        <v>DESPRECIABLE</v>
      </c>
      <c r="AV580" s="13">
        <f>IF(Q580&lt;=AT580,0,Q580*1000000/([1]Parametros!$B$6*2*0.85*(H580-2*([1]Parametros!$B$7+[1]Parametros!$B$9/2))*(I580-2*([1]Parametros!$B$7+[1]Parametros!$B$9/2))*[1]Parametros!$B$4))</f>
        <v>0</v>
      </c>
      <c r="AW580" s="13">
        <f>AV580*2*((H580-2*([1]Parametros!$B$7+[1]Parametros!$B$9/2))+(I580-2*([1]Parametros!$B$7+[1]Parametros!$B$9/2)))*[1]Parametros!$B$4/[1]Parametros!$B$3</f>
        <v>0</v>
      </c>
      <c r="AX580" s="14">
        <v>0</v>
      </c>
      <c r="AY580" s="13" t="str">
        <f t="shared" ref="AY580:AY595" si="124">IF(AV580=0,"DESPRECIABLE",IF(AND(ISERROR(SEARCH("referencia",AN580)),BB580/AP580&gt;=AV580,BI580&gt;=AW580,BH580="CUMPLE"),"CUMPLE","NO CUMPLE"))</f>
        <v>DESPRECIABLE</v>
      </c>
      <c r="AZ580" s="13" t="str">
        <f t="shared" ref="AZ580:AZ595" si="125">IF(AND(X580="CUMPLE",AE580="CUMPLE",AS580="CUMPLE",OR(AY580="CUMPLE",AY580="DESPRECIABLE"),BH580="CUMPLE",BJ580="CUMPLE"),"CUMPLE","NO CUMPLE")</f>
        <v>CUMPLE</v>
      </c>
      <c r="BA580" s="14">
        <v>9.5</v>
      </c>
      <c r="BB580" s="14">
        <v>71</v>
      </c>
      <c r="BC580" s="13">
        <f>MAX(IF(AK580=0,0,AK580*1000/([1]Parametros!$B$4*MIN(U580,AB580))),MAX(0.062*SQRT([1]Parametros!$B$2)*H580/[1]Parametros!$B$4,0.35*H580/[1]Parametros!$B$4))</f>
        <v>0.44717288449826542</v>
      </c>
      <c r="BD580" s="13">
        <f t="shared" ref="BD580:BD595" si="126">2*AV580</f>
        <v>0</v>
      </c>
      <c r="BE580" s="13">
        <f t="shared" ref="BE580:BE595" si="127">AO580*BB580/AP580</f>
        <v>1.1833333333333333</v>
      </c>
      <c r="BF580" s="13">
        <f>SQRT((AI580*1000/(H580*MIN(U580,AB580)))^2+(Q580*1000000*2*((H580-2*([1]Parametros!$B$7+[1]Parametros!$B$9/2))+(I580-2*([1]Parametros!$B$7+[1]Parametros!$B$9/2)))/(1.7*((H580-2*([1]Parametros!$B$7+[1]Parametros!$B$9/2))*(I580-2*([1]Parametros!$B$7+[1]Parametros!$B$9/2)))^2))^2)</f>
        <v>0.99595934153316812</v>
      </c>
      <c r="BG580" s="13">
        <f>[1]Parametros!$B$6*(AJ580*1000/(H580*MIN(U580,AB580))+0.66*SQRT([1]Parametros!$B$2))</f>
        <v>3.2939603822754151</v>
      </c>
      <c r="BH580" s="13" t="str">
        <f t="shared" ref="BH580:BH595" si="128">IF(BF580&lt;=BG580,"CUMPLE","NO CUMPLE")</f>
        <v>CUMPLE</v>
      </c>
      <c r="BI580" s="13">
        <f>AX580*[1]Parametros!$B$8</f>
        <v>0</v>
      </c>
      <c r="BJ580" s="15" t="str">
        <f t="shared" ref="BJ580:BJ595" si="129">IF(BI580&gt;=AW580,"CUMPLE","NO CUMPLE")</f>
        <v>CUMPLE</v>
      </c>
    </row>
    <row r="581" spans="1:62" x14ac:dyDescent="0.3">
      <c r="A581" s="45" t="s">
        <v>78</v>
      </c>
      <c r="B581" s="46">
        <v>130</v>
      </c>
      <c r="C581" s="13">
        <v>1</v>
      </c>
      <c r="D581" s="13">
        <v>2</v>
      </c>
      <c r="E581" s="13">
        <v>2</v>
      </c>
      <c r="F581" s="13">
        <v>450</v>
      </c>
      <c r="G581" s="13">
        <v>550</v>
      </c>
      <c r="H581" s="13">
        <v>450</v>
      </c>
      <c r="I581" s="13">
        <v>550</v>
      </c>
      <c r="J581" s="14">
        <v>19.155000000000001</v>
      </c>
      <c r="K581" s="13">
        <v>130</v>
      </c>
      <c r="L581" s="14">
        <v>12.3348</v>
      </c>
      <c r="M581" s="13">
        <v>130</v>
      </c>
      <c r="N581" s="14">
        <v>21.146999999999998</v>
      </c>
      <c r="O581" s="14">
        <v>64.632999999999996</v>
      </c>
      <c r="P581" s="13">
        <v>130</v>
      </c>
      <c r="Q581" s="14">
        <v>3.5735999999999999</v>
      </c>
      <c r="R581" s="13">
        <f>MAX(MAX(1.4/[1]Parametros!$B$3,0.25*SQRT([1]Parametros!$B$2)/[1]Parametros!$B$3)*H581*U581,(0.85*[1]Parametros!$B$2/[1]Parametros!$B$3)*(1-SQRT(1-2*(J581*1000000/([1]Parametros!$B$5*H581*U581^2))/(0.85*[1]Parametros!$B$2)))*H581*U581)</f>
        <v>734.02500000000009</v>
      </c>
      <c r="S581" s="14">
        <v>4</v>
      </c>
      <c r="T581" s="14">
        <v>1</v>
      </c>
      <c r="U581" s="13">
        <f>IF(T581=1,I581-([1]Parametros!$B$7+[1]Parametros!$B$9+[1]Parametros!$B$12/2),I581-(ROUNDUP(S581/2,0)*([1]Parametros!$B$7+[1]Parametros!$B$9+[1]Parametros!$B$12/2)+ROUNDDOWN(S581/2,0)*([1]Parametros!$B$7+[1]Parametros!$B$9+[1]Parametros!$B$12/2+[1]Parametros!$B$12+[1]Parametros!$B$10))/S581)</f>
        <v>489.35</v>
      </c>
      <c r="V581" s="13">
        <f>S581*[1]Parametros!$B$8</f>
        <v>796</v>
      </c>
      <c r="W581" s="13">
        <f>[1]Parametros!$B$5*V581*[1]Parametros!$B$3*(U581-(V581*[1]Parametros!$B$3/(0.85*[1]Parametros!$B$2*H581))/2)/1000000</f>
        <v>142.54333009411764</v>
      </c>
      <c r="X581" s="13" t="str">
        <f t="shared" si="117"/>
        <v>CUMPLE</v>
      </c>
      <c r="Y581" s="13">
        <f>MAX(MAX(1.4/[1]Parametros!$B$3,0.25*SQRT([1]Parametros!$B$2)/[1]Parametros!$B$3)*H581*AB581,(0.85*[1]Parametros!$B$2/[1]Parametros!$B$3)*(1-SQRT(1-2*(L581*1000000/([1]Parametros!$B$5*H581*AB581^2))/(0.85*[1]Parametros!$B$2)))*H581*AB581)</f>
        <v>734.02500000000009</v>
      </c>
      <c r="Z581" s="14">
        <v>4</v>
      </c>
      <c r="AA581" s="14">
        <v>1</v>
      </c>
      <c r="AB581" s="13">
        <f>IF(AA581=1,I581-([1]Parametros!$B$7+[1]Parametros!$B$9+[1]Parametros!$B$12/2),I581-(ROUNDUP(Z581/2,0)*([1]Parametros!$B$7+[1]Parametros!$B$9+[1]Parametros!$B$12/2)+ROUNDDOWN(Z581/2,0)*([1]Parametros!$B$7+[1]Parametros!$B$9+[1]Parametros!$B$12/2+[1]Parametros!$B$12+[1]Parametros!$B$10))/Z581)</f>
        <v>489.35</v>
      </c>
      <c r="AC581" s="13">
        <f>Z581*[1]Parametros!$B$8</f>
        <v>796</v>
      </c>
      <c r="AD581" s="13">
        <f>[1]Parametros!$B$5*AC581*[1]Parametros!$B$3*(AB581-(AC581*[1]Parametros!$B$3/(0.85*[1]Parametros!$B$2*H581))/2)/1000000</f>
        <v>142.54333009411764</v>
      </c>
      <c r="AE581" s="13" t="str">
        <f t="shared" si="118"/>
        <v>CUMPLE</v>
      </c>
      <c r="AF581" s="13">
        <f>V581*1.25*[1]Parametros!$B$3*(U581-(V581*1.25*[1]Parametros!$B$3/(0.85*[1]Parametros!$B$2*H581))/2)/1000000</f>
        <v>196.34621794117646</v>
      </c>
      <c r="AG581" s="13">
        <f>AC581*1.25*[1]Parametros!$B$3*(AB581-(AC581*1.25*[1]Parametros!$B$3/(0.85*[1]Parametros!$B$2*H581))/2)/1000000</f>
        <v>196.34621794117646</v>
      </c>
      <c r="AH581" s="13">
        <f t="shared" si="119"/>
        <v>217.49321794117645</v>
      </c>
      <c r="AI581" s="13">
        <f t="shared" si="120"/>
        <v>217.49321794117645</v>
      </c>
      <c r="AJ581" s="13">
        <f>0.17*SQRT([1]Parametros!$B$2)*H581*MIN(U581,AB581)/1000</f>
        <v>198.08885582262698</v>
      </c>
      <c r="AK581" s="13">
        <f>MAX(AI581/[1]Parametros!$B$6-AJ581,0)</f>
        <v>91.902101432274975</v>
      </c>
      <c r="AL581" s="13">
        <f>0.66*SQRT([1]Parametros!$B$2)*H581*MIN(U581,AB581)/1000</f>
        <v>769.05085201725785</v>
      </c>
      <c r="AM581" s="13" t="str">
        <f t="shared" si="121"/>
        <v>CUMPLE</v>
      </c>
      <c r="AN581" s="13" t="s">
        <v>64</v>
      </c>
      <c r="AO581" s="14">
        <v>2</v>
      </c>
      <c r="AP581" s="13">
        <f>ROUNDDOWN(MIN(IF(BC581+BD581=0,1000000000,AO581*BB581/(BC581+BD581)),MIN(U581,AB581)/4,8*[1]Parametros!$B$12,24*BA581,300,IF(AV581=0,1000000000,2*((H581-2*([1]Parametros!$B$7+[1]Parametros!$B$9/2))+(I581-2*([1]Parametros!$B$7+[1]Parametros!$B$9/2)))/8))/10,0)*10</f>
        <v>120</v>
      </c>
      <c r="AQ581" s="13">
        <f>ROUNDDOWN(MIN(IF(BC581+BD581=0,1000000000,AO581*BB581/(BC581+BD581)),IF(AK581&gt;0.33*SQRT([1]Parametros!$B$2)*H581*MIN(U581,AB581)/1000,MIN(U581,AB581)/4,MIN(U581,AB581)/2),600,IF(AV581=0,1000000000,2*((H581-2*([1]Parametros!$B$7+[1]Parametros!$B$9/2))+(I581-2*([1]Parametros!$B$7+[1]Parametros!$B$9/2)))/8))/10,0)*10</f>
        <v>240</v>
      </c>
      <c r="AR581" s="13">
        <f>[1]Parametros!$B$6*(AJ581+MAX(BE581-BD581,0)*[1]Parametros!$B$4*MIN(U581,AB581)/1000)</f>
        <v>330.97185436697026</v>
      </c>
      <c r="AS581" s="13" t="str">
        <f t="shared" si="122"/>
        <v>CUMPLE</v>
      </c>
      <c r="AT581" s="13">
        <f>[1]Parametros!$B$6*0.083*SQRT([1]Parametros!$B$2)*(H581*I581)^2/(2*(H581+I581))/1000000</f>
        <v>10.08878303333792</v>
      </c>
      <c r="AU581" s="13" t="str">
        <f t="shared" si="123"/>
        <v>DESPRECIABLE</v>
      </c>
      <c r="AV581" s="13">
        <f>IF(Q581&lt;=AT581,0,Q581*1000000/([1]Parametros!$B$6*2*0.85*(H581-2*([1]Parametros!$B$7+[1]Parametros!$B$9/2))*(I581-2*([1]Parametros!$B$7+[1]Parametros!$B$9/2))*[1]Parametros!$B$4))</f>
        <v>0</v>
      </c>
      <c r="AW581" s="13">
        <f>AV581*2*((H581-2*([1]Parametros!$B$7+[1]Parametros!$B$9/2))+(I581-2*([1]Parametros!$B$7+[1]Parametros!$B$9/2)))*[1]Parametros!$B$4/[1]Parametros!$B$3</f>
        <v>0</v>
      </c>
      <c r="AX581" s="14">
        <v>0</v>
      </c>
      <c r="AY581" s="13" t="str">
        <f t="shared" si="124"/>
        <v>DESPRECIABLE</v>
      </c>
      <c r="AZ581" s="13" t="str">
        <f t="shared" si="125"/>
        <v>CUMPLE</v>
      </c>
      <c r="BA581" s="14">
        <v>9.5</v>
      </c>
      <c r="BB581" s="14">
        <v>71</v>
      </c>
      <c r="BC581" s="13">
        <f>MAX(IF(AK581=0,0,AK581*1000/([1]Parametros!$B$4*MIN(U581,AB581))),MAX(0.062*SQRT([1]Parametros!$B$2)*H581/[1]Parametros!$B$4,0.35*H581/[1]Parametros!$B$4))</f>
        <v>0.44715342233514316</v>
      </c>
      <c r="BD581" s="13">
        <f t="shared" si="126"/>
        <v>0</v>
      </c>
      <c r="BE581" s="13">
        <f t="shared" si="127"/>
        <v>1.1833333333333333</v>
      </c>
      <c r="BF581" s="13">
        <f>SQRT((AI581*1000/(H581*MIN(U581,AB581)))^2+(Q581*1000000*2*((H581-2*([1]Parametros!$B$7+[1]Parametros!$B$9/2))+(I581-2*([1]Parametros!$B$7+[1]Parametros!$B$9/2)))/(1.7*((H581-2*([1]Parametros!$B$7+[1]Parametros!$B$9/2))*(I581-2*([1]Parametros!$B$7+[1]Parametros!$B$9/2)))^2))^2)</f>
        <v>0.9959698563299938</v>
      </c>
      <c r="BG581" s="13">
        <f>[1]Parametros!$B$6*(AJ581*1000/(H581*MIN(U581,AB581))+0.66*SQRT([1]Parametros!$B$2))</f>
        <v>3.2939603822754151</v>
      </c>
      <c r="BH581" s="13" t="str">
        <f t="shared" si="128"/>
        <v>CUMPLE</v>
      </c>
      <c r="BI581" s="13">
        <f>AX581*[1]Parametros!$B$8</f>
        <v>0</v>
      </c>
      <c r="BJ581" s="15" t="str">
        <f t="shared" si="129"/>
        <v>CUMPLE</v>
      </c>
    </row>
    <row r="582" spans="1:62" x14ac:dyDescent="0.3">
      <c r="A582" s="45" t="s">
        <v>78</v>
      </c>
      <c r="B582" s="46">
        <v>131</v>
      </c>
      <c r="C582" s="13">
        <v>1</v>
      </c>
      <c r="D582" s="13">
        <v>2</v>
      </c>
      <c r="E582" s="13">
        <v>2</v>
      </c>
      <c r="F582" s="13">
        <v>450</v>
      </c>
      <c r="G582" s="13">
        <v>550</v>
      </c>
      <c r="H582" s="13">
        <v>450</v>
      </c>
      <c r="I582" s="13">
        <v>550</v>
      </c>
      <c r="J582" s="14">
        <v>19.1157</v>
      </c>
      <c r="K582" s="13">
        <v>131</v>
      </c>
      <c r="L582" s="14">
        <v>12.315200000000001</v>
      </c>
      <c r="M582" s="13">
        <v>131</v>
      </c>
      <c r="N582" s="14">
        <v>21.117999999999999</v>
      </c>
      <c r="O582" s="14">
        <v>64.600999999999999</v>
      </c>
      <c r="P582" s="13">
        <v>131</v>
      </c>
      <c r="Q582" s="14">
        <v>3.5718000000000001</v>
      </c>
      <c r="R582" s="13">
        <f>MAX(MAX(1.4/[1]Parametros!$B$3,0.25*SQRT([1]Parametros!$B$2)/[1]Parametros!$B$3)*H582*U582,(0.85*[1]Parametros!$B$2/[1]Parametros!$B$3)*(1-SQRT(1-2*(J582*1000000/([1]Parametros!$B$5*H582*U582^2))/(0.85*[1]Parametros!$B$2)))*H582*U582)</f>
        <v>734.02500000000009</v>
      </c>
      <c r="S582" s="14">
        <v>4</v>
      </c>
      <c r="T582" s="14">
        <v>1</v>
      </c>
      <c r="U582" s="13">
        <f>IF(T582=1,I582-([1]Parametros!$B$7+[1]Parametros!$B$9+[1]Parametros!$B$12/2),I582-(ROUNDUP(S582/2,0)*([1]Parametros!$B$7+[1]Parametros!$B$9+[1]Parametros!$B$12/2)+ROUNDDOWN(S582/2,0)*([1]Parametros!$B$7+[1]Parametros!$B$9+[1]Parametros!$B$12/2+[1]Parametros!$B$12+[1]Parametros!$B$10))/S582)</f>
        <v>489.35</v>
      </c>
      <c r="V582" s="13">
        <f>S582*[1]Parametros!$B$8</f>
        <v>796</v>
      </c>
      <c r="W582" s="13">
        <f>[1]Parametros!$B$5*V582*[1]Parametros!$B$3*(U582-(V582*[1]Parametros!$B$3/(0.85*[1]Parametros!$B$2*H582))/2)/1000000</f>
        <v>142.54333009411764</v>
      </c>
      <c r="X582" s="13" t="str">
        <f t="shared" si="117"/>
        <v>CUMPLE</v>
      </c>
      <c r="Y582" s="13">
        <f>MAX(MAX(1.4/[1]Parametros!$B$3,0.25*SQRT([1]Parametros!$B$2)/[1]Parametros!$B$3)*H582*AB582,(0.85*[1]Parametros!$B$2/[1]Parametros!$B$3)*(1-SQRT(1-2*(L582*1000000/([1]Parametros!$B$5*H582*AB582^2))/(0.85*[1]Parametros!$B$2)))*H582*AB582)</f>
        <v>734.02500000000009</v>
      </c>
      <c r="Z582" s="14">
        <v>4</v>
      </c>
      <c r="AA582" s="14">
        <v>1</v>
      </c>
      <c r="AB582" s="13">
        <f>IF(AA582=1,I582-([1]Parametros!$B$7+[1]Parametros!$B$9+[1]Parametros!$B$12/2),I582-(ROUNDUP(Z582/2,0)*([1]Parametros!$B$7+[1]Parametros!$B$9+[1]Parametros!$B$12/2)+ROUNDDOWN(Z582/2,0)*([1]Parametros!$B$7+[1]Parametros!$B$9+[1]Parametros!$B$12/2+[1]Parametros!$B$12+[1]Parametros!$B$10))/Z582)</f>
        <v>489.35</v>
      </c>
      <c r="AC582" s="13">
        <f>Z582*[1]Parametros!$B$8</f>
        <v>796</v>
      </c>
      <c r="AD582" s="13">
        <f>[1]Parametros!$B$5*AC582*[1]Parametros!$B$3*(AB582-(AC582*[1]Parametros!$B$3/(0.85*[1]Parametros!$B$2*H582))/2)/1000000</f>
        <v>142.54333009411764</v>
      </c>
      <c r="AE582" s="13" t="str">
        <f t="shared" si="118"/>
        <v>CUMPLE</v>
      </c>
      <c r="AF582" s="13">
        <f>V582*1.25*[1]Parametros!$B$3*(U582-(V582*1.25*[1]Parametros!$B$3/(0.85*[1]Parametros!$B$2*H582))/2)/1000000</f>
        <v>196.34621794117646</v>
      </c>
      <c r="AG582" s="13">
        <f>AC582*1.25*[1]Parametros!$B$3*(AB582-(AC582*1.25*[1]Parametros!$B$3/(0.85*[1]Parametros!$B$2*H582))/2)/1000000</f>
        <v>196.34621794117646</v>
      </c>
      <c r="AH582" s="13">
        <f t="shared" si="119"/>
        <v>217.46421794117646</v>
      </c>
      <c r="AI582" s="13">
        <f t="shared" si="120"/>
        <v>217.46421794117646</v>
      </c>
      <c r="AJ582" s="13">
        <f>0.17*SQRT([1]Parametros!$B$2)*H582*MIN(U582,AB582)/1000</f>
        <v>198.08885582262698</v>
      </c>
      <c r="AK582" s="13">
        <f>MAX(AI582/[1]Parametros!$B$6-AJ582,0)</f>
        <v>91.863434765608275</v>
      </c>
      <c r="AL582" s="13">
        <f>0.66*SQRT([1]Parametros!$B$2)*H582*MIN(U582,AB582)/1000</f>
        <v>769.05085201725785</v>
      </c>
      <c r="AM582" s="13" t="str">
        <f t="shared" si="121"/>
        <v>CUMPLE</v>
      </c>
      <c r="AN582" s="13" t="s">
        <v>64</v>
      </c>
      <c r="AO582" s="14">
        <v>2</v>
      </c>
      <c r="AP582" s="13">
        <f>ROUNDDOWN(MIN(IF(BC582+BD582=0,1000000000,AO582*BB582/(BC582+BD582)),MIN(U582,AB582)/4,8*[1]Parametros!$B$12,24*BA582,300,IF(AV582=0,1000000000,2*((H582-2*([1]Parametros!$B$7+[1]Parametros!$B$9/2))+(I582-2*([1]Parametros!$B$7+[1]Parametros!$B$9/2)))/8))/10,0)*10</f>
        <v>120</v>
      </c>
      <c r="AQ582" s="13">
        <f>ROUNDDOWN(MIN(IF(BC582+BD582=0,1000000000,AO582*BB582/(BC582+BD582)),IF(AK582&gt;0.33*SQRT([1]Parametros!$B$2)*H582*MIN(U582,AB582)/1000,MIN(U582,AB582)/4,MIN(U582,AB582)/2),600,IF(AV582=0,1000000000,2*((H582-2*([1]Parametros!$B$7+[1]Parametros!$B$9/2))+(I582-2*([1]Parametros!$B$7+[1]Parametros!$B$9/2)))/8))/10,0)*10</f>
        <v>240</v>
      </c>
      <c r="AR582" s="13">
        <f>[1]Parametros!$B$6*(AJ582+MAX(BE582-BD582,0)*[1]Parametros!$B$4*MIN(U582,AB582)/1000)</f>
        <v>330.97185436697026</v>
      </c>
      <c r="AS582" s="13" t="str">
        <f t="shared" si="122"/>
        <v>CUMPLE</v>
      </c>
      <c r="AT582" s="13">
        <f>[1]Parametros!$B$6*0.083*SQRT([1]Parametros!$B$2)*(H582*I582)^2/(2*(H582+I582))/1000000</f>
        <v>10.08878303333792</v>
      </c>
      <c r="AU582" s="13" t="str">
        <f t="shared" si="123"/>
        <v>DESPRECIABLE</v>
      </c>
      <c r="AV582" s="13">
        <f>IF(Q582&lt;=AT582,0,Q582*1000000/([1]Parametros!$B$6*2*0.85*(H582-2*([1]Parametros!$B$7+[1]Parametros!$B$9/2))*(I582-2*([1]Parametros!$B$7+[1]Parametros!$B$9/2))*[1]Parametros!$B$4))</f>
        <v>0</v>
      </c>
      <c r="AW582" s="13">
        <f>AV582*2*((H582-2*([1]Parametros!$B$7+[1]Parametros!$B$9/2))+(I582-2*([1]Parametros!$B$7+[1]Parametros!$B$9/2)))*[1]Parametros!$B$4/[1]Parametros!$B$3</f>
        <v>0</v>
      </c>
      <c r="AX582" s="14">
        <v>0</v>
      </c>
      <c r="AY582" s="13" t="str">
        <f t="shared" si="124"/>
        <v>DESPRECIABLE</v>
      </c>
      <c r="AZ582" s="13" t="str">
        <f t="shared" si="125"/>
        <v>CUMPLE</v>
      </c>
      <c r="BA582" s="14">
        <v>9.5</v>
      </c>
      <c r="BB582" s="14">
        <v>71</v>
      </c>
      <c r="BC582" s="13">
        <f>MAX(IF(AK582=0,0,AK582*1000/([1]Parametros!$B$4*MIN(U582,AB582))),MAX(0.062*SQRT([1]Parametros!$B$2)*H582/[1]Parametros!$B$4,0.35*H582/[1]Parametros!$B$4))</f>
        <v>0.44696528809162916</v>
      </c>
      <c r="BD582" s="13">
        <f t="shared" si="126"/>
        <v>0</v>
      </c>
      <c r="BE582" s="13">
        <f t="shared" si="127"/>
        <v>1.1833333333333333</v>
      </c>
      <c r="BF582" s="13">
        <f>SQRT((AI582*1000/(H582*MIN(U582,AB582)))^2+(Q582*1000000*2*((H582-2*([1]Parametros!$B$7+[1]Parametros!$B$9/2))+(I582-2*([1]Parametros!$B$7+[1]Parametros!$B$9/2)))/(1.7*((H582-2*([1]Parametros!$B$7+[1]Parametros!$B$9/2))*(I582-2*([1]Parametros!$B$7+[1]Parametros!$B$9/2)))^2))^2)</f>
        <v>0.99583093805479261</v>
      </c>
      <c r="BG582" s="13">
        <f>[1]Parametros!$B$6*(AJ582*1000/(H582*MIN(U582,AB582))+0.66*SQRT([1]Parametros!$B$2))</f>
        <v>3.2939603822754151</v>
      </c>
      <c r="BH582" s="13" t="str">
        <f t="shared" si="128"/>
        <v>CUMPLE</v>
      </c>
      <c r="BI582" s="13">
        <f>AX582*[1]Parametros!$B$8</f>
        <v>0</v>
      </c>
      <c r="BJ582" s="15" t="str">
        <f t="shared" si="129"/>
        <v>CUMPLE</v>
      </c>
    </row>
    <row r="583" spans="1:62" x14ac:dyDescent="0.3">
      <c r="A583" s="45" t="s">
        <v>78</v>
      </c>
      <c r="B583" s="46">
        <v>132</v>
      </c>
      <c r="C583" s="13">
        <v>1</v>
      </c>
      <c r="D583" s="13">
        <v>2</v>
      </c>
      <c r="E583" s="13">
        <v>2</v>
      </c>
      <c r="F583" s="13">
        <v>450</v>
      </c>
      <c r="G583" s="13">
        <v>550</v>
      </c>
      <c r="H583" s="13">
        <v>450</v>
      </c>
      <c r="I583" s="13">
        <v>550</v>
      </c>
      <c r="J583" s="14">
        <v>19.118200000000002</v>
      </c>
      <c r="K583" s="13">
        <v>132</v>
      </c>
      <c r="L583" s="14">
        <v>12.3164</v>
      </c>
      <c r="M583" s="13">
        <v>132</v>
      </c>
      <c r="N583" s="14">
        <v>21.12</v>
      </c>
      <c r="O583" s="14">
        <v>64.602999999999994</v>
      </c>
      <c r="P583" s="13">
        <v>132</v>
      </c>
      <c r="Q583" s="14">
        <v>3.5674999999999999</v>
      </c>
      <c r="R583" s="13">
        <f>MAX(MAX(1.4/[1]Parametros!$B$3,0.25*SQRT([1]Parametros!$B$2)/[1]Parametros!$B$3)*H583*U583,(0.85*[1]Parametros!$B$2/[1]Parametros!$B$3)*(1-SQRT(1-2*(J583*1000000/([1]Parametros!$B$5*H583*U583^2))/(0.85*[1]Parametros!$B$2)))*H583*U583)</f>
        <v>734.02500000000009</v>
      </c>
      <c r="S583" s="14">
        <v>4</v>
      </c>
      <c r="T583" s="14">
        <v>1</v>
      </c>
      <c r="U583" s="13">
        <f>IF(T583=1,I583-([1]Parametros!$B$7+[1]Parametros!$B$9+[1]Parametros!$B$12/2),I583-(ROUNDUP(S583/2,0)*([1]Parametros!$B$7+[1]Parametros!$B$9+[1]Parametros!$B$12/2)+ROUNDDOWN(S583/2,0)*([1]Parametros!$B$7+[1]Parametros!$B$9+[1]Parametros!$B$12/2+[1]Parametros!$B$12+[1]Parametros!$B$10))/S583)</f>
        <v>489.35</v>
      </c>
      <c r="V583" s="13">
        <f>S583*[1]Parametros!$B$8</f>
        <v>796</v>
      </c>
      <c r="W583" s="13">
        <f>[1]Parametros!$B$5*V583*[1]Parametros!$B$3*(U583-(V583*[1]Parametros!$B$3/(0.85*[1]Parametros!$B$2*H583))/2)/1000000</f>
        <v>142.54333009411764</v>
      </c>
      <c r="X583" s="13" t="str">
        <f t="shared" si="117"/>
        <v>CUMPLE</v>
      </c>
      <c r="Y583" s="13">
        <f>MAX(MAX(1.4/[1]Parametros!$B$3,0.25*SQRT([1]Parametros!$B$2)/[1]Parametros!$B$3)*H583*AB583,(0.85*[1]Parametros!$B$2/[1]Parametros!$B$3)*(1-SQRT(1-2*(L583*1000000/([1]Parametros!$B$5*H583*AB583^2))/(0.85*[1]Parametros!$B$2)))*H583*AB583)</f>
        <v>734.02500000000009</v>
      </c>
      <c r="Z583" s="14">
        <v>4</v>
      </c>
      <c r="AA583" s="14">
        <v>1</v>
      </c>
      <c r="AB583" s="13">
        <f>IF(AA583=1,I583-([1]Parametros!$B$7+[1]Parametros!$B$9+[1]Parametros!$B$12/2),I583-(ROUNDUP(Z583/2,0)*([1]Parametros!$B$7+[1]Parametros!$B$9+[1]Parametros!$B$12/2)+ROUNDDOWN(Z583/2,0)*([1]Parametros!$B$7+[1]Parametros!$B$9+[1]Parametros!$B$12/2+[1]Parametros!$B$12+[1]Parametros!$B$10))/Z583)</f>
        <v>489.35</v>
      </c>
      <c r="AC583" s="13">
        <f>Z583*[1]Parametros!$B$8</f>
        <v>796</v>
      </c>
      <c r="AD583" s="13">
        <f>[1]Parametros!$B$5*AC583*[1]Parametros!$B$3*(AB583-(AC583*[1]Parametros!$B$3/(0.85*[1]Parametros!$B$2*H583))/2)/1000000</f>
        <v>142.54333009411764</v>
      </c>
      <c r="AE583" s="13" t="str">
        <f t="shared" si="118"/>
        <v>CUMPLE</v>
      </c>
      <c r="AF583" s="13">
        <f>V583*1.25*[1]Parametros!$B$3*(U583-(V583*1.25*[1]Parametros!$B$3/(0.85*[1]Parametros!$B$2*H583))/2)/1000000</f>
        <v>196.34621794117646</v>
      </c>
      <c r="AG583" s="13">
        <f>AC583*1.25*[1]Parametros!$B$3*(AB583-(AC583*1.25*[1]Parametros!$B$3/(0.85*[1]Parametros!$B$2*H583))/2)/1000000</f>
        <v>196.34621794117646</v>
      </c>
      <c r="AH583" s="13">
        <f t="shared" si="119"/>
        <v>217.46621794117647</v>
      </c>
      <c r="AI583" s="13">
        <f t="shared" si="120"/>
        <v>217.46621794117647</v>
      </c>
      <c r="AJ583" s="13">
        <f>0.17*SQRT([1]Parametros!$B$2)*H583*MIN(U583,AB583)/1000</f>
        <v>198.08885582262698</v>
      </c>
      <c r="AK583" s="13">
        <f>MAX(AI583/[1]Parametros!$B$6-AJ583,0)</f>
        <v>91.866101432274974</v>
      </c>
      <c r="AL583" s="13">
        <f>0.66*SQRT([1]Parametros!$B$2)*H583*MIN(U583,AB583)/1000</f>
        <v>769.05085201725785</v>
      </c>
      <c r="AM583" s="13" t="str">
        <f t="shared" si="121"/>
        <v>CUMPLE</v>
      </c>
      <c r="AN583" s="13" t="s">
        <v>64</v>
      </c>
      <c r="AO583" s="14">
        <v>2</v>
      </c>
      <c r="AP583" s="13">
        <f>ROUNDDOWN(MIN(IF(BC583+BD583=0,1000000000,AO583*BB583/(BC583+BD583)),MIN(U583,AB583)/4,8*[1]Parametros!$B$12,24*BA583,300,IF(AV583=0,1000000000,2*((H583-2*([1]Parametros!$B$7+[1]Parametros!$B$9/2))+(I583-2*([1]Parametros!$B$7+[1]Parametros!$B$9/2)))/8))/10,0)*10</f>
        <v>120</v>
      </c>
      <c r="AQ583" s="13">
        <f>ROUNDDOWN(MIN(IF(BC583+BD583=0,1000000000,AO583*BB583/(BC583+BD583)),IF(AK583&gt;0.33*SQRT([1]Parametros!$B$2)*H583*MIN(U583,AB583)/1000,MIN(U583,AB583)/4,MIN(U583,AB583)/2),600,IF(AV583=0,1000000000,2*((H583-2*([1]Parametros!$B$7+[1]Parametros!$B$9/2))+(I583-2*([1]Parametros!$B$7+[1]Parametros!$B$9/2)))/8))/10,0)*10</f>
        <v>240</v>
      </c>
      <c r="AR583" s="13">
        <f>[1]Parametros!$B$6*(AJ583+MAX(BE583-BD583,0)*[1]Parametros!$B$4*MIN(U583,AB583)/1000)</f>
        <v>330.97185436697026</v>
      </c>
      <c r="AS583" s="13" t="str">
        <f t="shared" si="122"/>
        <v>CUMPLE</v>
      </c>
      <c r="AT583" s="13">
        <f>[1]Parametros!$B$6*0.083*SQRT([1]Parametros!$B$2)*(H583*I583)^2/(2*(H583+I583))/1000000</f>
        <v>10.08878303333792</v>
      </c>
      <c r="AU583" s="13" t="str">
        <f t="shared" si="123"/>
        <v>DESPRECIABLE</v>
      </c>
      <c r="AV583" s="13">
        <f>IF(Q583&lt;=AT583,0,Q583*1000000/([1]Parametros!$B$6*2*0.85*(H583-2*([1]Parametros!$B$7+[1]Parametros!$B$9/2))*(I583-2*([1]Parametros!$B$7+[1]Parametros!$B$9/2))*[1]Parametros!$B$4))</f>
        <v>0</v>
      </c>
      <c r="AW583" s="13">
        <f>AV583*2*((H583-2*([1]Parametros!$B$7+[1]Parametros!$B$9/2))+(I583-2*([1]Parametros!$B$7+[1]Parametros!$B$9/2)))*[1]Parametros!$B$4/[1]Parametros!$B$3</f>
        <v>0</v>
      </c>
      <c r="AX583" s="14">
        <v>0</v>
      </c>
      <c r="AY583" s="13" t="str">
        <f t="shared" si="124"/>
        <v>DESPRECIABLE</v>
      </c>
      <c r="AZ583" s="13" t="str">
        <f t="shared" si="125"/>
        <v>CUMPLE</v>
      </c>
      <c r="BA583" s="14">
        <v>9.5</v>
      </c>
      <c r="BB583" s="14">
        <v>71</v>
      </c>
      <c r="BC583" s="13">
        <f>MAX(IF(AK583=0,0,AK583*1000/([1]Parametros!$B$4*MIN(U583,AB583))),MAX(0.062*SQRT([1]Parametros!$B$2)*H583/[1]Parametros!$B$4,0.35*H583/[1]Parametros!$B$4))</f>
        <v>0.44697826286704406</v>
      </c>
      <c r="BD583" s="13">
        <f t="shared" si="126"/>
        <v>0</v>
      </c>
      <c r="BE583" s="13">
        <f t="shared" si="127"/>
        <v>1.1833333333333333</v>
      </c>
      <c r="BF583" s="13">
        <f>SQRT((AI583*1000/(H583*MIN(U583,AB583)))^2+(Q583*1000000*2*((H583-2*([1]Parametros!$B$7+[1]Parametros!$B$9/2))+(I583-2*([1]Parametros!$B$7+[1]Parametros!$B$9/2)))/(1.7*((H583-2*([1]Parametros!$B$7+[1]Parametros!$B$9/2))*(I583-2*([1]Parametros!$B$7+[1]Parametros!$B$9/2)))^2))^2)</f>
        <v>0.99582008280307766</v>
      </c>
      <c r="BG583" s="13">
        <f>[1]Parametros!$B$6*(AJ583*1000/(H583*MIN(U583,AB583))+0.66*SQRT([1]Parametros!$B$2))</f>
        <v>3.2939603822754151</v>
      </c>
      <c r="BH583" s="13" t="str">
        <f t="shared" si="128"/>
        <v>CUMPLE</v>
      </c>
      <c r="BI583" s="13">
        <f>AX583*[1]Parametros!$B$8</f>
        <v>0</v>
      </c>
      <c r="BJ583" s="15" t="str">
        <f t="shared" si="129"/>
        <v>CUMPLE</v>
      </c>
    </row>
    <row r="584" spans="1:62" x14ac:dyDescent="0.3">
      <c r="A584" s="45" t="s">
        <v>78</v>
      </c>
      <c r="B584" s="46">
        <v>133</v>
      </c>
      <c r="C584" s="13">
        <v>1</v>
      </c>
      <c r="D584" s="13">
        <v>1.9</v>
      </c>
      <c r="E584" s="13">
        <v>1.9</v>
      </c>
      <c r="F584" s="13">
        <v>450</v>
      </c>
      <c r="G584" s="13">
        <v>550</v>
      </c>
      <c r="H584" s="13">
        <v>450</v>
      </c>
      <c r="I584" s="13">
        <v>550</v>
      </c>
      <c r="J584" s="14">
        <v>26.165199999999999</v>
      </c>
      <c r="K584" s="13">
        <v>133</v>
      </c>
      <c r="L584" s="14">
        <v>12.492900000000001</v>
      </c>
      <c r="M584" s="13">
        <v>133</v>
      </c>
      <c r="N584" s="14">
        <v>23.896000000000001</v>
      </c>
      <c r="O584" s="14">
        <v>65.623999999999995</v>
      </c>
      <c r="P584" s="13">
        <v>133</v>
      </c>
      <c r="Q584" s="14">
        <v>13.587400000000001</v>
      </c>
      <c r="R584" s="13">
        <f>MAX(MAX(1.4/[1]Parametros!$B$3,0.25*SQRT([1]Parametros!$B$2)/[1]Parametros!$B$3)*H584*U584,(0.85*[1]Parametros!$B$2/[1]Parametros!$B$3)*(1-SQRT(1-2*(J584*1000000/([1]Parametros!$B$5*H584*U584^2))/(0.85*[1]Parametros!$B$2)))*H584*U584)</f>
        <v>734.02500000000009</v>
      </c>
      <c r="S584" s="14">
        <v>4</v>
      </c>
      <c r="T584" s="14">
        <v>1</v>
      </c>
      <c r="U584" s="13">
        <f>IF(T584=1,I584-([1]Parametros!$B$7+[1]Parametros!$B$9+[1]Parametros!$B$12/2),I584-(ROUNDUP(S584/2,0)*([1]Parametros!$B$7+[1]Parametros!$B$9+[1]Parametros!$B$12/2)+ROUNDDOWN(S584/2,0)*([1]Parametros!$B$7+[1]Parametros!$B$9+[1]Parametros!$B$12/2+[1]Parametros!$B$12+[1]Parametros!$B$10))/S584)</f>
        <v>489.35</v>
      </c>
      <c r="V584" s="13">
        <f>S584*[1]Parametros!$B$8</f>
        <v>796</v>
      </c>
      <c r="W584" s="13">
        <f>[1]Parametros!$B$5*V584*[1]Parametros!$B$3*(U584-(V584*[1]Parametros!$B$3/(0.85*[1]Parametros!$B$2*H584))/2)/1000000</f>
        <v>142.54333009411764</v>
      </c>
      <c r="X584" s="13" t="str">
        <f t="shared" si="117"/>
        <v>CUMPLE</v>
      </c>
      <c r="Y584" s="13">
        <f>MAX(MAX(1.4/[1]Parametros!$B$3,0.25*SQRT([1]Parametros!$B$2)/[1]Parametros!$B$3)*H584*AB584,(0.85*[1]Parametros!$B$2/[1]Parametros!$B$3)*(1-SQRT(1-2*(L584*1000000/([1]Parametros!$B$5*H584*AB584^2))/(0.85*[1]Parametros!$B$2)))*H584*AB584)</f>
        <v>734.02500000000009</v>
      </c>
      <c r="Z584" s="14">
        <v>4</v>
      </c>
      <c r="AA584" s="14">
        <v>1</v>
      </c>
      <c r="AB584" s="13">
        <f>IF(AA584=1,I584-([1]Parametros!$B$7+[1]Parametros!$B$9+[1]Parametros!$B$12/2),I584-(ROUNDUP(Z584/2,0)*([1]Parametros!$B$7+[1]Parametros!$B$9+[1]Parametros!$B$12/2)+ROUNDDOWN(Z584/2,0)*([1]Parametros!$B$7+[1]Parametros!$B$9+[1]Parametros!$B$12/2+[1]Parametros!$B$12+[1]Parametros!$B$10))/Z584)</f>
        <v>489.35</v>
      </c>
      <c r="AC584" s="13">
        <f>Z584*[1]Parametros!$B$8</f>
        <v>796</v>
      </c>
      <c r="AD584" s="13">
        <f>[1]Parametros!$B$5*AC584*[1]Parametros!$B$3*(AB584-(AC584*[1]Parametros!$B$3/(0.85*[1]Parametros!$B$2*H584))/2)/1000000</f>
        <v>142.54333009411764</v>
      </c>
      <c r="AE584" s="13" t="str">
        <f t="shared" si="118"/>
        <v>CUMPLE</v>
      </c>
      <c r="AF584" s="13">
        <f>V584*1.25*[1]Parametros!$B$3*(U584-(V584*1.25*[1]Parametros!$B$3/(0.85*[1]Parametros!$B$2*H584))/2)/1000000</f>
        <v>196.34621794117646</v>
      </c>
      <c r="AG584" s="13">
        <f>AC584*1.25*[1]Parametros!$B$3*(AB584-(AC584*1.25*[1]Parametros!$B$3/(0.85*[1]Parametros!$B$2*H584))/2)/1000000</f>
        <v>196.34621794117646</v>
      </c>
      <c r="AH584" s="13">
        <f t="shared" si="119"/>
        <v>230.5762294117647</v>
      </c>
      <c r="AI584" s="13">
        <f t="shared" si="120"/>
        <v>230.5762294117647</v>
      </c>
      <c r="AJ584" s="13">
        <f>0.17*SQRT([1]Parametros!$B$2)*H584*MIN(U584,AB584)/1000</f>
        <v>198.08885582262698</v>
      </c>
      <c r="AK584" s="13">
        <f>MAX(AI584/[1]Parametros!$B$6-AJ584,0)</f>
        <v>109.34611672639264</v>
      </c>
      <c r="AL584" s="13">
        <f>0.66*SQRT([1]Parametros!$B$2)*H584*MIN(U584,AB584)/1000</f>
        <v>769.05085201725785</v>
      </c>
      <c r="AM584" s="13" t="str">
        <f t="shared" si="121"/>
        <v>CUMPLE</v>
      </c>
      <c r="AN584" s="13" t="s">
        <v>64</v>
      </c>
      <c r="AO584" s="14">
        <v>2</v>
      </c>
      <c r="AP584" s="13">
        <f>ROUNDDOWN(MIN(IF(BC584+BD584=0,1000000000,AO584*BB584/(BC584+BD584)),MIN(U584,AB584)/4,8*[1]Parametros!$B$12,24*BA584,300,IF(AV584=0,1000000000,2*((H584-2*([1]Parametros!$B$7+[1]Parametros!$B$9/2))+(I584-2*([1]Parametros!$B$7+[1]Parametros!$B$9/2)))/8))/10,0)*10</f>
        <v>120</v>
      </c>
      <c r="AQ584" s="13">
        <f>ROUNDDOWN(MIN(IF(BC584+BD584=0,1000000000,AO584*BB584/(BC584+BD584)),IF(AK584&gt;0.33*SQRT([1]Parametros!$B$2)*H584*MIN(U584,AB584)/1000,MIN(U584,AB584)/4,MIN(U584,AB584)/2),600,IF(AV584=0,1000000000,2*((H584-2*([1]Parametros!$B$7+[1]Parametros!$B$9/2))+(I584-2*([1]Parametros!$B$7+[1]Parametros!$B$9/2)))/8))/10,0)*10</f>
        <v>160</v>
      </c>
      <c r="AR584" s="13">
        <f>[1]Parametros!$B$6*(AJ584+MAX(BE584-BD584,0)*[1]Parametros!$B$4*MIN(U584,AB584)/1000)</f>
        <v>283.09751322430554</v>
      </c>
      <c r="AS584" s="13" t="str">
        <f t="shared" si="122"/>
        <v>CUMPLE</v>
      </c>
      <c r="AT584" s="13">
        <f>[1]Parametros!$B$6*0.083*SQRT([1]Parametros!$B$2)*(H584*I584)^2/(2*(H584+I584))/1000000</f>
        <v>10.08878303333792</v>
      </c>
      <c r="AU584" s="13" t="str">
        <f t="shared" si="123"/>
        <v>DISEÑAR</v>
      </c>
      <c r="AV584" s="13">
        <f>IF(Q584&lt;=AT584,0,Q584*1000000/([1]Parametros!$B$6*2*0.85*(H584-2*([1]Parametros!$B$7+[1]Parametros!$B$9/2))*(I584-2*([1]Parametros!$B$7+[1]Parametros!$B$9/2))*[1]Parametros!$B$4))</f>
        <v>0.15528970611376203</v>
      </c>
      <c r="AW584" s="13">
        <f>AV584*2*((H584-2*([1]Parametros!$B$7+[1]Parametros!$B$9/2))+(I584-2*([1]Parametros!$B$7+[1]Parametros!$B$9/2)))*[1]Parametros!$B$4/[1]Parametros!$B$3</f>
        <v>252.99798920054113</v>
      </c>
      <c r="AX584" s="14">
        <v>8</v>
      </c>
      <c r="AY584" s="13" t="str">
        <f t="shared" si="124"/>
        <v>CUMPLE</v>
      </c>
      <c r="AZ584" s="13" t="str">
        <f t="shared" si="125"/>
        <v>CUMPLE</v>
      </c>
      <c r="BA584" s="14">
        <v>9.5</v>
      </c>
      <c r="BB584" s="14">
        <v>71</v>
      </c>
      <c r="BC584" s="13">
        <f>MAX(IF(AK584=0,0,AK584*1000/([1]Parametros!$B$4*MIN(U584,AB584))),MAX(0.062*SQRT([1]Parametros!$B$2)*H584/[1]Parametros!$B$4,0.35*H584/[1]Parametros!$B$4))</f>
        <v>0.53202799012486257</v>
      </c>
      <c r="BD584" s="13">
        <f t="shared" si="126"/>
        <v>0.31057941222752405</v>
      </c>
      <c r="BE584" s="13">
        <f t="shared" si="127"/>
        <v>1.1833333333333333</v>
      </c>
      <c r="BF584" s="13">
        <f>SQRT((AI584*1000/(H584*MIN(U584,AB584)))^2+(Q584*1000000*2*((H584-2*([1]Parametros!$B$7+[1]Parametros!$B$9/2))+(I584-2*([1]Parametros!$B$7+[1]Parametros!$B$9/2)))/(1.7*((H584-2*([1]Parametros!$B$7+[1]Parametros!$B$9/2))*(I584-2*([1]Parametros!$B$7+[1]Parametros!$B$9/2)))^2))^2)</f>
        <v>1.1551126711185933</v>
      </c>
      <c r="BG584" s="13">
        <f>[1]Parametros!$B$6*(AJ584*1000/(H584*MIN(U584,AB584))+0.66*SQRT([1]Parametros!$B$2))</f>
        <v>3.2939603822754151</v>
      </c>
      <c r="BH584" s="13" t="str">
        <f t="shared" si="128"/>
        <v>CUMPLE</v>
      </c>
      <c r="BI584" s="13">
        <f>AX584*[1]Parametros!$B$8</f>
        <v>1592</v>
      </c>
      <c r="BJ584" s="15" t="str">
        <f t="shared" si="129"/>
        <v>CUMPLE</v>
      </c>
    </row>
    <row r="585" spans="1:62" x14ac:dyDescent="0.3">
      <c r="A585" s="45" t="s">
        <v>78</v>
      </c>
      <c r="B585" s="46">
        <v>134</v>
      </c>
      <c r="C585" s="13">
        <v>1</v>
      </c>
      <c r="D585" s="13">
        <v>1.9</v>
      </c>
      <c r="E585" s="13">
        <v>1.9</v>
      </c>
      <c r="F585" s="13">
        <v>450</v>
      </c>
      <c r="G585" s="13">
        <v>550</v>
      </c>
      <c r="H585" s="13">
        <v>450</v>
      </c>
      <c r="I585" s="13">
        <v>550</v>
      </c>
      <c r="J585" s="14">
        <v>26.0932</v>
      </c>
      <c r="K585" s="13">
        <v>134</v>
      </c>
      <c r="L585" s="14">
        <v>12.492699999999999</v>
      </c>
      <c r="M585" s="13">
        <v>134</v>
      </c>
      <c r="N585" s="14">
        <v>23.867000000000001</v>
      </c>
      <c r="O585" s="14">
        <v>65.593000000000004</v>
      </c>
      <c r="P585" s="13">
        <v>134</v>
      </c>
      <c r="Q585" s="14">
        <v>13.5756</v>
      </c>
      <c r="R585" s="13">
        <f>MAX(MAX(1.4/[1]Parametros!$B$3,0.25*SQRT([1]Parametros!$B$2)/[1]Parametros!$B$3)*H585*U585,(0.85*[1]Parametros!$B$2/[1]Parametros!$B$3)*(1-SQRT(1-2*(J585*1000000/([1]Parametros!$B$5*H585*U585^2))/(0.85*[1]Parametros!$B$2)))*H585*U585)</f>
        <v>734.02500000000009</v>
      </c>
      <c r="S585" s="14">
        <v>4</v>
      </c>
      <c r="T585" s="14">
        <v>1</v>
      </c>
      <c r="U585" s="13">
        <f>IF(T585=1,I585-([1]Parametros!$B$7+[1]Parametros!$B$9+[1]Parametros!$B$12/2),I585-(ROUNDUP(S585/2,0)*([1]Parametros!$B$7+[1]Parametros!$B$9+[1]Parametros!$B$12/2)+ROUNDDOWN(S585/2,0)*([1]Parametros!$B$7+[1]Parametros!$B$9+[1]Parametros!$B$12/2+[1]Parametros!$B$12+[1]Parametros!$B$10))/S585)</f>
        <v>489.35</v>
      </c>
      <c r="V585" s="13">
        <f>S585*[1]Parametros!$B$8</f>
        <v>796</v>
      </c>
      <c r="W585" s="13">
        <f>[1]Parametros!$B$5*V585*[1]Parametros!$B$3*(U585-(V585*[1]Parametros!$B$3/(0.85*[1]Parametros!$B$2*H585))/2)/1000000</f>
        <v>142.54333009411764</v>
      </c>
      <c r="X585" s="13" t="str">
        <f t="shared" si="117"/>
        <v>CUMPLE</v>
      </c>
      <c r="Y585" s="13">
        <f>MAX(MAX(1.4/[1]Parametros!$B$3,0.25*SQRT([1]Parametros!$B$2)/[1]Parametros!$B$3)*H585*AB585,(0.85*[1]Parametros!$B$2/[1]Parametros!$B$3)*(1-SQRT(1-2*(L585*1000000/([1]Parametros!$B$5*H585*AB585^2))/(0.85*[1]Parametros!$B$2)))*H585*AB585)</f>
        <v>734.02500000000009</v>
      </c>
      <c r="Z585" s="14">
        <v>4</v>
      </c>
      <c r="AA585" s="14">
        <v>1</v>
      </c>
      <c r="AB585" s="13">
        <f>IF(AA585=1,I585-([1]Parametros!$B$7+[1]Parametros!$B$9+[1]Parametros!$B$12/2),I585-(ROUNDUP(Z585/2,0)*([1]Parametros!$B$7+[1]Parametros!$B$9+[1]Parametros!$B$12/2)+ROUNDDOWN(Z585/2,0)*([1]Parametros!$B$7+[1]Parametros!$B$9+[1]Parametros!$B$12/2+[1]Parametros!$B$12+[1]Parametros!$B$10))/Z585)</f>
        <v>489.35</v>
      </c>
      <c r="AC585" s="13">
        <f>Z585*[1]Parametros!$B$8</f>
        <v>796</v>
      </c>
      <c r="AD585" s="13">
        <f>[1]Parametros!$B$5*AC585*[1]Parametros!$B$3*(AB585-(AC585*[1]Parametros!$B$3/(0.85*[1]Parametros!$B$2*H585))/2)/1000000</f>
        <v>142.54333009411764</v>
      </c>
      <c r="AE585" s="13" t="str">
        <f t="shared" si="118"/>
        <v>CUMPLE</v>
      </c>
      <c r="AF585" s="13">
        <f>V585*1.25*[1]Parametros!$B$3*(U585-(V585*1.25*[1]Parametros!$B$3/(0.85*[1]Parametros!$B$2*H585))/2)/1000000</f>
        <v>196.34621794117646</v>
      </c>
      <c r="AG585" s="13">
        <f>AC585*1.25*[1]Parametros!$B$3*(AB585-(AC585*1.25*[1]Parametros!$B$3/(0.85*[1]Parametros!$B$2*H585))/2)/1000000</f>
        <v>196.34621794117646</v>
      </c>
      <c r="AH585" s="13">
        <f t="shared" si="119"/>
        <v>230.5472294117647</v>
      </c>
      <c r="AI585" s="13">
        <f t="shared" si="120"/>
        <v>230.5472294117647</v>
      </c>
      <c r="AJ585" s="13">
        <f>0.17*SQRT([1]Parametros!$B$2)*H585*MIN(U585,AB585)/1000</f>
        <v>198.08885582262698</v>
      </c>
      <c r="AK585" s="13">
        <f>MAX(AI585/[1]Parametros!$B$6-AJ585,0)</f>
        <v>109.30745005972594</v>
      </c>
      <c r="AL585" s="13">
        <f>0.66*SQRT([1]Parametros!$B$2)*H585*MIN(U585,AB585)/1000</f>
        <v>769.05085201725785</v>
      </c>
      <c r="AM585" s="13" t="str">
        <f t="shared" si="121"/>
        <v>CUMPLE</v>
      </c>
      <c r="AN585" s="13" t="s">
        <v>64</v>
      </c>
      <c r="AO585" s="14">
        <v>2</v>
      </c>
      <c r="AP585" s="13">
        <f>ROUNDDOWN(MIN(IF(BC585+BD585=0,1000000000,AO585*BB585/(BC585+BD585)),MIN(U585,AB585)/4,8*[1]Parametros!$B$12,24*BA585,300,IF(AV585=0,1000000000,2*((H585-2*([1]Parametros!$B$7+[1]Parametros!$B$9/2))+(I585-2*([1]Parametros!$B$7+[1]Parametros!$B$9/2)))/8))/10,0)*10</f>
        <v>120</v>
      </c>
      <c r="AQ585" s="13">
        <f>ROUNDDOWN(MIN(IF(BC585+BD585=0,1000000000,AO585*BB585/(BC585+BD585)),IF(AK585&gt;0.33*SQRT([1]Parametros!$B$2)*H585*MIN(U585,AB585)/1000,MIN(U585,AB585)/4,MIN(U585,AB585)/2),600,IF(AV585=0,1000000000,2*((H585-2*([1]Parametros!$B$7+[1]Parametros!$B$9/2))+(I585-2*([1]Parametros!$B$7+[1]Parametros!$B$9/2)))/8))/10,0)*10</f>
        <v>160</v>
      </c>
      <c r="AR585" s="13">
        <f>[1]Parametros!$B$6*(AJ585+MAX(BE585-BD585,0)*[1]Parametros!$B$4*MIN(U585,AB585)/1000)</f>
        <v>283.13908977504241</v>
      </c>
      <c r="AS585" s="13" t="str">
        <f t="shared" si="122"/>
        <v>CUMPLE</v>
      </c>
      <c r="AT585" s="13">
        <f>[1]Parametros!$B$6*0.083*SQRT([1]Parametros!$B$2)*(H585*I585)^2/(2*(H585+I585))/1000000</f>
        <v>10.08878303333792</v>
      </c>
      <c r="AU585" s="13" t="str">
        <f t="shared" si="123"/>
        <v>DISEÑAR</v>
      </c>
      <c r="AV585" s="13">
        <f>IF(Q585&lt;=AT585,0,Q585*1000000/([1]Parametros!$B$6*2*0.85*(H585-2*([1]Parametros!$B$7+[1]Parametros!$B$9/2))*(I585-2*([1]Parametros!$B$7+[1]Parametros!$B$9/2))*[1]Parametros!$B$4))</f>
        <v>0.15515484451167902</v>
      </c>
      <c r="AW585" s="13">
        <f>AV585*2*((H585-2*([1]Parametros!$B$7+[1]Parametros!$B$9/2))+(I585-2*([1]Parametros!$B$7+[1]Parametros!$B$9/2)))*[1]Parametros!$B$4/[1]Parametros!$B$3</f>
        <v>252.77827267842747</v>
      </c>
      <c r="AX585" s="14">
        <v>8</v>
      </c>
      <c r="AY585" s="13" t="str">
        <f t="shared" si="124"/>
        <v>CUMPLE</v>
      </c>
      <c r="AZ585" s="13" t="str">
        <f t="shared" si="125"/>
        <v>CUMPLE</v>
      </c>
      <c r="BA585" s="14">
        <v>9.5</v>
      </c>
      <c r="BB585" s="14">
        <v>71</v>
      </c>
      <c r="BC585" s="13">
        <f>MAX(IF(AK585=0,0,AK585*1000/([1]Parametros!$B$4*MIN(U585,AB585))),MAX(0.062*SQRT([1]Parametros!$B$2)*H585/[1]Parametros!$B$4,0.35*H585/[1]Parametros!$B$4))</f>
        <v>0.53183985588134863</v>
      </c>
      <c r="BD585" s="13">
        <f t="shared" si="126"/>
        <v>0.31030968902335804</v>
      </c>
      <c r="BE585" s="13">
        <f t="shared" si="127"/>
        <v>1.1833333333333333</v>
      </c>
      <c r="BF585" s="13">
        <f>SQRT((AI585*1000/(H585*MIN(U585,AB585)))^2+(Q585*1000000*2*((H585-2*([1]Parametros!$B$7+[1]Parametros!$B$9/2))+(I585-2*([1]Parametros!$B$7+[1]Parametros!$B$9/2)))/(1.7*((H585-2*([1]Parametros!$B$7+[1]Parametros!$B$9/2))*(I585-2*([1]Parametros!$B$7+[1]Parametros!$B$9/2)))^2))^2)</f>
        <v>1.1548144819996429</v>
      </c>
      <c r="BG585" s="13">
        <f>[1]Parametros!$B$6*(AJ585*1000/(H585*MIN(U585,AB585))+0.66*SQRT([1]Parametros!$B$2))</f>
        <v>3.2939603822754151</v>
      </c>
      <c r="BH585" s="13" t="str">
        <f t="shared" si="128"/>
        <v>CUMPLE</v>
      </c>
      <c r="BI585" s="13">
        <f>AX585*[1]Parametros!$B$8</f>
        <v>1592</v>
      </c>
      <c r="BJ585" s="15" t="str">
        <f t="shared" si="129"/>
        <v>CUMPLE</v>
      </c>
    </row>
    <row r="586" spans="1:62" x14ac:dyDescent="0.3">
      <c r="A586" s="45" t="s">
        <v>78</v>
      </c>
      <c r="B586" s="46">
        <v>135</v>
      </c>
      <c r="C586" s="13">
        <v>1</v>
      </c>
      <c r="D586" s="13">
        <v>1.9</v>
      </c>
      <c r="E586" s="13">
        <v>1.9</v>
      </c>
      <c r="F586" s="13">
        <v>450</v>
      </c>
      <c r="G586" s="13">
        <v>550</v>
      </c>
      <c r="H586" s="13">
        <v>450</v>
      </c>
      <c r="I586" s="13">
        <v>550</v>
      </c>
      <c r="J586" s="14">
        <v>26.060500000000001</v>
      </c>
      <c r="K586" s="13">
        <v>135</v>
      </c>
      <c r="L586" s="14">
        <v>12.4617</v>
      </c>
      <c r="M586" s="13">
        <v>135</v>
      </c>
      <c r="N586" s="14">
        <v>23.831</v>
      </c>
      <c r="O586" s="14">
        <v>65.533000000000001</v>
      </c>
      <c r="P586" s="13">
        <v>135</v>
      </c>
      <c r="Q586" s="14">
        <v>13.544</v>
      </c>
      <c r="R586" s="13">
        <f>MAX(MAX(1.4/[1]Parametros!$B$3,0.25*SQRT([1]Parametros!$B$2)/[1]Parametros!$B$3)*H586*U586,(0.85*[1]Parametros!$B$2/[1]Parametros!$B$3)*(1-SQRT(1-2*(J586*1000000/([1]Parametros!$B$5*H586*U586^2))/(0.85*[1]Parametros!$B$2)))*H586*U586)</f>
        <v>734.02500000000009</v>
      </c>
      <c r="S586" s="14">
        <v>4</v>
      </c>
      <c r="T586" s="14">
        <v>1</v>
      </c>
      <c r="U586" s="13">
        <f>IF(T586=1,I586-([1]Parametros!$B$7+[1]Parametros!$B$9+[1]Parametros!$B$12/2),I586-(ROUNDUP(S586/2,0)*([1]Parametros!$B$7+[1]Parametros!$B$9+[1]Parametros!$B$12/2)+ROUNDDOWN(S586/2,0)*([1]Parametros!$B$7+[1]Parametros!$B$9+[1]Parametros!$B$12/2+[1]Parametros!$B$12+[1]Parametros!$B$10))/S586)</f>
        <v>489.35</v>
      </c>
      <c r="V586" s="13">
        <f>S586*[1]Parametros!$B$8</f>
        <v>796</v>
      </c>
      <c r="W586" s="13">
        <f>[1]Parametros!$B$5*V586*[1]Parametros!$B$3*(U586-(V586*[1]Parametros!$B$3/(0.85*[1]Parametros!$B$2*H586))/2)/1000000</f>
        <v>142.54333009411764</v>
      </c>
      <c r="X586" s="13" t="str">
        <f t="shared" si="117"/>
        <v>CUMPLE</v>
      </c>
      <c r="Y586" s="13">
        <f>MAX(MAX(1.4/[1]Parametros!$B$3,0.25*SQRT([1]Parametros!$B$2)/[1]Parametros!$B$3)*H586*AB586,(0.85*[1]Parametros!$B$2/[1]Parametros!$B$3)*(1-SQRT(1-2*(L586*1000000/([1]Parametros!$B$5*H586*AB586^2))/(0.85*[1]Parametros!$B$2)))*H586*AB586)</f>
        <v>734.02500000000009</v>
      </c>
      <c r="Z586" s="14">
        <v>4</v>
      </c>
      <c r="AA586" s="14">
        <v>1</v>
      </c>
      <c r="AB586" s="13">
        <f>IF(AA586=1,I586-([1]Parametros!$B$7+[1]Parametros!$B$9+[1]Parametros!$B$12/2),I586-(ROUNDUP(Z586/2,0)*([1]Parametros!$B$7+[1]Parametros!$B$9+[1]Parametros!$B$12/2)+ROUNDDOWN(Z586/2,0)*([1]Parametros!$B$7+[1]Parametros!$B$9+[1]Parametros!$B$12/2+[1]Parametros!$B$12+[1]Parametros!$B$10))/Z586)</f>
        <v>489.35</v>
      </c>
      <c r="AC586" s="13">
        <f>Z586*[1]Parametros!$B$8</f>
        <v>796</v>
      </c>
      <c r="AD586" s="13">
        <f>[1]Parametros!$B$5*AC586*[1]Parametros!$B$3*(AB586-(AC586*[1]Parametros!$B$3/(0.85*[1]Parametros!$B$2*H586))/2)/1000000</f>
        <v>142.54333009411764</v>
      </c>
      <c r="AE586" s="13" t="str">
        <f t="shared" si="118"/>
        <v>CUMPLE</v>
      </c>
      <c r="AF586" s="13">
        <f>V586*1.25*[1]Parametros!$B$3*(U586-(V586*1.25*[1]Parametros!$B$3/(0.85*[1]Parametros!$B$2*H586))/2)/1000000</f>
        <v>196.34621794117646</v>
      </c>
      <c r="AG586" s="13">
        <f>AC586*1.25*[1]Parametros!$B$3*(AB586-(AC586*1.25*[1]Parametros!$B$3/(0.85*[1]Parametros!$B$2*H586))/2)/1000000</f>
        <v>196.34621794117646</v>
      </c>
      <c r="AH586" s="13">
        <f t="shared" si="119"/>
        <v>230.5112294117647</v>
      </c>
      <c r="AI586" s="13">
        <f t="shared" si="120"/>
        <v>230.5112294117647</v>
      </c>
      <c r="AJ586" s="13">
        <f>0.17*SQRT([1]Parametros!$B$2)*H586*MIN(U586,AB586)/1000</f>
        <v>198.08885582262698</v>
      </c>
      <c r="AK586" s="13">
        <f>MAX(AI586/[1]Parametros!$B$6-AJ586,0)</f>
        <v>109.25945005972594</v>
      </c>
      <c r="AL586" s="13">
        <f>0.66*SQRT([1]Parametros!$B$2)*H586*MIN(U586,AB586)/1000</f>
        <v>769.05085201725785</v>
      </c>
      <c r="AM586" s="13" t="str">
        <f t="shared" si="121"/>
        <v>CUMPLE</v>
      </c>
      <c r="AN586" s="13" t="s">
        <v>64</v>
      </c>
      <c r="AO586" s="14">
        <v>2</v>
      </c>
      <c r="AP586" s="13">
        <f>ROUNDDOWN(MIN(IF(BC586+BD586=0,1000000000,AO586*BB586/(BC586+BD586)),MIN(U586,AB586)/4,8*[1]Parametros!$B$12,24*BA586,300,IF(AV586=0,1000000000,2*((H586-2*([1]Parametros!$B$7+[1]Parametros!$B$9/2))+(I586-2*([1]Parametros!$B$7+[1]Parametros!$B$9/2)))/8))/10,0)*10</f>
        <v>120</v>
      </c>
      <c r="AQ586" s="13">
        <f>ROUNDDOWN(MIN(IF(BC586+BD586=0,1000000000,AO586*BB586/(BC586+BD586)),IF(AK586&gt;0.33*SQRT([1]Parametros!$B$2)*H586*MIN(U586,AB586)/1000,MIN(U586,AB586)/4,MIN(U586,AB586)/2),600,IF(AV586=0,1000000000,2*((H586-2*([1]Parametros!$B$7+[1]Parametros!$B$9/2))+(I586-2*([1]Parametros!$B$7+[1]Parametros!$B$9/2)))/8))/10,0)*10</f>
        <v>160</v>
      </c>
      <c r="AR586" s="13">
        <f>[1]Parametros!$B$6*(AJ586+MAX(BE586-BD586,0)*[1]Parametros!$B$4*MIN(U586,AB586)/1000)</f>
        <v>283.25043036854146</v>
      </c>
      <c r="AS586" s="13" t="str">
        <f t="shared" si="122"/>
        <v>CUMPLE</v>
      </c>
      <c r="AT586" s="13">
        <f>[1]Parametros!$B$6*0.083*SQRT([1]Parametros!$B$2)*(H586*I586)^2/(2*(H586+I586))/1000000</f>
        <v>10.08878303333792</v>
      </c>
      <c r="AU586" s="13" t="str">
        <f t="shared" si="123"/>
        <v>DISEÑAR</v>
      </c>
      <c r="AV586" s="13">
        <f>IF(Q586&lt;=AT586,0,Q586*1000000/([1]Parametros!$B$6*2*0.85*(H586-2*([1]Parametros!$B$7+[1]Parametros!$B$9/2))*(I586-2*([1]Parametros!$B$7+[1]Parametros!$B$9/2))*[1]Parametros!$B$4))</f>
        <v>0.15479368971288052</v>
      </c>
      <c r="AW586" s="13">
        <f>AV586*2*((H586-2*([1]Parametros!$B$7+[1]Parametros!$B$9/2))+(I586-2*([1]Parametros!$B$7+[1]Parametros!$B$9/2)))*[1]Parametros!$B$4/[1]Parametros!$B$3</f>
        <v>252.18987928022494</v>
      </c>
      <c r="AX586" s="14">
        <v>8</v>
      </c>
      <c r="AY586" s="13" t="str">
        <f t="shared" si="124"/>
        <v>CUMPLE</v>
      </c>
      <c r="AZ586" s="13" t="str">
        <f t="shared" si="125"/>
        <v>CUMPLE</v>
      </c>
      <c r="BA586" s="14">
        <v>9.5</v>
      </c>
      <c r="BB586" s="14">
        <v>71</v>
      </c>
      <c r="BC586" s="13">
        <f>MAX(IF(AK586=0,0,AK586*1000/([1]Parametros!$B$4*MIN(U586,AB586))),MAX(0.062*SQRT([1]Parametros!$B$2)*H586/[1]Parametros!$B$4,0.35*H586/[1]Parametros!$B$4))</f>
        <v>0.53160630992388314</v>
      </c>
      <c r="BD586" s="13">
        <f t="shared" si="126"/>
        <v>0.30958737942576103</v>
      </c>
      <c r="BE586" s="13">
        <f t="shared" si="127"/>
        <v>1.1833333333333333</v>
      </c>
      <c r="BF586" s="13">
        <f>SQRT((AI586*1000/(H586*MIN(U586,AB586)))^2+(Q586*1000000*2*((H586-2*([1]Parametros!$B$7+[1]Parametros!$B$9/2))+(I586-2*([1]Parametros!$B$7+[1]Parametros!$B$9/2)))/(1.7*((H586-2*([1]Parametros!$B$7+[1]Parametros!$B$9/2))*(I586-2*([1]Parametros!$B$7+[1]Parametros!$B$9/2)))^2))^2)</f>
        <v>1.1541879848806273</v>
      </c>
      <c r="BG586" s="13">
        <f>[1]Parametros!$B$6*(AJ586*1000/(H586*MIN(U586,AB586))+0.66*SQRT([1]Parametros!$B$2))</f>
        <v>3.2939603822754151</v>
      </c>
      <c r="BH586" s="13" t="str">
        <f t="shared" si="128"/>
        <v>CUMPLE</v>
      </c>
      <c r="BI586" s="13">
        <f>AX586*[1]Parametros!$B$8</f>
        <v>1592</v>
      </c>
      <c r="BJ586" s="15" t="str">
        <f t="shared" si="129"/>
        <v>CUMPLE</v>
      </c>
    </row>
    <row r="587" spans="1:62" x14ac:dyDescent="0.3">
      <c r="A587" s="45" t="s">
        <v>78</v>
      </c>
      <c r="B587" s="46">
        <v>136</v>
      </c>
      <c r="C587" s="13">
        <v>1</v>
      </c>
      <c r="D587" s="13">
        <v>1.9</v>
      </c>
      <c r="E587" s="13">
        <v>1.9</v>
      </c>
      <c r="F587" s="13">
        <v>450</v>
      </c>
      <c r="G587" s="13">
        <v>550</v>
      </c>
      <c r="H587" s="13">
        <v>450</v>
      </c>
      <c r="I587" s="13">
        <v>550</v>
      </c>
      <c r="J587" s="14">
        <v>26.116499999999998</v>
      </c>
      <c r="K587" s="13">
        <v>136</v>
      </c>
      <c r="L587" s="14">
        <v>12.4617</v>
      </c>
      <c r="M587" s="13">
        <v>136</v>
      </c>
      <c r="N587" s="14">
        <v>23.853999999999999</v>
      </c>
      <c r="O587" s="14">
        <v>65.555999999999997</v>
      </c>
      <c r="P587" s="13">
        <v>136</v>
      </c>
      <c r="Q587" s="14">
        <v>13.555099999999999</v>
      </c>
      <c r="R587" s="13">
        <f>MAX(MAX(1.4/[1]Parametros!$B$3,0.25*SQRT([1]Parametros!$B$2)/[1]Parametros!$B$3)*H587*U587,(0.85*[1]Parametros!$B$2/[1]Parametros!$B$3)*(1-SQRT(1-2*(J587*1000000/([1]Parametros!$B$5*H587*U587^2))/(0.85*[1]Parametros!$B$2)))*H587*U587)</f>
        <v>734.02500000000009</v>
      </c>
      <c r="S587" s="14">
        <v>4</v>
      </c>
      <c r="T587" s="14">
        <v>1</v>
      </c>
      <c r="U587" s="13">
        <f>IF(T587=1,I587-([1]Parametros!$B$7+[1]Parametros!$B$9+[1]Parametros!$B$12/2),I587-(ROUNDUP(S587/2,0)*([1]Parametros!$B$7+[1]Parametros!$B$9+[1]Parametros!$B$12/2)+ROUNDDOWN(S587/2,0)*([1]Parametros!$B$7+[1]Parametros!$B$9+[1]Parametros!$B$12/2+[1]Parametros!$B$12+[1]Parametros!$B$10))/S587)</f>
        <v>489.35</v>
      </c>
      <c r="V587" s="13">
        <f>S587*[1]Parametros!$B$8</f>
        <v>796</v>
      </c>
      <c r="W587" s="13">
        <f>[1]Parametros!$B$5*V587*[1]Parametros!$B$3*(U587-(V587*[1]Parametros!$B$3/(0.85*[1]Parametros!$B$2*H587))/2)/1000000</f>
        <v>142.54333009411764</v>
      </c>
      <c r="X587" s="13" t="str">
        <f t="shared" si="117"/>
        <v>CUMPLE</v>
      </c>
      <c r="Y587" s="13">
        <f>MAX(MAX(1.4/[1]Parametros!$B$3,0.25*SQRT([1]Parametros!$B$2)/[1]Parametros!$B$3)*H587*AB587,(0.85*[1]Parametros!$B$2/[1]Parametros!$B$3)*(1-SQRT(1-2*(L587*1000000/([1]Parametros!$B$5*H587*AB587^2))/(0.85*[1]Parametros!$B$2)))*H587*AB587)</f>
        <v>734.02500000000009</v>
      </c>
      <c r="Z587" s="14">
        <v>4</v>
      </c>
      <c r="AA587" s="14">
        <v>1</v>
      </c>
      <c r="AB587" s="13">
        <f>IF(AA587=1,I587-([1]Parametros!$B$7+[1]Parametros!$B$9+[1]Parametros!$B$12/2),I587-(ROUNDUP(Z587/2,0)*([1]Parametros!$B$7+[1]Parametros!$B$9+[1]Parametros!$B$12/2)+ROUNDDOWN(Z587/2,0)*([1]Parametros!$B$7+[1]Parametros!$B$9+[1]Parametros!$B$12/2+[1]Parametros!$B$12+[1]Parametros!$B$10))/Z587)</f>
        <v>489.35</v>
      </c>
      <c r="AC587" s="13">
        <f>Z587*[1]Parametros!$B$8</f>
        <v>796</v>
      </c>
      <c r="AD587" s="13">
        <f>[1]Parametros!$B$5*AC587*[1]Parametros!$B$3*(AB587-(AC587*[1]Parametros!$B$3/(0.85*[1]Parametros!$B$2*H587))/2)/1000000</f>
        <v>142.54333009411764</v>
      </c>
      <c r="AE587" s="13" t="str">
        <f t="shared" si="118"/>
        <v>CUMPLE</v>
      </c>
      <c r="AF587" s="13">
        <f>V587*1.25*[1]Parametros!$B$3*(U587-(V587*1.25*[1]Parametros!$B$3/(0.85*[1]Parametros!$B$2*H587))/2)/1000000</f>
        <v>196.34621794117646</v>
      </c>
      <c r="AG587" s="13">
        <f>AC587*1.25*[1]Parametros!$B$3*(AB587-(AC587*1.25*[1]Parametros!$B$3/(0.85*[1]Parametros!$B$2*H587))/2)/1000000</f>
        <v>196.34621794117646</v>
      </c>
      <c r="AH587" s="13">
        <f t="shared" si="119"/>
        <v>230.53422941176473</v>
      </c>
      <c r="AI587" s="13">
        <f t="shared" si="120"/>
        <v>230.53422941176473</v>
      </c>
      <c r="AJ587" s="13">
        <f>0.17*SQRT([1]Parametros!$B$2)*H587*MIN(U587,AB587)/1000</f>
        <v>198.08885582262698</v>
      </c>
      <c r="AK587" s="13">
        <f>MAX(AI587/[1]Parametros!$B$6-AJ587,0)</f>
        <v>109.29011672639265</v>
      </c>
      <c r="AL587" s="13">
        <f>0.66*SQRT([1]Parametros!$B$2)*H587*MIN(U587,AB587)/1000</f>
        <v>769.05085201725785</v>
      </c>
      <c r="AM587" s="13" t="str">
        <f t="shared" si="121"/>
        <v>CUMPLE</v>
      </c>
      <c r="AN587" s="13" t="s">
        <v>64</v>
      </c>
      <c r="AO587" s="14">
        <v>2</v>
      </c>
      <c r="AP587" s="13">
        <f>ROUNDDOWN(MIN(IF(BC587+BD587=0,1000000000,AO587*BB587/(BC587+BD587)),MIN(U587,AB587)/4,8*[1]Parametros!$B$12,24*BA587,300,IF(AV587=0,1000000000,2*((H587-2*([1]Parametros!$B$7+[1]Parametros!$B$9/2))+(I587-2*([1]Parametros!$B$7+[1]Parametros!$B$9/2)))/8))/10,0)*10</f>
        <v>120</v>
      </c>
      <c r="AQ587" s="13">
        <f>ROUNDDOWN(MIN(IF(BC587+BD587=0,1000000000,AO587*BB587/(BC587+BD587)),IF(AK587&gt;0.33*SQRT([1]Parametros!$B$2)*H587*MIN(U587,AB587)/1000,MIN(U587,AB587)/4,MIN(U587,AB587)/2),600,IF(AV587=0,1000000000,2*((H587-2*([1]Parametros!$B$7+[1]Parametros!$B$9/2))+(I587-2*([1]Parametros!$B$7+[1]Parametros!$B$9/2)))/8))/10,0)*10</f>
        <v>160</v>
      </c>
      <c r="AR587" s="13">
        <f>[1]Parametros!$B$6*(AJ587+MAX(BE587-BD587,0)*[1]Parametros!$B$4*MIN(U587,AB587)/1000)</f>
        <v>283.21132022335667</v>
      </c>
      <c r="AS587" s="13" t="str">
        <f t="shared" si="122"/>
        <v>CUMPLE</v>
      </c>
      <c r="AT587" s="13">
        <f>[1]Parametros!$B$6*0.083*SQRT([1]Parametros!$B$2)*(H587*I587)^2/(2*(H587+I587))/1000000</f>
        <v>10.08878303333792</v>
      </c>
      <c r="AU587" s="13" t="str">
        <f t="shared" si="123"/>
        <v>DISEÑAR</v>
      </c>
      <c r="AV587" s="13">
        <f>IF(Q587&lt;=AT587,0,Q587*1000000/([1]Parametros!$B$6*2*0.85*(H587-2*([1]Parametros!$B$7+[1]Parametros!$B$9/2))*(I587-2*([1]Parametros!$B$7+[1]Parametros!$B$9/2))*[1]Parametros!$B$4))</f>
        <v>0.15492055105043315</v>
      </c>
      <c r="AW587" s="13">
        <f>AV587*2*((H587-2*([1]Parametros!$B$7+[1]Parametros!$B$9/2))+(I587-2*([1]Parametros!$B$7+[1]Parametros!$B$9/2)))*[1]Parametros!$B$4/[1]Parametros!$B$3</f>
        <v>252.3965617713657</v>
      </c>
      <c r="AX587" s="14">
        <v>8</v>
      </c>
      <c r="AY587" s="13" t="str">
        <f t="shared" si="124"/>
        <v>CUMPLE</v>
      </c>
      <c r="AZ587" s="13" t="str">
        <f t="shared" si="125"/>
        <v>CUMPLE</v>
      </c>
      <c r="BA587" s="14">
        <v>9.5</v>
      </c>
      <c r="BB587" s="14">
        <v>71</v>
      </c>
      <c r="BC587" s="13">
        <f>MAX(IF(AK587=0,0,AK587*1000/([1]Parametros!$B$4*MIN(U587,AB587))),MAX(0.062*SQRT([1]Parametros!$B$2)*H587/[1]Parametros!$B$4,0.35*H587/[1]Parametros!$B$4))</f>
        <v>0.53175551984115299</v>
      </c>
      <c r="BD587" s="13">
        <f t="shared" si="126"/>
        <v>0.30984110210086629</v>
      </c>
      <c r="BE587" s="13">
        <f t="shared" si="127"/>
        <v>1.1833333333333333</v>
      </c>
      <c r="BF587" s="13">
        <f>SQRT((AI587*1000/(H587*MIN(U587,AB587)))^2+(Q587*1000000*2*((H587-2*([1]Parametros!$B$7+[1]Parametros!$B$9/2))+(I587-2*([1]Parametros!$B$7+[1]Parametros!$B$9/2)))/(1.7*((H587-2*([1]Parametros!$B$7+[1]Parametros!$B$9/2))*(I587-2*([1]Parametros!$B$7+[1]Parametros!$B$9/2)))^2))^2)</f>
        <v>1.1544506013163809</v>
      </c>
      <c r="BG587" s="13">
        <f>[1]Parametros!$B$6*(AJ587*1000/(H587*MIN(U587,AB587))+0.66*SQRT([1]Parametros!$B$2))</f>
        <v>3.2939603822754151</v>
      </c>
      <c r="BH587" s="13" t="str">
        <f t="shared" si="128"/>
        <v>CUMPLE</v>
      </c>
      <c r="BI587" s="13">
        <f>AX587*[1]Parametros!$B$8</f>
        <v>1592</v>
      </c>
      <c r="BJ587" s="15" t="str">
        <f t="shared" si="129"/>
        <v>CUMPLE</v>
      </c>
    </row>
    <row r="588" spans="1:62" x14ac:dyDescent="0.3">
      <c r="A588" s="45" t="s">
        <v>78</v>
      </c>
      <c r="B588" s="46">
        <v>137</v>
      </c>
      <c r="C588" s="13">
        <v>1</v>
      </c>
      <c r="D588" s="13">
        <v>2</v>
      </c>
      <c r="E588" s="13">
        <v>2</v>
      </c>
      <c r="F588" s="13">
        <v>450</v>
      </c>
      <c r="G588" s="13">
        <v>550</v>
      </c>
      <c r="H588" s="13">
        <v>450</v>
      </c>
      <c r="I588" s="13">
        <v>550</v>
      </c>
      <c r="J588" s="14">
        <v>10.666</v>
      </c>
      <c r="K588" s="13">
        <v>137</v>
      </c>
      <c r="L588" s="14">
        <v>4.1561000000000003</v>
      </c>
      <c r="M588" s="13">
        <v>137</v>
      </c>
      <c r="N588" s="14">
        <v>13.375</v>
      </c>
      <c r="O588" s="14">
        <v>27.338000000000001</v>
      </c>
      <c r="P588" s="13">
        <v>137</v>
      </c>
      <c r="Q588" s="14">
        <v>4.0902000000000003</v>
      </c>
      <c r="R588" s="13">
        <f>MAX(MAX(1.4/[1]Parametros!$B$3,0.25*SQRT([1]Parametros!$B$2)/[1]Parametros!$B$3)*H588*U588,(0.85*[1]Parametros!$B$2/[1]Parametros!$B$3)*(1-SQRT(1-2*(J588*1000000/([1]Parametros!$B$5*H588*U588^2))/(0.85*[1]Parametros!$B$2)))*H588*U588)</f>
        <v>734.02500000000009</v>
      </c>
      <c r="S588" s="14">
        <v>4</v>
      </c>
      <c r="T588" s="14">
        <v>1</v>
      </c>
      <c r="U588" s="13">
        <f>IF(T588=1,I588-([1]Parametros!$B$7+[1]Parametros!$B$9+[1]Parametros!$B$12/2),I588-(ROUNDUP(S588/2,0)*([1]Parametros!$B$7+[1]Parametros!$B$9+[1]Parametros!$B$12/2)+ROUNDDOWN(S588/2,0)*([1]Parametros!$B$7+[1]Parametros!$B$9+[1]Parametros!$B$12/2+[1]Parametros!$B$12+[1]Parametros!$B$10))/S588)</f>
        <v>489.35</v>
      </c>
      <c r="V588" s="13">
        <f>S588*[1]Parametros!$B$8</f>
        <v>796</v>
      </c>
      <c r="W588" s="13">
        <f>[1]Parametros!$B$5*V588*[1]Parametros!$B$3*(U588-(V588*[1]Parametros!$B$3/(0.85*[1]Parametros!$B$2*H588))/2)/1000000</f>
        <v>142.54333009411764</v>
      </c>
      <c r="X588" s="13" t="str">
        <f t="shared" si="117"/>
        <v>CUMPLE</v>
      </c>
      <c r="Y588" s="13">
        <f>MAX(MAX(1.4/[1]Parametros!$B$3,0.25*SQRT([1]Parametros!$B$2)/[1]Parametros!$B$3)*H588*AB588,(0.85*[1]Parametros!$B$2/[1]Parametros!$B$3)*(1-SQRT(1-2*(L588*1000000/([1]Parametros!$B$5*H588*AB588^2))/(0.85*[1]Parametros!$B$2)))*H588*AB588)</f>
        <v>734.02500000000009</v>
      </c>
      <c r="Z588" s="14">
        <v>4</v>
      </c>
      <c r="AA588" s="14">
        <v>1</v>
      </c>
      <c r="AB588" s="13">
        <f>IF(AA588=1,I588-([1]Parametros!$B$7+[1]Parametros!$B$9+[1]Parametros!$B$12/2),I588-(ROUNDUP(Z588/2,0)*([1]Parametros!$B$7+[1]Parametros!$B$9+[1]Parametros!$B$12/2)+ROUNDDOWN(Z588/2,0)*([1]Parametros!$B$7+[1]Parametros!$B$9+[1]Parametros!$B$12/2+[1]Parametros!$B$12+[1]Parametros!$B$10))/Z588)</f>
        <v>489.35</v>
      </c>
      <c r="AC588" s="13">
        <f>Z588*[1]Parametros!$B$8</f>
        <v>796</v>
      </c>
      <c r="AD588" s="13">
        <f>[1]Parametros!$B$5*AC588*[1]Parametros!$B$3*(AB588-(AC588*[1]Parametros!$B$3/(0.85*[1]Parametros!$B$2*H588))/2)/1000000</f>
        <v>142.54333009411764</v>
      </c>
      <c r="AE588" s="13" t="str">
        <f t="shared" si="118"/>
        <v>CUMPLE</v>
      </c>
      <c r="AF588" s="13">
        <f>V588*1.25*[1]Parametros!$B$3*(U588-(V588*1.25*[1]Parametros!$B$3/(0.85*[1]Parametros!$B$2*H588))/2)/1000000</f>
        <v>196.34621794117646</v>
      </c>
      <c r="AG588" s="13">
        <f>AC588*1.25*[1]Parametros!$B$3*(AB588-(AC588*1.25*[1]Parametros!$B$3/(0.85*[1]Parametros!$B$2*H588))/2)/1000000</f>
        <v>196.34621794117646</v>
      </c>
      <c r="AH588" s="13">
        <f t="shared" si="119"/>
        <v>209.72121794117646</v>
      </c>
      <c r="AI588" s="13">
        <f t="shared" si="120"/>
        <v>209.72121794117646</v>
      </c>
      <c r="AJ588" s="13">
        <f>0.17*SQRT([1]Parametros!$B$2)*H588*MIN(U588,AB588)/1000</f>
        <v>198.08885582262698</v>
      </c>
      <c r="AK588" s="13">
        <f>MAX(AI588/[1]Parametros!$B$6-AJ588,0)</f>
        <v>81.53943476560832</v>
      </c>
      <c r="AL588" s="13">
        <f>0.66*SQRT([1]Parametros!$B$2)*H588*MIN(U588,AB588)/1000</f>
        <v>769.05085201725785</v>
      </c>
      <c r="AM588" s="13" t="str">
        <f t="shared" si="121"/>
        <v>CUMPLE</v>
      </c>
      <c r="AN588" s="13" t="s">
        <v>64</v>
      </c>
      <c r="AO588" s="14">
        <v>2</v>
      </c>
      <c r="AP588" s="13">
        <f>ROUNDDOWN(MIN(IF(BC588+BD588=0,1000000000,AO588*BB588/(BC588+BD588)),MIN(U588,AB588)/4,8*[1]Parametros!$B$12,24*BA588,300,IF(AV588=0,1000000000,2*((H588-2*([1]Parametros!$B$7+[1]Parametros!$B$9/2))+(I588-2*([1]Parametros!$B$7+[1]Parametros!$B$9/2)))/8))/10,0)*10</f>
        <v>120</v>
      </c>
      <c r="AQ588" s="13">
        <f>ROUNDDOWN(MIN(IF(BC588+BD588=0,1000000000,AO588*BB588/(BC588+BD588)),IF(AK588&gt;0.33*SQRT([1]Parametros!$B$2)*H588*MIN(U588,AB588)/1000,MIN(U588,AB588)/4,MIN(U588,AB588)/2),600,IF(AV588=0,1000000000,2*((H588-2*([1]Parametros!$B$7+[1]Parametros!$B$9/2))+(I588-2*([1]Parametros!$B$7+[1]Parametros!$B$9/2)))/8))/10,0)*10</f>
        <v>240</v>
      </c>
      <c r="AR588" s="13">
        <f>[1]Parametros!$B$6*(AJ588+MAX(BE588-BD588,0)*[1]Parametros!$B$4*MIN(U588,AB588)/1000)</f>
        <v>330.97185436697026</v>
      </c>
      <c r="AS588" s="13" t="str">
        <f t="shared" si="122"/>
        <v>CUMPLE</v>
      </c>
      <c r="AT588" s="13">
        <f>[1]Parametros!$B$6*0.083*SQRT([1]Parametros!$B$2)*(H588*I588)^2/(2*(H588+I588))/1000000</f>
        <v>10.08878303333792</v>
      </c>
      <c r="AU588" s="13" t="str">
        <f t="shared" si="123"/>
        <v>DESPRECIABLE</v>
      </c>
      <c r="AV588" s="13">
        <f>IF(Q588&lt;=AT588,0,Q588*1000000/([1]Parametros!$B$6*2*0.85*(H588-2*([1]Parametros!$B$7+[1]Parametros!$B$9/2))*(I588-2*([1]Parametros!$B$7+[1]Parametros!$B$9/2))*[1]Parametros!$B$4))</f>
        <v>0</v>
      </c>
      <c r="AW588" s="13">
        <f>AV588*2*((H588-2*([1]Parametros!$B$7+[1]Parametros!$B$9/2))+(I588-2*([1]Parametros!$B$7+[1]Parametros!$B$9/2)))*[1]Parametros!$B$4/[1]Parametros!$B$3</f>
        <v>0</v>
      </c>
      <c r="AX588" s="14">
        <v>0</v>
      </c>
      <c r="AY588" s="13" t="str">
        <f t="shared" si="124"/>
        <v>DESPRECIABLE</v>
      </c>
      <c r="AZ588" s="13" t="str">
        <f t="shared" si="125"/>
        <v>CUMPLE</v>
      </c>
      <c r="BA588" s="14">
        <v>9.5</v>
      </c>
      <c r="BB588" s="14">
        <v>71</v>
      </c>
      <c r="BC588" s="13">
        <f>MAX(IF(AK588=0,0,AK588*1000/([1]Parametros!$B$4*MIN(U588,AB588))),MAX(0.062*SQRT([1]Parametros!$B$2)*H588/[1]Parametros!$B$4,0.35*H588/[1]Parametros!$B$4))</f>
        <v>0.39673344507343722</v>
      </c>
      <c r="BD588" s="13">
        <f t="shared" si="126"/>
        <v>0</v>
      </c>
      <c r="BE588" s="13">
        <f t="shared" si="127"/>
        <v>1.1833333333333333</v>
      </c>
      <c r="BF588" s="13">
        <f>SQRT((AI588*1000/(H588*MIN(U588,AB588)))^2+(Q588*1000000*2*((H588-2*([1]Parametros!$B$7+[1]Parametros!$B$9/2))+(I588-2*([1]Parametros!$B$7+[1]Parametros!$B$9/2)))/(1.7*((H588-2*([1]Parametros!$B$7+[1]Parametros!$B$9/2))*(I588-2*([1]Parametros!$B$7+[1]Parametros!$B$9/2)))^2))^2)</f>
        <v>0.96363135793457544</v>
      </c>
      <c r="BG588" s="13">
        <f>[1]Parametros!$B$6*(AJ588*1000/(H588*MIN(U588,AB588))+0.66*SQRT([1]Parametros!$B$2))</f>
        <v>3.2939603822754151</v>
      </c>
      <c r="BH588" s="13" t="str">
        <f t="shared" si="128"/>
        <v>CUMPLE</v>
      </c>
      <c r="BI588" s="13">
        <f>AX588*[1]Parametros!$B$8</f>
        <v>0</v>
      </c>
      <c r="BJ588" s="15" t="str">
        <f t="shared" si="129"/>
        <v>CUMPLE</v>
      </c>
    </row>
    <row r="589" spans="1:62" x14ac:dyDescent="0.3">
      <c r="A589" s="45" t="s">
        <v>78</v>
      </c>
      <c r="B589" s="46">
        <v>138</v>
      </c>
      <c r="C589" s="13">
        <v>1</v>
      </c>
      <c r="D589" s="13">
        <v>2</v>
      </c>
      <c r="E589" s="13">
        <v>2</v>
      </c>
      <c r="F589" s="13">
        <v>450</v>
      </c>
      <c r="G589" s="13">
        <v>550</v>
      </c>
      <c r="H589" s="13">
        <v>450</v>
      </c>
      <c r="I589" s="13">
        <v>550</v>
      </c>
      <c r="J589" s="14">
        <v>10.667899999999999</v>
      </c>
      <c r="K589" s="13">
        <v>138</v>
      </c>
      <c r="L589" s="14">
        <v>4.1558999999999999</v>
      </c>
      <c r="M589" s="13">
        <v>138</v>
      </c>
      <c r="N589" s="14">
        <v>13.375999999999999</v>
      </c>
      <c r="O589" s="14">
        <v>27.338999999999999</v>
      </c>
      <c r="P589" s="13">
        <v>138</v>
      </c>
      <c r="Q589" s="14">
        <v>4.0949</v>
      </c>
      <c r="R589" s="13">
        <f>MAX(MAX(1.4/[1]Parametros!$B$3,0.25*SQRT([1]Parametros!$B$2)/[1]Parametros!$B$3)*H589*U589,(0.85*[1]Parametros!$B$2/[1]Parametros!$B$3)*(1-SQRT(1-2*(J589*1000000/([1]Parametros!$B$5*H589*U589^2))/(0.85*[1]Parametros!$B$2)))*H589*U589)</f>
        <v>734.02500000000009</v>
      </c>
      <c r="S589" s="14">
        <v>4</v>
      </c>
      <c r="T589" s="14">
        <v>1</v>
      </c>
      <c r="U589" s="13">
        <f>IF(T589=1,I589-([1]Parametros!$B$7+[1]Parametros!$B$9+[1]Parametros!$B$12/2),I589-(ROUNDUP(S589/2,0)*([1]Parametros!$B$7+[1]Parametros!$B$9+[1]Parametros!$B$12/2)+ROUNDDOWN(S589/2,0)*([1]Parametros!$B$7+[1]Parametros!$B$9+[1]Parametros!$B$12/2+[1]Parametros!$B$12+[1]Parametros!$B$10))/S589)</f>
        <v>489.35</v>
      </c>
      <c r="V589" s="13">
        <f>S589*[1]Parametros!$B$8</f>
        <v>796</v>
      </c>
      <c r="W589" s="13">
        <f>[1]Parametros!$B$5*V589*[1]Parametros!$B$3*(U589-(V589*[1]Parametros!$B$3/(0.85*[1]Parametros!$B$2*H589))/2)/1000000</f>
        <v>142.54333009411764</v>
      </c>
      <c r="X589" s="13" t="str">
        <f t="shared" si="117"/>
        <v>CUMPLE</v>
      </c>
      <c r="Y589" s="13">
        <f>MAX(MAX(1.4/[1]Parametros!$B$3,0.25*SQRT([1]Parametros!$B$2)/[1]Parametros!$B$3)*H589*AB589,(0.85*[1]Parametros!$B$2/[1]Parametros!$B$3)*(1-SQRT(1-2*(L589*1000000/([1]Parametros!$B$5*H589*AB589^2))/(0.85*[1]Parametros!$B$2)))*H589*AB589)</f>
        <v>734.02500000000009</v>
      </c>
      <c r="Z589" s="14">
        <v>4</v>
      </c>
      <c r="AA589" s="14">
        <v>1</v>
      </c>
      <c r="AB589" s="13">
        <f>IF(AA589=1,I589-([1]Parametros!$B$7+[1]Parametros!$B$9+[1]Parametros!$B$12/2),I589-(ROUNDUP(Z589/2,0)*([1]Parametros!$B$7+[1]Parametros!$B$9+[1]Parametros!$B$12/2)+ROUNDDOWN(Z589/2,0)*([1]Parametros!$B$7+[1]Parametros!$B$9+[1]Parametros!$B$12/2+[1]Parametros!$B$12+[1]Parametros!$B$10))/Z589)</f>
        <v>489.35</v>
      </c>
      <c r="AC589" s="13">
        <f>Z589*[1]Parametros!$B$8</f>
        <v>796</v>
      </c>
      <c r="AD589" s="13">
        <f>[1]Parametros!$B$5*AC589*[1]Parametros!$B$3*(AB589-(AC589*[1]Parametros!$B$3/(0.85*[1]Parametros!$B$2*H589))/2)/1000000</f>
        <v>142.54333009411764</v>
      </c>
      <c r="AE589" s="13" t="str">
        <f t="shared" si="118"/>
        <v>CUMPLE</v>
      </c>
      <c r="AF589" s="13">
        <f>V589*1.25*[1]Parametros!$B$3*(U589-(V589*1.25*[1]Parametros!$B$3/(0.85*[1]Parametros!$B$2*H589))/2)/1000000</f>
        <v>196.34621794117646</v>
      </c>
      <c r="AG589" s="13">
        <f>AC589*1.25*[1]Parametros!$B$3*(AB589-(AC589*1.25*[1]Parametros!$B$3/(0.85*[1]Parametros!$B$2*H589))/2)/1000000</f>
        <v>196.34621794117646</v>
      </c>
      <c r="AH589" s="13">
        <f t="shared" si="119"/>
        <v>209.72221794117647</v>
      </c>
      <c r="AI589" s="13">
        <f t="shared" si="120"/>
        <v>209.72221794117647</v>
      </c>
      <c r="AJ589" s="13">
        <f>0.17*SQRT([1]Parametros!$B$2)*H589*MIN(U589,AB589)/1000</f>
        <v>198.08885582262698</v>
      </c>
      <c r="AK589" s="13">
        <f>MAX(AI589/[1]Parametros!$B$6-AJ589,0)</f>
        <v>81.540768098941641</v>
      </c>
      <c r="AL589" s="13">
        <f>0.66*SQRT([1]Parametros!$B$2)*H589*MIN(U589,AB589)/1000</f>
        <v>769.05085201725785</v>
      </c>
      <c r="AM589" s="13" t="str">
        <f t="shared" si="121"/>
        <v>CUMPLE</v>
      </c>
      <c r="AN589" s="13" t="s">
        <v>64</v>
      </c>
      <c r="AO589" s="14">
        <v>2</v>
      </c>
      <c r="AP589" s="13">
        <f>ROUNDDOWN(MIN(IF(BC589+BD589=0,1000000000,AO589*BB589/(BC589+BD589)),MIN(U589,AB589)/4,8*[1]Parametros!$B$12,24*BA589,300,IF(AV589=0,1000000000,2*((H589-2*([1]Parametros!$B$7+[1]Parametros!$B$9/2))+(I589-2*([1]Parametros!$B$7+[1]Parametros!$B$9/2)))/8))/10,0)*10</f>
        <v>120</v>
      </c>
      <c r="AQ589" s="13">
        <f>ROUNDDOWN(MIN(IF(BC589+BD589=0,1000000000,AO589*BB589/(BC589+BD589)),IF(AK589&gt;0.33*SQRT([1]Parametros!$B$2)*H589*MIN(U589,AB589)/1000,MIN(U589,AB589)/4,MIN(U589,AB589)/2),600,IF(AV589=0,1000000000,2*((H589-2*([1]Parametros!$B$7+[1]Parametros!$B$9/2))+(I589-2*([1]Parametros!$B$7+[1]Parametros!$B$9/2)))/8))/10,0)*10</f>
        <v>240</v>
      </c>
      <c r="AR589" s="13">
        <f>[1]Parametros!$B$6*(AJ589+MAX(BE589-BD589,0)*[1]Parametros!$B$4*MIN(U589,AB589)/1000)</f>
        <v>330.97185436697026</v>
      </c>
      <c r="AS589" s="13" t="str">
        <f t="shared" si="122"/>
        <v>CUMPLE</v>
      </c>
      <c r="AT589" s="13">
        <f>[1]Parametros!$B$6*0.083*SQRT([1]Parametros!$B$2)*(H589*I589)^2/(2*(H589+I589))/1000000</f>
        <v>10.08878303333792</v>
      </c>
      <c r="AU589" s="13" t="str">
        <f t="shared" si="123"/>
        <v>DESPRECIABLE</v>
      </c>
      <c r="AV589" s="13">
        <f>IF(Q589&lt;=AT589,0,Q589*1000000/([1]Parametros!$B$6*2*0.85*(H589-2*([1]Parametros!$B$7+[1]Parametros!$B$9/2))*(I589-2*([1]Parametros!$B$7+[1]Parametros!$B$9/2))*[1]Parametros!$B$4))</f>
        <v>0</v>
      </c>
      <c r="AW589" s="13">
        <f>AV589*2*((H589-2*([1]Parametros!$B$7+[1]Parametros!$B$9/2))+(I589-2*([1]Parametros!$B$7+[1]Parametros!$B$9/2)))*[1]Parametros!$B$4/[1]Parametros!$B$3</f>
        <v>0</v>
      </c>
      <c r="AX589" s="14">
        <v>0</v>
      </c>
      <c r="AY589" s="13" t="str">
        <f t="shared" si="124"/>
        <v>DESPRECIABLE</v>
      </c>
      <c r="AZ589" s="13" t="str">
        <f t="shared" si="125"/>
        <v>CUMPLE</v>
      </c>
      <c r="BA589" s="14">
        <v>9.5</v>
      </c>
      <c r="BB589" s="14">
        <v>71</v>
      </c>
      <c r="BC589" s="13">
        <f>MAX(IF(AK589=0,0,AK589*1000/([1]Parametros!$B$4*MIN(U589,AB589))),MAX(0.062*SQRT([1]Parametros!$B$2)*H589/[1]Parametros!$B$4,0.35*H589/[1]Parametros!$B$4))</f>
        <v>0.39673993246114447</v>
      </c>
      <c r="BD589" s="13">
        <f t="shared" si="126"/>
        <v>0</v>
      </c>
      <c r="BE589" s="13">
        <f t="shared" si="127"/>
        <v>1.1833333333333333</v>
      </c>
      <c r="BF589" s="13">
        <f>SQRT((AI589*1000/(H589*MIN(U589,AB589)))^2+(Q589*1000000*2*((H589-2*([1]Parametros!$B$7+[1]Parametros!$B$9/2))+(I589-2*([1]Parametros!$B$7+[1]Parametros!$B$9/2)))/(1.7*((H589-2*([1]Parametros!$B$7+[1]Parametros!$B$9/2))*(I589-2*([1]Parametros!$B$7+[1]Parametros!$B$9/2)))^2))^2)</f>
        <v>0.96366156704496431</v>
      </c>
      <c r="BG589" s="13">
        <f>[1]Parametros!$B$6*(AJ589*1000/(H589*MIN(U589,AB589))+0.66*SQRT([1]Parametros!$B$2))</f>
        <v>3.2939603822754151</v>
      </c>
      <c r="BH589" s="13" t="str">
        <f t="shared" si="128"/>
        <v>CUMPLE</v>
      </c>
      <c r="BI589" s="13">
        <f>AX589*[1]Parametros!$B$8</f>
        <v>0</v>
      </c>
      <c r="BJ589" s="15" t="str">
        <f t="shared" si="129"/>
        <v>CUMPLE</v>
      </c>
    </row>
    <row r="590" spans="1:62" x14ac:dyDescent="0.3">
      <c r="A590" s="45" t="s">
        <v>78</v>
      </c>
      <c r="B590" s="46">
        <v>139</v>
      </c>
      <c r="C590" s="13">
        <v>1</v>
      </c>
      <c r="D590" s="13">
        <v>2</v>
      </c>
      <c r="E590" s="13">
        <v>2</v>
      </c>
      <c r="F590" s="13">
        <v>450</v>
      </c>
      <c r="G590" s="13">
        <v>550</v>
      </c>
      <c r="H590" s="13">
        <v>450</v>
      </c>
      <c r="I590" s="13">
        <v>550</v>
      </c>
      <c r="J590" s="14">
        <v>10.6424</v>
      </c>
      <c r="K590" s="13">
        <v>139</v>
      </c>
      <c r="L590" s="14">
        <v>4.1604000000000001</v>
      </c>
      <c r="M590" s="13">
        <v>139</v>
      </c>
      <c r="N590" s="14">
        <v>13.36</v>
      </c>
      <c r="O590" s="14">
        <v>27.324000000000002</v>
      </c>
      <c r="P590" s="13">
        <v>139</v>
      </c>
      <c r="Q590" s="14">
        <v>4.0948000000000002</v>
      </c>
      <c r="R590" s="13">
        <f>MAX(MAX(1.4/[1]Parametros!$B$3,0.25*SQRT([1]Parametros!$B$2)/[1]Parametros!$B$3)*H590*U590,(0.85*[1]Parametros!$B$2/[1]Parametros!$B$3)*(1-SQRT(1-2*(J590*1000000/([1]Parametros!$B$5*H590*U590^2))/(0.85*[1]Parametros!$B$2)))*H590*U590)</f>
        <v>734.02500000000009</v>
      </c>
      <c r="S590" s="14">
        <v>4</v>
      </c>
      <c r="T590" s="14">
        <v>1</v>
      </c>
      <c r="U590" s="13">
        <f>IF(T590=1,I590-([1]Parametros!$B$7+[1]Parametros!$B$9+[1]Parametros!$B$12/2),I590-(ROUNDUP(S590/2,0)*([1]Parametros!$B$7+[1]Parametros!$B$9+[1]Parametros!$B$12/2)+ROUNDDOWN(S590/2,0)*([1]Parametros!$B$7+[1]Parametros!$B$9+[1]Parametros!$B$12/2+[1]Parametros!$B$12+[1]Parametros!$B$10))/S590)</f>
        <v>489.35</v>
      </c>
      <c r="V590" s="13">
        <f>S590*[1]Parametros!$B$8</f>
        <v>796</v>
      </c>
      <c r="W590" s="13">
        <f>[1]Parametros!$B$5*V590*[1]Parametros!$B$3*(U590-(V590*[1]Parametros!$B$3/(0.85*[1]Parametros!$B$2*H590))/2)/1000000</f>
        <v>142.54333009411764</v>
      </c>
      <c r="X590" s="13" t="str">
        <f t="shared" si="117"/>
        <v>CUMPLE</v>
      </c>
      <c r="Y590" s="13">
        <f>MAX(MAX(1.4/[1]Parametros!$B$3,0.25*SQRT([1]Parametros!$B$2)/[1]Parametros!$B$3)*H590*AB590,(0.85*[1]Parametros!$B$2/[1]Parametros!$B$3)*(1-SQRT(1-2*(L590*1000000/([1]Parametros!$B$5*H590*AB590^2))/(0.85*[1]Parametros!$B$2)))*H590*AB590)</f>
        <v>734.02500000000009</v>
      </c>
      <c r="Z590" s="14">
        <v>4</v>
      </c>
      <c r="AA590" s="14">
        <v>1</v>
      </c>
      <c r="AB590" s="13">
        <f>IF(AA590=1,I590-([1]Parametros!$B$7+[1]Parametros!$B$9+[1]Parametros!$B$12/2),I590-(ROUNDUP(Z590/2,0)*([1]Parametros!$B$7+[1]Parametros!$B$9+[1]Parametros!$B$12/2)+ROUNDDOWN(Z590/2,0)*([1]Parametros!$B$7+[1]Parametros!$B$9+[1]Parametros!$B$12/2+[1]Parametros!$B$12+[1]Parametros!$B$10))/Z590)</f>
        <v>489.35</v>
      </c>
      <c r="AC590" s="13">
        <f>Z590*[1]Parametros!$B$8</f>
        <v>796</v>
      </c>
      <c r="AD590" s="13">
        <f>[1]Parametros!$B$5*AC590*[1]Parametros!$B$3*(AB590-(AC590*[1]Parametros!$B$3/(0.85*[1]Parametros!$B$2*H590))/2)/1000000</f>
        <v>142.54333009411764</v>
      </c>
      <c r="AE590" s="13" t="str">
        <f t="shared" si="118"/>
        <v>CUMPLE</v>
      </c>
      <c r="AF590" s="13">
        <f>V590*1.25*[1]Parametros!$B$3*(U590-(V590*1.25*[1]Parametros!$B$3/(0.85*[1]Parametros!$B$2*H590))/2)/1000000</f>
        <v>196.34621794117646</v>
      </c>
      <c r="AG590" s="13">
        <f>AC590*1.25*[1]Parametros!$B$3*(AB590-(AC590*1.25*[1]Parametros!$B$3/(0.85*[1]Parametros!$B$2*H590))/2)/1000000</f>
        <v>196.34621794117646</v>
      </c>
      <c r="AH590" s="13">
        <f t="shared" si="119"/>
        <v>209.70621794117648</v>
      </c>
      <c r="AI590" s="13">
        <f t="shared" si="120"/>
        <v>209.70621794117648</v>
      </c>
      <c r="AJ590" s="13">
        <f>0.17*SQRT([1]Parametros!$B$2)*H590*MIN(U590,AB590)/1000</f>
        <v>198.08885582262698</v>
      </c>
      <c r="AK590" s="13">
        <f>MAX(AI590/[1]Parametros!$B$6-AJ590,0)</f>
        <v>81.519434765608338</v>
      </c>
      <c r="AL590" s="13">
        <f>0.66*SQRT([1]Parametros!$B$2)*H590*MIN(U590,AB590)/1000</f>
        <v>769.05085201725785</v>
      </c>
      <c r="AM590" s="13" t="str">
        <f t="shared" si="121"/>
        <v>CUMPLE</v>
      </c>
      <c r="AN590" s="13" t="s">
        <v>64</v>
      </c>
      <c r="AO590" s="14">
        <v>2</v>
      </c>
      <c r="AP590" s="13">
        <f>ROUNDDOWN(MIN(IF(BC590+BD590=0,1000000000,AO590*BB590/(BC590+BD590)),MIN(U590,AB590)/4,8*[1]Parametros!$B$12,24*BA590,300,IF(AV590=0,1000000000,2*((H590-2*([1]Parametros!$B$7+[1]Parametros!$B$9/2))+(I590-2*([1]Parametros!$B$7+[1]Parametros!$B$9/2)))/8))/10,0)*10</f>
        <v>120</v>
      </c>
      <c r="AQ590" s="13">
        <f>ROUNDDOWN(MIN(IF(BC590+BD590=0,1000000000,AO590*BB590/(BC590+BD590)),IF(AK590&gt;0.33*SQRT([1]Parametros!$B$2)*H590*MIN(U590,AB590)/1000,MIN(U590,AB590)/4,MIN(U590,AB590)/2),600,IF(AV590=0,1000000000,2*((H590-2*([1]Parametros!$B$7+[1]Parametros!$B$9/2))+(I590-2*([1]Parametros!$B$7+[1]Parametros!$B$9/2)))/8))/10,0)*10</f>
        <v>240</v>
      </c>
      <c r="AR590" s="13">
        <f>[1]Parametros!$B$6*(AJ590+MAX(BE590-BD590,0)*[1]Parametros!$B$4*MIN(U590,AB590)/1000)</f>
        <v>330.97185436697026</v>
      </c>
      <c r="AS590" s="13" t="str">
        <f t="shared" si="122"/>
        <v>CUMPLE</v>
      </c>
      <c r="AT590" s="13">
        <f>[1]Parametros!$B$6*0.083*SQRT([1]Parametros!$B$2)*(H590*I590)^2/(2*(H590+I590))/1000000</f>
        <v>10.08878303333792</v>
      </c>
      <c r="AU590" s="13" t="str">
        <f t="shared" si="123"/>
        <v>DESPRECIABLE</v>
      </c>
      <c r="AV590" s="13">
        <f>IF(Q590&lt;=AT590,0,Q590*1000000/([1]Parametros!$B$6*2*0.85*(H590-2*([1]Parametros!$B$7+[1]Parametros!$B$9/2))*(I590-2*([1]Parametros!$B$7+[1]Parametros!$B$9/2))*[1]Parametros!$B$4))</f>
        <v>0</v>
      </c>
      <c r="AW590" s="13">
        <f>AV590*2*((H590-2*([1]Parametros!$B$7+[1]Parametros!$B$9/2))+(I590-2*([1]Parametros!$B$7+[1]Parametros!$B$9/2)))*[1]Parametros!$B$4/[1]Parametros!$B$3</f>
        <v>0</v>
      </c>
      <c r="AX590" s="14">
        <v>0</v>
      </c>
      <c r="AY590" s="13" t="str">
        <f t="shared" si="124"/>
        <v>DESPRECIABLE</v>
      </c>
      <c r="AZ590" s="13" t="str">
        <f t="shared" si="125"/>
        <v>CUMPLE</v>
      </c>
      <c r="BA590" s="14">
        <v>9.5</v>
      </c>
      <c r="BB590" s="14">
        <v>71</v>
      </c>
      <c r="BC590" s="13">
        <f>MAX(IF(AK590=0,0,AK590*1000/([1]Parametros!$B$4*MIN(U590,AB590))),MAX(0.062*SQRT([1]Parametros!$B$2)*H590/[1]Parametros!$B$4,0.35*H590/[1]Parametros!$B$4))</f>
        <v>0.39663613425782668</v>
      </c>
      <c r="BD590" s="13">
        <f t="shared" si="126"/>
        <v>0</v>
      </c>
      <c r="BE590" s="13">
        <f t="shared" si="127"/>
        <v>1.1833333333333333</v>
      </c>
      <c r="BF590" s="13">
        <f>SQRT((AI590*1000/(H590*MIN(U590,AB590)))^2+(Q590*1000000*2*((H590-2*([1]Parametros!$B$7+[1]Parametros!$B$9/2))+(I590-2*([1]Parametros!$B$7+[1]Parametros!$B$9/2)))/(1.7*((H590-2*([1]Parametros!$B$7+[1]Parametros!$B$9/2))*(I590-2*([1]Parametros!$B$7+[1]Parametros!$B$9/2)))^2))^2)</f>
        <v>0.96358921104305617</v>
      </c>
      <c r="BG590" s="13">
        <f>[1]Parametros!$B$6*(AJ590*1000/(H590*MIN(U590,AB590))+0.66*SQRT([1]Parametros!$B$2))</f>
        <v>3.2939603822754151</v>
      </c>
      <c r="BH590" s="13" t="str">
        <f t="shared" si="128"/>
        <v>CUMPLE</v>
      </c>
      <c r="BI590" s="13">
        <f>AX590*[1]Parametros!$B$8</f>
        <v>0</v>
      </c>
      <c r="BJ590" s="15" t="str">
        <f t="shared" si="129"/>
        <v>CUMPLE</v>
      </c>
    </row>
    <row r="591" spans="1:62" x14ac:dyDescent="0.3">
      <c r="A591" s="45" t="s">
        <v>78</v>
      </c>
      <c r="B591" s="46">
        <v>140</v>
      </c>
      <c r="C591" s="13">
        <v>1</v>
      </c>
      <c r="D591" s="13">
        <v>2</v>
      </c>
      <c r="E591" s="13">
        <v>2</v>
      </c>
      <c r="F591" s="13">
        <v>450</v>
      </c>
      <c r="G591" s="13">
        <v>550</v>
      </c>
      <c r="H591" s="13">
        <v>450</v>
      </c>
      <c r="I591" s="13">
        <v>550</v>
      </c>
      <c r="J591" s="14">
        <v>10.641299999999999</v>
      </c>
      <c r="K591" s="13">
        <v>140</v>
      </c>
      <c r="L591" s="14">
        <v>4.1604000000000001</v>
      </c>
      <c r="M591" s="13">
        <v>140</v>
      </c>
      <c r="N591" s="14">
        <v>13.359</v>
      </c>
      <c r="O591" s="14">
        <v>27.323</v>
      </c>
      <c r="P591" s="13">
        <v>140</v>
      </c>
      <c r="Q591" s="14">
        <v>4.0907999999999998</v>
      </c>
      <c r="R591" s="13">
        <f>MAX(MAX(1.4/[1]Parametros!$B$3,0.25*SQRT([1]Parametros!$B$2)/[1]Parametros!$B$3)*H591*U591,(0.85*[1]Parametros!$B$2/[1]Parametros!$B$3)*(1-SQRT(1-2*(J591*1000000/([1]Parametros!$B$5*H591*U591^2))/(0.85*[1]Parametros!$B$2)))*H591*U591)</f>
        <v>734.02500000000009</v>
      </c>
      <c r="S591" s="14">
        <v>4</v>
      </c>
      <c r="T591" s="14">
        <v>1</v>
      </c>
      <c r="U591" s="13">
        <f>IF(T591=1,I591-([1]Parametros!$B$7+[1]Parametros!$B$9+[1]Parametros!$B$12/2),I591-(ROUNDUP(S591/2,0)*([1]Parametros!$B$7+[1]Parametros!$B$9+[1]Parametros!$B$12/2)+ROUNDDOWN(S591/2,0)*([1]Parametros!$B$7+[1]Parametros!$B$9+[1]Parametros!$B$12/2+[1]Parametros!$B$12+[1]Parametros!$B$10))/S591)</f>
        <v>489.35</v>
      </c>
      <c r="V591" s="13">
        <f>S591*[1]Parametros!$B$8</f>
        <v>796</v>
      </c>
      <c r="W591" s="13">
        <f>[1]Parametros!$B$5*V591*[1]Parametros!$B$3*(U591-(V591*[1]Parametros!$B$3/(0.85*[1]Parametros!$B$2*H591))/2)/1000000</f>
        <v>142.54333009411764</v>
      </c>
      <c r="X591" s="13" t="str">
        <f t="shared" si="117"/>
        <v>CUMPLE</v>
      </c>
      <c r="Y591" s="13">
        <f>MAX(MAX(1.4/[1]Parametros!$B$3,0.25*SQRT([1]Parametros!$B$2)/[1]Parametros!$B$3)*H591*AB591,(0.85*[1]Parametros!$B$2/[1]Parametros!$B$3)*(1-SQRT(1-2*(L591*1000000/([1]Parametros!$B$5*H591*AB591^2))/(0.85*[1]Parametros!$B$2)))*H591*AB591)</f>
        <v>734.02500000000009</v>
      </c>
      <c r="Z591" s="14">
        <v>4</v>
      </c>
      <c r="AA591" s="14">
        <v>1</v>
      </c>
      <c r="AB591" s="13">
        <f>IF(AA591=1,I591-([1]Parametros!$B$7+[1]Parametros!$B$9+[1]Parametros!$B$12/2),I591-(ROUNDUP(Z591/2,0)*([1]Parametros!$B$7+[1]Parametros!$B$9+[1]Parametros!$B$12/2)+ROUNDDOWN(Z591/2,0)*([1]Parametros!$B$7+[1]Parametros!$B$9+[1]Parametros!$B$12/2+[1]Parametros!$B$12+[1]Parametros!$B$10))/Z591)</f>
        <v>489.35</v>
      </c>
      <c r="AC591" s="13">
        <f>Z591*[1]Parametros!$B$8</f>
        <v>796</v>
      </c>
      <c r="AD591" s="13">
        <f>[1]Parametros!$B$5*AC591*[1]Parametros!$B$3*(AB591-(AC591*[1]Parametros!$B$3/(0.85*[1]Parametros!$B$2*H591))/2)/1000000</f>
        <v>142.54333009411764</v>
      </c>
      <c r="AE591" s="13" t="str">
        <f t="shared" si="118"/>
        <v>CUMPLE</v>
      </c>
      <c r="AF591" s="13">
        <f>V591*1.25*[1]Parametros!$B$3*(U591-(V591*1.25*[1]Parametros!$B$3/(0.85*[1]Parametros!$B$2*H591))/2)/1000000</f>
        <v>196.34621794117646</v>
      </c>
      <c r="AG591" s="13">
        <f>AC591*1.25*[1]Parametros!$B$3*(AB591-(AC591*1.25*[1]Parametros!$B$3/(0.85*[1]Parametros!$B$2*H591))/2)/1000000</f>
        <v>196.34621794117646</v>
      </c>
      <c r="AH591" s="13">
        <f t="shared" si="119"/>
        <v>209.70521794117647</v>
      </c>
      <c r="AI591" s="13">
        <f t="shared" si="120"/>
        <v>209.70521794117647</v>
      </c>
      <c r="AJ591" s="13">
        <f>0.17*SQRT([1]Parametros!$B$2)*H591*MIN(U591,AB591)/1000</f>
        <v>198.08885582262698</v>
      </c>
      <c r="AK591" s="13">
        <f>MAX(AI591/[1]Parametros!$B$6-AJ591,0)</f>
        <v>81.51810143227496</v>
      </c>
      <c r="AL591" s="13">
        <f>0.66*SQRT([1]Parametros!$B$2)*H591*MIN(U591,AB591)/1000</f>
        <v>769.05085201725785</v>
      </c>
      <c r="AM591" s="13" t="str">
        <f t="shared" si="121"/>
        <v>CUMPLE</v>
      </c>
      <c r="AN591" s="13" t="s">
        <v>64</v>
      </c>
      <c r="AO591" s="14">
        <v>2</v>
      </c>
      <c r="AP591" s="13">
        <f>ROUNDDOWN(MIN(IF(BC591+BD591=0,1000000000,AO591*BB591/(BC591+BD591)),MIN(U591,AB591)/4,8*[1]Parametros!$B$12,24*BA591,300,IF(AV591=0,1000000000,2*((H591-2*([1]Parametros!$B$7+[1]Parametros!$B$9/2))+(I591-2*([1]Parametros!$B$7+[1]Parametros!$B$9/2)))/8))/10,0)*10</f>
        <v>120</v>
      </c>
      <c r="AQ591" s="13">
        <f>ROUNDDOWN(MIN(IF(BC591+BD591=0,1000000000,AO591*BB591/(BC591+BD591)),IF(AK591&gt;0.33*SQRT([1]Parametros!$B$2)*H591*MIN(U591,AB591)/1000,MIN(U591,AB591)/4,MIN(U591,AB591)/2),600,IF(AV591=0,1000000000,2*((H591-2*([1]Parametros!$B$7+[1]Parametros!$B$9/2))+(I591-2*([1]Parametros!$B$7+[1]Parametros!$B$9/2)))/8))/10,0)*10</f>
        <v>240</v>
      </c>
      <c r="AR591" s="13">
        <f>[1]Parametros!$B$6*(AJ591+MAX(BE591-BD591,0)*[1]Parametros!$B$4*MIN(U591,AB591)/1000)</f>
        <v>330.97185436697026</v>
      </c>
      <c r="AS591" s="13" t="str">
        <f t="shared" si="122"/>
        <v>CUMPLE</v>
      </c>
      <c r="AT591" s="13">
        <f>[1]Parametros!$B$6*0.083*SQRT([1]Parametros!$B$2)*(H591*I591)^2/(2*(H591+I591))/1000000</f>
        <v>10.08878303333792</v>
      </c>
      <c r="AU591" s="13" t="str">
        <f t="shared" si="123"/>
        <v>DESPRECIABLE</v>
      </c>
      <c r="AV591" s="13">
        <f>IF(Q591&lt;=AT591,0,Q591*1000000/([1]Parametros!$B$6*2*0.85*(H591-2*([1]Parametros!$B$7+[1]Parametros!$B$9/2))*(I591-2*([1]Parametros!$B$7+[1]Parametros!$B$9/2))*[1]Parametros!$B$4))</f>
        <v>0</v>
      </c>
      <c r="AW591" s="13">
        <f>AV591*2*((H591-2*([1]Parametros!$B$7+[1]Parametros!$B$9/2))+(I591-2*([1]Parametros!$B$7+[1]Parametros!$B$9/2)))*[1]Parametros!$B$4/[1]Parametros!$B$3</f>
        <v>0</v>
      </c>
      <c r="AX591" s="14">
        <v>0</v>
      </c>
      <c r="AY591" s="13" t="str">
        <f t="shared" si="124"/>
        <v>DESPRECIABLE</v>
      </c>
      <c r="AZ591" s="13" t="str">
        <f t="shared" si="125"/>
        <v>CUMPLE</v>
      </c>
      <c r="BA591" s="14">
        <v>9.5</v>
      </c>
      <c r="BB591" s="14">
        <v>71</v>
      </c>
      <c r="BC591" s="13">
        <f>MAX(IF(AK591=0,0,AK591*1000/([1]Parametros!$B$4*MIN(U591,AB591))),MAX(0.062*SQRT([1]Parametros!$B$2)*H591/[1]Parametros!$B$4,0.35*H591/[1]Parametros!$B$4))</f>
        <v>0.39662964687011903</v>
      </c>
      <c r="BD591" s="13">
        <f t="shared" si="126"/>
        <v>0</v>
      </c>
      <c r="BE591" s="13">
        <f t="shared" si="127"/>
        <v>1.1833333333333333</v>
      </c>
      <c r="BF591" s="13">
        <f>SQRT((AI591*1000/(H591*MIN(U591,AB591)))^2+(Q591*1000000*2*((H591-2*([1]Parametros!$B$7+[1]Parametros!$B$9/2))+(I591-2*([1]Parametros!$B$7+[1]Parametros!$B$9/2)))/(1.7*((H591-2*([1]Parametros!$B$7+[1]Parametros!$B$9/2))*(I591-2*([1]Parametros!$B$7+[1]Parametros!$B$9/2)))^2))^2)</f>
        <v>0.96356282979983199</v>
      </c>
      <c r="BG591" s="13">
        <f>[1]Parametros!$B$6*(AJ591*1000/(H591*MIN(U591,AB591))+0.66*SQRT([1]Parametros!$B$2))</f>
        <v>3.2939603822754151</v>
      </c>
      <c r="BH591" s="13" t="str">
        <f t="shared" si="128"/>
        <v>CUMPLE</v>
      </c>
      <c r="BI591" s="13">
        <f>AX591*[1]Parametros!$B$8</f>
        <v>0</v>
      </c>
      <c r="BJ591" s="15" t="str">
        <f t="shared" si="129"/>
        <v>CUMPLE</v>
      </c>
    </row>
    <row r="592" spans="1:62" x14ac:dyDescent="0.3">
      <c r="A592" s="45" t="s">
        <v>78</v>
      </c>
      <c r="B592" s="46">
        <v>141</v>
      </c>
      <c r="C592" s="13">
        <v>1</v>
      </c>
      <c r="D592" s="13">
        <v>1.9</v>
      </c>
      <c r="E592" s="13">
        <v>1.9</v>
      </c>
      <c r="F592" s="13">
        <v>450</v>
      </c>
      <c r="G592" s="13">
        <v>550</v>
      </c>
      <c r="H592" s="13">
        <v>450</v>
      </c>
      <c r="I592" s="13">
        <v>550</v>
      </c>
      <c r="J592" s="14">
        <v>18.152200000000001</v>
      </c>
      <c r="K592" s="13">
        <v>141</v>
      </c>
      <c r="L592" s="14">
        <v>0.46679999999999999</v>
      </c>
      <c r="M592" s="13">
        <v>141</v>
      </c>
      <c r="N592" s="14">
        <v>14.739000000000001</v>
      </c>
      <c r="O592" s="14">
        <v>23.367000000000001</v>
      </c>
      <c r="P592" s="13">
        <v>141</v>
      </c>
      <c r="Q592" s="14">
        <v>11.123200000000001</v>
      </c>
      <c r="R592" s="13">
        <f>MAX(MAX(1.4/[1]Parametros!$B$3,0.25*SQRT([1]Parametros!$B$2)/[1]Parametros!$B$3)*H592*U592,(0.85*[1]Parametros!$B$2/[1]Parametros!$B$3)*(1-SQRT(1-2*(J592*1000000/([1]Parametros!$B$5*H592*U592^2))/(0.85*[1]Parametros!$B$2)))*H592*U592)</f>
        <v>734.02500000000009</v>
      </c>
      <c r="S592" s="14">
        <v>4</v>
      </c>
      <c r="T592" s="14">
        <v>1</v>
      </c>
      <c r="U592" s="13">
        <f>IF(T592=1,I592-([1]Parametros!$B$7+[1]Parametros!$B$9+[1]Parametros!$B$12/2),I592-(ROUNDUP(S592/2,0)*([1]Parametros!$B$7+[1]Parametros!$B$9+[1]Parametros!$B$12/2)+ROUNDDOWN(S592/2,0)*([1]Parametros!$B$7+[1]Parametros!$B$9+[1]Parametros!$B$12/2+[1]Parametros!$B$12+[1]Parametros!$B$10))/S592)</f>
        <v>489.35</v>
      </c>
      <c r="V592" s="13">
        <f>S592*[1]Parametros!$B$8</f>
        <v>796</v>
      </c>
      <c r="W592" s="13">
        <f>[1]Parametros!$B$5*V592*[1]Parametros!$B$3*(U592-(V592*[1]Parametros!$B$3/(0.85*[1]Parametros!$B$2*H592))/2)/1000000</f>
        <v>142.54333009411764</v>
      </c>
      <c r="X592" s="13" t="str">
        <f t="shared" si="117"/>
        <v>CUMPLE</v>
      </c>
      <c r="Y592" s="13">
        <f>MAX(MAX(1.4/[1]Parametros!$B$3,0.25*SQRT([1]Parametros!$B$2)/[1]Parametros!$B$3)*H592*AB592,(0.85*[1]Parametros!$B$2/[1]Parametros!$B$3)*(1-SQRT(1-2*(L592*1000000/([1]Parametros!$B$5*H592*AB592^2))/(0.85*[1]Parametros!$B$2)))*H592*AB592)</f>
        <v>734.02500000000009</v>
      </c>
      <c r="Z592" s="14">
        <v>4</v>
      </c>
      <c r="AA592" s="14">
        <v>1</v>
      </c>
      <c r="AB592" s="13">
        <f>IF(AA592=1,I592-([1]Parametros!$B$7+[1]Parametros!$B$9+[1]Parametros!$B$12/2),I592-(ROUNDUP(Z592/2,0)*([1]Parametros!$B$7+[1]Parametros!$B$9+[1]Parametros!$B$12/2)+ROUNDDOWN(Z592/2,0)*([1]Parametros!$B$7+[1]Parametros!$B$9+[1]Parametros!$B$12/2+[1]Parametros!$B$12+[1]Parametros!$B$10))/Z592)</f>
        <v>489.35</v>
      </c>
      <c r="AC592" s="13">
        <f>Z592*[1]Parametros!$B$8</f>
        <v>796</v>
      </c>
      <c r="AD592" s="13">
        <f>[1]Parametros!$B$5*AC592*[1]Parametros!$B$3*(AB592-(AC592*[1]Parametros!$B$3/(0.85*[1]Parametros!$B$2*H592))/2)/1000000</f>
        <v>142.54333009411764</v>
      </c>
      <c r="AE592" s="13" t="str">
        <f t="shared" si="118"/>
        <v>CUMPLE</v>
      </c>
      <c r="AF592" s="13">
        <f>V592*1.25*[1]Parametros!$B$3*(U592-(V592*1.25*[1]Parametros!$B$3/(0.85*[1]Parametros!$B$2*H592))/2)/1000000</f>
        <v>196.34621794117646</v>
      </c>
      <c r="AG592" s="13">
        <f>AC592*1.25*[1]Parametros!$B$3*(AB592-(AC592*1.25*[1]Parametros!$B$3/(0.85*[1]Parametros!$B$2*H592))/2)/1000000</f>
        <v>196.34621794117646</v>
      </c>
      <c r="AH592" s="13">
        <f t="shared" si="119"/>
        <v>221.41922941176472</v>
      </c>
      <c r="AI592" s="13">
        <f t="shared" si="120"/>
        <v>221.41922941176472</v>
      </c>
      <c r="AJ592" s="13">
        <f>0.17*SQRT([1]Parametros!$B$2)*H592*MIN(U592,AB592)/1000</f>
        <v>198.08885582262698</v>
      </c>
      <c r="AK592" s="13">
        <f>MAX(AI592/[1]Parametros!$B$6-AJ592,0)</f>
        <v>97.136783393059289</v>
      </c>
      <c r="AL592" s="13">
        <f>0.66*SQRT([1]Parametros!$B$2)*H592*MIN(U592,AB592)/1000</f>
        <v>769.05085201725785</v>
      </c>
      <c r="AM592" s="13" t="str">
        <f t="shared" si="121"/>
        <v>CUMPLE</v>
      </c>
      <c r="AN592" s="13" t="s">
        <v>64</v>
      </c>
      <c r="AO592" s="14">
        <v>2</v>
      </c>
      <c r="AP592" s="13">
        <f>ROUNDDOWN(MIN(IF(BC592+BD592=0,1000000000,AO592*BB592/(BC592+BD592)),MIN(U592,AB592)/4,8*[1]Parametros!$B$12,24*BA592,300,IF(AV592=0,1000000000,2*((H592-2*([1]Parametros!$B$7+[1]Parametros!$B$9/2))+(I592-2*([1]Parametros!$B$7+[1]Parametros!$B$9/2)))/8))/10,0)*10</f>
        <v>120</v>
      </c>
      <c r="AQ592" s="13">
        <f>ROUNDDOWN(MIN(IF(BC592+BD592=0,1000000000,AO592*BB592/(BC592+BD592)),IF(AK592&gt;0.33*SQRT([1]Parametros!$B$2)*H592*MIN(U592,AB592)/1000,MIN(U592,AB592)/4,MIN(U592,AB592)/2),600,IF(AV592=0,1000000000,2*((H592-2*([1]Parametros!$B$7+[1]Parametros!$B$9/2))+(I592-2*([1]Parametros!$B$7+[1]Parametros!$B$9/2)))/8))/10,0)*10</f>
        <v>190</v>
      </c>
      <c r="AR592" s="13">
        <f>[1]Parametros!$B$6*(AJ592+MAX(BE592-BD592,0)*[1]Parametros!$B$4*MIN(U592,AB592)/1000)</f>
        <v>291.779965455325</v>
      </c>
      <c r="AS592" s="13" t="str">
        <f t="shared" si="122"/>
        <v>CUMPLE</v>
      </c>
      <c r="AT592" s="13">
        <f>[1]Parametros!$B$6*0.083*SQRT([1]Parametros!$B$2)*(H592*I592)^2/(2*(H592+I592))/1000000</f>
        <v>10.08878303333792</v>
      </c>
      <c r="AU592" s="13" t="str">
        <f t="shared" si="123"/>
        <v>DISEÑAR</v>
      </c>
      <c r="AV592" s="13">
        <f>IF(Q592&lt;=AT592,0,Q592*1000000/([1]Parametros!$B$6*2*0.85*(H592-2*([1]Parametros!$B$7+[1]Parametros!$B$9/2))*(I592-2*([1]Parametros!$B$7+[1]Parametros!$B$9/2))*[1]Parametros!$B$4))</f>
        <v>0.12712648917707564</v>
      </c>
      <c r="AW592" s="13">
        <f>AV592*2*((H592-2*([1]Parametros!$B$7+[1]Parametros!$B$9/2))+(I592-2*([1]Parametros!$B$7+[1]Parametros!$B$9/2)))*[1]Parametros!$B$4/[1]Parametros!$B$3</f>
        <v>207.11447616729163</v>
      </c>
      <c r="AX592" s="14">
        <v>8</v>
      </c>
      <c r="AY592" s="13" t="str">
        <f t="shared" si="124"/>
        <v>CUMPLE</v>
      </c>
      <c r="AZ592" s="13" t="str">
        <f t="shared" si="125"/>
        <v>CUMPLE</v>
      </c>
      <c r="BA592" s="14">
        <v>9.5</v>
      </c>
      <c r="BB592" s="14">
        <v>71</v>
      </c>
      <c r="BC592" s="13">
        <f>MAX(IF(AK592=0,0,AK592*1000/([1]Parametros!$B$4*MIN(U592,AB592))),MAX(0.062*SQRT([1]Parametros!$B$2)*H592/[1]Parametros!$B$4,0.35*H592/[1]Parametros!$B$4))</f>
        <v>0.47262298088844429</v>
      </c>
      <c r="BD592" s="13">
        <f t="shared" si="126"/>
        <v>0.25425297835415128</v>
      </c>
      <c r="BE592" s="13">
        <f t="shared" si="127"/>
        <v>1.1833333333333333</v>
      </c>
      <c r="BF592" s="13">
        <f>SQRT((AI592*1000/(H592*MIN(U592,AB592)))^2+(Q592*1000000*2*((H592-2*([1]Parametros!$B$7+[1]Parametros!$B$9/2))+(I592-2*([1]Parametros!$B$7+[1]Parametros!$B$9/2)))/(1.7*((H592-2*([1]Parametros!$B$7+[1]Parametros!$B$9/2))*(I592-2*([1]Parametros!$B$7+[1]Parametros!$B$9/2)))^2))^2)</f>
        <v>1.0818811946274083</v>
      </c>
      <c r="BG592" s="13">
        <f>[1]Parametros!$B$6*(AJ592*1000/(H592*MIN(U592,AB592))+0.66*SQRT([1]Parametros!$B$2))</f>
        <v>3.2939603822754151</v>
      </c>
      <c r="BH592" s="13" t="str">
        <f t="shared" si="128"/>
        <v>CUMPLE</v>
      </c>
      <c r="BI592" s="13">
        <f>AX592*[1]Parametros!$B$8</f>
        <v>1592</v>
      </c>
      <c r="BJ592" s="15" t="str">
        <f t="shared" si="129"/>
        <v>CUMPLE</v>
      </c>
    </row>
    <row r="593" spans="1:62" x14ac:dyDescent="0.3">
      <c r="A593" s="45" t="s">
        <v>78</v>
      </c>
      <c r="B593" s="46">
        <v>142</v>
      </c>
      <c r="C593" s="13">
        <v>1</v>
      </c>
      <c r="D593" s="13">
        <v>1.9</v>
      </c>
      <c r="E593" s="13">
        <v>1.9</v>
      </c>
      <c r="F593" s="13">
        <v>450</v>
      </c>
      <c r="G593" s="13">
        <v>550</v>
      </c>
      <c r="H593" s="13">
        <v>450</v>
      </c>
      <c r="I593" s="13">
        <v>550</v>
      </c>
      <c r="J593" s="14">
        <v>18.0913</v>
      </c>
      <c r="K593" s="13">
        <v>142</v>
      </c>
      <c r="L593" s="14">
        <v>0.47239999999999999</v>
      </c>
      <c r="M593" s="13">
        <v>142</v>
      </c>
      <c r="N593" s="14">
        <v>14.715</v>
      </c>
      <c r="O593" s="14">
        <v>23.343</v>
      </c>
      <c r="P593" s="13">
        <v>142</v>
      </c>
      <c r="Q593" s="14">
        <v>11.1105</v>
      </c>
      <c r="R593" s="13">
        <f>MAX(MAX(1.4/[1]Parametros!$B$3,0.25*SQRT([1]Parametros!$B$2)/[1]Parametros!$B$3)*H593*U593,(0.85*[1]Parametros!$B$2/[1]Parametros!$B$3)*(1-SQRT(1-2*(J593*1000000/([1]Parametros!$B$5*H593*U593^2))/(0.85*[1]Parametros!$B$2)))*H593*U593)</f>
        <v>734.02500000000009</v>
      </c>
      <c r="S593" s="14">
        <v>4</v>
      </c>
      <c r="T593" s="14">
        <v>1</v>
      </c>
      <c r="U593" s="13">
        <f>IF(T593=1,I593-([1]Parametros!$B$7+[1]Parametros!$B$9+[1]Parametros!$B$12/2),I593-(ROUNDUP(S593/2,0)*([1]Parametros!$B$7+[1]Parametros!$B$9+[1]Parametros!$B$12/2)+ROUNDDOWN(S593/2,0)*([1]Parametros!$B$7+[1]Parametros!$B$9+[1]Parametros!$B$12/2+[1]Parametros!$B$12+[1]Parametros!$B$10))/S593)</f>
        <v>489.35</v>
      </c>
      <c r="V593" s="13">
        <f>S593*[1]Parametros!$B$8</f>
        <v>796</v>
      </c>
      <c r="W593" s="13">
        <f>[1]Parametros!$B$5*V593*[1]Parametros!$B$3*(U593-(V593*[1]Parametros!$B$3/(0.85*[1]Parametros!$B$2*H593))/2)/1000000</f>
        <v>142.54333009411764</v>
      </c>
      <c r="X593" s="13" t="str">
        <f t="shared" si="117"/>
        <v>CUMPLE</v>
      </c>
      <c r="Y593" s="13">
        <f>MAX(MAX(1.4/[1]Parametros!$B$3,0.25*SQRT([1]Parametros!$B$2)/[1]Parametros!$B$3)*H593*AB593,(0.85*[1]Parametros!$B$2/[1]Parametros!$B$3)*(1-SQRT(1-2*(L593*1000000/([1]Parametros!$B$5*H593*AB593^2))/(0.85*[1]Parametros!$B$2)))*H593*AB593)</f>
        <v>734.02500000000009</v>
      </c>
      <c r="Z593" s="14">
        <v>4</v>
      </c>
      <c r="AA593" s="14">
        <v>1</v>
      </c>
      <c r="AB593" s="13">
        <f>IF(AA593=1,I593-([1]Parametros!$B$7+[1]Parametros!$B$9+[1]Parametros!$B$12/2),I593-(ROUNDUP(Z593/2,0)*([1]Parametros!$B$7+[1]Parametros!$B$9+[1]Parametros!$B$12/2)+ROUNDDOWN(Z593/2,0)*([1]Parametros!$B$7+[1]Parametros!$B$9+[1]Parametros!$B$12/2+[1]Parametros!$B$12+[1]Parametros!$B$10))/Z593)</f>
        <v>489.35</v>
      </c>
      <c r="AC593" s="13">
        <f>Z593*[1]Parametros!$B$8</f>
        <v>796</v>
      </c>
      <c r="AD593" s="13">
        <f>[1]Parametros!$B$5*AC593*[1]Parametros!$B$3*(AB593-(AC593*[1]Parametros!$B$3/(0.85*[1]Parametros!$B$2*H593))/2)/1000000</f>
        <v>142.54333009411764</v>
      </c>
      <c r="AE593" s="13" t="str">
        <f t="shared" si="118"/>
        <v>CUMPLE</v>
      </c>
      <c r="AF593" s="13">
        <f>V593*1.25*[1]Parametros!$B$3*(U593-(V593*1.25*[1]Parametros!$B$3/(0.85*[1]Parametros!$B$2*H593))/2)/1000000</f>
        <v>196.34621794117646</v>
      </c>
      <c r="AG593" s="13">
        <f>AC593*1.25*[1]Parametros!$B$3*(AB593-(AC593*1.25*[1]Parametros!$B$3/(0.85*[1]Parametros!$B$2*H593))/2)/1000000</f>
        <v>196.34621794117646</v>
      </c>
      <c r="AH593" s="13">
        <f t="shared" si="119"/>
        <v>221.39522941176472</v>
      </c>
      <c r="AI593" s="13">
        <f t="shared" si="120"/>
        <v>221.39522941176472</v>
      </c>
      <c r="AJ593" s="13">
        <f>0.17*SQRT([1]Parametros!$B$2)*H593*MIN(U593,AB593)/1000</f>
        <v>198.08885582262698</v>
      </c>
      <c r="AK593" s="13">
        <f>MAX(AI593/[1]Parametros!$B$6-AJ593,0)</f>
        <v>97.104783393059307</v>
      </c>
      <c r="AL593" s="13">
        <f>0.66*SQRT([1]Parametros!$B$2)*H593*MIN(U593,AB593)/1000</f>
        <v>769.05085201725785</v>
      </c>
      <c r="AM593" s="13" t="str">
        <f t="shared" si="121"/>
        <v>CUMPLE</v>
      </c>
      <c r="AN593" s="13" t="s">
        <v>64</v>
      </c>
      <c r="AO593" s="14">
        <v>2</v>
      </c>
      <c r="AP593" s="13">
        <f>ROUNDDOWN(MIN(IF(BC593+BD593=0,1000000000,AO593*BB593/(BC593+BD593)),MIN(U593,AB593)/4,8*[1]Parametros!$B$12,24*BA593,300,IF(AV593=0,1000000000,2*((H593-2*([1]Parametros!$B$7+[1]Parametros!$B$9/2))+(I593-2*([1]Parametros!$B$7+[1]Parametros!$B$9/2)))/8))/10,0)*10</f>
        <v>120</v>
      </c>
      <c r="AQ593" s="13">
        <f>ROUNDDOWN(MIN(IF(BC593+BD593=0,1000000000,AO593*BB593/(BC593+BD593)),IF(AK593&gt;0.33*SQRT([1]Parametros!$B$2)*H593*MIN(U593,AB593)/1000,MIN(U593,AB593)/4,MIN(U593,AB593)/2),600,IF(AV593=0,1000000000,2*((H593-2*([1]Parametros!$B$7+[1]Parametros!$B$9/2))+(I593-2*([1]Parametros!$B$7+[1]Parametros!$B$9/2)))/8))/10,0)*10</f>
        <v>190</v>
      </c>
      <c r="AR593" s="13">
        <f>[1]Parametros!$B$6*(AJ593+MAX(BE593-BD593,0)*[1]Parametros!$B$4*MIN(U593,AB593)/1000)</f>
        <v>291.8247130989148</v>
      </c>
      <c r="AS593" s="13" t="str">
        <f t="shared" si="122"/>
        <v>CUMPLE</v>
      </c>
      <c r="AT593" s="13">
        <f>[1]Parametros!$B$6*0.083*SQRT([1]Parametros!$B$2)*(H593*I593)^2/(2*(H593+I593))/1000000</f>
        <v>10.08878303333792</v>
      </c>
      <c r="AU593" s="13" t="str">
        <f t="shared" si="123"/>
        <v>DISEÑAR</v>
      </c>
      <c r="AV593" s="13">
        <f>IF(Q593&lt;=AT593,0,Q593*1000000/([1]Parametros!$B$6*2*0.85*(H593-2*([1]Parametros!$B$7+[1]Parametros!$B$9/2))*(I593-2*([1]Parametros!$B$7+[1]Parametros!$B$9/2))*[1]Parametros!$B$4))</f>
        <v>0.12698134152059651</v>
      </c>
      <c r="AW593" s="13">
        <f>AV593*2*((H593-2*([1]Parametros!$B$7+[1]Parametros!$B$9/2))+(I593-2*([1]Parametros!$B$7+[1]Parametros!$B$9/2)))*[1]Parametros!$B$4/[1]Parametros!$B$3</f>
        <v>206.87800160535585</v>
      </c>
      <c r="AX593" s="14">
        <v>8</v>
      </c>
      <c r="AY593" s="13" t="str">
        <f t="shared" si="124"/>
        <v>CUMPLE</v>
      </c>
      <c r="AZ593" s="13" t="str">
        <f t="shared" si="125"/>
        <v>CUMPLE</v>
      </c>
      <c r="BA593" s="14">
        <v>9.5</v>
      </c>
      <c r="BB593" s="14">
        <v>71</v>
      </c>
      <c r="BC593" s="13">
        <f>MAX(IF(AK593=0,0,AK593*1000/([1]Parametros!$B$4*MIN(U593,AB593))),MAX(0.062*SQRT([1]Parametros!$B$2)*H593/[1]Parametros!$B$4,0.35*H593/[1]Parametros!$B$4))</f>
        <v>0.4724672835834674</v>
      </c>
      <c r="BD593" s="13">
        <f t="shared" si="126"/>
        <v>0.25396268304119302</v>
      </c>
      <c r="BE593" s="13">
        <f t="shared" si="127"/>
        <v>1.1833333333333333</v>
      </c>
      <c r="BF593" s="13">
        <f>SQRT((AI593*1000/(H593*MIN(U593,AB593)))^2+(Q593*1000000*2*((H593-2*([1]Parametros!$B$7+[1]Parametros!$B$9/2))+(I593-2*([1]Parametros!$B$7+[1]Parametros!$B$9/2)))/(1.7*((H593-2*([1]Parametros!$B$7+[1]Parametros!$B$9/2))*(I593-2*([1]Parametros!$B$7+[1]Parametros!$B$9/2)))^2))^2)</f>
        <v>1.081611713822934</v>
      </c>
      <c r="BG593" s="13">
        <f>[1]Parametros!$B$6*(AJ593*1000/(H593*MIN(U593,AB593))+0.66*SQRT([1]Parametros!$B$2))</f>
        <v>3.2939603822754151</v>
      </c>
      <c r="BH593" s="13" t="str">
        <f t="shared" si="128"/>
        <v>CUMPLE</v>
      </c>
      <c r="BI593" s="13">
        <f>AX593*[1]Parametros!$B$8</f>
        <v>1592</v>
      </c>
      <c r="BJ593" s="15" t="str">
        <f t="shared" si="129"/>
        <v>CUMPLE</v>
      </c>
    </row>
    <row r="594" spans="1:62" x14ac:dyDescent="0.3">
      <c r="A594" s="45" t="s">
        <v>78</v>
      </c>
      <c r="B594" s="46">
        <v>143</v>
      </c>
      <c r="C594" s="13">
        <v>1</v>
      </c>
      <c r="D594" s="13">
        <v>1.9</v>
      </c>
      <c r="E594" s="13">
        <v>1.9</v>
      </c>
      <c r="F594" s="13">
        <v>450</v>
      </c>
      <c r="G594" s="13">
        <v>550</v>
      </c>
      <c r="H594" s="13">
        <v>450</v>
      </c>
      <c r="I594" s="13">
        <v>550</v>
      </c>
      <c r="J594" s="14">
        <v>18.078199999999999</v>
      </c>
      <c r="K594" s="13">
        <v>143</v>
      </c>
      <c r="L594" s="14">
        <v>0.47539999999999999</v>
      </c>
      <c r="M594" s="13">
        <v>143</v>
      </c>
      <c r="N594" s="14">
        <v>14.7</v>
      </c>
      <c r="O594" s="14">
        <v>23.361000000000001</v>
      </c>
      <c r="P594" s="13">
        <v>143</v>
      </c>
      <c r="Q594" s="14">
        <v>11.073499999999999</v>
      </c>
      <c r="R594" s="13">
        <f>MAX(MAX(1.4/[1]Parametros!$B$3,0.25*SQRT([1]Parametros!$B$2)/[1]Parametros!$B$3)*H594*U594,(0.85*[1]Parametros!$B$2/[1]Parametros!$B$3)*(1-SQRT(1-2*(J594*1000000/([1]Parametros!$B$5*H594*U594^2))/(0.85*[1]Parametros!$B$2)))*H594*U594)</f>
        <v>734.02500000000009</v>
      </c>
      <c r="S594" s="14">
        <v>4</v>
      </c>
      <c r="T594" s="14">
        <v>1</v>
      </c>
      <c r="U594" s="13">
        <f>IF(T594=1,I594-([1]Parametros!$B$7+[1]Parametros!$B$9+[1]Parametros!$B$12/2),I594-(ROUNDUP(S594/2,0)*([1]Parametros!$B$7+[1]Parametros!$B$9+[1]Parametros!$B$12/2)+ROUNDDOWN(S594/2,0)*([1]Parametros!$B$7+[1]Parametros!$B$9+[1]Parametros!$B$12/2+[1]Parametros!$B$12+[1]Parametros!$B$10))/S594)</f>
        <v>489.35</v>
      </c>
      <c r="V594" s="13">
        <f>S594*[1]Parametros!$B$8</f>
        <v>796</v>
      </c>
      <c r="W594" s="13">
        <f>[1]Parametros!$B$5*V594*[1]Parametros!$B$3*(U594-(V594*[1]Parametros!$B$3/(0.85*[1]Parametros!$B$2*H594))/2)/1000000</f>
        <v>142.54333009411764</v>
      </c>
      <c r="X594" s="13" t="str">
        <f t="shared" si="117"/>
        <v>CUMPLE</v>
      </c>
      <c r="Y594" s="13">
        <f>MAX(MAX(1.4/[1]Parametros!$B$3,0.25*SQRT([1]Parametros!$B$2)/[1]Parametros!$B$3)*H594*AB594,(0.85*[1]Parametros!$B$2/[1]Parametros!$B$3)*(1-SQRT(1-2*(L594*1000000/([1]Parametros!$B$5*H594*AB594^2))/(0.85*[1]Parametros!$B$2)))*H594*AB594)</f>
        <v>734.02500000000009</v>
      </c>
      <c r="Z594" s="14">
        <v>4</v>
      </c>
      <c r="AA594" s="14">
        <v>1</v>
      </c>
      <c r="AB594" s="13">
        <f>IF(AA594=1,I594-([1]Parametros!$B$7+[1]Parametros!$B$9+[1]Parametros!$B$12/2),I594-(ROUNDUP(Z594/2,0)*([1]Parametros!$B$7+[1]Parametros!$B$9+[1]Parametros!$B$12/2)+ROUNDDOWN(Z594/2,0)*([1]Parametros!$B$7+[1]Parametros!$B$9+[1]Parametros!$B$12/2+[1]Parametros!$B$12+[1]Parametros!$B$10))/Z594)</f>
        <v>489.35</v>
      </c>
      <c r="AC594" s="13">
        <f>Z594*[1]Parametros!$B$8</f>
        <v>796</v>
      </c>
      <c r="AD594" s="13">
        <f>[1]Parametros!$B$5*AC594*[1]Parametros!$B$3*(AB594-(AC594*[1]Parametros!$B$3/(0.85*[1]Parametros!$B$2*H594))/2)/1000000</f>
        <v>142.54333009411764</v>
      </c>
      <c r="AE594" s="13" t="str">
        <f t="shared" si="118"/>
        <v>CUMPLE</v>
      </c>
      <c r="AF594" s="13">
        <f>V594*1.25*[1]Parametros!$B$3*(U594-(V594*1.25*[1]Parametros!$B$3/(0.85*[1]Parametros!$B$2*H594))/2)/1000000</f>
        <v>196.34621794117646</v>
      </c>
      <c r="AG594" s="13">
        <f>AC594*1.25*[1]Parametros!$B$3*(AB594-(AC594*1.25*[1]Parametros!$B$3/(0.85*[1]Parametros!$B$2*H594))/2)/1000000</f>
        <v>196.34621794117646</v>
      </c>
      <c r="AH594" s="13">
        <f t="shared" si="119"/>
        <v>221.3802294117647</v>
      </c>
      <c r="AI594" s="13">
        <f t="shared" si="120"/>
        <v>221.3802294117647</v>
      </c>
      <c r="AJ594" s="13">
        <f>0.17*SQRT([1]Parametros!$B$2)*H594*MIN(U594,AB594)/1000</f>
        <v>198.08885582262698</v>
      </c>
      <c r="AK594" s="13">
        <f>MAX(AI594/[1]Parametros!$B$6-AJ594,0)</f>
        <v>97.084783393059269</v>
      </c>
      <c r="AL594" s="13">
        <f>0.66*SQRT([1]Parametros!$B$2)*H594*MIN(U594,AB594)/1000</f>
        <v>769.05085201725785</v>
      </c>
      <c r="AM594" s="13" t="str">
        <f t="shared" si="121"/>
        <v>CUMPLE</v>
      </c>
      <c r="AN594" s="13" t="s">
        <v>64</v>
      </c>
      <c r="AO594" s="14">
        <v>2</v>
      </c>
      <c r="AP594" s="13">
        <f>ROUNDDOWN(MIN(IF(BC594+BD594=0,1000000000,AO594*BB594/(BC594+BD594)),MIN(U594,AB594)/4,8*[1]Parametros!$B$12,24*BA594,300,IF(AV594=0,1000000000,2*((H594-2*([1]Parametros!$B$7+[1]Parametros!$B$9/2))+(I594-2*([1]Parametros!$B$7+[1]Parametros!$B$9/2)))/8))/10,0)*10</f>
        <v>120</v>
      </c>
      <c r="AQ594" s="13">
        <f>ROUNDDOWN(MIN(IF(BC594+BD594=0,1000000000,AO594*BB594/(BC594+BD594)),IF(AK594&gt;0.33*SQRT([1]Parametros!$B$2)*H594*MIN(U594,AB594)/1000,MIN(U594,AB594)/4,MIN(U594,AB594)/2),600,IF(AV594=0,1000000000,2*((H594-2*([1]Parametros!$B$7+[1]Parametros!$B$9/2))+(I594-2*([1]Parametros!$B$7+[1]Parametros!$B$9/2)))/8))/10,0)*10</f>
        <v>190</v>
      </c>
      <c r="AR594" s="13">
        <f>[1]Parametros!$B$6*(AJ594+MAX(BE594-BD594,0)*[1]Parametros!$B$4*MIN(U594,AB594)/1000)</f>
        <v>291.95508024953074</v>
      </c>
      <c r="AS594" s="13" t="str">
        <f t="shared" si="122"/>
        <v>CUMPLE</v>
      </c>
      <c r="AT594" s="13">
        <f>[1]Parametros!$B$6*0.083*SQRT([1]Parametros!$B$2)*(H594*I594)^2/(2*(H594+I594))/1000000</f>
        <v>10.08878303333792</v>
      </c>
      <c r="AU594" s="13" t="str">
        <f t="shared" si="123"/>
        <v>DISEÑAR</v>
      </c>
      <c r="AV594" s="13">
        <f>IF(Q594&lt;=AT594,0,Q594*1000000/([1]Parametros!$B$6*2*0.85*(H594-2*([1]Parametros!$B$7+[1]Parametros!$B$9/2))*(I594-2*([1]Parametros!$B$7+[1]Parametros!$B$9/2))*[1]Parametros!$B$4))</f>
        <v>0.12655847039542104</v>
      </c>
      <c r="AW594" s="13">
        <f>AV594*2*((H594-2*([1]Parametros!$B$7+[1]Parametros!$B$9/2))+(I594-2*([1]Parametros!$B$7+[1]Parametros!$B$9/2)))*[1]Parametros!$B$4/[1]Parametros!$B$3</f>
        <v>206.18905996821996</v>
      </c>
      <c r="AX594" s="14">
        <v>8</v>
      </c>
      <c r="AY594" s="13" t="str">
        <f t="shared" si="124"/>
        <v>CUMPLE</v>
      </c>
      <c r="AZ594" s="13" t="str">
        <f t="shared" si="125"/>
        <v>CUMPLE</v>
      </c>
      <c r="BA594" s="14">
        <v>9.5</v>
      </c>
      <c r="BB594" s="14">
        <v>71</v>
      </c>
      <c r="BC594" s="13">
        <f>MAX(IF(AK594=0,0,AK594*1000/([1]Parametros!$B$4*MIN(U594,AB594))),MAX(0.062*SQRT([1]Parametros!$B$2)*H594/[1]Parametros!$B$4,0.35*H594/[1]Parametros!$B$4))</f>
        <v>0.47236997276785664</v>
      </c>
      <c r="BD594" s="13">
        <f t="shared" si="126"/>
        <v>0.25311694079084207</v>
      </c>
      <c r="BE594" s="13">
        <f t="shared" si="127"/>
        <v>1.1833333333333333</v>
      </c>
      <c r="BF594" s="13">
        <f>SQRT((AI594*1000/(H594*MIN(U594,AB594)))^2+(Q594*1000000*2*((H594-2*([1]Parametros!$B$7+[1]Parametros!$B$9/2))+(I594-2*([1]Parametros!$B$7+[1]Parametros!$B$9/2)))/(1.7*((H594-2*([1]Parametros!$B$7+[1]Parametros!$B$9/2))*(I594-2*([1]Parametros!$B$7+[1]Parametros!$B$9/2)))^2))^2)</f>
        <v>1.0810593188218807</v>
      </c>
      <c r="BG594" s="13">
        <f>[1]Parametros!$B$6*(AJ594*1000/(H594*MIN(U594,AB594))+0.66*SQRT([1]Parametros!$B$2))</f>
        <v>3.2939603822754151</v>
      </c>
      <c r="BH594" s="13" t="str">
        <f t="shared" si="128"/>
        <v>CUMPLE</v>
      </c>
      <c r="BI594" s="13">
        <f>AX594*[1]Parametros!$B$8</f>
        <v>1592</v>
      </c>
      <c r="BJ594" s="15" t="str">
        <f t="shared" si="129"/>
        <v>CUMPLE</v>
      </c>
    </row>
    <row r="595" spans="1:62" ht="15" thickBot="1" x14ac:dyDescent="0.35">
      <c r="A595" s="37" t="s">
        <v>78</v>
      </c>
      <c r="B595" s="38">
        <v>144</v>
      </c>
      <c r="C595" s="26">
        <v>1</v>
      </c>
      <c r="D595" s="26">
        <v>1.9</v>
      </c>
      <c r="E595" s="26">
        <v>1.9</v>
      </c>
      <c r="F595" s="26">
        <v>450</v>
      </c>
      <c r="G595" s="26">
        <v>550</v>
      </c>
      <c r="H595" s="26">
        <v>450</v>
      </c>
      <c r="I595" s="26">
        <v>550</v>
      </c>
      <c r="J595" s="27">
        <v>18.123799999999999</v>
      </c>
      <c r="K595" s="26">
        <v>144</v>
      </c>
      <c r="L595" s="27">
        <v>0.47099999999999997</v>
      </c>
      <c r="M595" s="26">
        <v>144</v>
      </c>
      <c r="N595" s="27">
        <v>14.718</v>
      </c>
      <c r="O595" s="27">
        <v>23.378</v>
      </c>
      <c r="P595" s="26">
        <v>144</v>
      </c>
      <c r="Q595" s="27">
        <v>11.087899999999999</v>
      </c>
      <c r="R595" s="26">
        <f>MAX(MAX(1.4/[1]Parametros!$B$3,0.25*SQRT([1]Parametros!$B$2)/[1]Parametros!$B$3)*H595*U595,(0.85*[1]Parametros!$B$2/[1]Parametros!$B$3)*(1-SQRT(1-2*(J595*1000000/([1]Parametros!$B$5*H595*U595^2))/(0.85*[1]Parametros!$B$2)))*H595*U595)</f>
        <v>734.02500000000009</v>
      </c>
      <c r="S595" s="27">
        <v>4</v>
      </c>
      <c r="T595" s="27">
        <v>1</v>
      </c>
      <c r="U595" s="26">
        <f>IF(T595=1,I595-([1]Parametros!$B$7+[1]Parametros!$B$9+[1]Parametros!$B$12/2),I595-(ROUNDUP(S595/2,0)*([1]Parametros!$B$7+[1]Parametros!$B$9+[1]Parametros!$B$12/2)+ROUNDDOWN(S595/2,0)*([1]Parametros!$B$7+[1]Parametros!$B$9+[1]Parametros!$B$12/2+[1]Parametros!$B$12+[1]Parametros!$B$10))/S595)</f>
        <v>489.35</v>
      </c>
      <c r="V595" s="26">
        <f>S595*[1]Parametros!$B$8</f>
        <v>796</v>
      </c>
      <c r="W595" s="26">
        <f>[1]Parametros!$B$5*V595*[1]Parametros!$B$3*(U595-(V595*[1]Parametros!$B$3/(0.85*[1]Parametros!$B$2*H595))/2)/1000000</f>
        <v>142.54333009411764</v>
      </c>
      <c r="X595" s="26" t="str">
        <f t="shared" si="117"/>
        <v>CUMPLE</v>
      </c>
      <c r="Y595" s="26">
        <f>MAX(MAX(1.4/[1]Parametros!$B$3,0.25*SQRT([1]Parametros!$B$2)/[1]Parametros!$B$3)*H595*AB595,(0.85*[1]Parametros!$B$2/[1]Parametros!$B$3)*(1-SQRT(1-2*(L595*1000000/([1]Parametros!$B$5*H595*AB595^2))/(0.85*[1]Parametros!$B$2)))*H595*AB595)</f>
        <v>734.02500000000009</v>
      </c>
      <c r="Z595" s="27">
        <v>4</v>
      </c>
      <c r="AA595" s="27">
        <v>1</v>
      </c>
      <c r="AB595" s="26">
        <f>IF(AA595=1,I595-([1]Parametros!$B$7+[1]Parametros!$B$9+[1]Parametros!$B$12/2),I595-(ROUNDUP(Z595/2,0)*([1]Parametros!$B$7+[1]Parametros!$B$9+[1]Parametros!$B$12/2)+ROUNDDOWN(Z595/2,0)*([1]Parametros!$B$7+[1]Parametros!$B$9+[1]Parametros!$B$12/2+[1]Parametros!$B$12+[1]Parametros!$B$10))/Z595)</f>
        <v>489.35</v>
      </c>
      <c r="AC595" s="26">
        <f>Z595*[1]Parametros!$B$8</f>
        <v>796</v>
      </c>
      <c r="AD595" s="26">
        <f>[1]Parametros!$B$5*AC595*[1]Parametros!$B$3*(AB595-(AC595*[1]Parametros!$B$3/(0.85*[1]Parametros!$B$2*H595))/2)/1000000</f>
        <v>142.54333009411764</v>
      </c>
      <c r="AE595" s="26" t="str">
        <f t="shared" si="118"/>
        <v>CUMPLE</v>
      </c>
      <c r="AF595" s="26">
        <f>V595*1.25*[1]Parametros!$B$3*(U595-(V595*1.25*[1]Parametros!$B$3/(0.85*[1]Parametros!$B$2*H595))/2)/1000000</f>
        <v>196.34621794117646</v>
      </c>
      <c r="AG595" s="26">
        <f>AC595*1.25*[1]Parametros!$B$3*(AB595-(AC595*1.25*[1]Parametros!$B$3/(0.85*[1]Parametros!$B$2*H595))/2)/1000000</f>
        <v>196.34621794117646</v>
      </c>
      <c r="AH595" s="26">
        <f t="shared" si="119"/>
        <v>221.3982294117647</v>
      </c>
      <c r="AI595" s="26">
        <f t="shared" si="120"/>
        <v>221.3982294117647</v>
      </c>
      <c r="AJ595" s="26">
        <f>0.17*SQRT([1]Parametros!$B$2)*H595*MIN(U595,AB595)/1000</f>
        <v>198.08885582262698</v>
      </c>
      <c r="AK595" s="26">
        <f>MAX(AI595/[1]Parametros!$B$6-AJ595,0)</f>
        <v>97.108783393059269</v>
      </c>
      <c r="AL595" s="26">
        <f>0.66*SQRT([1]Parametros!$B$2)*H595*MIN(U595,AB595)/1000</f>
        <v>769.05085201725785</v>
      </c>
      <c r="AM595" s="26" t="str">
        <f t="shared" si="121"/>
        <v>CUMPLE</v>
      </c>
      <c r="AN595" s="26" t="s">
        <v>64</v>
      </c>
      <c r="AO595" s="27">
        <v>2</v>
      </c>
      <c r="AP595" s="26">
        <f>ROUNDDOWN(MIN(IF(BC595+BD595=0,1000000000,AO595*BB595/(BC595+BD595)),MIN(U595,AB595)/4,8*[1]Parametros!$B$12,24*BA595,300,IF(AV595=0,1000000000,2*((H595-2*([1]Parametros!$B$7+[1]Parametros!$B$9/2))+(I595-2*([1]Parametros!$B$7+[1]Parametros!$B$9/2)))/8))/10,0)*10</f>
        <v>120</v>
      </c>
      <c r="AQ595" s="26">
        <f>ROUNDDOWN(MIN(IF(BC595+BD595=0,1000000000,AO595*BB595/(BC595+BD595)),IF(AK595&gt;0.33*SQRT([1]Parametros!$B$2)*H595*MIN(U595,AB595)/1000,MIN(U595,AB595)/4,MIN(U595,AB595)/2),600,IF(AV595=0,1000000000,2*((H595-2*([1]Parametros!$B$7+[1]Parametros!$B$9/2))+(I595-2*([1]Parametros!$B$7+[1]Parametros!$B$9/2)))/8))/10,0)*10</f>
        <v>190</v>
      </c>
      <c r="AR595" s="26">
        <f>[1]Parametros!$B$6*(AJ595+MAX(BE595-BD595,0)*[1]Parametros!$B$4*MIN(U595,AB595)/1000)</f>
        <v>291.90434276388555</v>
      </c>
      <c r="AS595" s="26" t="str">
        <f t="shared" si="122"/>
        <v>CUMPLE</v>
      </c>
      <c r="AT595" s="26">
        <f>[1]Parametros!$B$6*0.083*SQRT([1]Parametros!$B$2)*(H595*I595)^2/(2*(H595+I595))/1000000</f>
        <v>10.08878303333792</v>
      </c>
      <c r="AU595" s="26" t="str">
        <f t="shared" si="123"/>
        <v>DISEÑAR</v>
      </c>
      <c r="AV595" s="26">
        <f>IF(Q595&lt;=AT595,0,Q595*1000000/([1]Parametros!$B$6*2*0.85*(H595-2*([1]Parametros!$B$7+[1]Parametros!$B$9/2))*(I595-2*([1]Parametros!$B$7+[1]Parametros!$B$9/2))*[1]Parametros!$B$4))</f>
        <v>0.12672304726575959</v>
      </c>
      <c r="AW595" s="26">
        <f>AV595*2*((H595-2*([1]Parametros!$B$7+[1]Parametros!$B$9/2))+(I595-2*([1]Parametros!$B$7+[1]Parametros!$B$9/2)))*[1]Parametros!$B$4/[1]Parametros!$B$3</f>
        <v>206.45718860537553</v>
      </c>
      <c r="AX595" s="27">
        <v>8</v>
      </c>
      <c r="AY595" s="26" t="str">
        <f t="shared" si="124"/>
        <v>CUMPLE</v>
      </c>
      <c r="AZ595" s="26" t="str">
        <f t="shared" si="125"/>
        <v>CUMPLE</v>
      </c>
      <c r="BA595" s="27">
        <v>9.5</v>
      </c>
      <c r="BB595" s="27">
        <v>71</v>
      </c>
      <c r="BC595" s="26">
        <f>MAX(IF(AK595=0,0,AK595*1000/([1]Parametros!$B$4*MIN(U595,AB595))),MAX(0.062*SQRT([1]Parametros!$B$2)*H595/[1]Parametros!$B$4,0.35*H595/[1]Parametros!$B$4))</f>
        <v>0.47248674574658939</v>
      </c>
      <c r="BD595" s="26">
        <f t="shared" si="126"/>
        <v>0.25344609453151917</v>
      </c>
      <c r="BE595" s="26">
        <f t="shared" si="127"/>
        <v>1.1833333333333333</v>
      </c>
      <c r="BF595" s="26">
        <f>SQRT((AI595*1000/(H595*MIN(U595,AB595)))^2+(Q595*1000000*2*((H595-2*([1]Parametros!$B$7+[1]Parametros!$B$9/2))+(I595-2*([1]Parametros!$B$7+[1]Parametros!$B$9/2)))/(1.7*((H595-2*([1]Parametros!$B$7+[1]Parametros!$B$9/2))*(I595-2*([1]Parametros!$B$7+[1]Parametros!$B$9/2)))^2))^2)</f>
        <v>1.0813254967253016</v>
      </c>
      <c r="BG595" s="26">
        <f>[1]Parametros!$B$6*(AJ595*1000/(H595*MIN(U595,AB595))+0.66*SQRT([1]Parametros!$B$2))</f>
        <v>3.2939603822754151</v>
      </c>
      <c r="BH595" s="26" t="str">
        <f t="shared" si="128"/>
        <v>CUMPLE</v>
      </c>
      <c r="BI595" s="26">
        <f>AX595*[1]Parametros!$B$8</f>
        <v>1592</v>
      </c>
      <c r="BJ595" s="28" t="str">
        <f t="shared" si="129"/>
        <v>CUMPLE</v>
      </c>
    </row>
  </sheetData>
  <mergeCells count="1"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Vigas de Carga (7)</vt:lpstr>
      <vt:lpstr>Vigas de Rigidez (5)</vt:lpstr>
      <vt:lpstr>Todas las Vigas (592)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Ospina Porras</dc:creator>
  <cp:lastModifiedBy>santiago ospina porras</cp:lastModifiedBy>
  <dcterms:created xsi:type="dcterms:W3CDTF">2026-07-18T02:56:00Z</dcterms:created>
  <dcterms:modified xsi:type="dcterms:W3CDTF">2026-07-18T03:35:17Z</dcterms:modified>
</cp:coreProperties>
</file>