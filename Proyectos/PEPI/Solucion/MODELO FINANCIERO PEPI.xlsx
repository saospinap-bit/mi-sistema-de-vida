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no de Caudal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Amortizacion Deuda" sheetId="3" state="visible" r:id="rId3"/>
    <sheet xmlns:r="http://schemas.openxmlformats.org/officeDocument/2006/relationships" name="Flujos de Caja" sheetId="4" state="visible" r:id="rId4"/>
    <sheet xmlns:r="http://schemas.openxmlformats.org/officeDocument/2006/relationships" name="Indicadores" sheetId="5" state="visible" r:id="rId5"/>
    <sheet xmlns:r="http://schemas.openxmlformats.org/officeDocument/2006/relationships" name="Riesg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4" fillId="0" borderId="0" pivotButton="0" quotePrefix="0" xfId="0"/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</cols>
  <sheetData>
    <row r="1" ht="28" customHeight="1">
      <c r="A1" s="1" t="inlineStr">
        <is>
          <t>DISENO DE CAUDAL - ACUEDUCTO DE TADO (Resolucion 0330 de 2017 - RAS)</t>
        </is>
      </c>
    </row>
    <row r="3">
      <c r="A3" s="2" t="inlineStr">
        <is>
          <t>Parametro</t>
        </is>
      </c>
      <c r="B3" s="2" t="inlineStr">
        <is>
          <t>Valor</t>
        </is>
      </c>
      <c r="C3" s="2" t="inlineStr">
        <is>
          <t>Unidad / Fuente</t>
        </is>
      </c>
    </row>
    <row r="4">
      <c r="A4" s="3" t="inlineStr">
        <is>
          <t>Poblacion municipio (CNPV 2018, DANE)</t>
        </is>
      </c>
      <c r="B4" s="4" t="n">
        <v>17000</v>
      </c>
      <c r="C4" s="5" t="inlineStr">
        <is>
          <t>hab</t>
        </is>
      </c>
    </row>
    <row r="5">
      <c r="A5" s="3" t="inlineStr">
        <is>
          <t>Fraccion urbana (estimada)</t>
        </is>
      </c>
      <c r="B5" s="6" t="n">
        <v>0.6</v>
      </c>
      <c r="C5" s="5" t="inlineStr">
        <is>
          <t>%</t>
        </is>
      </c>
    </row>
    <row r="6">
      <c r="A6" s="3" t="inlineStr">
        <is>
          <t>Poblacion urbana 2018</t>
        </is>
      </c>
      <c r="B6" s="4">
        <f>B4*B5</f>
        <v/>
      </c>
      <c r="C6" s="5" t="inlineStr">
        <is>
          <t>hab</t>
        </is>
      </c>
    </row>
    <row r="7">
      <c r="A7" s="3" t="inlineStr">
        <is>
          <t>Anio base</t>
        </is>
      </c>
      <c r="B7" s="4" t="n">
        <v>2024</v>
      </c>
      <c r="C7" s="5" t="inlineStr">
        <is>
          <t>anio</t>
        </is>
      </c>
    </row>
    <row r="8">
      <c r="A8" s="3" t="inlineStr">
        <is>
          <t>Tasa de crecimiento anual</t>
        </is>
      </c>
      <c r="B8" s="6" t="n">
        <v>0.012</v>
      </c>
      <c r="C8" s="5" t="inlineStr">
        <is>
          <t>%</t>
        </is>
      </c>
    </row>
    <row r="9">
      <c r="A9" s="3" t="inlineStr">
        <is>
          <t>Periodo de diseno</t>
        </is>
      </c>
      <c r="B9" s="4" t="n">
        <v>25</v>
      </c>
      <c r="C9" s="5" t="inlineStr">
        <is>
          <t>anios</t>
        </is>
      </c>
    </row>
    <row r="10">
      <c r="A10" s="3" t="inlineStr">
        <is>
          <t>Poblacion urbana base</t>
        </is>
      </c>
      <c r="B10" s="4">
        <f>B6*(1+B8)^(B7-2018)</f>
        <v/>
      </c>
      <c r="C10" s="5" t="inlineStr">
        <is>
          <t>hab</t>
        </is>
      </c>
    </row>
    <row r="11">
      <c r="A11" s="3" t="inlineStr">
        <is>
          <t>Poblacion de diseno</t>
        </is>
      </c>
      <c r="B11" s="4">
        <f>B10*(1+B8)^B9</f>
        <v/>
      </c>
      <c r="C11" s="5" t="inlineStr">
        <is>
          <t>hab (+25 anios)</t>
        </is>
      </c>
    </row>
    <row r="12">
      <c r="A12" s="3" t="inlineStr">
        <is>
          <t>Dotacion neta (Art. 43, clima calido)</t>
        </is>
      </c>
      <c r="B12" s="4" t="n">
        <v>140</v>
      </c>
      <c r="C12" s="5" t="inlineStr">
        <is>
          <t>L/hab.dia</t>
        </is>
      </c>
    </row>
    <row r="13">
      <c r="A13" s="3" t="inlineStr">
        <is>
          <t>Perdidas tecnicas max. (Art. 44)</t>
        </is>
      </c>
      <c r="B13" s="6" t="n">
        <v>0.25</v>
      </c>
      <c r="C13" s="5" t="inlineStr">
        <is>
          <t>%</t>
        </is>
      </c>
    </row>
    <row r="14">
      <c r="A14" s="3" t="inlineStr">
        <is>
          <t>Dotacion bruta</t>
        </is>
      </c>
      <c r="B14" s="4">
        <f>B12/(1-B13)</f>
        <v/>
      </c>
      <c r="C14" s="5" t="inlineStr">
        <is>
          <t>L/hab.dia</t>
        </is>
      </c>
    </row>
    <row r="15">
      <c r="A15" s="3" t="inlineStr">
        <is>
          <t>k1 (coef. max. diario)</t>
        </is>
      </c>
      <c r="B15" s="4" t="n">
        <v>1.3</v>
      </c>
      <c r="C15" s="5" t="inlineStr">
        <is>
          <t>Art. 47</t>
        </is>
      </c>
    </row>
    <row r="16">
      <c r="A16" s="3" t="inlineStr">
        <is>
          <t>k2 (coef. max. horario)</t>
        </is>
      </c>
      <c r="B16" s="4" t="n">
        <v>1.6</v>
      </c>
      <c r="C16" s="5" t="inlineStr">
        <is>
          <t>Art. 47</t>
        </is>
      </c>
    </row>
    <row r="17">
      <c r="A17" s="3" t="inlineStr">
        <is>
          <t>Caudal medio diario (Qmd)</t>
        </is>
      </c>
      <c r="B17" s="4">
        <f>B11*B14/86400</f>
        <v/>
      </c>
      <c r="C17" s="5" t="inlineStr">
        <is>
          <t>L/s</t>
        </is>
      </c>
    </row>
    <row r="18">
      <c r="A18" s="3" t="inlineStr">
        <is>
          <t>Caudal maximo diario (QMD)</t>
        </is>
      </c>
      <c r="B18" s="4">
        <f>B17*B15</f>
        <v/>
      </c>
      <c r="C18" s="5" t="inlineStr">
        <is>
          <t>L/s</t>
        </is>
      </c>
    </row>
    <row r="19">
      <c r="A19" s="3" t="inlineStr">
        <is>
          <t>Caudal maximo horario (QMH)</t>
        </is>
      </c>
      <c r="B19" s="4">
        <f>B18*B16</f>
        <v/>
      </c>
      <c r="C19" s="5" t="inlineStr">
        <is>
          <t>L/s</t>
        </is>
      </c>
    </row>
    <row r="20">
      <c r="A20" s="3" t="inlineStr">
        <is>
          <t>Capacidad PTAP seleccionada</t>
        </is>
      </c>
      <c r="B20" s="4" t="n">
        <v>45</v>
      </c>
      <c r="C20" s="5" t="inlineStr">
        <is>
          <t>L/s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</cols>
  <sheetData>
    <row r="1" ht="28" customHeight="1">
      <c r="A1" s="1" t="inlineStr">
        <is>
          <t>SUPUESTOS DEL MODELO - PROYECTO PEPI (ACUEDUCTO DE TADO, CHOCO)</t>
        </is>
      </c>
    </row>
    <row r="2">
      <c r="A2" s="7" t="inlineStr">
        <is>
          <t>Cifras en COP millones (salvo %). CAPEX anclado a inversion real (19.971 MM).</t>
        </is>
      </c>
    </row>
    <row r="3">
      <c r="A3" s="2" t="inlineStr">
        <is>
          <t>Parametro</t>
        </is>
      </c>
      <c r="B3" s="2" t="inlineStr">
        <is>
          <t>Valor</t>
        </is>
      </c>
      <c r="C3" s="2" t="inlineStr">
        <is>
          <t>Unidad</t>
        </is>
      </c>
    </row>
    <row r="4">
      <c r="A4" s="3" t="inlineStr">
        <is>
          <t>CAPEX total</t>
        </is>
      </c>
      <c r="B4" s="8" t="n">
        <v>19971</v>
      </c>
      <c r="C4" s="9" t="inlineStr">
        <is>
          <t>COP MM</t>
        </is>
      </c>
    </row>
    <row r="5">
      <c r="A5" s="3" t="inlineStr">
        <is>
          <t>% Aporte publico (SGR/PDA/cooperacion)</t>
        </is>
      </c>
      <c r="B5" s="10" t="n">
        <v>0.8</v>
      </c>
      <c r="C5" s="9" t="inlineStr">
        <is>
          <t>%</t>
        </is>
      </c>
    </row>
    <row r="6">
      <c r="A6" s="3" t="inlineStr">
        <is>
          <t>% Deuda (banca de desarrollo)</t>
        </is>
      </c>
      <c r="B6" s="10" t="n">
        <v>0.1</v>
      </c>
      <c r="C6" s="9" t="inlineStr">
        <is>
          <t>%</t>
        </is>
      </c>
    </row>
    <row r="7">
      <c r="A7" s="3" t="inlineStr">
        <is>
          <t>% Equity (operador/municipio)</t>
        </is>
      </c>
      <c r="B7" s="10" t="n">
        <v>0.1</v>
      </c>
      <c r="C7" s="9" t="inlineStr">
        <is>
          <t>%</t>
        </is>
      </c>
    </row>
    <row r="8">
      <c r="A8" s="3" t="inlineStr">
        <is>
          <t>Aporte publico</t>
        </is>
      </c>
      <c r="B8" s="8">
        <f>B4*B5</f>
        <v/>
      </c>
      <c r="C8" s="9" t="inlineStr">
        <is>
          <t>COP MM</t>
        </is>
      </c>
    </row>
    <row r="9">
      <c r="A9" s="3" t="inlineStr">
        <is>
          <t>Deuda</t>
        </is>
      </c>
      <c r="B9" s="8">
        <f>B4*B6</f>
        <v/>
      </c>
      <c r="C9" s="9" t="inlineStr">
        <is>
          <t>COP MM</t>
        </is>
      </c>
    </row>
    <row r="10">
      <c r="A10" s="3" t="inlineStr">
        <is>
          <t>Equity</t>
        </is>
      </c>
      <c r="B10" s="8">
        <f>B4*B7</f>
        <v/>
      </c>
      <c r="C10" s="9" t="inlineStr">
        <is>
          <t>COP MM</t>
        </is>
      </c>
    </row>
    <row r="11">
      <c r="A11" s="3" t="inlineStr">
        <is>
          <t>Kd (costo deuda)</t>
        </is>
      </c>
      <c r="B11" s="10" t="n">
        <v>0.11</v>
      </c>
      <c r="C11" s="9" t="inlineStr">
        <is>
          <t>%</t>
        </is>
      </c>
    </row>
    <row r="12">
      <c r="A12" s="3" t="inlineStr">
        <is>
          <t>Ke (costo equity)</t>
        </is>
      </c>
      <c r="B12" s="10" t="n">
        <v>0.14</v>
      </c>
      <c r="C12" s="9" t="inlineStr">
        <is>
          <t>%</t>
        </is>
      </c>
    </row>
    <row r="13">
      <c r="A13" s="3" t="inlineStr">
        <is>
          <t>Tasa social de descuento (DNP)</t>
        </is>
      </c>
      <c r="B13" s="10" t="n">
        <v>0.09</v>
      </c>
      <c r="C13" s="9" t="inlineStr">
        <is>
          <t>%</t>
        </is>
      </c>
    </row>
    <row r="14">
      <c r="A14" s="3" t="inlineStr">
        <is>
          <t>Tasa de impuestos</t>
        </is>
      </c>
      <c r="B14" s="10" t="n">
        <v>0.35</v>
      </c>
      <c r="C14" s="9" t="inlineStr">
        <is>
          <t>%</t>
        </is>
      </c>
    </row>
    <row r="15">
      <c r="A15" s="3" t="inlineStr">
        <is>
          <t>Plazo de la deuda</t>
        </is>
      </c>
      <c r="B15" s="8" t="n">
        <v>10</v>
      </c>
      <c r="C15" s="9" t="inlineStr">
        <is>
          <t>anios</t>
        </is>
      </c>
    </row>
    <row r="16">
      <c r="A16" s="3" t="inlineStr">
        <is>
          <t>Horizonte de evaluacion</t>
        </is>
      </c>
      <c r="B16" s="8" t="n">
        <v>25</v>
      </c>
      <c r="C16" s="9" t="inlineStr">
        <is>
          <t>anios</t>
        </is>
      </c>
    </row>
    <row r="17">
      <c r="A17" s="3" t="inlineStr">
        <is>
          <t>Ingreso tarifa anio 1</t>
        </is>
      </c>
      <c r="B17" s="8" t="n">
        <v>1500</v>
      </c>
      <c r="C17" s="9" t="inlineStr">
        <is>
          <t>COP MM</t>
        </is>
      </c>
    </row>
    <row r="18">
      <c r="A18" s="3" t="inlineStr">
        <is>
          <t>Crecimiento ingresos</t>
        </is>
      </c>
      <c r="B18" s="10" t="n">
        <v>0.035</v>
      </c>
      <c r="C18" s="9" t="inlineStr">
        <is>
          <t>%</t>
        </is>
      </c>
    </row>
    <row r="19">
      <c r="A19" s="3" t="inlineStr">
        <is>
          <t>OPEX anio 1</t>
        </is>
      </c>
      <c r="B19" s="8" t="n">
        <v>1150</v>
      </c>
      <c r="C19" s="9" t="inlineStr">
        <is>
          <t>COP MM</t>
        </is>
      </c>
    </row>
    <row r="20">
      <c r="A20" s="3" t="inlineStr">
        <is>
          <t>Crecimiento OPEX</t>
        </is>
      </c>
      <c r="B20" s="10" t="n">
        <v>0.035</v>
      </c>
      <c r="C20" s="9" t="inlineStr">
        <is>
          <t>%</t>
        </is>
      </c>
    </row>
    <row r="21">
      <c r="A21" s="3" t="inlineStr">
        <is>
          <t>Beneficio social anio 1</t>
        </is>
      </c>
      <c r="B21" s="8" t="n">
        <v>4150</v>
      </c>
      <c r="C21" s="9" t="inlineStr">
        <is>
          <t>COP MM</t>
        </is>
      </c>
    </row>
    <row r="22">
      <c r="A22" s="3" t="inlineStr">
        <is>
          <t>Crecimiento beneficio social</t>
        </is>
      </c>
      <c r="B22" s="10" t="n">
        <v>0.035</v>
      </c>
      <c r="C22" s="9" t="inlineStr">
        <is>
          <t>%</t>
        </is>
      </c>
    </row>
    <row r="23">
      <c r="A23" s="3" t="inlineStr">
        <is>
          <t>Depreciacion anual</t>
        </is>
      </c>
      <c r="B23" s="8">
        <f>B4/B16</f>
        <v/>
      </c>
      <c r="C23" s="9" t="inlineStr">
        <is>
          <t>COP MM</t>
        </is>
      </c>
    </row>
    <row r="24">
      <c r="A24" s="3" t="inlineStr">
        <is>
          <t>Cuota anual deuda (frances)</t>
        </is>
      </c>
      <c r="B24" s="8">
        <f>B9*B11/(1-(1+B11)^(-B15))</f>
        <v/>
      </c>
      <c r="C24" s="9" t="inlineStr">
        <is>
          <t>COP MM</t>
        </is>
      </c>
    </row>
    <row r="25">
      <c r="A25" s="3" t="inlineStr">
        <is>
          <t>WACC</t>
        </is>
      </c>
      <c r="B25" s="10">
        <f>B5*B13+B7*B12+B6*B11*(1-B14)</f>
        <v/>
      </c>
      <c r="C25" s="9" t="inlineStr">
        <is>
          <t>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 ht="26" customHeight="1">
      <c r="A1" s="1" t="inlineStr">
        <is>
          <t>TABLA DE AMORTIZACION DE LA DEUDA (Sistema Frances - cuota fija)</t>
        </is>
      </c>
    </row>
    <row r="2">
      <c r="A2" s="2" t="inlineStr">
        <is>
          <t>Anio</t>
        </is>
      </c>
      <c r="B2" s="2" t="inlineStr">
        <is>
          <t>Saldo inicial</t>
        </is>
      </c>
      <c r="C2" s="2" t="inlineStr">
        <is>
          <t>Interes</t>
        </is>
      </c>
      <c r="D2" s="2" t="inlineStr">
        <is>
          <t>Abono capital</t>
        </is>
      </c>
      <c r="E2" s="2" t="inlineStr">
        <is>
          <t>Cuota</t>
        </is>
      </c>
      <c r="F2" s="2" t="inlineStr">
        <is>
          <t>Saldo final</t>
        </is>
      </c>
    </row>
    <row r="3">
      <c r="A3" s="9" t="n">
        <v>1</v>
      </c>
      <c r="B3" s="8">
        <f>Supuestos!$B$9</f>
        <v/>
      </c>
      <c r="C3" s="8">
        <f>IF(A3&lt;=Supuestos!$B$15,B3*Supuestos!$B$11,0)</f>
        <v/>
      </c>
      <c r="D3" s="8">
        <f>E3-C3</f>
        <v/>
      </c>
      <c r="E3" s="8">
        <f>IF(A3&lt;=Supuestos!$B$15,Supuestos!$B$24,0)</f>
        <v/>
      </c>
      <c r="F3" s="8">
        <f>B3-D3</f>
        <v/>
      </c>
    </row>
    <row r="4">
      <c r="A4" s="11" t="n">
        <v>2</v>
      </c>
      <c r="B4" s="12">
        <f>F3</f>
        <v/>
      </c>
      <c r="C4" s="12">
        <f>IF(A4&lt;=Supuestos!$B$15,B4*Supuestos!$B$11,0)</f>
        <v/>
      </c>
      <c r="D4" s="12">
        <f>E4-C4</f>
        <v/>
      </c>
      <c r="E4" s="12">
        <f>IF(A4&lt;=Supuestos!$B$15,Supuestos!$B$24,0)</f>
        <v/>
      </c>
      <c r="F4" s="12">
        <f>B4-D4</f>
        <v/>
      </c>
    </row>
    <row r="5">
      <c r="A5" s="9" t="n">
        <v>3</v>
      </c>
      <c r="B5" s="8">
        <f>F4</f>
        <v/>
      </c>
      <c r="C5" s="8">
        <f>IF(A5&lt;=Supuestos!$B$15,B5*Supuestos!$B$11,0)</f>
        <v/>
      </c>
      <c r="D5" s="8">
        <f>E5-C5</f>
        <v/>
      </c>
      <c r="E5" s="8">
        <f>IF(A5&lt;=Supuestos!$B$15,Supuestos!$B$24,0)</f>
        <v/>
      </c>
      <c r="F5" s="8">
        <f>B5-D5</f>
        <v/>
      </c>
    </row>
    <row r="6">
      <c r="A6" s="11" t="n">
        <v>4</v>
      </c>
      <c r="B6" s="12">
        <f>F5</f>
        <v/>
      </c>
      <c r="C6" s="12">
        <f>IF(A6&lt;=Supuestos!$B$15,B6*Supuestos!$B$11,0)</f>
        <v/>
      </c>
      <c r="D6" s="12">
        <f>E6-C6</f>
        <v/>
      </c>
      <c r="E6" s="12">
        <f>IF(A6&lt;=Supuestos!$B$15,Supuestos!$B$24,0)</f>
        <v/>
      </c>
      <c r="F6" s="12">
        <f>B6-D6</f>
        <v/>
      </c>
    </row>
    <row r="7">
      <c r="A7" s="9" t="n">
        <v>5</v>
      </c>
      <c r="B7" s="8">
        <f>F6</f>
        <v/>
      </c>
      <c r="C7" s="8">
        <f>IF(A7&lt;=Supuestos!$B$15,B7*Supuestos!$B$11,0)</f>
        <v/>
      </c>
      <c r="D7" s="8">
        <f>E7-C7</f>
        <v/>
      </c>
      <c r="E7" s="8">
        <f>IF(A7&lt;=Supuestos!$B$15,Supuestos!$B$24,0)</f>
        <v/>
      </c>
      <c r="F7" s="8">
        <f>B7-D7</f>
        <v/>
      </c>
    </row>
    <row r="8">
      <c r="A8" s="11" t="n">
        <v>6</v>
      </c>
      <c r="B8" s="12">
        <f>F7</f>
        <v/>
      </c>
      <c r="C8" s="12">
        <f>IF(A8&lt;=Supuestos!$B$15,B8*Supuestos!$B$11,0)</f>
        <v/>
      </c>
      <c r="D8" s="12">
        <f>E8-C8</f>
        <v/>
      </c>
      <c r="E8" s="12">
        <f>IF(A8&lt;=Supuestos!$B$15,Supuestos!$B$24,0)</f>
        <v/>
      </c>
      <c r="F8" s="12">
        <f>B8-D8</f>
        <v/>
      </c>
    </row>
    <row r="9">
      <c r="A9" s="9" t="n">
        <v>7</v>
      </c>
      <c r="B9" s="8">
        <f>F8</f>
        <v/>
      </c>
      <c r="C9" s="8">
        <f>IF(A9&lt;=Supuestos!$B$15,B9*Supuestos!$B$11,0)</f>
        <v/>
      </c>
      <c r="D9" s="8">
        <f>E9-C9</f>
        <v/>
      </c>
      <c r="E9" s="8">
        <f>IF(A9&lt;=Supuestos!$B$15,Supuestos!$B$24,0)</f>
        <v/>
      </c>
      <c r="F9" s="8">
        <f>B9-D9</f>
        <v/>
      </c>
    </row>
    <row r="10">
      <c r="A10" s="11" t="n">
        <v>8</v>
      </c>
      <c r="B10" s="12">
        <f>F9</f>
        <v/>
      </c>
      <c r="C10" s="12">
        <f>IF(A10&lt;=Supuestos!$B$15,B10*Supuestos!$B$11,0)</f>
        <v/>
      </c>
      <c r="D10" s="12">
        <f>E10-C10</f>
        <v/>
      </c>
      <c r="E10" s="12">
        <f>IF(A10&lt;=Supuestos!$B$15,Supuestos!$B$24,0)</f>
        <v/>
      </c>
      <c r="F10" s="12">
        <f>B10-D10</f>
        <v/>
      </c>
    </row>
    <row r="11">
      <c r="A11" s="9" t="n">
        <v>9</v>
      </c>
      <c r="B11" s="8">
        <f>F10</f>
        <v/>
      </c>
      <c r="C11" s="8">
        <f>IF(A11&lt;=Supuestos!$B$15,B11*Supuestos!$B$11,0)</f>
        <v/>
      </c>
      <c r="D11" s="8">
        <f>E11-C11</f>
        <v/>
      </c>
      <c r="E11" s="8">
        <f>IF(A11&lt;=Supuestos!$B$15,Supuestos!$B$24,0)</f>
        <v/>
      </c>
      <c r="F11" s="8">
        <f>B11-D11</f>
        <v/>
      </c>
    </row>
    <row r="12">
      <c r="A12" s="11" t="n">
        <v>10</v>
      </c>
      <c r="B12" s="12">
        <f>F11</f>
        <v/>
      </c>
      <c r="C12" s="12">
        <f>IF(A12&lt;=Supuestos!$B$15,B12*Supuestos!$B$11,0)</f>
        <v/>
      </c>
      <c r="D12" s="12">
        <f>E12-C12</f>
        <v/>
      </c>
      <c r="E12" s="12">
        <f>IF(A12&lt;=Supuestos!$B$15,Supuestos!$B$24,0)</f>
        <v/>
      </c>
      <c r="F12" s="12">
        <f>B12-D12</f>
        <v/>
      </c>
    </row>
    <row r="13">
      <c r="A13" s="9" t="n">
        <v>11</v>
      </c>
      <c r="B13" s="8">
        <f>F12</f>
        <v/>
      </c>
      <c r="C13" s="8">
        <f>IF(A13&lt;=Supuestos!$B$15,B13*Supuestos!$B$11,0)</f>
        <v/>
      </c>
      <c r="D13" s="8">
        <f>E13-C13</f>
        <v/>
      </c>
      <c r="E13" s="8">
        <f>IF(A13&lt;=Supuestos!$B$15,Supuestos!$B$24,0)</f>
        <v/>
      </c>
      <c r="F13" s="8">
        <f>B13-D13</f>
        <v/>
      </c>
    </row>
    <row r="14">
      <c r="A14" s="11" t="n">
        <v>12</v>
      </c>
      <c r="B14" s="12">
        <f>F13</f>
        <v/>
      </c>
      <c r="C14" s="12">
        <f>IF(A14&lt;=Supuestos!$B$15,B14*Supuestos!$B$11,0)</f>
        <v/>
      </c>
      <c r="D14" s="12">
        <f>E14-C14</f>
        <v/>
      </c>
      <c r="E14" s="12">
        <f>IF(A14&lt;=Supuestos!$B$15,Supuestos!$B$24,0)</f>
        <v/>
      </c>
      <c r="F14" s="12">
        <f>B14-D14</f>
        <v/>
      </c>
    </row>
    <row r="15">
      <c r="A15" s="9" t="n">
        <v>13</v>
      </c>
      <c r="B15" s="8">
        <f>F14</f>
        <v/>
      </c>
      <c r="C15" s="8">
        <f>IF(A15&lt;=Supuestos!$B$15,B15*Supuestos!$B$11,0)</f>
        <v/>
      </c>
      <c r="D15" s="8">
        <f>E15-C15</f>
        <v/>
      </c>
      <c r="E15" s="8">
        <f>IF(A15&lt;=Supuestos!$B$15,Supuestos!$B$24,0)</f>
        <v/>
      </c>
      <c r="F15" s="8">
        <f>B15-D15</f>
        <v/>
      </c>
    </row>
    <row r="16">
      <c r="A16" s="11" t="n">
        <v>14</v>
      </c>
      <c r="B16" s="12">
        <f>F15</f>
        <v/>
      </c>
      <c r="C16" s="12">
        <f>IF(A16&lt;=Supuestos!$B$15,B16*Supuestos!$B$11,0)</f>
        <v/>
      </c>
      <c r="D16" s="12">
        <f>E16-C16</f>
        <v/>
      </c>
      <c r="E16" s="12">
        <f>IF(A16&lt;=Supuestos!$B$15,Supuestos!$B$24,0)</f>
        <v/>
      </c>
      <c r="F16" s="12">
        <f>B16-D16</f>
        <v/>
      </c>
    </row>
    <row r="17">
      <c r="A17" s="9" t="n">
        <v>15</v>
      </c>
      <c r="B17" s="8">
        <f>F16</f>
        <v/>
      </c>
      <c r="C17" s="8">
        <f>IF(A17&lt;=Supuestos!$B$15,B17*Supuestos!$B$11,0)</f>
        <v/>
      </c>
      <c r="D17" s="8">
        <f>E17-C17</f>
        <v/>
      </c>
      <c r="E17" s="8">
        <f>IF(A17&lt;=Supuestos!$B$15,Supuestos!$B$24,0)</f>
        <v/>
      </c>
      <c r="F17" s="8">
        <f>B17-D17</f>
        <v/>
      </c>
    </row>
    <row r="18">
      <c r="A18" s="11" t="n">
        <v>16</v>
      </c>
      <c r="B18" s="12">
        <f>F17</f>
        <v/>
      </c>
      <c r="C18" s="12">
        <f>IF(A18&lt;=Supuestos!$B$15,B18*Supuestos!$B$11,0)</f>
        <v/>
      </c>
      <c r="D18" s="12">
        <f>E18-C18</f>
        <v/>
      </c>
      <c r="E18" s="12">
        <f>IF(A18&lt;=Supuestos!$B$15,Supuestos!$B$24,0)</f>
        <v/>
      </c>
      <c r="F18" s="12">
        <f>B18-D18</f>
        <v/>
      </c>
    </row>
    <row r="19">
      <c r="A19" s="9" t="n">
        <v>17</v>
      </c>
      <c r="B19" s="8">
        <f>F18</f>
        <v/>
      </c>
      <c r="C19" s="8">
        <f>IF(A19&lt;=Supuestos!$B$15,B19*Supuestos!$B$11,0)</f>
        <v/>
      </c>
      <c r="D19" s="8">
        <f>E19-C19</f>
        <v/>
      </c>
      <c r="E19" s="8">
        <f>IF(A19&lt;=Supuestos!$B$15,Supuestos!$B$24,0)</f>
        <v/>
      </c>
      <c r="F19" s="8">
        <f>B19-D19</f>
        <v/>
      </c>
    </row>
    <row r="20">
      <c r="A20" s="11" t="n">
        <v>18</v>
      </c>
      <c r="B20" s="12">
        <f>F19</f>
        <v/>
      </c>
      <c r="C20" s="12">
        <f>IF(A20&lt;=Supuestos!$B$15,B20*Supuestos!$B$11,0)</f>
        <v/>
      </c>
      <c r="D20" s="12">
        <f>E20-C20</f>
        <v/>
      </c>
      <c r="E20" s="12">
        <f>IF(A20&lt;=Supuestos!$B$15,Supuestos!$B$24,0)</f>
        <v/>
      </c>
      <c r="F20" s="12">
        <f>B20-D20</f>
        <v/>
      </c>
    </row>
    <row r="21">
      <c r="A21" s="9" t="n">
        <v>19</v>
      </c>
      <c r="B21" s="8">
        <f>F20</f>
        <v/>
      </c>
      <c r="C21" s="8">
        <f>IF(A21&lt;=Supuestos!$B$15,B21*Supuestos!$B$11,0)</f>
        <v/>
      </c>
      <c r="D21" s="8">
        <f>E21-C21</f>
        <v/>
      </c>
      <c r="E21" s="8">
        <f>IF(A21&lt;=Supuestos!$B$15,Supuestos!$B$24,0)</f>
        <v/>
      </c>
      <c r="F21" s="8">
        <f>B21-D21</f>
        <v/>
      </c>
    </row>
    <row r="22">
      <c r="A22" s="11" t="n">
        <v>20</v>
      </c>
      <c r="B22" s="12">
        <f>F21</f>
        <v/>
      </c>
      <c r="C22" s="12">
        <f>IF(A22&lt;=Supuestos!$B$15,B22*Supuestos!$B$11,0)</f>
        <v/>
      </c>
      <c r="D22" s="12">
        <f>E22-C22</f>
        <v/>
      </c>
      <c r="E22" s="12">
        <f>IF(A22&lt;=Supuestos!$B$15,Supuestos!$B$24,0)</f>
        <v/>
      </c>
      <c r="F22" s="12">
        <f>B22-D22</f>
        <v/>
      </c>
    </row>
    <row r="23">
      <c r="A23" s="9" t="n">
        <v>21</v>
      </c>
      <c r="B23" s="8">
        <f>F22</f>
        <v/>
      </c>
      <c r="C23" s="8">
        <f>IF(A23&lt;=Supuestos!$B$15,B23*Supuestos!$B$11,0)</f>
        <v/>
      </c>
      <c r="D23" s="8">
        <f>E23-C23</f>
        <v/>
      </c>
      <c r="E23" s="8">
        <f>IF(A23&lt;=Supuestos!$B$15,Supuestos!$B$24,0)</f>
        <v/>
      </c>
      <c r="F23" s="8">
        <f>B23-D23</f>
        <v/>
      </c>
    </row>
    <row r="24">
      <c r="A24" s="11" t="n">
        <v>22</v>
      </c>
      <c r="B24" s="12">
        <f>F23</f>
        <v/>
      </c>
      <c r="C24" s="12">
        <f>IF(A24&lt;=Supuestos!$B$15,B24*Supuestos!$B$11,0)</f>
        <v/>
      </c>
      <c r="D24" s="12">
        <f>E24-C24</f>
        <v/>
      </c>
      <c r="E24" s="12">
        <f>IF(A24&lt;=Supuestos!$B$15,Supuestos!$B$24,0)</f>
        <v/>
      </c>
      <c r="F24" s="12">
        <f>B24-D24</f>
        <v/>
      </c>
    </row>
    <row r="25">
      <c r="A25" s="9" t="n">
        <v>23</v>
      </c>
      <c r="B25" s="8">
        <f>F24</f>
        <v/>
      </c>
      <c r="C25" s="8">
        <f>IF(A25&lt;=Supuestos!$B$15,B25*Supuestos!$B$11,0)</f>
        <v/>
      </c>
      <c r="D25" s="8">
        <f>E25-C25</f>
        <v/>
      </c>
      <c r="E25" s="8">
        <f>IF(A25&lt;=Supuestos!$B$15,Supuestos!$B$24,0)</f>
        <v/>
      </c>
      <c r="F25" s="8">
        <f>B25-D25</f>
        <v/>
      </c>
    </row>
    <row r="26">
      <c r="A26" s="11" t="n">
        <v>24</v>
      </c>
      <c r="B26" s="12">
        <f>F25</f>
        <v/>
      </c>
      <c r="C26" s="12">
        <f>IF(A26&lt;=Supuestos!$B$15,B26*Supuestos!$B$11,0)</f>
        <v/>
      </c>
      <c r="D26" s="12">
        <f>E26-C26</f>
        <v/>
      </c>
      <c r="E26" s="12">
        <f>IF(A26&lt;=Supuestos!$B$15,Supuestos!$B$24,0)</f>
        <v/>
      </c>
      <c r="F26" s="12">
        <f>B26-D26</f>
        <v/>
      </c>
    </row>
    <row r="27">
      <c r="A27" s="9" t="n">
        <v>25</v>
      </c>
      <c r="B27" s="8">
        <f>F26</f>
        <v/>
      </c>
      <c r="C27" s="8">
        <f>IF(A27&lt;=Supuestos!$B$15,B27*Supuestos!$B$11,0)</f>
        <v/>
      </c>
      <c r="D27" s="8">
        <f>E27-C27</f>
        <v/>
      </c>
      <c r="E27" s="8">
        <f>IF(A27&lt;=Supuestos!$B$15,Supuestos!$B$24,0)</f>
        <v/>
      </c>
      <c r="F27" s="8">
        <f>B27-D27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9" customWidth="1" min="5" max="5"/>
    <col width="10" customWidth="1" min="6" max="6"/>
    <col width="10" customWidth="1" min="7" max="7"/>
    <col width="12" customWidth="1" min="8" max="8"/>
    <col width="10" customWidth="1" min="9" max="9"/>
    <col width="14" customWidth="1" min="10" max="10"/>
    <col width="10" customWidth="1" min="11" max="11"/>
    <col width="12" customWidth="1" min="12" max="12"/>
    <col width="11" customWidth="1" min="13" max="13"/>
  </cols>
  <sheetData>
    <row r="1" ht="26" customHeight="1">
      <c r="A1" s="1" t="inlineStr">
        <is>
          <t>FLUJOS DE CAJA - PROYECTO, INVERSIONISTA, BANCO Y SOCIAL (COP MM)</t>
        </is>
      </c>
    </row>
    <row r="2">
      <c r="A2" s="2" t="inlineStr">
        <is>
          <t>Anio</t>
        </is>
      </c>
      <c r="B2" s="2" t="inlineStr">
        <is>
          <t>Ingresos</t>
        </is>
      </c>
      <c r="C2" s="2" t="inlineStr">
        <is>
          <t>OPEX</t>
        </is>
      </c>
      <c r="D2" s="2" t="inlineStr">
        <is>
          <t>EBITDA</t>
        </is>
      </c>
      <c r="E2" s="2" t="inlineStr">
        <is>
          <t>Deprec.</t>
        </is>
      </c>
      <c r="F2" s="2" t="inlineStr">
        <is>
          <t>EBIT</t>
        </is>
      </c>
      <c r="G2" s="2" t="inlineStr">
        <is>
          <t>Intereses</t>
        </is>
      </c>
      <c r="H2" s="2" t="inlineStr">
        <is>
          <t>FC Proyecto</t>
        </is>
      </c>
      <c r="I2" s="2" t="inlineStr">
        <is>
          <t>Util. neta</t>
        </is>
      </c>
      <c r="J2" s="2" t="inlineStr">
        <is>
          <t>FC Inversionista</t>
        </is>
      </c>
      <c r="K2" s="2" t="inlineStr">
        <is>
          <t>FC Banco</t>
        </is>
      </c>
      <c r="L2" s="2" t="inlineStr">
        <is>
          <t>Benef. social</t>
        </is>
      </c>
      <c r="M2" s="2" t="inlineStr">
        <is>
          <t>FC Social</t>
        </is>
      </c>
    </row>
    <row r="3">
      <c r="A3" s="9" t="n">
        <v>0</v>
      </c>
      <c r="B3" s="8" t="n"/>
      <c r="C3" s="8" t="n"/>
      <c r="D3" s="8" t="n"/>
      <c r="E3" s="8" t="n"/>
      <c r="F3" s="8" t="n"/>
      <c r="G3" s="8" t="n"/>
      <c r="H3" s="8">
        <f>-Supuestos!$B$4</f>
        <v/>
      </c>
      <c r="I3" s="8" t="n"/>
      <c r="J3" s="8">
        <f>-Supuestos!$B$10</f>
        <v/>
      </c>
      <c r="K3" s="8">
        <f>Supuestos!$B$9</f>
        <v/>
      </c>
      <c r="L3" s="8" t="n"/>
      <c r="M3" s="8">
        <f>-Supuestos!$B$4</f>
        <v/>
      </c>
    </row>
    <row r="4">
      <c r="A4" s="9" t="n">
        <v>1</v>
      </c>
      <c r="B4" s="8">
        <f>Supuestos!$B$17*(1+Supuestos!$B$18)^(A4-1)</f>
        <v/>
      </c>
      <c r="C4" s="8">
        <f>Supuestos!$B$19*(1+Supuestos!$B$20)^(A4-1)</f>
        <v/>
      </c>
      <c r="D4" s="8">
        <f>B4-C4</f>
        <v/>
      </c>
      <c r="E4" s="8">
        <f>Supuestos!$B$23</f>
        <v/>
      </c>
      <c r="F4" s="8">
        <f>D4-E4</f>
        <v/>
      </c>
      <c r="G4" s="8">
        <f>'Amortizacion Deuda'!C3</f>
        <v/>
      </c>
      <c r="H4" s="8">
        <f>D4-MAX(F4,0)*Supuestos!$B$14</f>
        <v/>
      </c>
      <c r="I4" s="8">
        <f>(F4-G4)-MAX(F4-G4,0)*Supuestos!$B$14</f>
        <v/>
      </c>
      <c r="J4" s="8">
        <f>I4+E4-'Amortizacion Deuda'!D3</f>
        <v/>
      </c>
      <c r="K4" s="8">
        <f>-'Amortizacion Deuda'!E3</f>
        <v/>
      </c>
      <c r="L4" s="8">
        <f>Supuestos!$B$21*(1+Supuestos!$B$22)^(A4-1)</f>
        <v/>
      </c>
      <c r="M4" s="8">
        <f>L4-C4</f>
        <v/>
      </c>
    </row>
    <row r="5">
      <c r="A5" s="11" t="n">
        <v>2</v>
      </c>
      <c r="B5" s="12">
        <f>Supuestos!$B$17*(1+Supuestos!$B$18)^(A5-1)</f>
        <v/>
      </c>
      <c r="C5" s="12">
        <f>Supuestos!$B$19*(1+Supuestos!$B$20)^(A5-1)</f>
        <v/>
      </c>
      <c r="D5" s="12">
        <f>B5-C5</f>
        <v/>
      </c>
      <c r="E5" s="12">
        <f>Supuestos!$B$23</f>
        <v/>
      </c>
      <c r="F5" s="12">
        <f>D5-E5</f>
        <v/>
      </c>
      <c r="G5" s="12">
        <f>'Amortizacion Deuda'!C4</f>
        <v/>
      </c>
      <c r="H5" s="12">
        <f>D5-MAX(F5,0)*Supuestos!$B$14</f>
        <v/>
      </c>
      <c r="I5" s="12">
        <f>(F5-G5)-MAX(F5-G5,0)*Supuestos!$B$14</f>
        <v/>
      </c>
      <c r="J5" s="12">
        <f>I5+E5-'Amortizacion Deuda'!D4</f>
        <v/>
      </c>
      <c r="K5" s="12">
        <f>-'Amortizacion Deuda'!E4</f>
        <v/>
      </c>
      <c r="L5" s="12">
        <f>Supuestos!$B$21*(1+Supuestos!$B$22)^(A5-1)</f>
        <v/>
      </c>
      <c r="M5" s="12">
        <f>L5-C5</f>
        <v/>
      </c>
    </row>
    <row r="6">
      <c r="A6" s="9" t="n">
        <v>3</v>
      </c>
      <c r="B6" s="8">
        <f>Supuestos!$B$17*(1+Supuestos!$B$18)^(A6-1)</f>
        <v/>
      </c>
      <c r="C6" s="8">
        <f>Supuestos!$B$19*(1+Supuestos!$B$20)^(A6-1)</f>
        <v/>
      </c>
      <c r="D6" s="8">
        <f>B6-C6</f>
        <v/>
      </c>
      <c r="E6" s="8">
        <f>Supuestos!$B$23</f>
        <v/>
      </c>
      <c r="F6" s="8">
        <f>D6-E6</f>
        <v/>
      </c>
      <c r="G6" s="8">
        <f>'Amortizacion Deuda'!C5</f>
        <v/>
      </c>
      <c r="H6" s="8">
        <f>D6-MAX(F6,0)*Supuestos!$B$14</f>
        <v/>
      </c>
      <c r="I6" s="8">
        <f>(F6-G6)-MAX(F6-G6,0)*Supuestos!$B$14</f>
        <v/>
      </c>
      <c r="J6" s="8">
        <f>I6+E6-'Amortizacion Deuda'!D5</f>
        <v/>
      </c>
      <c r="K6" s="8">
        <f>-'Amortizacion Deuda'!E5</f>
        <v/>
      </c>
      <c r="L6" s="8">
        <f>Supuestos!$B$21*(1+Supuestos!$B$22)^(A6-1)</f>
        <v/>
      </c>
      <c r="M6" s="8">
        <f>L6-C6</f>
        <v/>
      </c>
    </row>
    <row r="7">
      <c r="A7" s="11" t="n">
        <v>4</v>
      </c>
      <c r="B7" s="12">
        <f>Supuestos!$B$17*(1+Supuestos!$B$18)^(A7-1)</f>
        <v/>
      </c>
      <c r="C7" s="12">
        <f>Supuestos!$B$19*(1+Supuestos!$B$20)^(A7-1)</f>
        <v/>
      </c>
      <c r="D7" s="12">
        <f>B7-C7</f>
        <v/>
      </c>
      <c r="E7" s="12">
        <f>Supuestos!$B$23</f>
        <v/>
      </c>
      <c r="F7" s="12">
        <f>D7-E7</f>
        <v/>
      </c>
      <c r="G7" s="12">
        <f>'Amortizacion Deuda'!C6</f>
        <v/>
      </c>
      <c r="H7" s="12">
        <f>D7-MAX(F7,0)*Supuestos!$B$14</f>
        <v/>
      </c>
      <c r="I7" s="12">
        <f>(F7-G7)-MAX(F7-G7,0)*Supuestos!$B$14</f>
        <v/>
      </c>
      <c r="J7" s="12">
        <f>I7+E7-'Amortizacion Deuda'!D6</f>
        <v/>
      </c>
      <c r="K7" s="12">
        <f>-'Amortizacion Deuda'!E6</f>
        <v/>
      </c>
      <c r="L7" s="12">
        <f>Supuestos!$B$21*(1+Supuestos!$B$22)^(A7-1)</f>
        <v/>
      </c>
      <c r="M7" s="12">
        <f>L7-C7</f>
        <v/>
      </c>
    </row>
    <row r="8">
      <c r="A8" s="9" t="n">
        <v>5</v>
      </c>
      <c r="B8" s="8">
        <f>Supuestos!$B$17*(1+Supuestos!$B$18)^(A8-1)</f>
        <v/>
      </c>
      <c r="C8" s="8">
        <f>Supuestos!$B$19*(1+Supuestos!$B$20)^(A8-1)</f>
        <v/>
      </c>
      <c r="D8" s="8">
        <f>B8-C8</f>
        <v/>
      </c>
      <c r="E8" s="8">
        <f>Supuestos!$B$23</f>
        <v/>
      </c>
      <c r="F8" s="8">
        <f>D8-E8</f>
        <v/>
      </c>
      <c r="G8" s="8">
        <f>'Amortizacion Deuda'!C7</f>
        <v/>
      </c>
      <c r="H8" s="8">
        <f>D8-MAX(F8,0)*Supuestos!$B$14</f>
        <v/>
      </c>
      <c r="I8" s="8">
        <f>(F8-G8)-MAX(F8-G8,0)*Supuestos!$B$14</f>
        <v/>
      </c>
      <c r="J8" s="8">
        <f>I8+E8-'Amortizacion Deuda'!D7</f>
        <v/>
      </c>
      <c r="K8" s="8">
        <f>-'Amortizacion Deuda'!E7</f>
        <v/>
      </c>
      <c r="L8" s="8">
        <f>Supuestos!$B$21*(1+Supuestos!$B$22)^(A8-1)</f>
        <v/>
      </c>
      <c r="M8" s="8">
        <f>L8-C8</f>
        <v/>
      </c>
    </row>
    <row r="9">
      <c r="A9" s="11" t="n">
        <v>6</v>
      </c>
      <c r="B9" s="12">
        <f>Supuestos!$B$17*(1+Supuestos!$B$18)^(A9-1)</f>
        <v/>
      </c>
      <c r="C9" s="12">
        <f>Supuestos!$B$19*(1+Supuestos!$B$20)^(A9-1)</f>
        <v/>
      </c>
      <c r="D9" s="12">
        <f>B9-C9</f>
        <v/>
      </c>
      <c r="E9" s="12">
        <f>Supuestos!$B$23</f>
        <v/>
      </c>
      <c r="F9" s="12">
        <f>D9-E9</f>
        <v/>
      </c>
      <c r="G9" s="12">
        <f>'Amortizacion Deuda'!C8</f>
        <v/>
      </c>
      <c r="H9" s="12">
        <f>D9-MAX(F9,0)*Supuestos!$B$14</f>
        <v/>
      </c>
      <c r="I9" s="12">
        <f>(F9-G9)-MAX(F9-G9,0)*Supuestos!$B$14</f>
        <v/>
      </c>
      <c r="J9" s="12">
        <f>I9+E9-'Amortizacion Deuda'!D8</f>
        <v/>
      </c>
      <c r="K9" s="12">
        <f>-'Amortizacion Deuda'!E8</f>
        <v/>
      </c>
      <c r="L9" s="12">
        <f>Supuestos!$B$21*(1+Supuestos!$B$22)^(A9-1)</f>
        <v/>
      </c>
      <c r="M9" s="12">
        <f>L9-C9</f>
        <v/>
      </c>
    </row>
    <row r="10">
      <c r="A10" s="9" t="n">
        <v>7</v>
      </c>
      <c r="B10" s="8">
        <f>Supuestos!$B$17*(1+Supuestos!$B$18)^(A10-1)</f>
        <v/>
      </c>
      <c r="C10" s="8">
        <f>Supuestos!$B$19*(1+Supuestos!$B$20)^(A10-1)</f>
        <v/>
      </c>
      <c r="D10" s="8">
        <f>B10-C10</f>
        <v/>
      </c>
      <c r="E10" s="8">
        <f>Supuestos!$B$23</f>
        <v/>
      </c>
      <c r="F10" s="8">
        <f>D10-E10</f>
        <v/>
      </c>
      <c r="G10" s="8">
        <f>'Amortizacion Deuda'!C9</f>
        <v/>
      </c>
      <c r="H10" s="8">
        <f>D10-MAX(F10,0)*Supuestos!$B$14</f>
        <v/>
      </c>
      <c r="I10" s="8">
        <f>(F10-G10)-MAX(F10-G10,0)*Supuestos!$B$14</f>
        <v/>
      </c>
      <c r="J10" s="8">
        <f>I10+E10-'Amortizacion Deuda'!D9</f>
        <v/>
      </c>
      <c r="K10" s="8">
        <f>-'Amortizacion Deuda'!E9</f>
        <v/>
      </c>
      <c r="L10" s="8">
        <f>Supuestos!$B$21*(1+Supuestos!$B$22)^(A10-1)</f>
        <v/>
      </c>
      <c r="M10" s="8">
        <f>L10-C10</f>
        <v/>
      </c>
    </row>
    <row r="11">
      <c r="A11" s="11" t="n">
        <v>8</v>
      </c>
      <c r="B11" s="12">
        <f>Supuestos!$B$17*(1+Supuestos!$B$18)^(A11-1)</f>
        <v/>
      </c>
      <c r="C11" s="12">
        <f>Supuestos!$B$19*(1+Supuestos!$B$20)^(A11-1)</f>
        <v/>
      </c>
      <c r="D11" s="12">
        <f>B11-C11</f>
        <v/>
      </c>
      <c r="E11" s="12">
        <f>Supuestos!$B$23</f>
        <v/>
      </c>
      <c r="F11" s="12">
        <f>D11-E11</f>
        <v/>
      </c>
      <c r="G11" s="12">
        <f>'Amortizacion Deuda'!C10</f>
        <v/>
      </c>
      <c r="H11" s="12">
        <f>D11-MAX(F11,0)*Supuestos!$B$14</f>
        <v/>
      </c>
      <c r="I11" s="12">
        <f>(F11-G11)-MAX(F11-G11,0)*Supuestos!$B$14</f>
        <v/>
      </c>
      <c r="J11" s="12">
        <f>I11+E11-'Amortizacion Deuda'!D10</f>
        <v/>
      </c>
      <c r="K11" s="12">
        <f>-'Amortizacion Deuda'!E10</f>
        <v/>
      </c>
      <c r="L11" s="12">
        <f>Supuestos!$B$21*(1+Supuestos!$B$22)^(A11-1)</f>
        <v/>
      </c>
      <c r="M11" s="12">
        <f>L11-C11</f>
        <v/>
      </c>
    </row>
    <row r="12">
      <c r="A12" s="9" t="n">
        <v>9</v>
      </c>
      <c r="B12" s="8">
        <f>Supuestos!$B$17*(1+Supuestos!$B$18)^(A12-1)</f>
        <v/>
      </c>
      <c r="C12" s="8">
        <f>Supuestos!$B$19*(1+Supuestos!$B$20)^(A12-1)</f>
        <v/>
      </c>
      <c r="D12" s="8">
        <f>B12-C12</f>
        <v/>
      </c>
      <c r="E12" s="8">
        <f>Supuestos!$B$23</f>
        <v/>
      </c>
      <c r="F12" s="8">
        <f>D12-E12</f>
        <v/>
      </c>
      <c r="G12" s="8">
        <f>'Amortizacion Deuda'!C11</f>
        <v/>
      </c>
      <c r="H12" s="8">
        <f>D12-MAX(F12,0)*Supuestos!$B$14</f>
        <v/>
      </c>
      <c r="I12" s="8">
        <f>(F12-G12)-MAX(F12-G12,0)*Supuestos!$B$14</f>
        <v/>
      </c>
      <c r="J12" s="8">
        <f>I12+E12-'Amortizacion Deuda'!D11</f>
        <v/>
      </c>
      <c r="K12" s="8">
        <f>-'Amortizacion Deuda'!E11</f>
        <v/>
      </c>
      <c r="L12" s="8">
        <f>Supuestos!$B$21*(1+Supuestos!$B$22)^(A12-1)</f>
        <v/>
      </c>
      <c r="M12" s="8">
        <f>L12-C12</f>
        <v/>
      </c>
    </row>
    <row r="13">
      <c r="A13" s="11" t="n">
        <v>10</v>
      </c>
      <c r="B13" s="12">
        <f>Supuestos!$B$17*(1+Supuestos!$B$18)^(A13-1)</f>
        <v/>
      </c>
      <c r="C13" s="12">
        <f>Supuestos!$B$19*(1+Supuestos!$B$20)^(A13-1)</f>
        <v/>
      </c>
      <c r="D13" s="12">
        <f>B13-C13</f>
        <v/>
      </c>
      <c r="E13" s="12">
        <f>Supuestos!$B$23</f>
        <v/>
      </c>
      <c r="F13" s="12">
        <f>D13-E13</f>
        <v/>
      </c>
      <c r="G13" s="12">
        <f>'Amortizacion Deuda'!C12</f>
        <v/>
      </c>
      <c r="H13" s="12">
        <f>D13-MAX(F13,0)*Supuestos!$B$14</f>
        <v/>
      </c>
      <c r="I13" s="12">
        <f>(F13-G13)-MAX(F13-G13,0)*Supuestos!$B$14</f>
        <v/>
      </c>
      <c r="J13" s="12">
        <f>I13+E13-'Amortizacion Deuda'!D12</f>
        <v/>
      </c>
      <c r="K13" s="12">
        <f>-'Amortizacion Deuda'!E12</f>
        <v/>
      </c>
      <c r="L13" s="12">
        <f>Supuestos!$B$21*(1+Supuestos!$B$22)^(A13-1)</f>
        <v/>
      </c>
      <c r="M13" s="12">
        <f>L13-C13</f>
        <v/>
      </c>
    </row>
    <row r="14">
      <c r="A14" s="9" t="n">
        <v>11</v>
      </c>
      <c r="B14" s="8">
        <f>Supuestos!$B$17*(1+Supuestos!$B$18)^(A14-1)</f>
        <v/>
      </c>
      <c r="C14" s="8">
        <f>Supuestos!$B$19*(1+Supuestos!$B$20)^(A14-1)</f>
        <v/>
      </c>
      <c r="D14" s="8">
        <f>B14-C14</f>
        <v/>
      </c>
      <c r="E14" s="8">
        <f>Supuestos!$B$23</f>
        <v/>
      </c>
      <c r="F14" s="8">
        <f>D14-E14</f>
        <v/>
      </c>
      <c r="G14" s="8">
        <f>'Amortizacion Deuda'!C13</f>
        <v/>
      </c>
      <c r="H14" s="8">
        <f>D14-MAX(F14,0)*Supuestos!$B$14</f>
        <v/>
      </c>
      <c r="I14" s="8">
        <f>(F14-G14)-MAX(F14-G14,0)*Supuestos!$B$14</f>
        <v/>
      </c>
      <c r="J14" s="8">
        <f>I14+E14-'Amortizacion Deuda'!D13</f>
        <v/>
      </c>
      <c r="K14" s="8">
        <f>-'Amortizacion Deuda'!E13</f>
        <v/>
      </c>
      <c r="L14" s="8">
        <f>Supuestos!$B$21*(1+Supuestos!$B$22)^(A14-1)</f>
        <v/>
      </c>
      <c r="M14" s="8">
        <f>L14-C14</f>
        <v/>
      </c>
    </row>
    <row r="15">
      <c r="A15" s="11" t="n">
        <v>12</v>
      </c>
      <c r="B15" s="12">
        <f>Supuestos!$B$17*(1+Supuestos!$B$18)^(A15-1)</f>
        <v/>
      </c>
      <c r="C15" s="12">
        <f>Supuestos!$B$19*(1+Supuestos!$B$20)^(A15-1)</f>
        <v/>
      </c>
      <c r="D15" s="12">
        <f>B15-C15</f>
        <v/>
      </c>
      <c r="E15" s="12">
        <f>Supuestos!$B$23</f>
        <v/>
      </c>
      <c r="F15" s="12">
        <f>D15-E15</f>
        <v/>
      </c>
      <c r="G15" s="12">
        <f>'Amortizacion Deuda'!C14</f>
        <v/>
      </c>
      <c r="H15" s="12">
        <f>D15-MAX(F15,0)*Supuestos!$B$14</f>
        <v/>
      </c>
      <c r="I15" s="12">
        <f>(F15-G15)-MAX(F15-G15,0)*Supuestos!$B$14</f>
        <v/>
      </c>
      <c r="J15" s="12">
        <f>I15+E15-'Amortizacion Deuda'!D14</f>
        <v/>
      </c>
      <c r="K15" s="12">
        <f>-'Amortizacion Deuda'!E14</f>
        <v/>
      </c>
      <c r="L15" s="12">
        <f>Supuestos!$B$21*(1+Supuestos!$B$22)^(A15-1)</f>
        <v/>
      </c>
      <c r="M15" s="12">
        <f>L15-C15</f>
        <v/>
      </c>
    </row>
    <row r="16">
      <c r="A16" s="9" t="n">
        <v>13</v>
      </c>
      <c r="B16" s="8">
        <f>Supuestos!$B$17*(1+Supuestos!$B$18)^(A16-1)</f>
        <v/>
      </c>
      <c r="C16" s="8">
        <f>Supuestos!$B$19*(1+Supuestos!$B$20)^(A16-1)</f>
        <v/>
      </c>
      <c r="D16" s="8">
        <f>B16-C16</f>
        <v/>
      </c>
      <c r="E16" s="8">
        <f>Supuestos!$B$23</f>
        <v/>
      </c>
      <c r="F16" s="8">
        <f>D16-E16</f>
        <v/>
      </c>
      <c r="G16" s="8">
        <f>'Amortizacion Deuda'!C15</f>
        <v/>
      </c>
      <c r="H16" s="8">
        <f>D16-MAX(F16,0)*Supuestos!$B$14</f>
        <v/>
      </c>
      <c r="I16" s="8">
        <f>(F16-G16)-MAX(F16-G16,0)*Supuestos!$B$14</f>
        <v/>
      </c>
      <c r="J16" s="8">
        <f>I16+E16-'Amortizacion Deuda'!D15</f>
        <v/>
      </c>
      <c r="K16" s="8">
        <f>-'Amortizacion Deuda'!E15</f>
        <v/>
      </c>
      <c r="L16" s="8">
        <f>Supuestos!$B$21*(1+Supuestos!$B$22)^(A16-1)</f>
        <v/>
      </c>
      <c r="M16" s="8">
        <f>L16-C16</f>
        <v/>
      </c>
    </row>
    <row r="17">
      <c r="A17" s="11" t="n">
        <v>14</v>
      </c>
      <c r="B17" s="12">
        <f>Supuestos!$B$17*(1+Supuestos!$B$18)^(A17-1)</f>
        <v/>
      </c>
      <c r="C17" s="12">
        <f>Supuestos!$B$19*(1+Supuestos!$B$20)^(A17-1)</f>
        <v/>
      </c>
      <c r="D17" s="12">
        <f>B17-C17</f>
        <v/>
      </c>
      <c r="E17" s="12">
        <f>Supuestos!$B$23</f>
        <v/>
      </c>
      <c r="F17" s="12">
        <f>D17-E17</f>
        <v/>
      </c>
      <c r="G17" s="12">
        <f>'Amortizacion Deuda'!C16</f>
        <v/>
      </c>
      <c r="H17" s="12">
        <f>D17-MAX(F17,0)*Supuestos!$B$14</f>
        <v/>
      </c>
      <c r="I17" s="12">
        <f>(F17-G17)-MAX(F17-G17,0)*Supuestos!$B$14</f>
        <v/>
      </c>
      <c r="J17" s="12">
        <f>I17+E17-'Amortizacion Deuda'!D16</f>
        <v/>
      </c>
      <c r="K17" s="12">
        <f>-'Amortizacion Deuda'!E16</f>
        <v/>
      </c>
      <c r="L17" s="12">
        <f>Supuestos!$B$21*(1+Supuestos!$B$22)^(A17-1)</f>
        <v/>
      </c>
      <c r="M17" s="12">
        <f>L17-C17</f>
        <v/>
      </c>
    </row>
    <row r="18">
      <c r="A18" s="9" t="n">
        <v>15</v>
      </c>
      <c r="B18" s="8">
        <f>Supuestos!$B$17*(1+Supuestos!$B$18)^(A18-1)</f>
        <v/>
      </c>
      <c r="C18" s="8">
        <f>Supuestos!$B$19*(1+Supuestos!$B$20)^(A18-1)</f>
        <v/>
      </c>
      <c r="D18" s="8">
        <f>B18-C18</f>
        <v/>
      </c>
      <c r="E18" s="8">
        <f>Supuestos!$B$23</f>
        <v/>
      </c>
      <c r="F18" s="8">
        <f>D18-E18</f>
        <v/>
      </c>
      <c r="G18" s="8">
        <f>'Amortizacion Deuda'!C17</f>
        <v/>
      </c>
      <c r="H18" s="8">
        <f>D18-MAX(F18,0)*Supuestos!$B$14</f>
        <v/>
      </c>
      <c r="I18" s="8">
        <f>(F18-G18)-MAX(F18-G18,0)*Supuestos!$B$14</f>
        <v/>
      </c>
      <c r="J18" s="8">
        <f>I18+E18-'Amortizacion Deuda'!D17</f>
        <v/>
      </c>
      <c r="K18" s="8">
        <f>-'Amortizacion Deuda'!E17</f>
        <v/>
      </c>
      <c r="L18" s="8">
        <f>Supuestos!$B$21*(1+Supuestos!$B$22)^(A18-1)</f>
        <v/>
      </c>
      <c r="M18" s="8">
        <f>L18-C18</f>
        <v/>
      </c>
    </row>
    <row r="19">
      <c r="A19" s="11" t="n">
        <v>16</v>
      </c>
      <c r="B19" s="12">
        <f>Supuestos!$B$17*(1+Supuestos!$B$18)^(A19-1)</f>
        <v/>
      </c>
      <c r="C19" s="12">
        <f>Supuestos!$B$19*(1+Supuestos!$B$20)^(A19-1)</f>
        <v/>
      </c>
      <c r="D19" s="12">
        <f>B19-C19</f>
        <v/>
      </c>
      <c r="E19" s="12">
        <f>Supuestos!$B$23</f>
        <v/>
      </c>
      <c r="F19" s="12">
        <f>D19-E19</f>
        <v/>
      </c>
      <c r="G19" s="12">
        <f>'Amortizacion Deuda'!C18</f>
        <v/>
      </c>
      <c r="H19" s="12">
        <f>D19-MAX(F19,0)*Supuestos!$B$14</f>
        <v/>
      </c>
      <c r="I19" s="12">
        <f>(F19-G19)-MAX(F19-G19,0)*Supuestos!$B$14</f>
        <v/>
      </c>
      <c r="J19" s="12">
        <f>I19+E19-'Amortizacion Deuda'!D18</f>
        <v/>
      </c>
      <c r="K19" s="12">
        <f>-'Amortizacion Deuda'!E18</f>
        <v/>
      </c>
      <c r="L19" s="12">
        <f>Supuestos!$B$21*(1+Supuestos!$B$22)^(A19-1)</f>
        <v/>
      </c>
      <c r="M19" s="12">
        <f>L19-C19</f>
        <v/>
      </c>
    </row>
    <row r="20">
      <c r="A20" s="9" t="n">
        <v>17</v>
      </c>
      <c r="B20" s="8">
        <f>Supuestos!$B$17*(1+Supuestos!$B$18)^(A20-1)</f>
        <v/>
      </c>
      <c r="C20" s="8">
        <f>Supuestos!$B$19*(1+Supuestos!$B$20)^(A20-1)</f>
        <v/>
      </c>
      <c r="D20" s="8">
        <f>B20-C20</f>
        <v/>
      </c>
      <c r="E20" s="8">
        <f>Supuestos!$B$23</f>
        <v/>
      </c>
      <c r="F20" s="8">
        <f>D20-E20</f>
        <v/>
      </c>
      <c r="G20" s="8">
        <f>'Amortizacion Deuda'!C19</f>
        <v/>
      </c>
      <c r="H20" s="8">
        <f>D20-MAX(F20,0)*Supuestos!$B$14</f>
        <v/>
      </c>
      <c r="I20" s="8">
        <f>(F20-G20)-MAX(F20-G20,0)*Supuestos!$B$14</f>
        <v/>
      </c>
      <c r="J20" s="8">
        <f>I20+E20-'Amortizacion Deuda'!D19</f>
        <v/>
      </c>
      <c r="K20" s="8">
        <f>-'Amortizacion Deuda'!E19</f>
        <v/>
      </c>
      <c r="L20" s="8">
        <f>Supuestos!$B$21*(1+Supuestos!$B$22)^(A20-1)</f>
        <v/>
      </c>
      <c r="M20" s="8">
        <f>L20-C20</f>
        <v/>
      </c>
    </row>
    <row r="21">
      <c r="A21" s="11" t="n">
        <v>18</v>
      </c>
      <c r="B21" s="12">
        <f>Supuestos!$B$17*(1+Supuestos!$B$18)^(A21-1)</f>
        <v/>
      </c>
      <c r="C21" s="12">
        <f>Supuestos!$B$19*(1+Supuestos!$B$20)^(A21-1)</f>
        <v/>
      </c>
      <c r="D21" s="12">
        <f>B21-C21</f>
        <v/>
      </c>
      <c r="E21" s="12">
        <f>Supuestos!$B$23</f>
        <v/>
      </c>
      <c r="F21" s="12">
        <f>D21-E21</f>
        <v/>
      </c>
      <c r="G21" s="12">
        <f>'Amortizacion Deuda'!C20</f>
        <v/>
      </c>
      <c r="H21" s="12">
        <f>D21-MAX(F21,0)*Supuestos!$B$14</f>
        <v/>
      </c>
      <c r="I21" s="12">
        <f>(F21-G21)-MAX(F21-G21,0)*Supuestos!$B$14</f>
        <v/>
      </c>
      <c r="J21" s="12">
        <f>I21+E21-'Amortizacion Deuda'!D20</f>
        <v/>
      </c>
      <c r="K21" s="12">
        <f>-'Amortizacion Deuda'!E20</f>
        <v/>
      </c>
      <c r="L21" s="12">
        <f>Supuestos!$B$21*(1+Supuestos!$B$22)^(A21-1)</f>
        <v/>
      </c>
      <c r="M21" s="12">
        <f>L21-C21</f>
        <v/>
      </c>
    </row>
    <row r="22">
      <c r="A22" s="9" t="n">
        <v>19</v>
      </c>
      <c r="B22" s="8">
        <f>Supuestos!$B$17*(1+Supuestos!$B$18)^(A22-1)</f>
        <v/>
      </c>
      <c r="C22" s="8">
        <f>Supuestos!$B$19*(1+Supuestos!$B$20)^(A22-1)</f>
        <v/>
      </c>
      <c r="D22" s="8">
        <f>B22-C22</f>
        <v/>
      </c>
      <c r="E22" s="8">
        <f>Supuestos!$B$23</f>
        <v/>
      </c>
      <c r="F22" s="8">
        <f>D22-E22</f>
        <v/>
      </c>
      <c r="G22" s="8">
        <f>'Amortizacion Deuda'!C21</f>
        <v/>
      </c>
      <c r="H22" s="8">
        <f>D22-MAX(F22,0)*Supuestos!$B$14</f>
        <v/>
      </c>
      <c r="I22" s="8">
        <f>(F22-G22)-MAX(F22-G22,0)*Supuestos!$B$14</f>
        <v/>
      </c>
      <c r="J22" s="8">
        <f>I22+E22-'Amortizacion Deuda'!D21</f>
        <v/>
      </c>
      <c r="K22" s="8">
        <f>-'Amortizacion Deuda'!E21</f>
        <v/>
      </c>
      <c r="L22" s="8">
        <f>Supuestos!$B$21*(1+Supuestos!$B$22)^(A22-1)</f>
        <v/>
      </c>
      <c r="M22" s="8">
        <f>L22-C22</f>
        <v/>
      </c>
    </row>
    <row r="23">
      <c r="A23" s="11" t="n">
        <v>20</v>
      </c>
      <c r="B23" s="12">
        <f>Supuestos!$B$17*(1+Supuestos!$B$18)^(A23-1)</f>
        <v/>
      </c>
      <c r="C23" s="12">
        <f>Supuestos!$B$19*(1+Supuestos!$B$20)^(A23-1)</f>
        <v/>
      </c>
      <c r="D23" s="12">
        <f>B23-C23</f>
        <v/>
      </c>
      <c r="E23" s="12">
        <f>Supuestos!$B$23</f>
        <v/>
      </c>
      <c r="F23" s="12">
        <f>D23-E23</f>
        <v/>
      </c>
      <c r="G23" s="12">
        <f>'Amortizacion Deuda'!C22</f>
        <v/>
      </c>
      <c r="H23" s="12">
        <f>D23-MAX(F23,0)*Supuestos!$B$14</f>
        <v/>
      </c>
      <c r="I23" s="12">
        <f>(F23-G23)-MAX(F23-G23,0)*Supuestos!$B$14</f>
        <v/>
      </c>
      <c r="J23" s="12">
        <f>I23+E23-'Amortizacion Deuda'!D22</f>
        <v/>
      </c>
      <c r="K23" s="12">
        <f>-'Amortizacion Deuda'!E22</f>
        <v/>
      </c>
      <c r="L23" s="12">
        <f>Supuestos!$B$21*(1+Supuestos!$B$22)^(A23-1)</f>
        <v/>
      </c>
      <c r="M23" s="12">
        <f>L23-C23</f>
        <v/>
      </c>
    </row>
    <row r="24">
      <c r="A24" s="9" t="n">
        <v>21</v>
      </c>
      <c r="B24" s="8">
        <f>Supuestos!$B$17*(1+Supuestos!$B$18)^(A24-1)</f>
        <v/>
      </c>
      <c r="C24" s="8">
        <f>Supuestos!$B$19*(1+Supuestos!$B$20)^(A24-1)</f>
        <v/>
      </c>
      <c r="D24" s="8">
        <f>B24-C24</f>
        <v/>
      </c>
      <c r="E24" s="8">
        <f>Supuestos!$B$23</f>
        <v/>
      </c>
      <c r="F24" s="8">
        <f>D24-E24</f>
        <v/>
      </c>
      <c r="G24" s="8">
        <f>'Amortizacion Deuda'!C23</f>
        <v/>
      </c>
      <c r="H24" s="8">
        <f>D24-MAX(F24,0)*Supuestos!$B$14</f>
        <v/>
      </c>
      <c r="I24" s="8">
        <f>(F24-G24)-MAX(F24-G24,0)*Supuestos!$B$14</f>
        <v/>
      </c>
      <c r="J24" s="8">
        <f>I24+E24-'Amortizacion Deuda'!D23</f>
        <v/>
      </c>
      <c r="K24" s="8">
        <f>-'Amortizacion Deuda'!E23</f>
        <v/>
      </c>
      <c r="L24" s="8">
        <f>Supuestos!$B$21*(1+Supuestos!$B$22)^(A24-1)</f>
        <v/>
      </c>
      <c r="M24" s="8">
        <f>L24-C24</f>
        <v/>
      </c>
    </row>
    <row r="25">
      <c r="A25" s="11" t="n">
        <v>22</v>
      </c>
      <c r="B25" s="12">
        <f>Supuestos!$B$17*(1+Supuestos!$B$18)^(A25-1)</f>
        <v/>
      </c>
      <c r="C25" s="12">
        <f>Supuestos!$B$19*(1+Supuestos!$B$20)^(A25-1)</f>
        <v/>
      </c>
      <c r="D25" s="12">
        <f>B25-C25</f>
        <v/>
      </c>
      <c r="E25" s="12">
        <f>Supuestos!$B$23</f>
        <v/>
      </c>
      <c r="F25" s="12">
        <f>D25-E25</f>
        <v/>
      </c>
      <c r="G25" s="12">
        <f>'Amortizacion Deuda'!C24</f>
        <v/>
      </c>
      <c r="H25" s="12">
        <f>D25-MAX(F25,0)*Supuestos!$B$14</f>
        <v/>
      </c>
      <c r="I25" s="12">
        <f>(F25-G25)-MAX(F25-G25,0)*Supuestos!$B$14</f>
        <v/>
      </c>
      <c r="J25" s="12">
        <f>I25+E25-'Amortizacion Deuda'!D24</f>
        <v/>
      </c>
      <c r="K25" s="12">
        <f>-'Amortizacion Deuda'!E24</f>
        <v/>
      </c>
      <c r="L25" s="12">
        <f>Supuestos!$B$21*(1+Supuestos!$B$22)^(A25-1)</f>
        <v/>
      </c>
      <c r="M25" s="12">
        <f>L25-C25</f>
        <v/>
      </c>
    </row>
    <row r="26">
      <c r="A26" s="9" t="n">
        <v>23</v>
      </c>
      <c r="B26" s="8">
        <f>Supuestos!$B$17*(1+Supuestos!$B$18)^(A26-1)</f>
        <v/>
      </c>
      <c r="C26" s="8">
        <f>Supuestos!$B$19*(1+Supuestos!$B$20)^(A26-1)</f>
        <v/>
      </c>
      <c r="D26" s="8">
        <f>B26-C26</f>
        <v/>
      </c>
      <c r="E26" s="8">
        <f>Supuestos!$B$23</f>
        <v/>
      </c>
      <c r="F26" s="8">
        <f>D26-E26</f>
        <v/>
      </c>
      <c r="G26" s="8">
        <f>'Amortizacion Deuda'!C25</f>
        <v/>
      </c>
      <c r="H26" s="8">
        <f>D26-MAX(F26,0)*Supuestos!$B$14</f>
        <v/>
      </c>
      <c r="I26" s="8">
        <f>(F26-G26)-MAX(F26-G26,0)*Supuestos!$B$14</f>
        <v/>
      </c>
      <c r="J26" s="8">
        <f>I26+E26-'Amortizacion Deuda'!D25</f>
        <v/>
      </c>
      <c r="K26" s="8">
        <f>-'Amortizacion Deuda'!E25</f>
        <v/>
      </c>
      <c r="L26" s="8">
        <f>Supuestos!$B$21*(1+Supuestos!$B$22)^(A26-1)</f>
        <v/>
      </c>
      <c r="M26" s="8">
        <f>L26-C26</f>
        <v/>
      </c>
    </row>
    <row r="27">
      <c r="A27" s="11" t="n">
        <v>24</v>
      </c>
      <c r="B27" s="12">
        <f>Supuestos!$B$17*(1+Supuestos!$B$18)^(A27-1)</f>
        <v/>
      </c>
      <c r="C27" s="12">
        <f>Supuestos!$B$19*(1+Supuestos!$B$20)^(A27-1)</f>
        <v/>
      </c>
      <c r="D27" s="12">
        <f>B27-C27</f>
        <v/>
      </c>
      <c r="E27" s="12">
        <f>Supuestos!$B$23</f>
        <v/>
      </c>
      <c r="F27" s="12">
        <f>D27-E27</f>
        <v/>
      </c>
      <c r="G27" s="12">
        <f>'Amortizacion Deuda'!C26</f>
        <v/>
      </c>
      <c r="H27" s="12">
        <f>D27-MAX(F27,0)*Supuestos!$B$14</f>
        <v/>
      </c>
      <c r="I27" s="12">
        <f>(F27-G27)-MAX(F27-G27,0)*Supuestos!$B$14</f>
        <v/>
      </c>
      <c r="J27" s="12">
        <f>I27+E27-'Amortizacion Deuda'!D26</f>
        <v/>
      </c>
      <c r="K27" s="12">
        <f>-'Amortizacion Deuda'!E26</f>
        <v/>
      </c>
      <c r="L27" s="12">
        <f>Supuestos!$B$21*(1+Supuestos!$B$22)^(A27-1)</f>
        <v/>
      </c>
      <c r="M27" s="12">
        <f>L27-C27</f>
        <v/>
      </c>
    </row>
    <row r="28">
      <c r="A28" s="9" t="n">
        <v>25</v>
      </c>
      <c r="B28" s="8">
        <f>Supuestos!$B$17*(1+Supuestos!$B$18)^(A28-1)</f>
        <v/>
      </c>
      <c r="C28" s="8">
        <f>Supuestos!$B$19*(1+Supuestos!$B$20)^(A28-1)</f>
        <v/>
      </c>
      <c r="D28" s="8">
        <f>B28-C28</f>
        <v/>
      </c>
      <c r="E28" s="8">
        <f>Supuestos!$B$23</f>
        <v/>
      </c>
      <c r="F28" s="8">
        <f>D28-E28</f>
        <v/>
      </c>
      <c r="G28" s="8">
        <f>'Amortizacion Deuda'!C27</f>
        <v/>
      </c>
      <c r="H28" s="8">
        <f>D28-MAX(F28,0)*Supuestos!$B$14</f>
        <v/>
      </c>
      <c r="I28" s="8">
        <f>(F28-G28)-MAX(F28-G28,0)*Supuestos!$B$14</f>
        <v/>
      </c>
      <c r="J28" s="8">
        <f>I28+E28-'Amortizacion Deuda'!D27</f>
        <v/>
      </c>
      <c r="K28" s="8">
        <f>-'Amortizacion Deuda'!E27</f>
        <v/>
      </c>
      <c r="L28" s="8">
        <f>Supuestos!$B$21*(1+Supuestos!$B$22)^(A28-1)</f>
        <v/>
      </c>
      <c r="M28" s="8">
        <f>L28-C28</f>
        <v/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</cols>
  <sheetData>
    <row r="1" ht="26" customHeight="1">
      <c r="A1" s="1" t="inlineStr">
        <is>
          <t>INDICADORES DE RENTABILIDAD Y EVALUACION SOCIAL</t>
        </is>
      </c>
    </row>
    <row r="2">
      <c r="A2" s="2" t="inlineStr">
        <is>
          <t>Indicador</t>
        </is>
      </c>
      <c r="B2" s="2" t="inlineStr">
        <is>
          <t>Valor</t>
        </is>
      </c>
      <c r="C2" s="2" t="inlineStr">
        <is>
          <t>Criterio</t>
        </is>
      </c>
    </row>
    <row r="3">
      <c r="A3" s="3" t="inlineStr">
        <is>
          <t>WACC</t>
        </is>
      </c>
      <c r="B3" s="13">
        <f>Supuestos!$B$25</f>
        <v/>
      </c>
      <c r="C3" s="5" t="inlineStr">
        <is>
          <t>Costo promedio de capital</t>
        </is>
      </c>
    </row>
    <row r="4">
      <c r="A4" s="3" t="inlineStr">
        <is>
          <t>VPN Proyecto (@WACC)</t>
        </is>
      </c>
      <c r="B4" s="13">
        <f>'Flujos de Caja'!$H$3+NPV(Supuestos!$B$25,'Flujos de Caja'!$H$4:$H$28)</f>
        <v/>
      </c>
      <c r="C4" s="5" t="inlineStr">
        <is>
          <t>Si &gt;0 crea valor (solo tarifas)</t>
        </is>
      </c>
    </row>
    <row r="5">
      <c r="A5" s="3" t="inlineStr">
        <is>
          <t>TIR Proyecto</t>
        </is>
      </c>
      <c r="B5" s="13">
        <f>IRR('Flujos de Caja'!$H$3:$H$28)</f>
        <v/>
      </c>
      <c r="C5" s="5" t="inlineStr">
        <is>
          <t>Viable si &gt; WACC</t>
        </is>
      </c>
    </row>
    <row r="6">
      <c r="A6" s="3" t="inlineStr">
        <is>
          <t>VPN Inversionista (@Ke)</t>
        </is>
      </c>
      <c r="B6" s="14">
        <f>'Flujos de Caja'!$J$3+NPV(Supuestos!$B$12,'Flujos de Caja'!$J$4:$J$28)</f>
        <v/>
      </c>
      <c r="C6" s="5" t="inlineStr">
        <is>
          <t>Si &gt;0 atractivo</t>
        </is>
      </c>
    </row>
    <row r="7">
      <c r="A7" s="3" t="inlineStr">
        <is>
          <t>TIR Inversionista</t>
        </is>
      </c>
      <c r="B7" s="13">
        <f>IRR('Flujos de Caja'!$J$3:$J$28)</f>
        <v/>
      </c>
      <c r="C7" s="5" t="inlineStr">
        <is>
          <t>Viable si &gt; Ke</t>
        </is>
      </c>
    </row>
    <row r="8">
      <c r="A8" s="3" t="inlineStr">
        <is>
          <t>VPN Social (@tasa social 9%)</t>
        </is>
      </c>
      <c r="B8" s="14">
        <f>'Flujos de Caja'!$M$3+NPV(Supuestos!$B$13,'Flujos de Caja'!$M$4:$M$28)</f>
        <v/>
      </c>
      <c r="C8" s="5" t="inlineStr">
        <is>
          <t>Si &gt;0 socialmente rentable</t>
        </is>
      </c>
    </row>
    <row r="9">
      <c r="A9" s="3" t="inlineStr">
        <is>
          <t>Relacion Beneficio/Costo</t>
        </is>
      </c>
      <c r="B9" s="15">
        <f>NPV(Supuestos!$B$13,'Flujos de Caja'!$L$4:$L$28)/(Supuestos!$B$4+NPV(Supuestos!$B$13,'Flujos de Caja'!$C$4:$C$28))</f>
        <v/>
      </c>
      <c r="C9" s="5" t="inlineStr">
        <is>
          <t>Viable si &gt; 1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55" customWidth="1" min="4" max="4"/>
    <col width="5" customWidth="1" min="5" max="5"/>
    <col width="7" customWidth="1" min="6" max="6"/>
    <col width="9" customWidth="1" min="7" max="7"/>
    <col width="10" customWidth="1" min="8" max="8"/>
  </cols>
  <sheetData>
    <row r="1" ht="26" customHeight="1">
      <c r="A1" s="1" t="inlineStr">
        <is>
          <t>MATRIZ DE RIESGOS (20) - Nivel = P x I  [Bajo 1-6 / Medio 8-12 / Alto 15-25]</t>
        </is>
      </c>
    </row>
    <row r="2">
      <c r="A2" s="2" t="inlineStr">
        <is>
          <t>#</t>
        </is>
      </c>
      <c r="B2" s="2" t="inlineStr">
        <is>
          <t>Riesgo</t>
        </is>
      </c>
      <c r="C2" s="2" t="inlineStr">
        <is>
          <t>Tipo</t>
        </is>
      </c>
      <c r="D2" s="2" t="inlineStr">
        <is>
          <t>P</t>
        </is>
      </c>
      <c r="E2" s="2" t="inlineStr">
        <is>
          <t>I</t>
        </is>
      </c>
      <c r="F2" s="2" t="inlineStr">
        <is>
          <t>PxI</t>
        </is>
      </c>
      <c r="G2" s="2" t="inlineStr">
        <is>
          <t>Nivel</t>
        </is>
      </c>
    </row>
    <row r="3">
      <c r="A3" s="9" t="n">
        <v>1</v>
      </c>
      <c r="B3" s="5" t="inlineStr">
        <is>
          <t>Crecientes/turbiedad extrema del rio San Juan</t>
        </is>
      </c>
      <c r="C3" s="9" t="inlineStr">
        <is>
          <t>Ambiental</t>
        </is>
      </c>
      <c r="D3" s="9" t="n">
        <v>4</v>
      </c>
      <c r="E3" s="9" t="n">
        <v>5</v>
      </c>
      <c r="F3" s="9">
        <f>D3*E3</f>
        <v/>
      </c>
      <c r="G3" s="9">
        <f>IF(F3&gt;=15,"Alto",IF(F3&gt;=8,"Medio","Bajo"))</f>
        <v/>
      </c>
    </row>
    <row r="4">
      <c r="A4" s="9" t="n">
        <v>2</v>
      </c>
      <c r="B4" s="5" t="inlineStr">
        <is>
          <t>Contaminacion por mineria ilegal (mercurio)</t>
        </is>
      </c>
      <c r="C4" s="9" t="inlineStr">
        <is>
          <t>Ambiental</t>
        </is>
      </c>
      <c r="D4" s="9" t="n">
        <v>4</v>
      </c>
      <c r="E4" s="9" t="n">
        <v>5</v>
      </c>
      <c r="F4" s="9">
        <f>D4*E4</f>
        <v/>
      </c>
      <c r="G4" s="9">
        <f>IF(F4&gt;=15,"Alto",IF(F4&gt;=8,"Medio","Bajo"))</f>
        <v/>
      </c>
    </row>
    <row r="5">
      <c r="A5" s="9" t="n">
        <v>3</v>
      </c>
      <c r="B5" s="5" t="inlineStr">
        <is>
          <t>Inundaciones que danan captacion/redes</t>
        </is>
      </c>
      <c r="C5" s="9" t="inlineStr">
        <is>
          <t>Ambiental</t>
        </is>
      </c>
      <c r="D5" s="9" t="n">
        <v>4</v>
      </c>
      <c r="E5" s="9" t="n">
        <v>4</v>
      </c>
      <c r="F5" s="9">
        <f>D5*E5</f>
        <v/>
      </c>
      <c r="G5" s="9">
        <f>IF(F5&gt;=15,"Alto",IF(F5&gt;=8,"Medio","Bajo"))</f>
        <v/>
      </c>
    </row>
    <row r="6">
      <c r="A6" s="9" t="n">
        <v>4</v>
      </c>
      <c r="B6" s="5" t="inlineStr">
        <is>
          <t>Deforestacion de la cuenca</t>
        </is>
      </c>
      <c r="C6" s="9" t="inlineStr">
        <is>
          <t>Ambiental</t>
        </is>
      </c>
      <c r="D6" s="9" t="n">
        <v>3</v>
      </c>
      <c r="E6" s="9" t="n">
        <v>3</v>
      </c>
      <c r="F6" s="9">
        <f>D6*E6</f>
        <v/>
      </c>
      <c r="G6" s="9">
        <f>IF(F6&gt;=15,"Alto",IF(F6&gt;=8,"Medio","Bajo"))</f>
        <v/>
      </c>
    </row>
    <row r="7">
      <c r="A7" s="9" t="n">
        <v>5</v>
      </c>
      <c r="B7" s="5" t="inlineStr">
        <is>
          <t>Vertimientos de aguas residuales a la fuente</t>
        </is>
      </c>
      <c r="C7" s="9" t="inlineStr">
        <is>
          <t>Ambiental</t>
        </is>
      </c>
      <c r="D7" s="9" t="n">
        <v>3</v>
      </c>
      <c r="E7" s="9" t="n">
        <v>4</v>
      </c>
      <c r="F7" s="9">
        <f>D7*E7</f>
        <v/>
      </c>
      <c r="G7" s="9">
        <f>IF(F7&gt;=15,"Alto",IF(F7&gt;=8,"Medio","Bajo"))</f>
        <v/>
      </c>
    </row>
    <row r="8">
      <c r="A8" s="9" t="n">
        <v>6</v>
      </c>
      <c r="B8" s="5" t="inlineStr">
        <is>
          <t>Resistencia comunitaria a micromedicion/tarifa</t>
        </is>
      </c>
      <c r="C8" s="9" t="inlineStr">
        <is>
          <t>Social</t>
        </is>
      </c>
      <c r="D8" s="9" t="n">
        <v>3</v>
      </c>
      <c r="E8" s="9" t="n">
        <v>3</v>
      </c>
      <c r="F8" s="9">
        <f>D8*E8</f>
        <v/>
      </c>
      <c r="G8" s="9">
        <f>IF(F8&gt;=15,"Alto",IF(F8&gt;=8,"Medio","Bajo"))</f>
        <v/>
      </c>
    </row>
    <row r="9">
      <c r="A9" s="9" t="n">
        <v>7</v>
      </c>
      <c r="B9" s="5" t="inlineStr">
        <is>
          <t>Baja cultura de pago y cartera morosa</t>
        </is>
      </c>
      <c r="C9" s="9" t="inlineStr">
        <is>
          <t>Social</t>
        </is>
      </c>
      <c r="D9" s="9" t="n">
        <v>4</v>
      </c>
      <c r="E9" s="9" t="n">
        <v>3</v>
      </c>
      <c r="F9" s="9">
        <f>D9*E9</f>
        <v/>
      </c>
      <c r="G9" s="9">
        <f>IF(F9&gt;=15,"Alto",IF(F9&gt;=8,"Medio","Bajo"))</f>
        <v/>
      </c>
    </row>
    <row r="10">
      <c r="A10" s="9" t="n">
        <v>8</v>
      </c>
      <c r="B10" s="5" t="inlineStr">
        <is>
          <t>Presencia de grupos armados (extorsion/retrasos)</t>
        </is>
      </c>
      <c r="C10" s="9" t="inlineStr">
        <is>
          <t>Seguridad</t>
        </is>
      </c>
      <c r="D10" s="9" t="n">
        <v>4</v>
      </c>
      <c r="E10" s="9" t="n">
        <v>4</v>
      </c>
      <c r="F10" s="9">
        <f>D10*E10</f>
        <v/>
      </c>
      <c r="G10" s="9">
        <f>IF(F10&gt;=15,"Alto",IF(F10&gt;=8,"Medio","Bajo"))</f>
        <v/>
      </c>
    </row>
    <row r="11">
      <c r="A11" s="9" t="n">
        <v>9</v>
      </c>
      <c r="B11" s="5" t="inlineStr">
        <is>
          <t>Demora en desembolsos de cofinanciacion</t>
        </is>
      </c>
      <c r="C11" s="9" t="inlineStr">
        <is>
          <t>Institucional</t>
        </is>
      </c>
      <c r="D11" s="9" t="n">
        <v>4</v>
      </c>
      <c r="E11" s="9" t="n">
        <v>4</v>
      </c>
      <c r="F11" s="9">
        <f>D11*E11</f>
        <v/>
      </c>
      <c r="G11" s="9">
        <f>IF(F11&gt;=15,"Alto",IF(F11&gt;=8,"Medio","Bajo"))</f>
        <v/>
      </c>
    </row>
    <row r="12">
      <c r="A12" s="9" t="n">
        <v>10</v>
      </c>
      <c r="B12" s="5" t="inlineStr">
        <is>
          <t>Debilidad del operador municipal</t>
        </is>
      </c>
      <c r="C12" s="9" t="inlineStr">
        <is>
          <t>Institucional</t>
        </is>
      </c>
      <c r="D12" s="9" t="n">
        <v>3</v>
      </c>
      <c r="E12" s="9" t="n">
        <v>4</v>
      </c>
      <c r="F12" s="9">
        <f>D12*E12</f>
        <v/>
      </c>
      <c r="G12" s="9">
        <f>IF(F12&gt;=15,"Alto",IF(F12&gt;=8,"Medio","Bajo"))</f>
        <v/>
      </c>
    </row>
    <row r="13">
      <c r="A13" s="9" t="n">
        <v>11</v>
      </c>
      <c r="B13" s="5" t="inlineStr">
        <is>
          <t>Sobrecostos por inflacion de insumos/transporte</t>
        </is>
      </c>
      <c r="C13" s="9" t="inlineStr">
        <is>
          <t>Financiero</t>
        </is>
      </c>
      <c r="D13" s="9" t="n">
        <v>3</v>
      </c>
      <c r="E13" s="9" t="n">
        <v>3</v>
      </c>
      <c r="F13" s="9">
        <f>D13*E13</f>
        <v/>
      </c>
      <c r="G13" s="9">
        <f>IF(F13&gt;=15,"Alto",IF(F13&gt;=8,"Medio","Bajo"))</f>
        <v/>
      </c>
    </row>
    <row r="14">
      <c r="A14" s="9" t="n">
        <v>12</v>
      </c>
      <c r="B14" s="5" t="inlineStr">
        <is>
          <t>Tarifa insuficiente para cubrir OPEX</t>
        </is>
      </c>
      <c r="C14" s="9" t="inlineStr">
        <is>
          <t>Financiero</t>
        </is>
      </c>
      <c r="D14" s="9" t="n">
        <v>4</v>
      </c>
      <c r="E14" s="9" t="n">
        <v>3</v>
      </c>
      <c r="F14" s="9">
        <f>D14*E14</f>
        <v/>
      </c>
      <c r="G14" s="9">
        <f>IF(F14&gt;=15,"Alto",IF(F14&gt;=8,"Medio","Bajo"))</f>
        <v/>
      </c>
    </row>
    <row r="15">
      <c r="A15" s="9" t="n">
        <v>13</v>
      </c>
      <c r="B15" s="5" t="inlineStr">
        <is>
          <t>Diseno hidraulico subdimensionado</t>
        </is>
      </c>
      <c r="C15" s="9" t="inlineStr">
        <is>
          <t>Tecnico</t>
        </is>
      </c>
      <c r="D15" s="9" t="n">
        <v>2</v>
      </c>
      <c r="E15" s="9" t="n">
        <v>4</v>
      </c>
      <c r="F15" s="9">
        <f>D15*E15</f>
        <v/>
      </c>
      <c r="G15" s="9">
        <f>IF(F15&gt;=15,"Alto",IF(F15&gt;=8,"Medio","Bajo"))</f>
        <v/>
      </c>
    </row>
    <row r="16">
      <c r="A16" s="9" t="n">
        <v>14</v>
      </c>
      <c r="B16" s="5" t="inlineStr">
        <is>
          <t>Fallas de equipos de bombeo</t>
        </is>
      </c>
      <c r="C16" s="9" t="inlineStr">
        <is>
          <t>Tecnico</t>
        </is>
      </c>
      <c r="D16" s="9" t="n">
        <v>3</v>
      </c>
      <c r="E16" s="9" t="n">
        <v>3</v>
      </c>
      <c r="F16" s="9">
        <f>D16*E16</f>
        <v/>
      </c>
      <c r="G16" s="9">
        <f>IF(F16&gt;=15,"Alto",IF(F16&gt;=8,"Medio","Bajo"))</f>
        <v/>
      </c>
    </row>
    <row r="17">
      <c r="A17" s="9" t="n">
        <v>15</v>
      </c>
      <c r="B17" s="5" t="inlineStr">
        <is>
          <t>Suministro electrico inestable</t>
        </is>
      </c>
      <c r="C17" s="9" t="inlineStr">
        <is>
          <t>Tecnico</t>
        </is>
      </c>
      <c r="D17" s="9" t="n">
        <v>3</v>
      </c>
      <c r="E17" s="9" t="n">
        <v>4</v>
      </c>
      <c r="F17" s="9">
        <f>D17*E17</f>
        <v/>
      </c>
      <c r="G17" s="9">
        <f>IF(F17&gt;=15,"Alto",IF(F17&gt;=8,"Medio","Bajo"))</f>
        <v/>
      </c>
    </row>
    <row r="18">
      <c r="A18" s="9" t="n">
        <v>16</v>
      </c>
      <c r="B18" s="5" t="inlineStr">
        <is>
          <t>Alto IANC por fugas no detectadas</t>
        </is>
      </c>
      <c r="C18" s="9" t="inlineStr">
        <is>
          <t>Operativo</t>
        </is>
      </c>
      <c r="D18" s="9" t="n">
        <v>3</v>
      </c>
      <c r="E18" s="9" t="n">
        <v>3</v>
      </c>
      <c r="F18" s="9">
        <f>D18*E18</f>
        <v/>
      </c>
      <c r="G18" s="9">
        <f>IF(F18&gt;=15,"Alto",IF(F18&gt;=8,"Medio","Bajo"))</f>
        <v/>
      </c>
    </row>
    <row r="19">
      <c r="A19" s="9" t="n">
        <v>17</v>
      </c>
      <c r="B19" s="5" t="inlineStr">
        <is>
          <t>Dificultad de acceso por mal estado de vias</t>
        </is>
      </c>
      <c r="C19" s="9" t="inlineStr">
        <is>
          <t>Logistico</t>
        </is>
      </c>
      <c r="D19" s="9" t="n">
        <v>4</v>
      </c>
      <c r="E19" s="9" t="n">
        <v>3</v>
      </c>
      <c r="F19" s="9">
        <f>D19*E19</f>
        <v/>
      </c>
      <c r="G19" s="9">
        <f>IF(F19&gt;=15,"Alto",IF(F19&gt;=8,"Medio","Bajo"))</f>
        <v/>
      </c>
    </row>
    <row r="20">
      <c r="A20" s="9" t="n">
        <v>18</v>
      </c>
      <c r="B20" s="5" t="inlineStr">
        <is>
          <t>Escasez de insumos quimicos (coagulantes)</t>
        </is>
      </c>
      <c r="C20" s="9" t="inlineStr">
        <is>
          <t>Ambiental</t>
        </is>
      </c>
      <c r="D20" s="9" t="n">
        <v>2</v>
      </c>
      <c r="E20" s="9" t="n">
        <v>3</v>
      </c>
      <c r="F20" s="9">
        <f>D20*E20</f>
        <v/>
      </c>
      <c r="G20" s="9">
        <f>IF(F20&gt;=15,"Alto",IF(F20&gt;=8,"Medio","Bajo"))</f>
        <v/>
      </c>
    </row>
    <row r="21">
      <c r="A21" s="9" t="n">
        <v>19</v>
      </c>
      <c r="B21" s="5" t="inlineStr">
        <is>
          <t>Demoras en predios/servidumbres</t>
        </is>
      </c>
      <c r="C21" s="9" t="inlineStr">
        <is>
          <t>Legal</t>
        </is>
      </c>
      <c r="D21" s="9" t="n">
        <v>3</v>
      </c>
      <c r="E21" s="9" t="n">
        <v>3</v>
      </c>
      <c r="F21" s="9">
        <f>D21*E21</f>
        <v/>
      </c>
      <c r="G21" s="9">
        <f>IF(F21&gt;=15,"Alto",IF(F21&gt;=8,"Medio","Bajo"))</f>
        <v/>
      </c>
    </row>
    <row r="22">
      <c r="A22" s="9" t="n">
        <v>20</v>
      </c>
      <c r="B22" s="5" t="inlineStr">
        <is>
          <t>Brote de EDA durante la transicion de obra</t>
        </is>
      </c>
      <c r="C22" s="9" t="inlineStr">
        <is>
          <t>Salud publica</t>
        </is>
      </c>
      <c r="D22" s="9" t="n">
        <v>2</v>
      </c>
      <c r="E22" s="9" t="n">
        <v>4</v>
      </c>
      <c r="F22" s="9">
        <f>D22*E22</f>
        <v/>
      </c>
      <c r="G22" s="9">
        <f>IF(F22&gt;=15,"Alto",IF(F22&gt;=8,"Medio","Bajo"))</f>
        <v/>
      </c>
    </row>
    <row r="25" ht="26" customHeight="1">
      <c r="A25" s="1" t="inlineStr">
        <is>
          <t>INTERVENCION DE 10 RIESGOS (5 ambientales) Y RECALIFICACION RESIDUAL</t>
        </is>
      </c>
    </row>
    <row r="26">
      <c r="A26" s="2" t="inlineStr">
        <is>
          <t>#</t>
        </is>
      </c>
      <c r="B26" s="2" t="inlineStr">
        <is>
          <t>Riesgo</t>
        </is>
      </c>
      <c r="C26" s="2" t="inlineStr">
        <is>
          <t>Tipo</t>
        </is>
      </c>
      <c r="D26" s="2" t="inlineStr">
        <is>
          <t>Intervencion</t>
        </is>
      </c>
      <c r="E26" s="2" t="inlineStr">
        <is>
          <t>P res</t>
        </is>
      </c>
      <c r="F26" s="2" t="inlineStr">
        <is>
          <t>I res</t>
        </is>
      </c>
      <c r="G26" s="2" t="inlineStr">
        <is>
          <t>PxI res</t>
        </is>
      </c>
      <c r="H26" s="2" t="inlineStr">
        <is>
          <t>Nivel res</t>
        </is>
      </c>
    </row>
    <row r="27">
      <c r="A27" s="9" t="n">
        <v>1</v>
      </c>
      <c r="B27" s="5" t="inlineStr">
        <is>
          <t>Turbiedad extrema del rio San Juan</t>
        </is>
      </c>
      <c r="C27" s="9" t="inlineStr">
        <is>
          <t>Ambiental</t>
        </is>
      </c>
      <c r="D27" s="5" t="inlineStr">
        <is>
          <t>Pretratamiento robusto + sedimentadores alta tasa + dosificacion automatica + tanque de regulacion</t>
        </is>
      </c>
      <c r="E27" s="9" t="n">
        <v>2</v>
      </c>
      <c r="F27" s="9" t="n">
        <v>4</v>
      </c>
      <c r="G27" s="9">
        <f>E27*F27</f>
        <v/>
      </c>
      <c r="H27" s="9">
        <f>IF(G27&gt;=15,"Alto",IF(G27&gt;=8,"Medio","Bajo"))</f>
        <v/>
      </c>
    </row>
    <row r="28">
      <c r="A28" s="9" t="n">
        <v>2</v>
      </c>
      <c r="B28" s="5" t="inlineStr">
        <is>
          <t>Contaminacion por mineria ilegal</t>
        </is>
      </c>
      <c r="C28" s="9" t="inlineStr">
        <is>
          <t>Ambiental</t>
        </is>
      </c>
      <c r="D28" s="5" t="inlineStr">
        <is>
          <t>Monitoreo de fuente + carbon activado + articulacion con CODECHOCO y control de mineria</t>
        </is>
      </c>
      <c r="E28" s="9" t="n">
        <v>3</v>
      </c>
      <c r="F28" s="9" t="n">
        <v>3</v>
      </c>
      <c r="G28" s="9">
        <f>E28*F28</f>
        <v/>
      </c>
      <c r="H28" s="9">
        <f>IF(G28&gt;=15,"Alto",IF(G28&gt;=8,"Medio","Bajo"))</f>
        <v/>
      </c>
    </row>
    <row r="29">
      <c r="A29" s="9" t="n">
        <v>3</v>
      </c>
      <c r="B29" s="5" t="inlineStr">
        <is>
          <t>Inundaciones que danan infraestructura</t>
        </is>
      </c>
      <c r="C29" s="9" t="inlineStr">
        <is>
          <t>Ambiental</t>
        </is>
      </c>
      <c r="D29" s="5" t="inlineStr">
        <is>
          <t>Captacion elevada/protegida + obras de proteccion de orillas + redes en cotas seguras</t>
        </is>
      </c>
      <c r="E29" s="9" t="n">
        <v>2</v>
      </c>
      <c r="F29" s="9" t="n">
        <v>4</v>
      </c>
      <c r="G29" s="9">
        <f>E29*F29</f>
        <v/>
      </c>
      <c r="H29" s="9">
        <f>IF(G29&gt;=15,"Alto",IF(G29&gt;=8,"Medio","Bajo"))</f>
        <v/>
      </c>
    </row>
    <row r="30">
      <c r="A30" s="9" t="n">
        <v>5</v>
      </c>
      <c r="B30" s="5" t="inlineStr">
        <is>
          <t>Vertimientos a la fuente</t>
        </is>
      </c>
      <c r="C30" s="9" t="inlineStr">
        <is>
          <t>Ambiental</t>
        </is>
      </c>
      <c r="D30" s="5" t="inlineStr">
        <is>
          <t>Optimizacion de alcantarillado + campanas + coordinacion municipal</t>
        </is>
      </c>
      <c r="E30" s="9" t="n">
        <v>2</v>
      </c>
      <c r="F30" s="9" t="n">
        <v>3</v>
      </c>
      <c r="G30" s="9">
        <f>E30*F30</f>
        <v/>
      </c>
      <c r="H30" s="9">
        <f>IF(G30&gt;=15,"Alto",IF(G30&gt;=8,"Medio","Bajo"))</f>
        <v/>
      </c>
    </row>
    <row r="31">
      <c r="A31" s="9" t="n">
        <v>4</v>
      </c>
      <c r="B31" s="5" t="inlineStr">
        <is>
          <t>Deforestacion de la cuenca</t>
        </is>
      </c>
      <c r="C31" s="9" t="inlineStr">
        <is>
          <t>Ambiental</t>
        </is>
      </c>
      <c r="D31" s="5" t="inlineStr">
        <is>
          <t>Pago por servicios ambientales + reforestacion de microcuenca con la comunidad</t>
        </is>
      </c>
      <c r="E31" s="9" t="n">
        <v>2</v>
      </c>
      <c r="F31" s="9" t="n">
        <v>2</v>
      </c>
      <c r="G31" s="9">
        <f>E31*F31</f>
        <v/>
      </c>
      <c r="H31" s="9">
        <f>IF(G31&gt;=15,"Alto",IF(G31&gt;=8,"Medio","Bajo"))</f>
        <v/>
      </c>
    </row>
    <row r="32">
      <c r="A32" s="9" t="n">
        <v>8</v>
      </c>
      <c r="B32" s="5" t="inlineStr">
        <is>
          <t>Grupos armados / inseguridad</t>
        </is>
      </c>
      <c r="C32" s="9" t="inlineStr">
        <is>
          <t>Seguridad</t>
        </is>
      </c>
      <c r="D32" s="5" t="inlineStr">
        <is>
          <t>Plan de seguridad de obra + articulacion con autoridades + contratacion local</t>
        </is>
      </c>
      <c r="E32" s="9" t="n">
        <v>2</v>
      </c>
      <c r="F32" s="9" t="n">
        <v>4</v>
      </c>
      <c r="G32" s="9">
        <f>E32*F32</f>
        <v/>
      </c>
      <c r="H32" s="9">
        <f>IF(G32&gt;=15,"Alto",IF(G32&gt;=8,"Medio","Bajo"))</f>
        <v/>
      </c>
    </row>
    <row r="33">
      <c r="A33" s="9" t="n">
        <v>9</v>
      </c>
      <c r="B33" s="5" t="inlineStr">
        <is>
          <t>Demora en desembolsos</t>
        </is>
      </c>
      <c r="C33" s="9" t="inlineStr">
        <is>
          <t>Institucional</t>
        </is>
      </c>
      <c r="D33" s="5" t="inlineStr">
        <is>
          <t>Convenio con desembolsos por hitos + anticipo + fiducia</t>
        </is>
      </c>
      <c r="E33" s="9" t="n">
        <v>2</v>
      </c>
      <c r="F33" s="9" t="n">
        <v>4</v>
      </c>
      <c r="G33" s="9">
        <f>E33*F33</f>
        <v/>
      </c>
      <c r="H33" s="9">
        <f>IF(G33&gt;=15,"Alto",IF(G33&gt;=8,"Medio","Bajo"))</f>
        <v/>
      </c>
    </row>
    <row r="34">
      <c r="A34" s="9" t="n">
        <v>7</v>
      </c>
      <c r="B34" s="5" t="inlineStr">
        <is>
          <t>Baja cultura de pago</t>
        </is>
      </c>
      <c r="C34" s="9" t="inlineStr">
        <is>
          <t>Social</t>
        </is>
      </c>
      <c r="D34" s="5" t="inlineStr">
        <is>
          <t>Subsidios focalizados + educacion + tarifa social + facturacion clara</t>
        </is>
      </c>
      <c r="E34" s="9" t="n">
        <v>2</v>
      </c>
      <c r="F34" s="9" t="n">
        <v>3</v>
      </c>
      <c r="G34" s="9">
        <f>E34*F34</f>
        <v/>
      </c>
      <c r="H34" s="9">
        <f>IF(G34&gt;=15,"Alto",IF(G34&gt;=8,"Medio","Bajo"))</f>
        <v/>
      </c>
    </row>
    <row r="35">
      <c r="A35" s="9" t="n">
        <v>12</v>
      </c>
      <c r="B35" s="5" t="inlineStr">
        <is>
          <t>Tarifa insuficiente</t>
        </is>
      </c>
      <c r="C35" s="9" t="inlineStr">
        <is>
          <t>Financiero</t>
        </is>
      </c>
      <c r="D35" s="5" t="inlineStr">
        <is>
          <t>Estudio tarifario CRA + subsidios cruzados + aporte SGP</t>
        </is>
      </c>
      <c r="E35" s="9" t="n">
        <v>2</v>
      </c>
      <c r="F35" s="9" t="n">
        <v>3</v>
      </c>
      <c r="G35" s="9">
        <f>E35*F35</f>
        <v/>
      </c>
      <c r="H35" s="9">
        <f>IF(G35&gt;=15,"Alto",IF(G35&gt;=8,"Medio","Bajo"))</f>
        <v/>
      </c>
    </row>
    <row r="36">
      <c r="A36" s="9" t="n">
        <v>15</v>
      </c>
      <c r="B36" s="5" t="inlineStr">
        <is>
          <t>Suministro electrico inestable</t>
        </is>
      </c>
      <c r="C36" s="9" t="inlineStr">
        <is>
          <t>Tecnico</t>
        </is>
      </c>
      <c r="D36" s="5" t="inlineStr">
        <is>
          <t>Planta electrica de respaldo + almacenamiento con autonomia</t>
        </is>
      </c>
      <c r="E36" s="9" t="n">
        <v>2</v>
      </c>
      <c r="F36" s="9" t="n">
        <v>3</v>
      </c>
      <c r="G36" s="9">
        <f>E36*F36</f>
        <v/>
      </c>
      <c r="H36" s="9">
        <f>IF(G36&gt;=15,"Alto",IF(G36&gt;=8,"Medio","Bajo"))</f>
        <v/>
      </c>
    </row>
  </sheetData>
  <mergeCells count="2">
    <mergeCell ref="A25:H2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2026-06-22T20:37:42Z</dcterms:created>
  <dcterms:modified xmlns:dcterms="http://purl.org/dc/terms/" xmlns:xsi="http://www.w3.org/2001/XMLSchema-instance" xsi:type="dcterms:W3CDTF">2026-06-22T20:37:42Z</dcterms:modified>
</cp:coreProperties>
</file>