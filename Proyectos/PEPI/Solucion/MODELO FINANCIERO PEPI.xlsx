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Amortizacion Deuda" sheetId="2" state="visible" r:id="rId2"/>
    <sheet name="Flujos de Caja" sheetId="3" state="visible" r:id="rId3"/>
    <sheet name="Indicadores" sheetId="4" state="visible" r:id="rId4"/>
    <sheet name="Riesg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sz val="9"/>
    </font>
    <font>
      <b val="1"/>
      <color rgb="00FFFFFF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</cols>
  <sheetData>
    <row r="1" ht="28" customHeight="1">
      <c r="A1" s="1" t="inlineStr">
        <is>
          <t>SUPUESTOS DEL MODELO - PROYECTO PEPI (PTAP + ACUEDUCTO EL PROGRESO)</t>
        </is>
      </c>
    </row>
    <row r="2">
      <c r="A2" s="2" t="inlineStr">
        <is>
          <t>Cifras en COP millones (salvo %)</t>
        </is>
      </c>
    </row>
    <row r="3">
      <c r="A3" s="3" t="inlineStr">
        <is>
          <t>Parametro</t>
        </is>
      </c>
      <c r="B3" s="3" t="inlineStr">
        <is>
          <t>Valor</t>
        </is>
      </c>
      <c r="C3" s="3" t="inlineStr">
        <is>
          <t>Unidad</t>
        </is>
      </c>
    </row>
    <row r="4">
      <c r="A4" s="4" t="inlineStr">
        <is>
          <t>CAPEX total</t>
        </is>
      </c>
      <c r="B4" s="5" t="n">
        <v>14000</v>
      </c>
      <c r="C4" s="6" t="inlineStr">
        <is>
          <t>COP MM</t>
        </is>
      </c>
    </row>
    <row r="5">
      <c r="A5" s="4" t="inlineStr">
        <is>
          <t>% Deuda</t>
        </is>
      </c>
      <c r="B5" s="7" t="n">
        <v>0.6</v>
      </c>
      <c r="C5" s="6" t="inlineStr">
        <is>
          <t>%</t>
        </is>
      </c>
    </row>
    <row r="6">
      <c r="A6" s="4" t="inlineStr">
        <is>
          <t>% Equity</t>
        </is>
      </c>
      <c r="B6" s="7" t="n">
        <v>0.4</v>
      </c>
      <c r="C6" s="6" t="inlineStr">
        <is>
          <t>%</t>
        </is>
      </c>
    </row>
    <row r="7">
      <c r="A7" s="4" t="inlineStr">
        <is>
          <t>Deuda</t>
        </is>
      </c>
      <c r="B7" s="5">
        <f>B4*B5</f>
        <v/>
      </c>
      <c r="C7" s="6" t="inlineStr">
        <is>
          <t>COP MM</t>
        </is>
      </c>
    </row>
    <row r="8">
      <c r="A8" s="4" t="inlineStr">
        <is>
          <t>Equity</t>
        </is>
      </c>
      <c r="B8" s="5">
        <f>B4*B6</f>
        <v/>
      </c>
      <c r="C8" s="6" t="inlineStr">
        <is>
          <t>COP MM</t>
        </is>
      </c>
    </row>
    <row r="9">
      <c r="A9" s="4" t="inlineStr">
        <is>
          <t>Kd (costo deuda)</t>
        </is>
      </c>
      <c r="B9" s="7" t="n">
        <v>0.125</v>
      </c>
      <c r="C9" s="6" t="inlineStr">
        <is>
          <t>%</t>
        </is>
      </c>
    </row>
    <row r="10">
      <c r="A10" s="4" t="inlineStr">
        <is>
          <t>Ke (costo equity)</t>
        </is>
      </c>
      <c r="B10" s="7" t="n">
        <v>0.155</v>
      </c>
      <c r="C10" s="6" t="inlineStr">
        <is>
          <t>%</t>
        </is>
      </c>
    </row>
    <row r="11">
      <c r="A11" s="4" t="inlineStr">
        <is>
          <t>Tasa de impuestos</t>
        </is>
      </c>
      <c r="B11" s="7" t="n">
        <v>0.35</v>
      </c>
      <c r="C11" s="6" t="inlineStr">
        <is>
          <t>%</t>
        </is>
      </c>
    </row>
    <row r="12">
      <c r="A12" s="4" t="inlineStr">
        <is>
          <t>Plazo de la deuda</t>
        </is>
      </c>
      <c r="B12" s="5" t="n">
        <v>10</v>
      </c>
      <c r="C12" s="6" t="inlineStr">
        <is>
          <t>anios</t>
        </is>
      </c>
    </row>
    <row r="13">
      <c r="A13" s="4" t="inlineStr">
        <is>
          <t>Horizonte de evaluacion</t>
        </is>
      </c>
      <c r="B13" s="5" t="n">
        <v>20</v>
      </c>
      <c r="C13" s="6" t="inlineStr">
        <is>
          <t>anios</t>
        </is>
      </c>
    </row>
    <row r="14">
      <c r="A14" s="4" t="inlineStr">
        <is>
          <t>Ingreso anio 1</t>
        </is>
      </c>
      <c r="B14" s="5" t="n">
        <v>5200</v>
      </c>
      <c r="C14" s="6" t="inlineStr">
        <is>
          <t>COP MM</t>
        </is>
      </c>
    </row>
    <row r="15">
      <c r="A15" s="4" t="inlineStr">
        <is>
          <t>Crecimiento ingresos</t>
        </is>
      </c>
      <c r="B15" s="7" t="n">
        <v>0.045</v>
      </c>
      <c r="C15" s="6" t="inlineStr">
        <is>
          <t>%</t>
        </is>
      </c>
    </row>
    <row r="16">
      <c r="A16" s="4" t="inlineStr">
        <is>
          <t>OPEX anio 1</t>
        </is>
      </c>
      <c r="B16" s="5" t="n">
        <v>2350</v>
      </c>
      <c r="C16" s="6" t="inlineStr">
        <is>
          <t>COP MM</t>
        </is>
      </c>
    </row>
    <row r="17">
      <c r="A17" s="4" t="inlineStr">
        <is>
          <t>Crecimiento OPEX</t>
        </is>
      </c>
      <c r="B17" s="7" t="n">
        <v>0.04</v>
      </c>
      <c r="C17" s="6" t="inlineStr">
        <is>
          <t>%</t>
        </is>
      </c>
    </row>
    <row r="18">
      <c r="A18" s="4" t="inlineStr">
        <is>
          <t>Depreciacion anual</t>
        </is>
      </c>
      <c r="B18" s="5">
        <f>B4/B13</f>
        <v/>
      </c>
      <c r="C18" s="6" t="inlineStr">
        <is>
          <t>COP MM</t>
        </is>
      </c>
    </row>
    <row r="19">
      <c r="A19" s="4" t="inlineStr">
        <is>
          <t>Cuota anual deuda (frances)</t>
        </is>
      </c>
      <c r="B19" s="5">
        <f>B7*B9/(1-(1+B9)^(-B12))</f>
        <v/>
      </c>
      <c r="C19" s="6" t="inlineStr">
        <is>
          <t>COP MM</t>
        </is>
      </c>
    </row>
    <row r="20">
      <c r="A20" s="4" t="inlineStr">
        <is>
          <t>WACC</t>
        </is>
      </c>
      <c r="B20" s="7">
        <f>B6*B10+B5*B9*(1-B11)</f>
        <v/>
      </c>
      <c r="C20" s="6" t="inlineStr">
        <is>
          <t>%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 ht="26" customHeight="1">
      <c r="A1" s="1" t="inlineStr">
        <is>
          <t>TABLA DE AMORTIZACION DE LA DEUDA (Sistema Frances - cuota fija)</t>
        </is>
      </c>
    </row>
    <row r="2">
      <c r="A2" s="3" t="inlineStr">
        <is>
          <t>Anio</t>
        </is>
      </c>
      <c r="B2" s="3" t="inlineStr">
        <is>
          <t>Saldo inicial</t>
        </is>
      </c>
      <c r="C2" s="3" t="inlineStr">
        <is>
          <t>Interes</t>
        </is>
      </c>
      <c r="D2" s="3" t="inlineStr">
        <is>
          <t>Abono capital</t>
        </is>
      </c>
      <c r="E2" s="3" t="inlineStr">
        <is>
          <t>Cuota</t>
        </is>
      </c>
      <c r="F2" s="3" t="inlineStr">
        <is>
          <t>Saldo final</t>
        </is>
      </c>
    </row>
    <row r="3">
      <c r="A3" s="6" t="n">
        <v>1</v>
      </c>
      <c r="B3" s="5">
        <f>Supuestos!$B$7</f>
        <v/>
      </c>
      <c r="C3" s="5">
        <f>IF(A3&lt;=Supuestos!$B$12,B3*Supuestos!$B$9,0)</f>
        <v/>
      </c>
      <c r="D3" s="5">
        <f>E3-C3</f>
        <v/>
      </c>
      <c r="E3" s="5">
        <f>IF(A3&lt;=Supuestos!$B$12,Supuestos!$B$19,0)</f>
        <v/>
      </c>
      <c r="F3" s="5">
        <f>B3-D3</f>
        <v/>
      </c>
    </row>
    <row r="4">
      <c r="A4" s="8" t="n">
        <v>2</v>
      </c>
      <c r="B4" s="9">
        <f>F3</f>
        <v/>
      </c>
      <c r="C4" s="9">
        <f>IF(A4&lt;=Supuestos!$B$12,B4*Supuestos!$B$9,0)</f>
        <v/>
      </c>
      <c r="D4" s="9">
        <f>E4-C4</f>
        <v/>
      </c>
      <c r="E4" s="9">
        <f>IF(A4&lt;=Supuestos!$B$12,Supuestos!$B$19,0)</f>
        <v/>
      </c>
      <c r="F4" s="9">
        <f>B4-D4</f>
        <v/>
      </c>
    </row>
    <row r="5">
      <c r="A5" s="6" t="n">
        <v>3</v>
      </c>
      <c r="B5" s="5">
        <f>F4</f>
        <v/>
      </c>
      <c r="C5" s="5">
        <f>IF(A5&lt;=Supuestos!$B$12,B5*Supuestos!$B$9,0)</f>
        <v/>
      </c>
      <c r="D5" s="5">
        <f>E5-C5</f>
        <v/>
      </c>
      <c r="E5" s="5">
        <f>IF(A5&lt;=Supuestos!$B$12,Supuestos!$B$19,0)</f>
        <v/>
      </c>
      <c r="F5" s="5">
        <f>B5-D5</f>
        <v/>
      </c>
    </row>
    <row r="6">
      <c r="A6" s="8" t="n">
        <v>4</v>
      </c>
      <c r="B6" s="9">
        <f>F5</f>
        <v/>
      </c>
      <c r="C6" s="9">
        <f>IF(A6&lt;=Supuestos!$B$12,B6*Supuestos!$B$9,0)</f>
        <v/>
      </c>
      <c r="D6" s="9">
        <f>E6-C6</f>
        <v/>
      </c>
      <c r="E6" s="9">
        <f>IF(A6&lt;=Supuestos!$B$12,Supuestos!$B$19,0)</f>
        <v/>
      </c>
      <c r="F6" s="9">
        <f>B6-D6</f>
        <v/>
      </c>
    </row>
    <row r="7">
      <c r="A7" s="6" t="n">
        <v>5</v>
      </c>
      <c r="B7" s="5">
        <f>F6</f>
        <v/>
      </c>
      <c r="C7" s="5">
        <f>IF(A7&lt;=Supuestos!$B$12,B7*Supuestos!$B$9,0)</f>
        <v/>
      </c>
      <c r="D7" s="5">
        <f>E7-C7</f>
        <v/>
      </c>
      <c r="E7" s="5">
        <f>IF(A7&lt;=Supuestos!$B$12,Supuestos!$B$19,0)</f>
        <v/>
      </c>
      <c r="F7" s="5">
        <f>B7-D7</f>
        <v/>
      </c>
    </row>
    <row r="8">
      <c r="A8" s="8" t="n">
        <v>6</v>
      </c>
      <c r="B8" s="9">
        <f>F7</f>
        <v/>
      </c>
      <c r="C8" s="9">
        <f>IF(A8&lt;=Supuestos!$B$12,B8*Supuestos!$B$9,0)</f>
        <v/>
      </c>
      <c r="D8" s="9">
        <f>E8-C8</f>
        <v/>
      </c>
      <c r="E8" s="9">
        <f>IF(A8&lt;=Supuestos!$B$12,Supuestos!$B$19,0)</f>
        <v/>
      </c>
      <c r="F8" s="9">
        <f>B8-D8</f>
        <v/>
      </c>
    </row>
    <row r="9">
      <c r="A9" s="6" t="n">
        <v>7</v>
      </c>
      <c r="B9" s="5">
        <f>F8</f>
        <v/>
      </c>
      <c r="C9" s="5">
        <f>IF(A9&lt;=Supuestos!$B$12,B9*Supuestos!$B$9,0)</f>
        <v/>
      </c>
      <c r="D9" s="5">
        <f>E9-C9</f>
        <v/>
      </c>
      <c r="E9" s="5">
        <f>IF(A9&lt;=Supuestos!$B$12,Supuestos!$B$19,0)</f>
        <v/>
      </c>
      <c r="F9" s="5">
        <f>B9-D9</f>
        <v/>
      </c>
    </row>
    <row r="10">
      <c r="A10" s="8" t="n">
        <v>8</v>
      </c>
      <c r="B10" s="9">
        <f>F9</f>
        <v/>
      </c>
      <c r="C10" s="9">
        <f>IF(A10&lt;=Supuestos!$B$12,B10*Supuestos!$B$9,0)</f>
        <v/>
      </c>
      <c r="D10" s="9">
        <f>E10-C10</f>
        <v/>
      </c>
      <c r="E10" s="9">
        <f>IF(A10&lt;=Supuestos!$B$12,Supuestos!$B$19,0)</f>
        <v/>
      </c>
      <c r="F10" s="9">
        <f>B10-D10</f>
        <v/>
      </c>
    </row>
    <row r="11">
      <c r="A11" s="6" t="n">
        <v>9</v>
      </c>
      <c r="B11" s="5">
        <f>F10</f>
        <v/>
      </c>
      <c r="C11" s="5">
        <f>IF(A11&lt;=Supuestos!$B$12,B11*Supuestos!$B$9,0)</f>
        <v/>
      </c>
      <c r="D11" s="5">
        <f>E11-C11</f>
        <v/>
      </c>
      <c r="E11" s="5">
        <f>IF(A11&lt;=Supuestos!$B$12,Supuestos!$B$19,0)</f>
        <v/>
      </c>
      <c r="F11" s="5">
        <f>B11-D11</f>
        <v/>
      </c>
    </row>
    <row r="12">
      <c r="A12" s="8" t="n">
        <v>10</v>
      </c>
      <c r="B12" s="9">
        <f>F11</f>
        <v/>
      </c>
      <c r="C12" s="9">
        <f>IF(A12&lt;=Supuestos!$B$12,B12*Supuestos!$B$9,0)</f>
        <v/>
      </c>
      <c r="D12" s="9">
        <f>E12-C12</f>
        <v/>
      </c>
      <c r="E12" s="9">
        <f>IF(A12&lt;=Supuestos!$B$12,Supuestos!$B$19,0)</f>
        <v/>
      </c>
      <c r="F12" s="9">
        <f>B12-D12</f>
        <v/>
      </c>
    </row>
    <row r="13">
      <c r="A13" s="6" t="n">
        <v>11</v>
      </c>
      <c r="B13" s="5">
        <f>F12</f>
        <v/>
      </c>
      <c r="C13" s="5">
        <f>IF(A13&lt;=Supuestos!$B$12,B13*Supuestos!$B$9,0)</f>
        <v/>
      </c>
      <c r="D13" s="5">
        <f>E13-C13</f>
        <v/>
      </c>
      <c r="E13" s="5">
        <f>IF(A13&lt;=Supuestos!$B$12,Supuestos!$B$19,0)</f>
        <v/>
      </c>
      <c r="F13" s="5">
        <f>B13-D13</f>
        <v/>
      </c>
    </row>
    <row r="14">
      <c r="A14" s="8" t="n">
        <v>12</v>
      </c>
      <c r="B14" s="9">
        <f>F13</f>
        <v/>
      </c>
      <c r="C14" s="9">
        <f>IF(A14&lt;=Supuestos!$B$12,B14*Supuestos!$B$9,0)</f>
        <v/>
      </c>
      <c r="D14" s="9">
        <f>E14-C14</f>
        <v/>
      </c>
      <c r="E14" s="9">
        <f>IF(A14&lt;=Supuestos!$B$12,Supuestos!$B$19,0)</f>
        <v/>
      </c>
      <c r="F14" s="9">
        <f>B14-D14</f>
        <v/>
      </c>
    </row>
    <row r="15">
      <c r="A15" s="6" t="n">
        <v>13</v>
      </c>
      <c r="B15" s="5">
        <f>F14</f>
        <v/>
      </c>
      <c r="C15" s="5">
        <f>IF(A15&lt;=Supuestos!$B$12,B15*Supuestos!$B$9,0)</f>
        <v/>
      </c>
      <c r="D15" s="5">
        <f>E15-C15</f>
        <v/>
      </c>
      <c r="E15" s="5">
        <f>IF(A15&lt;=Supuestos!$B$12,Supuestos!$B$19,0)</f>
        <v/>
      </c>
      <c r="F15" s="5">
        <f>B15-D15</f>
        <v/>
      </c>
    </row>
    <row r="16">
      <c r="A16" s="8" t="n">
        <v>14</v>
      </c>
      <c r="B16" s="9">
        <f>F15</f>
        <v/>
      </c>
      <c r="C16" s="9">
        <f>IF(A16&lt;=Supuestos!$B$12,B16*Supuestos!$B$9,0)</f>
        <v/>
      </c>
      <c r="D16" s="9">
        <f>E16-C16</f>
        <v/>
      </c>
      <c r="E16" s="9">
        <f>IF(A16&lt;=Supuestos!$B$12,Supuestos!$B$19,0)</f>
        <v/>
      </c>
      <c r="F16" s="9">
        <f>B16-D16</f>
        <v/>
      </c>
    </row>
    <row r="17">
      <c r="A17" s="6" t="n">
        <v>15</v>
      </c>
      <c r="B17" s="5">
        <f>F16</f>
        <v/>
      </c>
      <c r="C17" s="5">
        <f>IF(A17&lt;=Supuestos!$B$12,B17*Supuestos!$B$9,0)</f>
        <v/>
      </c>
      <c r="D17" s="5">
        <f>E17-C17</f>
        <v/>
      </c>
      <c r="E17" s="5">
        <f>IF(A17&lt;=Supuestos!$B$12,Supuestos!$B$19,0)</f>
        <v/>
      </c>
      <c r="F17" s="5">
        <f>B17-D17</f>
        <v/>
      </c>
    </row>
    <row r="18">
      <c r="A18" s="8" t="n">
        <v>16</v>
      </c>
      <c r="B18" s="9">
        <f>F17</f>
        <v/>
      </c>
      <c r="C18" s="9">
        <f>IF(A18&lt;=Supuestos!$B$12,B18*Supuestos!$B$9,0)</f>
        <v/>
      </c>
      <c r="D18" s="9">
        <f>E18-C18</f>
        <v/>
      </c>
      <c r="E18" s="9">
        <f>IF(A18&lt;=Supuestos!$B$12,Supuestos!$B$19,0)</f>
        <v/>
      </c>
      <c r="F18" s="9">
        <f>B18-D18</f>
        <v/>
      </c>
    </row>
    <row r="19">
      <c r="A19" s="6" t="n">
        <v>17</v>
      </c>
      <c r="B19" s="5">
        <f>F18</f>
        <v/>
      </c>
      <c r="C19" s="5">
        <f>IF(A19&lt;=Supuestos!$B$12,B19*Supuestos!$B$9,0)</f>
        <v/>
      </c>
      <c r="D19" s="5">
        <f>E19-C19</f>
        <v/>
      </c>
      <c r="E19" s="5">
        <f>IF(A19&lt;=Supuestos!$B$12,Supuestos!$B$19,0)</f>
        <v/>
      </c>
      <c r="F19" s="5">
        <f>B19-D19</f>
        <v/>
      </c>
    </row>
    <row r="20">
      <c r="A20" s="8" t="n">
        <v>18</v>
      </c>
      <c r="B20" s="9">
        <f>F19</f>
        <v/>
      </c>
      <c r="C20" s="9">
        <f>IF(A20&lt;=Supuestos!$B$12,B20*Supuestos!$B$9,0)</f>
        <v/>
      </c>
      <c r="D20" s="9">
        <f>E20-C20</f>
        <v/>
      </c>
      <c r="E20" s="9">
        <f>IF(A20&lt;=Supuestos!$B$12,Supuestos!$B$19,0)</f>
        <v/>
      </c>
      <c r="F20" s="9">
        <f>B20-D20</f>
        <v/>
      </c>
    </row>
    <row r="21">
      <c r="A21" s="6" t="n">
        <v>19</v>
      </c>
      <c r="B21" s="5">
        <f>F20</f>
        <v/>
      </c>
      <c r="C21" s="5">
        <f>IF(A21&lt;=Supuestos!$B$12,B21*Supuestos!$B$9,0)</f>
        <v/>
      </c>
      <c r="D21" s="5">
        <f>E21-C21</f>
        <v/>
      </c>
      <c r="E21" s="5">
        <f>IF(A21&lt;=Supuestos!$B$12,Supuestos!$B$19,0)</f>
        <v/>
      </c>
      <c r="F21" s="5">
        <f>B21-D21</f>
        <v/>
      </c>
    </row>
    <row r="22">
      <c r="A22" s="8" t="n">
        <v>20</v>
      </c>
      <c r="B22" s="9">
        <f>F21</f>
        <v/>
      </c>
      <c r="C22" s="9">
        <f>IF(A22&lt;=Supuestos!$B$12,B22*Supuestos!$B$9,0)</f>
        <v/>
      </c>
      <c r="D22" s="9">
        <f>E22-C22</f>
        <v/>
      </c>
      <c r="E22" s="9">
        <f>IF(A22&lt;=Supuestos!$B$12,Supuestos!$B$19,0)</f>
        <v/>
      </c>
      <c r="F22" s="9">
        <f>B22-D22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11" customWidth="1" min="4" max="4"/>
    <col width="10" customWidth="1" min="5" max="5"/>
    <col width="11" customWidth="1" min="6" max="6"/>
    <col width="11" customWidth="1" min="7" max="7"/>
    <col width="13" customWidth="1" min="8" max="8"/>
    <col width="11" customWidth="1" min="9" max="9"/>
    <col width="15" customWidth="1" min="10" max="10"/>
    <col width="12" customWidth="1" min="11" max="11"/>
  </cols>
  <sheetData>
    <row r="1" ht="26" customHeight="1">
      <c r="A1" s="1" t="inlineStr">
        <is>
          <t>FLUJOS DE CAJA - PROYECTO, INVERSIONISTA Y BANCO (COP MM)</t>
        </is>
      </c>
    </row>
    <row r="2">
      <c r="A2" s="3" t="inlineStr">
        <is>
          <t>Anio</t>
        </is>
      </c>
      <c r="B2" s="3" t="inlineStr">
        <is>
          <t>Ingresos</t>
        </is>
      </c>
      <c r="C2" s="3" t="inlineStr">
        <is>
          <t>OPEX</t>
        </is>
      </c>
      <c r="D2" s="3" t="inlineStr">
        <is>
          <t>EBITDA</t>
        </is>
      </c>
      <c r="E2" s="3" t="inlineStr">
        <is>
          <t>Deprec.</t>
        </is>
      </c>
      <c r="F2" s="3" t="inlineStr">
        <is>
          <t>EBIT</t>
        </is>
      </c>
      <c r="G2" s="3" t="inlineStr">
        <is>
          <t>Intereses</t>
        </is>
      </c>
      <c r="H2" s="3" t="inlineStr">
        <is>
          <t>FC Proyecto</t>
        </is>
      </c>
      <c r="I2" s="3" t="inlineStr">
        <is>
          <t>Util. neta</t>
        </is>
      </c>
      <c r="J2" s="3" t="inlineStr">
        <is>
          <t>FC Inversionista</t>
        </is>
      </c>
      <c r="K2" s="3" t="inlineStr">
        <is>
          <t>FC Banco</t>
        </is>
      </c>
    </row>
    <row r="3">
      <c r="A3" s="6" t="n">
        <v>0</v>
      </c>
      <c r="B3" s="5" t="n"/>
      <c r="C3" s="5" t="n"/>
      <c r="D3" s="5" t="n"/>
      <c r="E3" s="5" t="n"/>
      <c r="F3" s="5" t="n"/>
      <c r="G3" s="5" t="n"/>
      <c r="H3" s="5">
        <f>-Supuestos!$B$4</f>
        <v/>
      </c>
      <c r="I3" s="5" t="n"/>
      <c r="J3" s="5">
        <f>-Supuestos!$B$8</f>
        <v/>
      </c>
      <c r="K3" s="5">
        <f>Supuestos!$B$7</f>
        <v/>
      </c>
    </row>
    <row r="4">
      <c r="A4" s="6" t="n">
        <v>1</v>
      </c>
      <c r="B4" s="5">
        <f>Supuestos!$B$14*(1+Supuestos!$B$15)^(A4-1)</f>
        <v/>
      </c>
      <c r="C4" s="5">
        <f>Supuestos!$B$16*(1+Supuestos!$B$17)^(A4-1)</f>
        <v/>
      </c>
      <c r="D4" s="5">
        <f>B4-C4</f>
        <v/>
      </c>
      <c r="E4" s="5">
        <f>Supuestos!$B$18</f>
        <v/>
      </c>
      <c r="F4" s="5">
        <f>D4-E4</f>
        <v/>
      </c>
      <c r="G4" s="5">
        <f>'Amortizacion Deuda'!C3</f>
        <v/>
      </c>
      <c r="H4" s="5">
        <f>F4*(1-Supuestos!$B$11)+E4</f>
        <v/>
      </c>
      <c r="I4" s="5">
        <f>(F4-G4)*(1-Supuestos!$B$11)</f>
        <v/>
      </c>
      <c r="J4" s="5">
        <f>I4+E4-'Amortizacion Deuda'!D3</f>
        <v/>
      </c>
      <c r="K4" s="5">
        <f>-'Amortizacion Deuda'!E3</f>
        <v/>
      </c>
    </row>
    <row r="5">
      <c r="A5" s="8" t="n">
        <v>2</v>
      </c>
      <c r="B5" s="9">
        <f>Supuestos!$B$14*(1+Supuestos!$B$15)^(A5-1)</f>
        <v/>
      </c>
      <c r="C5" s="9">
        <f>Supuestos!$B$16*(1+Supuestos!$B$17)^(A5-1)</f>
        <v/>
      </c>
      <c r="D5" s="9">
        <f>B5-C5</f>
        <v/>
      </c>
      <c r="E5" s="9">
        <f>Supuestos!$B$18</f>
        <v/>
      </c>
      <c r="F5" s="9">
        <f>D5-E5</f>
        <v/>
      </c>
      <c r="G5" s="9">
        <f>'Amortizacion Deuda'!C4</f>
        <v/>
      </c>
      <c r="H5" s="9">
        <f>F5*(1-Supuestos!$B$11)+E5</f>
        <v/>
      </c>
      <c r="I5" s="9">
        <f>(F5-G5)*(1-Supuestos!$B$11)</f>
        <v/>
      </c>
      <c r="J5" s="9">
        <f>I5+E5-'Amortizacion Deuda'!D4</f>
        <v/>
      </c>
      <c r="K5" s="9">
        <f>-'Amortizacion Deuda'!E4</f>
        <v/>
      </c>
    </row>
    <row r="6">
      <c r="A6" s="6" t="n">
        <v>3</v>
      </c>
      <c r="B6" s="5">
        <f>Supuestos!$B$14*(1+Supuestos!$B$15)^(A6-1)</f>
        <v/>
      </c>
      <c r="C6" s="5">
        <f>Supuestos!$B$16*(1+Supuestos!$B$17)^(A6-1)</f>
        <v/>
      </c>
      <c r="D6" s="5">
        <f>B6-C6</f>
        <v/>
      </c>
      <c r="E6" s="5">
        <f>Supuestos!$B$18</f>
        <v/>
      </c>
      <c r="F6" s="5">
        <f>D6-E6</f>
        <v/>
      </c>
      <c r="G6" s="5">
        <f>'Amortizacion Deuda'!C5</f>
        <v/>
      </c>
      <c r="H6" s="5">
        <f>F6*(1-Supuestos!$B$11)+E6</f>
        <v/>
      </c>
      <c r="I6" s="5">
        <f>(F6-G6)*(1-Supuestos!$B$11)</f>
        <v/>
      </c>
      <c r="J6" s="5">
        <f>I6+E6-'Amortizacion Deuda'!D5</f>
        <v/>
      </c>
      <c r="K6" s="5">
        <f>-'Amortizacion Deuda'!E5</f>
        <v/>
      </c>
    </row>
    <row r="7">
      <c r="A7" s="8" t="n">
        <v>4</v>
      </c>
      <c r="B7" s="9">
        <f>Supuestos!$B$14*(1+Supuestos!$B$15)^(A7-1)</f>
        <v/>
      </c>
      <c r="C7" s="9">
        <f>Supuestos!$B$16*(1+Supuestos!$B$17)^(A7-1)</f>
        <v/>
      </c>
      <c r="D7" s="9">
        <f>B7-C7</f>
        <v/>
      </c>
      <c r="E7" s="9">
        <f>Supuestos!$B$18</f>
        <v/>
      </c>
      <c r="F7" s="9">
        <f>D7-E7</f>
        <v/>
      </c>
      <c r="G7" s="9">
        <f>'Amortizacion Deuda'!C6</f>
        <v/>
      </c>
      <c r="H7" s="9">
        <f>F7*(1-Supuestos!$B$11)+E7</f>
        <v/>
      </c>
      <c r="I7" s="9">
        <f>(F7-G7)*(1-Supuestos!$B$11)</f>
        <v/>
      </c>
      <c r="J7" s="9">
        <f>I7+E7-'Amortizacion Deuda'!D6</f>
        <v/>
      </c>
      <c r="K7" s="9">
        <f>-'Amortizacion Deuda'!E6</f>
        <v/>
      </c>
    </row>
    <row r="8">
      <c r="A8" s="6" t="n">
        <v>5</v>
      </c>
      <c r="B8" s="5">
        <f>Supuestos!$B$14*(1+Supuestos!$B$15)^(A8-1)</f>
        <v/>
      </c>
      <c r="C8" s="5">
        <f>Supuestos!$B$16*(1+Supuestos!$B$17)^(A8-1)</f>
        <v/>
      </c>
      <c r="D8" s="5">
        <f>B8-C8</f>
        <v/>
      </c>
      <c r="E8" s="5">
        <f>Supuestos!$B$18</f>
        <v/>
      </c>
      <c r="F8" s="5">
        <f>D8-E8</f>
        <v/>
      </c>
      <c r="G8" s="5">
        <f>'Amortizacion Deuda'!C7</f>
        <v/>
      </c>
      <c r="H8" s="5">
        <f>F8*(1-Supuestos!$B$11)+E8</f>
        <v/>
      </c>
      <c r="I8" s="5">
        <f>(F8-G8)*(1-Supuestos!$B$11)</f>
        <v/>
      </c>
      <c r="J8" s="5">
        <f>I8+E8-'Amortizacion Deuda'!D7</f>
        <v/>
      </c>
      <c r="K8" s="5">
        <f>-'Amortizacion Deuda'!E7</f>
        <v/>
      </c>
    </row>
    <row r="9">
      <c r="A9" s="8" t="n">
        <v>6</v>
      </c>
      <c r="B9" s="9">
        <f>Supuestos!$B$14*(1+Supuestos!$B$15)^(A9-1)</f>
        <v/>
      </c>
      <c r="C9" s="9">
        <f>Supuestos!$B$16*(1+Supuestos!$B$17)^(A9-1)</f>
        <v/>
      </c>
      <c r="D9" s="9">
        <f>B9-C9</f>
        <v/>
      </c>
      <c r="E9" s="9">
        <f>Supuestos!$B$18</f>
        <v/>
      </c>
      <c r="F9" s="9">
        <f>D9-E9</f>
        <v/>
      </c>
      <c r="G9" s="9">
        <f>'Amortizacion Deuda'!C8</f>
        <v/>
      </c>
      <c r="H9" s="9">
        <f>F9*(1-Supuestos!$B$11)+E9</f>
        <v/>
      </c>
      <c r="I9" s="9">
        <f>(F9-G9)*(1-Supuestos!$B$11)</f>
        <v/>
      </c>
      <c r="J9" s="9">
        <f>I9+E9-'Amortizacion Deuda'!D8</f>
        <v/>
      </c>
      <c r="K9" s="9">
        <f>-'Amortizacion Deuda'!E8</f>
        <v/>
      </c>
    </row>
    <row r="10">
      <c r="A10" s="6" t="n">
        <v>7</v>
      </c>
      <c r="B10" s="5">
        <f>Supuestos!$B$14*(1+Supuestos!$B$15)^(A10-1)</f>
        <v/>
      </c>
      <c r="C10" s="5">
        <f>Supuestos!$B$16*(1+Supuestos!$B$17)^(A10-1)</f>
        <v/>
      </c>
      <c r="D10" s="5">
        <f>B10-C10</f>
        <v/>
      </c>
      <c r="E10" s="5">
        <f>Supuestos!$B$18</f>
        <v/>
      </c>
      <c r="F10" s="5">
        <f>D10-E10</f>
        <v/>
      </c>
      <c r="G10" s="5">
        <f>'Amortizacion Deuda'!C9</f>
        <v/>
      </c>
      <c r="H10" s="5">
        <f>F10*(1-Supuestos!$B$11)+E10</f>
        <v/>
      </c>
      <c r="I10" s="5">
        <f>(F10-G10)*(1-Supuestos!$B$11)</f>
        <v/>
      </c>
      <c r="J10" s="5">
        <f>I10+E10-'Amortizacion Deuda'!D9</f>
        <v/>
      </c>
      <c r="K10" s="5">
        <f>-'Amortizacion Deuda'!E9</f>
        <v/>
      </c>
    </row>
    <row r="11">
      <c r="A11" s="8" t="n">
        <v>8</v>
      </c>
      <c r="B11" s="9">
        <f>Supuestos!$B$14*(1+Supuestos!$B$15)^(A11-1)</f>
        <v/>
      </c>
      <c r="C11" s="9">
        <f>Supuestos!$B$16*(1+Supuestos!$B$17)^(A11-1)</f>
        <v/>
      </c>
      <c r="D11" s="9">
        <f>B11-C11</f>
        <v/>
      </c>
      <c r="E11" s="9">
        <f>Supuestos!$B$18</f>
        <v/>
      </c>
      <c r="F11" s="9">
        <f>D11-E11</f>
        <v/>
      </c>
      <c r="G11" s="9">
        <f>'Amortizacion Deuda'!C10</f>
        <v/>
      </c>
      <c r="H11" s="9">
        <f>F11*(1-Supuestos!$B$11)+E11</f>
        <v/>
      </c>
      <c r="I11" s="9">
        <f>(F11-G11)*(1-Supuestos!$B$11)</f>
        <v/>
      </c>
      <c r="J11" s="9">
        <f>I11+E11-'Amortizacion Deuda'!D10</f>
        <v/>
      </c>
      <c r="K11" s="9">
        <f>-'Amortizacion Deuda'!E10</f>
        <v/>
      </c>
    </row>
    <row r="12">
      <c r="A12" s="6" t="n">
        <v>9</v>
      </c>
      <c r="B12" s="5">
        <f>Supuestos!$B$14*(1+Supuestos!$B$15)^(A12-1)</f>
        <v/>
      </c>
      <c r="C12" s="5">
        <f>Supuestos!$B$16*(1+Supuestos!$B$17)^(A12-1)</f>
        <v/>
      </c>
      <c r="D12" s="5">
        <f>B12-C12</f>
        <v/>
      </c>
      <c r="E12" s="5">
        <f>Supuestos!$B$18</f>
        <v/>
      </c>
      <c r="F12" s="5">
        <f>D12-E12</f>
        <v/>
      </c>
      <c r="G12" s="5">
        <f>'Amortizacion Deuda'!C11</f>
        <v/>
      </c>
      <c r="H12" s="5">
        <f>F12*(1-Supuestos!$B$11)+E12</f>
        <v/>
      </c>
      <c r="I12" s="5">
        <f>(F12-G12)*(1-Supuestos!$B$11)</f>
        <v/>
      </c>
      <c r="J12" s="5">
        <f>I12+E12-'Amortizacion Deuda'!D11</f>
        <v/>
      </c>
      <c r="K12" s="5">
        <f>-'Amortizacion Deuda'!E11</f>
        <v/>
      </c>
    </row>
    <row r="13">
      <c r="A13" s="8" t="n">
        <v>10</v>
      </c>
      <c r="B13" s="9">
        <f>Supuestos!$B$14*(1+Supuestos!$B$15)^(A13-1)</f>
        <v/>
      </c>
      <c r="C13" s="9">
        <f>Supuestos!$B$16*(1+Supuestos!$B$17)^(A13-1)</f>
        <v/>
      </c>
      <c r="D13" s="9">
        <f>B13-C13</f>
        <v/>
      </c>
      <c r="E13" s="9">
        <f>Supuestos!$B$18</f>
        <v/>
      </c>
      <c r="F13" s="9">
        <f>D13-E13</f>
        <v/>
      </c>
      <c r="G13" s="9">
        <f>'Amortizacion Deuda'!C12</f>
        <v/>
      </c>
      <c r="H13" s="9">
        <f>F13*(1-Supuestos!$B$11)+E13</f>
        <v/>
      </c>
      <c r="I13" s="9">
        <f>(F13-G13)*(1-Supuestos!$B$11)</f>
        <v/>
      </c>
      <c r="J13" s="9">
        <f>I13+E13-'Amortizacion Deuda'!D12</f>
        <v/>
      </c>
      <c r="K13" s="9">
        <f>-'Amortizacion Deuda'!E12</f>
        <v/>
      </c>
    </row>
    <row r="14">
      <c r="A14" s="6" t="n">
        <v>11</v>
      </c>
      <c r="B14" s="5">
        <f>Supuestos!$B$14*(1+Supuestos!$B$15)^(A14-1)</f>
        <v/>
      </c>
      <c r="C14" s="5">
        <f>Supuestos!$B$16*(1+Supuestos!$B$17)^(A14-1)</f>
        <v/>
      </c>
      <c r="D14" s="5">
        <f>B14-C14</f>
        <v/>
      </c>
      <c r="E14" s="5">
        <f>Supuestos!$B$18</f>
        <v/>
      </c>
      <c r="F14" s="5">
        <f>D14-E14</f>
        <v/>
      </c>
      <c r="G14" s="5">
        <f>'Amortizacion Deuda'!C13</f>
        <v/>
      </c>
      <c r="H14" s="5">
        <f>F14*(1-Supuestos!$B$11)+E14</f>
        <v/>
      </c>
      <c r="I14" s="5">
        <f>(F14-G14)*(1-Supuestos!$B$11)</f>
        <v/>
      </c>
      <c r="J14" s="5">
        <f>I14+E14-'Amortizacion Deuda'!D13</f>
        <v/>
      </c>
      <c r="K14" s="5">
        <f>-'Amortizacion Deuda'!E13</f>
        <v/>
      </c>
    </row>
    <row r="15">
      <c r="A15" s="8" t="n">
        <v>12</v>
      </c>
      <c r="B15" s="9">
        <f>Supuestos!$B$14*(1+Supuestos!$B$15)^(A15-1)</f>
        <v/>
      </c>
      <c r="C15" s="9">
        <f>Supuestos!$B$16*(1+Supuestos!$B$17)^(A15-1)</f>
        <v/>
      </c>
      <c r="D15" s="9">
        <f>B15-C15</f>
        <v/>
      </c>
      <c r="E15" s="9">
        <f>Supuestos!$B$18</f>
        <v/>
      </c>
      <c r="F15" s="9">
        <f>D15-E15</f>
        <v/>
      </c>
      <c r="G15" s="9">
        <f>'Amortizacion Deuda'!C14</f>
        <v/>
      </c>
      <c r="H15" s="9">
        <f>F15*(1-Supuestos!$B$11)+E15</f>
        <v/>
      </c>
      <c r="I15" s="9">
        <f>(F15-G15)*(1-Supuestos!$B$11)</f>
        <v/>
      </c>
      <c r="J15" s="9">
        <f>I15+E15-'Amortizacion Deuda'!D14</f>
        <v/>
      </c>
      <c r="K15" s="9">
        <f>-'Amortizacion Deuda'!E14</f>
        <v/>
      </c>
    </row>
    <row r="16">
      <c r="A16" s="6" t="n">
        <v>13</v>
      </c>
      <c r="B16" s="5">
        <f>Supuestos!$B$14*(1+Supuestos!$B$15)^(A16-1)</f>
        <v/>
      </c>
      <c r="C16" s="5">
        <f>Supuestos!$B$16*(1+Supuestos!$B$17)^(A16-1)</f>
        <v/>
      </c>
      <c r="D16" s="5">
        <f>B16-C16</f>
        <v/>
      </c>
      <c r="E16" s="5">
        <f>Supuestos!$B$18</f>
        <v/>
      </c>
      <c r="F16" s="5">
        <f>D16-E16</f>
        <v/>
      </c>
      <c r="G16" s="5">
        <f>'Amortizacion Deuda'!C15</f>
        <v/>
      </c>
      <c r="H16" s="5">
        <f>F16*(1-Supuestos!$B$11)+E16</f>
        <v/>
      </c>
      <c r="I16" s="5">
        <f>(F16-G16)*(1-Supuestos!$B$11)</f>
        <v/>
      </c>
      <c r="J16" s="5">
        <f>I16+E16-'Amortizacion Deuda'!D15</f>
        <v/>
      </c>
      <c r="K16" s="5">
        <f>-'Amortizacion Deuda'!E15</f>
        <v/>
      </c>
    </row>
    <row r="17">
      <c r="A17" s="8" t="n">
        <v>14</v>
      </c>
      <c r="B17" s="9">
        <f>Supuestos!$B$14*(1+Supuestos!$B$15)^(A17-1)</f>
        <v/>
      </c>
      <c r="C17" s="9">
        <f>Supuestos!$B$16*(1+Supuestos!$B$17)^(A17-1)</f>
        <v/>
      </c>
      <c r="D17" s="9">
        <f>B17-C17</f>
        <v/>
      </c>
      <c r="E17" s="9">
        <f>Supuestos!$B$18</f>
        <v/>
      </c>
      <c r="F17" s="9">
        <f>D17-E17</f>
        <v/>
      </c>
      <c r="G17" s="9">
        <f>'Amortizacion Deuda'!C16</f>
        <v/>
      </c>
      <c r="H17" s="9">
        <f>F17*(1-Supuestos!$B$11)+E17</f>
        <v/>
      </c>
      <c r="I17" s="9">
        <f>(F17-G17)*(1-Supuestos!$B$11)</f>
        <v/>
      </c>
      <c r="J17" s="9">
        <f>I17+E17-'Amortizacion Deuda'!D16</f>
        <v/>
      </c>
      <c r="K17" s="9">
        <f>-'Amortizacion Deuda'!E16</f>
        <v/>
      </c>
    </row>
    <row r="18">
      <c r="A18" s="6" t="n">
        <v>15</v>
      </c>
      <c r="B18" s="5">
        <f>Supuestos!$B$14*(1+Supuestos!$B$15)^(A18-1)</f>
        <v/>
      </c>
      <c r="C18" s="5">
        <f>Supuestos!$B$16*(1+Supuestos!$B$17)^(A18-1)</f>
        <v/>
      </c>
      <c r="D18" s="5">
        <f>B18-C18</f>
        <v/>
      </c>
      <c r="E18" s="5">
        <f>Supuestos!$B$18</f>
        <v/>
      </c>
      <c r="F18" s="5">
        <f>D18-E18</f>
        <v/>
      </c>
      <c r="G18" s="5">
        <f>'Amortizacion Deuda'!C17</f>
        <v/>
      </c>
      <c r="H18" s="5">
        <f>F18*(1-Supuestos!$B$11)+E18</f>
        <v/>
      </c>
      <c r="I18" s="5">
        <f>(F18-G18)*(1-Supuestos!$B$11)</f>
        <v/>
      </c>
      <c r="J18" s="5">
        <f>I18+E18-'Amortizacion Deuda'!D17</f>
        <v/>
      </c>
      <c r="K18" s="5">
        <f>-'Amortizacion Deuda'!E17</f>
        <v/>
      </c>
    </row>
    <row r="19">
      <c r="A19" s="8" t="n">
        <v>16</v>
      </c>
      <c r="B19" s="9">
        <f>Supuestos!$B$14*(1+Supuestos!$B$15)^(A19-1)</f>
        <v/>
      </c>
      <c r="C19" s="9">
        <f>Supuestos!$B$16*(1+Supuestos!$B$17)^(A19-1)</f>
        <v/>
      </c>
      <c r="D19" s="9">
        <f>B19-C19</f>
        <v/>
      </c>
      <c r="E19" s="9">
        <f>Supuestos!$B$18</f>
        <v/>
      </c>
      <c r="F19" s="9">
        <f>D19-E19</f>
        <v/>
      </c>
      <c r="G19" s="9">
        <f>'Amortizacion Deuda'!C18</f>
        <v/>
      </c>
      <c r="H19" s="9">
        <f>F19*(1-Supuestos!$B$11)+E19</f>
        <v/>
      </c>
      <c r="I19" s="9">
        <f>(F19-G19)*(1-Supuestos!$B$11)</f>
        <v/>
      </c>
      <c r="J19" s="9">
        <f>I19+E19-'Amortizacion Deuda'!D18</f>
        <v/>
      </c>
      <c r="K19" s="9">
        <f>-'Amortizacion Deuda'!E18</f>
        <v/>
      </c>
    </row>
    <row r="20">
      <c r="A20" s="6" t="n">
        <v>17</v>
      </c>
      <c r="B20" s="5">
        <f>Supuestos!$B$14*(1+Supuestos!$B$15)^(A20-1)</f>
        <v/>
      </c>
      <c r="C20" s="5">
        <f>Supuestos!$B$16*(1+Supuestos!$B$17)^(A20-1)</f>
        <v/>
      </c>
      <c r="D20" s="5">
        <f>B20-C20</f>
        <v/>
      </c>
      <c r="E20" s="5">
        <f>Supuestos!$B$18</f>
        <v/>
      </c>
      <c r="F20" s="5">
        <f>D20-E20</f>
        <v/>
      </c>
      <c r="G20" s="5">
        <f>'Amortizacion Deuda'!C19</f>
        <v/>
      </c>
      <c r="H20" s="5">
        <f>F20*(1-Supuestos!$B$11)+E20</f>
        <v/>
      </c>
      <c r="I20" s="5">
        <f>(F20-G20)*(1-Supuestos!$B$11)</f>
        <v/>
      </c>
      <c r="J20" s="5">
        <f>I20+E20-'Amortizacion Deuda'!D19</f>
        <v/>
      </c>
      <c r="K20" s="5">
        <f>-'Amortizacion Deuda'!E19</f>
        <v/>
      </c>
    </row>
    <row r="21">
      <c r="A21" s="8" t="n">
        <v>18</v>
      </c>
      <c r="B21" s="9">
        <f>Supuestos!$B$14*(1+Supuestos!$B$15)^(A21-1)</f>
        <v/>
      </c>
      <c r="C21" s="9">
        <f>Supuestos!$B$16*(1+Supuestos!$B$17)^(A21-1)</f>
        <v/>
      </c>
      <c r="D21" s="9">
        <f>B21-C21</f>
        <v/>
      </c>
      <c r="E21" s="9">
        <f>Supuestos!$B$18</f>
        <v/>
      </c>
      <c r="F21" s="9">
        <f>D21-E21</f>
        <v/>
      </c>
      <c r="G21" s="9">
        <f>'Amortizacion Deuda'!C20</f>
        <v/>
      </c>
      <c r="H21" s="9">
        <f>F21*(1-Supuestos!$B$11)+E21</f>
        <v/>
      </c>
      <c r="I21" s="9">
        <f>(F21-G21)*(1-Supuestos!$B$11)</f>
        <v/>
      </c>
      <c r="J21" s="9">
        <f>I21+E21-'Amortizacion Deuda'!D20</f>
        <v/>
      </c>
      <c r="K21" s="9">
        <f>-'Amortizacion Deuda'!E20</f>
        <v/>
      </c>
    </row>
    <row r="22">
      <c r="A22" s="6" t="n">
        <v>19</v>
      </c>
      <c r="B22" s="5">
        <f>Supuestos!$B$14*(1+Supuestos!$B$15)^(A22-1)</f>
        <v/>
      </c>
      <c r="C22" s="5">
        <f>Supuestos!$B$16*(1+Supuestos!$B$17)^(A22-1)</f>
        <v/>
      </c>
      <c r="D22" s="5">
        <f>B22-C22</f>
        <v/>
      </c>
      <c r="E22" s="5">
        <f>Supuestos!$B$18</f>
        <v/>
      </c>
      <c r="F22" s="5">
        <f>D22-E22</f>
        <v/>
      </c>
      <c r="G22" s="5">
        <f>'Amortizacion Deuda'!C21</f>
        <v/>
      </c>
      <c r="H22" s="5">
        <f>F22*(1-Supuestos!$B$11)+E22</f>
        <v/>
      </c>
      <c r="I22" s="5">
        <f>(F22-G22)*(1-Supuestos!$B$11)</f>
        <v/>
      </c>
      <c r="J22" s="5">
        <f>I22+E22-'Amortizacion Deuda'!D21</f>
        <v/>
      </c>
      <c r="K22" s="5">
        <f>-'Amortizacion Deuda'!E21</f>
        <v/>
      </c>
    </row>
    <row r="23">
      <c r="A23" s="8" t="n">
        <v>20</v>
      </c>
      <c r="B23" s="9">
        <f>Supuestos!$B$14*(1+Supuestos!$B$15)^(A23-1)</f>
        <v/>
      </c>
      <c r="C23" s="9">
        <f>Supuestos!$B$16*(1+Supuestos!$B$17)^(A23-1)</f>
        <v/>
      </c>
      <c r="D23" s="9">
        <f>B23-C23</f>
        <v/>
      </c>
      <c r="E23" s="9">
        <f>Supuestos!$B$18</f>
        <v/>
      </c>
      <c r="F23" s="9">
        <f>D23-E23</f>
        <v/>
      </c>
      <c r="G23" s="9">
        <f>'Amortizacion Deuda'!C22</f>
        <v/>
      </c>
      <c r="H23" s="9">
        <f>F23*(1-Supuestos!$B$11)+E23</f>
        <v/>
      </c>
      <c r="I23" s="9">
        <f>(F23-G23)*(1-Supuestos!$B$11)</f>
        <v/>
      </c>
      <c r="J23" s="9">
        <f>I23+E23-'Amortizacion Deuda'!D22</f>
        <v/>
      </c>
      <c r="K23" s="9">
        <f>-'Amortizacion Deuda'!E22</f>
        <v/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8" customWidth="1" min="3" max="3"/>
  </cols>
  <sheetData>
    <row r="1" ht="26" customHeight="1">
      <c r="A1" s="1" t="inlineStr">
        <is>
          <t>INDICADORES DE RENTABILIDAD</t>
        </is>
      </c>
    </row>
    <row r="2">
      <c r="A2" s="3" t="inlineStr">
        <is>
          <t>Indicador</t>
        </is>
      </c>
      <c r="B2" s="3" t="inlineStr">
        <is>
          <t>Valor</t>
        </is>
      </c>
      <c r="C2" s="3" t="inlineStr">
        <is>
          <t>Criterio</t>
        </is>
      </c>
    </row>
    <row r="3">
      <c r="A3" s="4" t="inlineStr">
        <is>
          <t>WACC</t>
        </is>
      </c>
      <c r="B3" s="10">
        <f>Supuestos!$B$20</f>
        <v/>
      </c>
      <c r="C3" s="11" t="inlineStr">
        <is>
          <t>Costo promedio de capital</t>
        </is>
      </c>
    </row>
    <row r="4">
      <c r="A4" s="4" t="inlineStr">
        <is>
          <t>VPN Proyecto (@WACC)</t>
        </is>
      </c>
      <c r="B4" s="10">
        <f>'Flujos de Caja'!$H$3+NPV(Supuestos!$B$20,'Flujos de Caja'!$H$4:$H$23)</f>
        <v/>
      </c>
      <c r="C4" s="11" t="inlineStr">
        <is>
          <t>Si &gt;0 crea valor</t>
        </is>
      </c>
    </row>
    <row r="5">
      <c r="A5" s="4" t="inlineStr">
        <is>
          <t>TIR Proyecto</t>
        </is>
      </c>
      <c r="B5" s="10">
        <f>IRR('Flujos de Caja'!$H$3:$H$23)</f>
        <v/>
      </c>
      <c r="C5" s="11" t="inlineStr">
        <is>
          <t>Viable si &gt; WACC</t>
        </is>
      </c>
    </row>
    <row r="6">
      <c r="A6" s="4" t="inlineStr">
        <is>
          <t>VPN Inversionista (@Ke)</t>
        </is>
      </c>
      <c r="B6" s="12">
        <f>'Flujos de Caja'!$J$3+NPV(Supuestos!$B$10,'Flujos de Caja'!$J$4:$J$23)</f>
        <v/>
      </c>
      <c r="C6" s="11" t="inlineStr">
        <is>
          <t>Si &gt;0 atractivo</t>
        </is>
      </c>
    </row>
    <row r="7">
      <c r="A7" s="4" t="inlineStr">
        <is>
          <t>TIR Inversionista</t>
        </is>
      </c>
      <c r="B7" s="10">
        <f>IRR('Flujos de Caja'!$J$3:$J$23)</f>
        <v/>
      </c>
      <c r="C7" s="11" t="inlineStr">
        <is>
          <t>Viable si &gt; Ke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3" customWidth="1" min="3" max="3"/>
    <col width="52" customWidth="1" min="4" max="4"/>
    <col width="5" customWidth="1" min="5" max="5"/>
    <col width="7" customWidth="1" min="6" max="6"/>
    <col width="9" customWidth="1" min="7" max="7"/>
    <col width="10" customWidth="1" min="8" max="8"/>
  </cols>
  <sheetData>
    <row r="1" ht="26" customHeight="1">
      <c r="A1" s="1" t="inlineStr">
        <is>
          <t>MATRIZ DE RIESGOS (20) - Nivel = P x I  [Bajo 1-6 / Medio 8-12 / Alto 15-25]</t>
        </is>
      </c>
    </row>
    <row r="2">
      <c r="A2" s="3" t="inlineStr">
        <is>
          <t>#</t>
        </is>
      </c>
      <c r="B2" s="3" t="inlineStr">
        <is>
          <t>Riesgo</t>
        </is>
      </c>
      <c r="C2" s="3" t="inlineStr">
        <is>
          <t>Tipo</t>
        </is>
      </c>
      <c r="D2" s="3" t="inlineStr">
        <is>
          <t>P</t>
        </is>
      </c>
      <c r="E2" s="3" t="inlineStr">
        <is>
          <t>I</t>
        </is>
      </c>
      <c r="F2" s="3" t="inlineStr">
        <is>
          <t>PxI</t>
        </is>
      </c>
      <c r="G2" s="3" t="inlineStr">
        <is>
          <t>Nivel</t>
        </is>
      </c>
    </row>
    <row r="3">
      <c r="A3" s="6" t="n">
        <v>1</v>
      </c>
      <c r="B3" s="11" t="inlineStr">
        <is>
          <t>Sobrecostos en la construccion</t>
        </is>
      </c>
      <c r="C3" s="6" t="inlineStr">
        <is>
          <t>Financiero</t>
        </is>
      </c>
      <c r="D3" s="6" t="n">
        <v>4</v>
      </c>
      <c r="E3" s="6" t="n">
        <v>4</v>
      </c>
      <c r="F3" s="6">
        <f>D3*E3</f>
        <v/>
      </c>
      <c r="G3" s="6">
        <f>IF(F3&gt;=15,"Alto",IF(F3&gt;=8,"Medio","Bajo"))</f>
        <v/>
      </c>
    </row>
    <row r="4">
      <c r="A4" s="6" t="n">
        <v>2</v>
      </c>
      <c r="B4" s="11" t="inlineStr">
        <is>
          <t>Retrasos en el cronograma de obra</t>
        </is>
      </c>
      <c r="C4" s="6" t="inlineStr">
        <is>
          <t>Operativo</t>
        </is>
      </c>
      <c r="D4" s="6" t="n">
        <v>4</v>
      </c>
      <c r="E4" s="6" t="n">
        <v>3</v>
      </c>
      <c r="F4" s="6">
        <f>D4*E4</f>
        <v/>
      </c>
      <c r="G4" s="6">
        <f>IF(F4&gt;=15,"Alto",IF(F4&gt;=8,"Medio","Bajo"))</f>
        <v/>
      </c>
    </row>
    <row r="5">
      <c r="A5" s="6" t="n">
        <v>3</v>
      </c>
      <c r="B5" s="11" t="inlineStr">
        <is>
          <t>Demoras en gestion predial y servidumbres</t>
        </is>
      </c>
      <c r="C5" s="6" t="inlineStr">
        <is>
          <t>Legal</t>
        </is>
      </c>
      <c r="D5" s="6" t="n">
        <v>3</v>
      </c>
      <c r="E5" s="6" t="n">
        <v>4</v>
      </c>
      <c r="F5" s="6">
        <f>D5*E5</f>
        <v/>
      </c>
      <c r="G5" s="6">
        <f>IF(F5&gt;=15,"Alto",IF(F5&gt;=8,"Medio","Bajo"))</f>
        <v/>
      </c>
    </row>
    <row r="6">
      <c r="A6" s="6" t="n">
        <v>4</v>
      </c>
      <c r="B6" s="11" t="inlineStr">
        <is>
          <t>Variacion en la tasa de cambio</t>
        </is>
      </c>
      <c r="C6" s="6" t="inlineStr">
        <is>
          <t>Financiero</t>
        </is>
      </c>
      <c r="D6" s="6" t="n">
        <v>3</v>
      </c>
      <c r="E6" s="6" t="n">
        <v>3</v>
      </c>
      <c r="F6" s="6">
        <f>D6*E6</f>
        <v/>
      </c>
      <c r="G6" s="6">
        <f>IF(F6&gt;=15,"Alto",IF(F6&gt;=8,"Medio","Bajo"))</f>
        <v/>
      </c>
    </row>
    <row r="7">
      <c r="A7" s="6" t="n">
        <v>5</v>
      </c>
      <c r="B7" s="11" t="inlineStr">
        <is>
          <t>Incremento de tasas de interes</t>
        </is>
      </c>
      <c r="C7" s="6" t="inlineStr">
        <is>
          <t>Financiero</t>
        </is>
      </c>
      <c r="D7" s="6" t="n">
        <v>3</v>
      </c>
      <c r="E7" s="6" t="n">
        <v>4</v>
      </c>
      <c r="F7" s="6">
        <f>D7*E7</f>
        <v/>
      </c>
      <c r="G7" s="6">
        <f>IF(F7&gt;=15,"Alto",IF(F7&gt;=8,"Medio","Bajo"))</f>
        <v/>
      </c>
    </row>
    <row r="8">
      <c r="A8" s="6" t="n">
        <v>6</v>
      </c>
      <c r="B8" s="11" t="inlineStr">
        <is>
          <t>Recaudo tarifario inferior al proyectado</t>
        </is>
      </c>
      <c r="C8" s="6" t="inlineStr">
        <is>
          <t>Comercial</t>
        </is>
      </c>
      <c r="D8" s="6" t="n">
        <v>4</v>
      </c>
      <c r="E8" s="6" t="n">
        <v>4</v>
      </c>
      <c r="F8" s="6">
        <f>D8*E8</f>
        <v/>
      </c>
      <c r="G8" s="6">
        <f>IF(F8&gt;=15,"Alto",IF(F8&gt;=8,"Medio","Bajo"))</f>
        <v/>
      </c>
    </row>
    <row r="9">
      <c r="A9" s="6" t="n">
        <v>7</v>
      </c>
      <c r="B9" s="11" t="inlineStr">
        <is>
          <t>Cambios regulatorios en marco tarifario</t>
        </is>
      </c>
      <c r="C9" s="6" t="inlineStr">
        <is>
          <t>Regulatorio</t>
        </is>
      </c>
      <c r="D9" s="6" t="n">
        <v>2</v>
      </c>
      <c r="E9" s="6" t="n">
        <v>4</v>
      </c>
      <c r="F9" s="6">
        <f>D9*E9</f>
        <v/>
      </c>
      <c r="G9" s="6">
        <f>IF(F9&gt;=15,"Alto",IF(F9&gt;=8,"Medio","Bajo"))</f>
        <v/>
      </c>
    </row>
    <row r="10">
      <c r="A10" s="6" t="n">
        <v>8</v>
      </c>
      <c r="B10" s="11" t="inlineStr">
        <is>
          <t>Contaminacion de la fuente de captacion</t>
        </is>
      </c>
      <c r="C10" s="6" t="inlineStr">
        <is>
          <t>Ambiental</t>
        </is>
      </c>
      <c r="D10" s="6" t="n">
        <v>3</v>
      </c>
      <c r="E10" s="6" t="n">
        <v>5</v>
      </c>
      <c r="F10" s="6">
        <f>D10*E10</f>
        <v/>
      </c>
      <c r="G10" s="6">
        <f>IF(F10&gt;=15,"Alto",IF(F10&gt;=8,"Medio","Bajo"))</f>
        <v/>
      </c>
    </row>
    <row r="11">
      <c r="A11" s="6" t="n">
        <v>9</v>
      </c>
      <c r="B11" s="11" t="inlineStr">
        <is>
          <t>Reduccion del caudal (sequia/clima)</t>
        </is>
      </c>
      <c r="C11" s="6" t="inlineStr">
        <is>
          <t>Ambiental</t>
        </is>
      </c>
      <c r="D11" s="6" t="n">
        <v>3</v>
      </c>
      <c r="E11" s="6" t="n">
        <v>5</v>
      </c>
      <c r="F11" s="6">
        <f>D11*E11</f>
        <v/>
      </c>
      <c r="G11" s="6">
        <f>IF(F11&gt;=15,"Alto",IF(F11&gt;=8,"Medio","Bajo"))</f>
        <v/>
      </c>
    </row>
    <row r="12">
      <c r="A12" s="6" t="n">
        <v>10</v>
      </c>
      <c r="B12" s="11" t="inlineStr">
        <is>
          <t>Inadecuada disposicion de lodos PTAP</t>
        </is>
      </c>
      <c r="C12" s="6" t="inlineStr">
        <is>
          <t>Ambiental</t>
        </is>
      </c>
      <c r="D12" s="6" t="n">
        <v>3</v>
      </c>
      <c r="E12" s="6" t="n">
        <v>4</v>
      </c>
      <c r="F12" s="6">
        <f>D12*E12</f>
        <v/>
      </c>
      <c r="G12" s="6">
        <f>IF(F12&gt;=15,"Alto",IF(F12&gt;=8,"Medio","Bajo"))</f>
        <v/>
      </c>
    </row>
    <row r="13">
      <c r="A13" s="6" t="n">
        <v>11</v>
      </c>
      <c r="B13" s="11" t="inlineStr">
        <is>
          <t>Vertimiento de aguas de lavado sin tratar</t>
        </is>
      </c>
      <c r="C13" s="6" t="inlineStr">
        <is>
          <t>Ambiental</t>
        </is>
      </c>
      <c r="D13" s="6" t="n">
        <v>3</v>
      </c>
      <c r="E13" s="6" t="n">
        <v>4</v>
      </c>
      <c r="F13" s="6">
        <f>D13*E13</f>
        <v/>
      </c>
      <c r="G13" s="6">
        <f>IF(F13&gt;=15,"Alto",IF(F13&gt;=8,"Medio","Bajo"))</f>
        <v/>
      </c>
    </row>
    <row r="14">
      <c r="A14" s="6" t="n">
        <v>12</v>
      </c>
      <c r="B14" s="11" t="inlineStr">
        <is>
          <t>Afectacion de fauna/flora en obras</t>
        </is>
      </c>
      <c r="C14" s="6" t="inlineStr">
        <is>
          <t>Ambiental</t>
        </is>
      </c>
      <c r="D14" s="6" t="n">
        <v>2</v>
      </c>
      <c r="E14" s="6" t="n">
        <v>3</v>
      </c>
      <c r="F14" s="6">
        <f>D14*E14</f>
        <v/>
      </c>
      <c r="G14" s="6">
        <f>IF(F14&gt;=15,"Alto",IF(F14&gt;=8,"Medio","Bajo"))</f>
        <v/>
      </c>
    </row>
    <row r="15">
      <c r="A15" s="6" t="n">
        <v>13</v>
      </c>
      <c r="B15" s="11" t="inlineStr">
        <is>
          <t>Fallas o paradas de equipos de bombeo</t>
        </is>
      </c>
      <c r="C15" s="6" t="inlineStr">
        <is>
          <t>Operativo</t>
        </is>
      </c>
      <c r="D15" s="6" t="n">
        <v>3</v>
      </c>
      <c r="E15" s="6" t="n">
        <v>3</v>
      </c>
      <c r="F15" s="6">
        <f>D15*E15</f>
        <v/>
      </c>
      <c r="G15" s="6">
        <f>IF(F15&gt;=15,"Alto",IF(F15&gt;=8,"Medio","Bajo"))</f>
        <v/>
      </c>
    </row>
    <row r="16">
      <c r="A16" s="6" t="n">
        <v>14</v>
      </c>
      <c r="B16" s="11" t="inlineStr">
        <is>
          <t>Interrupcion del suministro electrico</t>
        </is>
      </c>
      <c r="C16" s="6" t="inlineStr">
        <is>
          <t>Operativo</t>
        </is>
      </c>
      <c r="D16" s="6" t="n">
        <v>3</v>
      </c>
      <c r="E16" s="6" t="n">
        <v>4</v>
      </c>
      <c r="F16" s="6">
        <f>D16*E16</f>
        <v/>
      </c>
      <c r="G16" s="6">
        <f>IF(F16&gt;=15,"Alto",IF(F16&gt;=8,"Medio","Bajo"))</f>
        <v/>
      </c>
    </row>
    <row r="17">
      <c r="A17" s="6" t="n">
        <v>15</v>
      </c>
      <c r="B17" s="11" t="inlineStr">
        <is>
          <t>Accidentes laborales en obra</t>
        </is>
      </c>
      <c r="C17" s="6" t="inlineStr">
        <is>
          <t>SST</t>
        </is>
      </c>
      <c r="D17" s="6" t="n">
        <v>3</v>
      </c>
      <c r="E17" s="6" t="n">
        <v>4</v>
      </c>
      <c r="F17" s="6">
        <f>D17*E17</f>
        <v/>
      </c>
      <c r="G17" s="6">
        <f>IF(F17&gt;=15,"Alto",IF(F17&gt;=8,"Medio","Bajo"))</f>
        <v/>
      </c>
    </row>
    <row r="18">
      <c r="A18" s="6" t="n">
        <v>16</v>
      </c>
      <c r="B18" s="11" t="inlineStr">
        <is>
          <t>Oposicion o conflicto con la comunidad</t>
        </is>
      </c>
      <c r="C18" s="6" t="inlineStr">
        <is>
          <t>Social</t>
        </is>
      </c>
      <c r="D18" s="6" t="n">
        <v>3</v>
      </c>
      <c r="E18" s="6" t="n">
        <v>3</v>
      </c>
      <c r="F18" s="6">
        <f>D18*E18</f>
        <v/>
      </c>
      <c r="G18" s="6">
        <f>IF(F18&gt;=15,"Alto",IF(F18&gt;=8,"Medio","Bajo"))</f>
        <v/>
      </c>
    </row>
    <row r="19">
      <c r="A19" s="6" t="n">
        <v>17</v>
      </c>
      <c r="B19" s="11" t="inlineStr">
        <is>
          <t>Vandalismo o robo de infraestructura</t>
        </is>
      </c>
      <c r="C19" s="6" t="inlineStr">
        <is>
          <t>Seguridad</t>
        </is>
      </c>
      <c r="D19" s="6" t="n">
        <v>3</v>
      </c>
      <c r="E19" s="6" t="n">
        <v>2</v>
      </c>
      <c r="F19" s="6">
        <f>D19*E19</f>
        <v/>
      </c>
      <c r="G19" s="6">
        <f>IF(F19&gt;=15,"Alto",IF(F19&gt;=8,"Medio","Bajo"))</f>
        <v/>
      </c>
    </row>
    <row r="20">
      <c r="A20" s="6" t="n">
        <v>18</v>
      </c>
      <c r="B20" s="11" t="inlineStr">
        <is>
          <t>Errores en estudios y disenios tecnicos</t>
        </is>
      </c>
      <c r="C20" s="6" t="inlineStr">
        <is>
          <t>Tecnico</t>
        </is>
      </c>
      <c r="D20" s="6" t="n">
        <v>2</v>
      </c>
      <c r="E20" s="6" t="n">
        <v>4</v>
      </c>
      <c r="F20" s="6">
        <f>D20*E20</f>
        <v/>
      </c>
      <c r="G20" s="6">
        <f>IF(F20&gt;=15,"Alto",IF(F20&gt;=8,"Medio","Bajo"))</f>
        <v/>
      </c>
    </row>
    <row r="21">
      <c r="A21" s="6" t="n">
        <v>19</v>
      </c>
      <c r="B21" s="11" t="inlineStr">
        <is>
          <t>Incumplimiento del contratista</t>
        </is>
      </c>
      <c r="C21" s="6" t="inlineStr">
        <is>
          <t>Contractual</t>
        </is>
      </c>
      <c r="D21" s="6" t="n">
        <v>2</v>
      </c>
      <c r="E21" s="6" t="n">
        <v>4</v>
      </c>
      <c r="F21" s="6">
        <f>D21*E21</f>
        <v/>
      </c>
      <c r="G21" s="6">
        <f>IF(F21&gt;=15,"Alto",IF(F21&gt;=8,"Medio","Bajo"))</f>
        <v/>
      </c>
    </row>
    <row r="22">
      <c r="A22" s="6" t="n">
        <v>20</v>
      </c>
      <c r="B22" s="11" t="inlineStr">
        <is>
          <t>Inflacion de costos operativos</t>
        </is>
      </c>
      <c r="C22" s="6" t="inlineStr">
        <is>
          <t>Financiero</t>
        </is>
      </c>
      <c r="D22" s="6" t="n">
        <v>3</v>
      </c>
      <c r="E22" s="6" t="n">
        <v>3</v>
      </c>
      <c r="F22" s="6">
        <f>D22*E22</f>
        <v/>
      </c>
      <c r="G22" s="6">
        <f>IF(F22&gt;=15,"Alto",IF(F22&gt;=8,"Medio","Bajo"))</f>
        <v/>
      </c>
    </row>
    <row r="25" ht="26" customHeight="1">
      <c r="A25" s="1" t="inlineStr">
        <is>
          <t>INTERVENCION DE 10 RIESGOS (5 ambientales) Y RECALIFICACION RESIDUAL</t>
        </is>
      </c>
    </row>
    <row r="26">
      <c r="A26" s="3" t="inlineStr">
        <is>
          <t>#</t>
        </is>
      </c>
      <c r="B26" s="3" t="inlineStr">
        <is>
          <t>Riesgo</t>
        </is>
      </c>
      <c r="C26" s="3" t="inlineStr">
        <is>
          <t>Tipo</t>
        </is>
      </c>
      <c r="D26" s="3" t="inlineStr">
        <is>
          <t>Intervencion</t>
        </is>
      </c>
      <c r="E26" s="3" t="inlineStr">
        <is>
          <t>P res</t>
        </is>
      </c>
      <c r="F26" s="3" t="inlineStr">
        <is>
          <t>I res</t>
        </is>
      </c>
      <c r="G26" s="3" t="inlineStr">
        <is>
          <t>PxI res</t>
        </is>
      </c>
      <c r="H26" s="3" t="inlineStr">
        <is>
          <t>Nivel res</t>
        </is>
      </c>
    </row>
    <row r="27">
      <c r="A27" s="6" t="n">
        <v>1</v>
      </c>
      <c r="B27" s="11" t="inlineStr">
        <is>
          <t>Sobrecostos de construccion</t>
        </is>
      </c>
      <c r="C27" s="6" t="inlineStr">
        <is>
          <t>Financiero</t>
        </is>
      </c>
      <c r="D27" s="11" t="inlineStr">
        <is>
          <t>Contrato EPC precio fijo + contingencia 10% + control de cambios</t>
        </is>
      </c>
      <c r="E27" s="6" t="n">
        <v>2</v>
      </c>
      <c r="F27" s="6" t="n">
        <v>3</v>
      </c>
      <c r="G27" s="6">
        <f>E27*F27</f>
        <v/>
      </c>
      <c r="H27" s="6">
        <f>IF(G27&gt;=15,"Alto",IF(G27&gt;=8,"Medio","Bajo"))</f>
        <v/>
      </c>
    </row>
    <row r="28">
      <c r="A28" s="6" t="n">
        <v>6</v>
      </c>
      <c r="B28" s="11" t="inlineStr">
        <is>
          <t>Bajo recaudo tarifario</t>
        </is>
      </c>
      <c r="C28" s="6" t="inlineStr">
        <is>
          <t>Comercial</t>
        </is>
      </c>
      <c r="D28" s="11" t="inlineStr">
        <is>
          <t>Cultura de pago, financiacion de cartera, corte por mora, micromedicion</t>
        </is>
      </c>
      <c r="E28" s="6" t="n">
        <v>2</v>
      </c>
      <c r="F28" s="6" t="n">
        <v>3</v>
      </c>
      <c r="G28" s="6">
        <f>E28*F28</f>
        <v/>
      </c>
      <c r="H28" s="6">
        <f>IF(G28&gt;=15,"Alto",IF(G28&gt;=8,"Medio","Bajo"))</f>
        <v/>
      </c>
    </row>
    <row r="29">
      <c r="A29" s="6" t="n">
        <v>5</v>
      </c>
      <c r="B29" s="11" t="inlineStr">
        <is>
          <t>Alza de tasas de interes</t>
        </is>
      </c>
      <c r="C29" s="6" t="inlineStr">
        <is>
          <t>Financiero</t>
        </is>
      </c>
      <c r="D29" s="11" t="inlineStr">
        <is>
          <t>Cobertura con tasa fija / SWAP en cierre financiero</t>
        </is>
      </c>
      <c r="E29" s="6" t="n">
        <v>1</v>
      </c>
      <c r="F29" s="6" t="n">
        <v>3</v>
      </c>
      <c r="G29" s="6">
        <f>E29*F29</f>
        <v/>
      </c>
      <c r="H29" s="6">
        <f>IF(G29&gt;=15,"Alto",IF(G29&gt;=8,"Medio","Bajo"))</f>
        <v/>
      </c>
    </row>
    <row r="30">
      <c r="A30" s="6" t="n">
        <v>8</v>
      </c>
      <c r="B30" s="11" t="inlineStr">
        <is>
          <t>Contaminacion de la fuente</t>
        </is>
      </c>
      <c r="C30" s="6" t="inlineStr">
        <is>
          <t>Ambiental</t>
        </is>
      </c>
      <c r="D30" s="11" t="inlineStr">
        <is>
          <t>Reforestacion ronda hidrica, monitoreo de calidad, barreras de captacion</t>
        </is>
      </c>
      <c r="E30" s="6" t="n">
        <v>2</v>
      </c>
      <c r="F30" s="6" t="n">
        <v>4</v>
      </c>
      <c r="G30" s="6">
        <f>E30*F30</f>
        <v/>
      </c>
      <c r="H30" s="6">
        <f>IF(G30&gt;=15,"Alto",IF(G30&gt;=8,"Medio","Bajo"))</f>
        <v/>
      </c>
    </row>
    <row r="31">
      <c r="A31" s="6" t="n">
        <v>9</v>
      </c>
      <c r="B31" s="11" t="inlineStr">
        <is>
          <t>Reduccion de caudal (sequia)</t>
        </is>
      </c>
      <c r="C31" s="6" t="inlineStr">
        <is>
          <t>Ambiental</t>
        </is>
      </c>
      <c r="D31" s="11" t="inlineStr">
        <is>
          <t>Fuente alterna, tanques de regulacion, PUEAA y reuso</t>
        </is>
      </c>
      <c r="E31" s="6" t="n">
        <v>2</v>
      </c>
      <c r="F31" s="6" t="n">
        <v>4</v>
      </c>
      <c r="G31" s="6">
        <f>E31*F31</f>
        <v/>
      </c>
      <c r="H31" s="6">
        <f>IF(G31&gt;=15,"Alto",IF(G31&gt;=8,"Medio","Bajo"))</f>
        <v/>
      </c>
    </row>
    <row r="32">
      <c r="A32" s="6" t="n">
        <v>10</v>
      </c>
      <c r="B32" s="11" t="inlineStr">
        <is>
          <t>Disposicion de lodos</t>
        </is>
      </c>
      <c r="C32" s="6" t="inlineStr">
        <is>
          <t>Ambiental</t>
        </is>
      </c>
      <c r="D32" s="11" t="inlineStr">
        <is>
          <t>Lechos de secado, disposicion autorizada, aprovechamiento agricola</t>
        </is>
      </c>
      <c r="E32" s="6" t="n">
        <v>1</v>
      </c>
      <c r="F32" s="6" t="n">
        <v>3</v>
      </c>
      <c r="G32" s="6">
        <f>E32*F32</f>
        <v/>
      </c>
      <c r="H32" s="6">
        <f>IF(G32&gt;=15,"Alto",IF(G32&gt;=8,"Medio","Bajo"))</f>
        <v/>
      </c>
    </row>
    <row r="33">
      <c r="A33" s="6" t="n">
        <v>11</v>
      </c>
      <c r="B33" s="11" t="inlineStr">
        <is>
          <t>Vertimiento aguas de lavado</t>
        </is>
      </c>
      <c r="C33" s="6" t="inlineStr">
        <is>
          <t>Ambiental</t>
        </is>
      </c>
      <c r="D33" s="11" t="inlineStr">
        <is>
          <t>Recirculacion y tratamiento previo, permiso ambiental (CAR)</t>
        </is>
      </c>
      <c r="E33" s="6" t="n">
        <v>1</v>
      </c>
      <c r="F33" s="6" t="n">
        <v>3</v>
      </c>
      <c r="G33" s="6">
        <f>E33*F33</f>
        <v/>
      </c>
      <c r="H33" s="6">
        <f>IF(G33&gt;=15,"Alto",IF(G33&gt;=8,"Medio","Bajo"))</f>
        <v/>
      </c>
    </row>
    <row r="34">
      <c r="A34" s="6" t="n">
        <v>12</v>
      </c>
      <c r="B34" s="11" t="inlineStr">
        <is>
          <t>Afectacion fauna/flora</t>
        </is>
      </c>
      <c r="C34" s="6" t="inlineStr">
        <is>
          <t>Ambiental</t>
        </is>
      </c>
      <c r="D34" s="11" t="inlineStr">
        <is>
          <t>Plan de Manejo Ambiental, compensacion forestal</t>
        </is>
      </c>
      <c r="E34" s="6" t="n">
        <v>1</v>
      </c>
      <c r="F34" s="6" t="n">
        <v>2</v>
      </c>
      <c r="G34" s="6">
        <f>E34*F34</f>
        <v/>
      </c>
      <c r="H34" s="6">
        <f>IF(G34&gt;=15,"Alto",IF(G34&gt;=8,"Medio","Bajo"))</f>
        <v/>
      </c>
    </row>
    <row r="35">
      <c r="A35" s="6" t="n">
        <v>14</v>
      </c>
      <c r="B35" s="11" t="inlineStr">
        <is>
          <t>Interrupcion electrica</t>
        </is>
      </c>
      <c r="C35" s="6" t="inlineStr">
        <is>
          <t>Operativo</t>
        </is>
      </c>
      <c r="D35" s="11" t="inlineStr">
        <is>
          <t>Grupo electrogeno de respaldo y energia dual</t>
        </is>
      </c>
      <c r="E35" s="6" t="n">
        <v>1</v>
      </c>
      <c r="F35" s="6" t="n">
        <v>4</v>
      </c>
      <c r="G35" s="6">
        <f>E35*F35</f>
        <v/>
      </c>
      <c r="H35" s="6">
        <f>IF(G35&gt;=15,"Alto",IF(G35&gt;=8,"Medio","Bajo"))</f>
        <v/>
      </c>
    </row>
    <row r="36">
      <c r="A36" s="6" t="n">
        <v>15</v>
      </c>
      <c r="B36" s="11" t="inlineStr">
        <is>
          <t>Accidentes laborales</t>
        </is>
      </c>
      <c r="C36" s="6" t="inlineStr">
        <is>
          <t>SST</t>
        </is>
      </c>
      <c r="D36" s="11" t="inlineStr">
        <is>
          <t>SG-SST (Dec 1072), capacitacion, EPP, permisos trabajo de alto riesgo</t>
        </is>
      </c>
      <c r="E36" s="6" t="n">
        <v>1</v>
      </c>
      <c r="F36" s="6" t="n">
        <v>4</v>
      </c>
      <c r="G36" s="6">
        <f>E36*F36</f>
        <v/>
      </c>
      <c r="H36" s="6">
        <f>IF(G36&gt;=15,"Alto",IF(G36&gt;=8,"Medio","Bajo"))</f>
        <v/>
      </c>
    </row>
  </sheetData>
  <mergeCells count="2">
    <mergeCell ref="A25:H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2026-06-19T11:19:44Z</dcterms:created>
  <dcterms:modified xsi:type="dcterms:W3CDTF">2026-06-19T11:19:44Z</dcterms:modified>
</cp:coreProperties>
</file>