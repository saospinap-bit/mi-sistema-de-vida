
<file path=[Content_Types].xml><?xml version="1.0" encoding="utf-8"?>
<ns0:Types xmlns:ns0="http://schemas.openxmlformats.org/package/2006/content-types">
  <ns0:Override PartName="/xl/charts/chart1.xml" ContentType="application/vnd.openxmlformats-officedocument.drawingml.chart+xml"/>
  <ns0:Default Extension="rels" ContentType="application/vnd.openxmlformats-package.relationships+xml"/>
  <ns0:Default Extension="xml" ContentType="application/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book.xml" ContentType="application/vnd.openxmlformats-officedocument.spreadsheetml.sheet.main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drawings/drawing1.xml" ContentType="application/vnd.openxmlformats-officedocument.drawing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sharedStrings.xml" ContentType="application/vnd.openxmlformats-officedocument.spreadsheetml.sharedStrings+xml"/>
  <ns0:Override PartName="/docProps/core.xml" ContentType="application/vnd.openxmlformats-package.core-properties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ns0:workbook xmlns:ns0="http://schemas.openxmlformats.org/spreadsheetml/2006/main" xmlns:ns1="http://schemas.openxmlformats.org/markup-compatibility/2006" xmlns:ns2="http://schemas.openxmlformats.org/officeDocument/2006/relationships" ns1:Ignorable="x15">
  <ns0:fileVersion appName="xl" lastEdited="4" lowestEdited="4" rupBuild="9302"/>
  <ns0:workbookPr/>
  <ns0:bookViews>
    <ns0:workbookView xWindow="240" yWindow="120" windowWidth="14940" windowHeight="9225" firstSheet="10" activeTab="10"/>
  </ns0:bookViews>
  <ns0:sheets>
    <ns0:sheet name="Control" sheetId="1" ns2:id="rId1"/>
    <ns0:sheet name="Supuestos" sheetId="2" ns2:id="rId2"/>
    <ns0:sheet name="Diseno Caudal" sheetId="3" ns2:id="rId3"/>
    <ns0:sheet name="Presupuesto" sheetId="4" ns2:id="rId4"/>
    <ns0:sheet name="Financiacion" sheetId="5" ns2:id="rId5"/>
    <ns0:sheet name="Amortizacion Deuda" sheetId="6" ns2:id="rId6"/>
    <ns0:sheet name="Flujos de Caja" sheetId="7" ns2:id="rId7"/>
    <ns0:sheet name="Sensibilidad" sheetId="8" ns2:id="rId8"/>
    <ns0:sheet name="Indicadores" sheetId="9" ns2:id="rId9"/>
    <ns0:sheet name="Riesgos" sheetId="10" ns2:id="rId10"/>
  </ns0:sheets>
  <ns0:definedNames>
    <ns0:definedName name="_xlnm._FilterDatabase" localSheetId="1" hidden="1">'Supuestos'!$A$2:$D$2</ns0:definedName>
    <ns0:definedName name="_xlnm._FilterDatabase" localSheetId="2" hidden="1">'Diseno Caudal'!$A$2:$C$2</ns0:definedName>
    <ns0:definedName name="_xlnm._FilterDatabase" localSheetId="3" hidden="1">'Presupuesto'!$A$2:$C$2</ns0:definedName>
    <ns0:definedName name="_xlnm._FilterDatabase" localSheetId="4" hidden="1">'Financiacion'!$A$2:$E$2</ns0:definedName>
    <ns0:definedName name="_xlnm._FilterDatabase" localSheetId="5" hidden="1">'Amortizacion Deuda'!$A$2:$F$2</ns0:definedName>
    <ns0:definedName name="_xlnm._FilterDatabase" localSheetId="6" hidden="1">'Flujos de Caja'!$A$2:$P$2</ns0:definedName>
    <ns0:definedName name="_xlnm._FilterDatabase" localSheetId="7" hidden="1">'Sensibilidad'!$A$2:$AF$2</ns0:definedName>
    <ns0:definedName name="_xlnm._FilterDatabase" localSheetId="8" hidden="1">'Indicadores'!$A$2:$D$2</ns0:definedName>
    <ns0:definedName name="_xlnm._FilterDatabase" localSheetId="9" hidden="1">'Riesgos'!$A$2:$H$2</ns0:definedName>
  </ns0:definedNames>
  <ns0:calcPr fullCalcOnLoad="1"/>
</ns0:workbook>
</file>

<file path=xl/sharedStrings.xml><?xml version="1.0" encoding="utf-8"?>
<sst xmlns="http://schemas.openxmlformats.org/spreadsheetml/2006/main" count="301" uniqueCount="301">
  <si>
    <t>MATRIZ 20 RIESGOS E INTERVENCIÓN 10 (5 AMBIENTALES)</t>
  </si>
  <si>
    <t>#</t>
  </si>
  <si>
    <t>Riesgo</t>
  </si>
  <si>
    <t>Tipo</t>
  </si>
  <si>
    <t>P</t>
  </si>
  <si>
    <t>I</t>
  </si>
  <si>
    <t>P×I</t>
  </si>
  <si>
    <t>Nivel</t>
  </si>
  <si>
    <t>Observación</t>
  </si>
  <si>
    <t>Sobrecostos en la construcción</t>
  </si>
  <si>
    <t>Financiero</t>
  </si>
  <si>
    <t>Prioritario</t>
  </si>
  <si>
    <t>Retrasos en el cronograma de obra</t>
  </si>
  <si>
    <t>Operativo</t>
  </si>
  <si>
    <t>Demoras en gestión predial y servidumbres</t>
  </si>
  <si>
    <t>Legal</t>
  </si>
  <si>
    <t>Insuficiencia/retraso del aporte público</t>
  </si>
  <si>
    <t>Financiero</t>
  </si>
  <si>
    <t>Prioritario</t>
  </si>
  <si>
    <t>Incremento de tasas de interés</t>
  </si>
  <si>
    <t>Financiero</t>
  </si>
  <si>
    <t>Recaudo tarifario inferior al proyectado</t>
  </si>
  <si>
    <t>Comercial</t>
  </si>
  <si>
    <t>Prioritario</t>
  </si>
  <si>
    <t>Cambios regulatorios del marco tarifario</t>
  </si>
  <si>
    <t>Regulatorio</t>
  </si>
  <si>
    <t>Alta turbiedad/mercurio del río San Juan</t>
  </si>
  <si>
    <t>Ambiental</t>
  </si>
  <si>
    <t>Prioritario</t>
  </si>
  <si>
    <t>Inundaciones por lluvias extremas</t>
  </si>
  <si>
    <t>Ambiental</t>
  </si>
  <si>
    <t>Prioritario</t>
  </si>
  <si>
    <t>Disposición inadecuada de lodos PTAP</t>
  </si>
  <si>
    <t>Ambiental</t>
  </si>
  <si>
    <t>Aguas de lavado vertidas sin tratar</t>
  </si>
  <si>
    <t>Ambiental</t>
  </si>
  <si>
    <t>Afectación de fauna y flora en obras</t>
  </si>
  <si>
    <t>Ambiental</t>
  </si>
  <si>
    <t>Fallas de equipos de bombeo</t>
  </si>
  <si>
    <t>Operativo</t>
  </si>
  <si>
    <t>Interrupción del suministro eléctrico</t>
  </si>
  <si>
    <t>Operativo</t>
  </si>
  <si>
    <t>Accidentes laborales en obra</t>
  </si>
  <si>
    <t>SST</t>
  </si>
  <si>
    <t>Dificultad logística y de acceso</t>
  </si>
  <si>
    <t>Operativo</t>
  </si>
  <si>
    <t>Alteraciones de orden público</t>
  </si>
  <si>
    <t>Social</t>
  </si>
  <si>
    <t>Errores en estudios y diseños</t>
  </si>
  <si>
    <t>Técnico</t>
  </si>
  <si>
    <t>Incumplimiento del contratista</t>
  </si>
  <si>
    <t>Contractual</t>
  </si>
  <si>
    <t>Inflación de costos operativos</t>
  </si>
  <si>
    <t>Financiero</t>
  </si>
  <si>
    <t>Escalas: P1 &lt;5 %, P2 5–20 %, P3 21–40 %, P4 41–70 %, P5 &gt;70 %. Impacto: I1 menor, I2 bajo, I3 moderado, I4 mayor, I5 crítico; se evalúa por la consecuencia más severa en costo, plazo, ambiente, servicio o SST.</t>
  </si>
  <si>
    <t>INTERVENCIÓN Y RECALIFICACIÓN</t>
  </si>
  <si>
    <t>#</t>
  </si>
  <si>
    <t>Riesgo</t>
  </si>
  <si>
    <t>Tipo</t>
  </si>
  <si>
    <t>Intervención</t>
  </si>
  <si>
    <t>Pr</t>
  </si>
  <si>
    <t>Ir</t>
  </si>
  <si>
    <t>Pr×Ir</t>
  </si>
  <si>
    <t>Nivel residual</t>
  </si>
  <si>
    <t>Sobrecostos</t>
  </si>
  <si>
    <t>Financiero</t>
  </si>
  <si>
    <t>Precios/alcance definidos, contingencia 10 % y control de cambios</t>
  </si>
  <si>
    <t>Bajo recaudo</t>
  </si>
  <si>
    <t>Comercial</t>
  </si>
  <si>
    <t>Micromedición, educación, subsidios y gestión de cartera</t>
  </si>
  <si>
    <t>Aporte público</t>
  </si>
  <si>
    <t>Financiero</t>
  </si>
  <si>
    <t>Cierre previo y desembolsos por hitos mediante fiducia</t>
  </si>
  <si>
    <t>Turbiedad/mercurio</t>
  </si>
  <si>
    <t>Ambiental</t>
  </si>
  <si>
    <t>Pretratamiento robusto, dosificación y monitoreo</t>
  </si>
  <si>
    <t>Inundaciones</t>
  </si>
  <si>
    <t>Ambiental</t>
  </si>
  <si>
    <t>Cotas seguras, drenajes y plan de continuidad</t>
  </si>
  <si>
    <t>Lodos</t>
  </si>
  <si>
    <t>Ambiental</t>
  </si>
  <si>
    <t>Espesamiento, secado y disposición autorizada</t>
  </si>
  <si>
    <t>Aguas de lavado</t>
  </si>
  <si>
    <t>Ambiental</t>
  </si>
  <si>
    <t>Recirculación, tratamiento y permiso</t>
  </si>
  <si>
    <t>Fauna/flora</t>
  </si>
  <si>
    <t>Ambiental</t>
  </si>
  <si>
    <t>PMA, rescate y compensación forestal</t>
  </si>
  <si>
    <t>Logística/acceso</t>
  </si>
  <si>
    <t>Operativo</t>
  </si>
  <si>
    <t>Acopio preventivo y holguras por lluvias</t>
  </si>
  <si>
    <t>Accidentes</t>
  </si>
  <si>
    <t>SST</t>
  </si>
  <si>
    <t>SG-SST, EPP, permisos e inspecciones</t>
  </si>
  <si>
    <t>INDICADORES</t>
  </si>
  <si>
    <t>Indicador</t>
  </si>
  <si>
    <t>Valor</t>
  </si>
  <si>
    <t>Criterio</t>
  </si>
  <si>
    <t>Conclusión</t>
  </si>
  <si>
    <t>WACC</t>
  </si>
  <si>
    <t>Tasa proyecto</t>
  </si>
  <si>
    <t>Referencia</t>
  </si>
  <si>
    <t>VPN Proyecto</t>
  </si>
  <si>
    <t>&gt;0</t>
  </si>
  <si>
    <t>TIR Proyecto</t>
  </si>
  <si>
    <t>&gt;WACC</t>
  </si>
  <si>
    <t>VPN Inversionista</t>
  </si>
  <si>
    <t>&gt;0</t>
  </si>
  <si>
    <t>TIR Inversionista</t>
  </si>
  <si>
    <t>&gt;Ke</t>
  </si>
  <si>
    <t>VPN Social</t>
  </si>
  <si>
    <t>&gt;0</t>
  </si>
  <si>
    <t>B/C</t>
  </si>
  <si>
    <t>&gt;1</t>
  </si>
  <si>
    <t>TIR Banco</t>
  </si>
  <si>
    <t>Kd = 11 %</t>
  </si>
  <si>
    <t>APORTE PÚBLICO VS TIR INVERSIONISTA</t>
  </si>
  <si>
    <t>Aporte</t>
  </si>
  <si>
    <t>Deuda</t>
  </si>
  <si>
    <t>Equity</t>
  </si>
  <si>
    <t>TIR</t>
  </si>
  <si>
    <t>VPN @ Ke</t>
  </si>
  <si>
    <t>Criterio</t>
  </si>
  <si>
    <t>FLUJOS — COP MM</t>
  </si>
  <si>
    <t>Año</t>
  </si>
  <si>
    <t>Ingresos</t>
  </si>
  <si>
    <t>OPEX</t>
  </si>
  <si>
    <t>EBITDA</t>
  </si>
  <si>
    <t>Deprec.</t>
  </si>
  <si>
    <t>EBIT</t>
  </si>
  <si>
    <t>Interés</t>
  </si>
  <si>
    <t>Imp. proyecto</t>
  </si>
  <si>
    <t>Imp. equity</t>
  </si>
  <si>
    <t>Capital</t>
  </si>
  <si>
    <t>Saldo deuda</t>
  </si>
  <si>
    <t>FC Proyecto</t>
  </si>
  <si>
    <t>FC Inversionista</t>
  </si>
  <si>
    <t>FC Banco</t>
  </si>
  <si>
    <t>Beneficio social</t>
  </si>
  <si>
    <t>FC Social</t>
  </si>
  <si>
    <t>AMORTIZACIÓN — SISTEMA FRANCÉS</t>
  </si>
  <si>
    <t>Año</t>
  </si>
  <si>
    <t>Saldo inicial</t>
  </si>
  <si>
    <t>Interés</t>
  </si>
  <si>
    <t>Capital</t>
  </si>
  <si>
    <t>Cuota</t>
  </si>
  <si>
    <t>Saldo final</t>
  </si>
  <si>
    <t>FINANCIACIÓN Y WACC AJUSTADO</t>
  </si>
  <si>
    <t>Fuente</t>
  </si>
  <si>
    <t>Participación</t>
  </si>
  <si>
    <t>Monto</t>
  </si>
  <si>
    <t>Costo</t>
  </si>
  <si>
    <t>Tratamiento</t>
  </si>
  <si>
    <t>Aporte público</t>
  </si>
  <si>
    <t>Oportunidad social</t>
  </si>
  <si>
    <t>Deuda</t>
  </si>
  <si>
    <t>Kd posimpuesto</t>
  </si>
  <si>
    <t>Equity</t>
  </si>
  <si>
    <t>Ke</t>
  </si>
  <si>
    <t>TOTAL</t>
  </si>
  <si>
    <t>Concilia CAPEX</t>
  </si>
  <si>
    <t>WACC ajustado</t>
  </si>
  <si>
    <t>Proyecto</t>
  </si>
  <si>
    <t>CAPEX — COP MM</t>
  </si>
  <si>
    <t>Capítulo</t>
  </si>
  <si>
    <t>COP MM</t>
  </si>
  <si>
    <t>% total</t>
  </si>
  <si>
    <t>Captación (bocatoma) y línea de aducción</t>
  </si>
  <si>
    <t>PTAP 45 L/s (obra civil + equipos)</t>
  </si>
  <si>
    <t>Almacenamiento (tanques) y estaciones de bombeo</t>
  </si>
  <si>
    <t>Redes de distribución, conexiones y micromedición</t>
  </si>
  <si>
    <t>Optimización del alcantarillado (componente asociado)</t>
  </si>
  <si>
    <t>Estudios, diseños, interventoría y gestión ambiental/social</t>
  </si>
  <si>
    <t>TOTAL</t>
  </si>
  <si>
    <t>DISEÑO DE CAUDAL — RAS</t>
  </si>
  <si>
    <t>Concepto</t>
  </si>
  <si>
    <t>Valor</t>
  </si>
  <si>
    <t>Fórmula/criterio</t>
  </si>
  <si>
    <t>Población municipal</t>
  </si>
  <si>
    <t>Contexto</t>
  </si>
  <si>
    <t>Población urbana</t>
  </si>
  <si>
    <t>Entrada</t>
  </si>
  <si>
    <t>Población diseño</t>
  </si>
  <si>
    <t>P(1+g)^n</t>
  </si>
  <si>
    <t>Dotación neta</t>
  </si>
  <si>
    <t>Entrada</t>
  </si>
  <si>
    <t>Dotación bruta</t>
  </si>
  <si>
    <t>Dn/(1-pérdidas)</t>
  </si>
  <si>
    <t>Qmd</t>
  </si>
  <si>
    <t>P×Db/86400</t>
  </si>
  <si>
    <t>QMD</t>
  </si>
  <si>
    <t>Qmd×k1</t>
  </si>
  <si>
    <t>QMH</t>
  </si>
  <si>
    <t>QMD×k2</t>
  </si>
  <si>
    <t>PTAP</t>
  </si>
  <si>
    <t>PTAP≥QMD</t>
  </si>
  <si>
    <t>SUPUESTOS — AMARILLO = ENTRADA EDITABLE</t>
  </si>
  <si>
    <t>Parámetro</t>
  </si>
  <si>
    <t>Valor</t>
  </si>
  <si>
    <t>Unidad</t>
  </si>
  <si>
    <t>Criterio</t>
  </si>
  <si>
    <t>Población municipal</t>
  </si>
  <si>
    <t>hab</t>
  </si>
  <si>
    <t>Contexto</t>
  </si>
  <si>
    <t>Población urbana base</t>
  </si>
  <si>
    <t>hab</t>
  </si>
  <si>
    <t>Base adoptada; no equivale a 60 %</t>
  </si>
  <si>
    <t>Crecimiento población</t>
  </si>
  <si>
    <t>% anual</t>
  </si>
  <si>
    <t>Supuesto</t>
  </si>
  <si>
    <t>Horizonte diseño</t>
  </si>
  <si>
    <t>años</t>
  </si>
  <si>
    <t>Diseño hidráulico</t>
  </si>
  <si>
    <t>Dotación neta</t>
  </si>
  <si>
    <t>L/hab·día</t>
  </si>
  <si>
    <t>RAS adoptado</t>
  </si>
  <si>
    <t>Pérdidas</t>
  </si>
  <si>
    <t>%</t>
  </si>
  <si>
    <t>Supuesto</t>
  </si>
  <si>
    <t>k1</t>
  </si>
  <si>
    <t>factor</t>
  </si>
  <si>
    <t>Máximo diario</t>
  </si>
  <si>
    <t>k2</t>
  </si>
  <si>
    <t>factor</t>
  </si>
  <si>
    <t>Máximo horario</t>
  </si>
  <si>
    <t>PTAP</t>
  </si>
  <si>
    <t>L/s</t>
  </si>
  <si>
    <t>Debe cubrir QMD</t>
  </si>
  <si>
    <t>Horizonte evaluación</t>
  </si>
  <si>
    <t>años</t>
  </si>
  <si>
    <t>Flujos</t>
  </si>
  <si>
    <t>Ingresos año 1</t>
  </si>
  <si>
    <t>COP MM</t>
  </si>
  <si>
    <t>Validar tarifa/demanda</t>
  </si>
  <si>
    <t>OPEX año 1</t>
  </si>
  <si>
    <t>COP MM</t>
  </si>
  <si>
    <t>Validar operación</t>
  </si>
  <si>
    <t>Crecimiento nominal de ingresos, OPEX y beneficios</t>
  </si>
  <si>
    <t>% anual</t>
  </si>
  <si>
    <t>Ingresos/OPEX/beneficios</t>
  </si>
  <si>
    <t>Beneficio social año 1</t>
  </si>
  <si>
    <t>COP MM</t>
  </si>
  <si>
    <t>Validar monetización</t>
  </si>
  <si>
    <t>Aporte público</t>
  </si>
  <si>
    <t>%</t>
  </si>
  <si>
    <t>No reembolsable</t>
  </si>
  <si>
    <t>Deuda</t>
  </si>
  <si>
    <t>%</t>
  </si>
  <si>
    <t>FINDETER/banca</t>
  </si>
  <si>
    <t>Equity</t>
  </si>
  <si>
    <t>%</t>
  </si>
  <si>
    <t>Operador/municipio</t>
  </si>
  <si>
    <t>Costo aporte público</t>
  </si>
  <si>
    <t>% nominal anual</t>
  </si>
  <si>
    <t>Oportunidad social</t>
  </si>
  <si>
    <t>Kd</t>
  </si>
  <si>
    <t>% nominal anual</t>
  </si>
  <si>
    <t>Deuda</t>
  </si>
  <si>
    <t>Ke</t>
  </si>
  <si>
    <t>% nominal anual</t>
  </si>
  <si>
    <t>Equity</t>
  </si>
  <si>
    <t>Impuesto</t>
  </si>
  <si>
    <t>%</t>
  </si>
  <si>
    <t>Escudo y flujos</t>
  </si>
  <si>
    <t>Plazo deuda</t>
  </si>
  <si>
    <t>años</t>
  </si>
  <si>
    <t>Cuota fija</t>
  </si>
  <si>
    <t>Tasa social</t>
  </si>
  <si>
    <t>% nominal anual adoptada</t>
  </si>
  <si>
    <t>Evaluación social</t>
  </si>
  <si>
    <t>Vida útil</t>
  </si>
  <si>
    <t>años</t>
  </si>
  <si>
    <t>Depreciación lineal</t>
  </si>
  <si>
    <t>CONTROL AUTOMÁTICO</t>
  </si>
  <si>
    <t>Control</t>
  </si>
  <si>
    <t>Resultado</t>
  </si>
  <si>
    <t>Criterio</t>
  </si>
  <si>
    <t>Estado</t>
  </si>
  <si>
    <t>CAPEX</t>
  </si>
  <si>
    <t>Participaciones</t>
  </si>
  <si>
    <t>Financiación</t>
  </si>
  <si>
    <t>Saldo deuda</t>
  </si>
  <si>
    <t>≈0</t>
  </si>
  <si>
    <t>Años</t>
  </si>
  <si>
    <t>Riesgos</t>
  </si>
  <si>
    <t>Intervenciones</t>
  </si>
  <si>
    <t>Ambientales</t>
  </si>
  <si>
    <t>PTAP-QMD</t>
  </si>
  <si>
    <t>&gt;=0</t>
  </si>
  <si>
    <t>TIR banco-Kd</t>
  </si>
  <si>
    <t>≈0</t>
  </si>
  <si>
    <t>B/C</t>
  </si>
  <si>
    <t>&gt;1</t>
  </si>
  <si>
    <t>Spire.XLS for Python</t>
  </si>
  <si>
    <t>e-iceblue Inc. 2002-2026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</si>
  <si>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</si>
  <si>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</si>
  <si>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</si>
  <si>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</si>
  <si>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</si>
  <si>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https://www.e-iceblue.com/Buy/Spire.XLS-Python.html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</si>
</sst>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#,##0.00;[Red]-#,##0.00;–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  <font>
      <sz val="9"/>
      <name val="Aptos"/>
      <family val="2"/>
    </font>
    <font>
      <sz val="8"/>
      <name val="Aptos"/>
      <family val="2"/>
    </font>
    <font>
      <sz val="7"/>
      <name val="Aptos"/>
      <family val="2"/>
    </font>
    <font>
      <b/>
      <sz val="10"/>
      <color rgb="FFFFFFFF"/>
      <name val="Arial"/>
      <family val="2"/>
    </font>
    <font>
      <b/>
      <sz val="14"/>
      <color rgb="FFFFFFFF"/>
      <name val="Calibri"/>
      <family val="2"/>
    </font>
    <font>
      <i/>
      <sz val="8"/>
      <color rgb="FF555555"/>
      <name val="Aptos"/>
      <family val="2"/>
    </font>
    <font>
      <b/>
      <sz val="11"/>
      <color theme="1"/>
      <name val="Calibri"/>
      <family val="2"/>
      <scheme val="minor"/>
    </font>
    <font>
      <u val="single"/>
      <sz val="11"/>
      <color rgb="FF0000FF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/>
      <protection/>
    </xf>
  </cellStyleXfs>
  <cellXfs count="21">
    <xf numFmtId="0" fontId="0" fillId="0" borderId="0" xfId="0"/>
    <xf numFmtId="0" fontId="8" fillId="2" borderId="0" xfId="0"/>
    <xf numFmtId="0" fontId="7" fillId="3" borderId="0" xfId="0"/>
    <xf numFmtId="0" fontId="4" fillId="0" borderId="1" xfId="0" applyAlignment="1">
      <alignment vertical="center" wrapText="1"/>
    </xf>
    <xf numFmtId="0" fontId="2" fillId="2" borderId="0" xfId="0" applyAlignment="1">
      <alignment horizontal="center"/>
    </xf>
    <xf numFmtId="0" fontId="3" fillId="3" borderId="0" xfId="0" applyAlignment="1">
      <alignment horizontal="center" wrapText="1"/>
    </xf>
    <xf numFmtId="0" fontId="4" fillId="4" borderId="1" xfId="0" applyAlignment="1">
      <alignment vertical="center" wrapText="1"/>
    </xf>
    <xf numFmtId="10" fontId="4" fillId="4" borderId="1" xfId="0" applyAlignment="1">
      <alignment vertical="center" wrapText="1"/>
    </xf>
    <xf numFmtId="4" fontId="4" fillId="0" borderId="1" xfId="0" applyAlignment="1">
      <alignment vertical="center" wrapText="1"/>
    </xf>
    <xf numFmtId="10" fontId="4" fillId="0" borderId="1" xfId="0" applyAlignment="1">
      <alignment vertical="center" wrapText="1"/>
    </xf>
    <xf numFmtId="164" fontId="4" fillId="0" borderId="1" xfId="0" applyAlignment="1">
      <alignment vertical="center" wrapText="1"/>
    </xf>
    <xf numFmtId="0" fontId="5" fillId="0" borderId="1" xfId="0" applyAlignment="1">
      <alignment vertical="center" wrapText="1"/>
    </xf>
    <xf numFmtId="165" fontId="5" fillId="0" borderId="1" xfId="0" applyAlignment="1">
      <alignment vertical="center" wrapText="1"/>
    </xf>
    <xf numFmtId="9" fontId="6" fillId="0" borderId="1" xfId="0" applyAlignment="1">
      <alignment vertical="center" wrapText="1"/>
    </xf>
    <xf numFmtId="0" fontId="6" fillId="0" borderId="1" xfId="0" applyAlignment="1">
      <alignment vertical="center" wrapText="1"/>
    </xf>
    <xf numFmtId="10" fontId="6" fillId="0" borderId="1" xfId="0" applyAlignment="1">
      <alignment vertical="center" wrapText="1"/>
    </xf>
    <xf numFmtId="0" fontId="7" fillId="2" borderId="0" xfId="0"/>
    <xf numFmtId="0" fontId="9" fillId="0" borderId="0" xfId="0" applyAlignment="1">
      <alignment vertical="center" wrapText="1"/>
    </xf>
    <xf numFmtId="0" fontId="10" fillId="0" borderId="0" xfId="0" applyFont="1"/>
    <xf numFmtId="0" fontId="11" fillId="0" borderId="0" xfId="20">
      <alignment/>
      <protection/>
    </xf>
    <xf numFmtId="0" fontId="11" fillId="0" borderId="0" xfId="0" applyFont="1"/>
  </cellXfs>
  <cellStyles count="7">
    <cellStyle name="Normal" builtinId="0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2" Type="http://schemas.openxmlformats.org/officeDocument/2006/relationships/styles" Target="styles.xml" /><ns0:Relationship Id="rId13" Type="http://schemas.openxmlformats.org/officeDocument/2006/relationships/sharedStrings" Target="sharedStrings.xml" /><ns0:Relationship Id="rId14" Type="http://schemas.openxmlformats.org/officeDocument/2006/relationships/theme" Target="theme/theme1.xml" /></ns0:Relationships>
</file>

<file path=xl/charts/chart1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u="none" baseline="0">
                <a:latin typeface="Calibri"/>
                <a:ea typeface="Calibri"/>
                <a:cs typeface="Calibri"/>
              </a:rPr>
              <a:t>TIR vs aporte público</a:t>
            </a:r>
          </a:p>
        </c:rich>
      </c:tx>
      <c:layout/>
      <c:spPr>
        <a:noFill/>
        <a:ln>
          <a:noFill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Sensibilidad!$D$2</c:f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Sensibilidad!$A$3:$A$8</c:f>
              <c:numCache/>
            </c:numRef>
          </c:cat>
          <c:val>
            <c:numRef>
              <c:f>Sensibilidad!$D$3:$D$8</c:f>
              <c:numCache/>
            </c:numRef>
          </c:val>
          <c:smooth val="0"/>
        </c:ser>
        <c:axId val="39131915"/>
        <c:axId val="16642916"/>
      </c:lineChart>
      <c:catAx>
        <c:axId val="39131915"/>
        <c:scaling>
          <c:orientation val="minMax"/>
        </c:scaling>
        <c:axPos val="l"/>
        <c:delete val="0"/>
        <c:numFmt formatCode="General" sourceLinked="1"/>
        <c:majorTickMark val="none"/>
        <c:minorTickMark val="none"/>
        <c:tickLblPos val="nextTo"/>
        <c:crossAx val="16642916"/>
        <c:crosses val="autoZero"/>
        <c:auto val="0"/>
        <c:lblOffset val="100"/>
        <c:noMultiLvlLbl val="0"/>
      </c:catAx>
      <c:valAx>
        <c:axId val="16642916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39131915"/>
        <c:crosses val="autoZero"/>
        <c:crossBetween val="between"/>
        <c:dispUnits/>
      </c:valAx>
    </c:plotArea>
    <c:plotVisOnly val="1"/>
    <c:dispBlanksAs val="gap"/>
    <c:showDLblsOverMax val="0"/>
  </c:chart>
  <c:date1904 val="1"/>
</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10</xdr:row>
      <xdr:rowOff>0</xdr:rowOff>
    </xdr:from>
    <xdr:ext cx="5400675" cy="2695575"/>
    <xdr:graphicFrame>
      <xdr:nvGraphicFramePr>
        <xdr:cNvPr id="1" name="Chart 1"/>
        <xdr:cNvGraphicFramePr/>
      </xdr:nvGraphicFramePr>
      <xdr:xfrm>
        <a:off x="0" y="1905000"/>
        <a:ext cx="5400675" cy="26955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35.00390625" style="0" customWidth="1"/>
    <col min="2" max="2" width="20.00390625" style="0" customWidth="1"/>
    <col min="3" max="3" width="15.00390625" style="0" customWidth="1"/>
    <col min="4" max="4" width="16.00390625" style="0" customWidth="1"/>
  </cols>
  <sheetData>
    <row r="1" ht="15">
      <c r="A1" s="1" t="s">
        <v>273</v>
      </c>
    </row>
    <row r="2" spans="1:4" ht="15">
      <c r="A2" s="2" t="s">
        <v>274</v>
      </c>
      <c r="B2" s="2" t="s">
        <v>275</v>
      </c>
      <c r="C2" s="2" t="s">
        <v>276</v>
      </c>
      <c r="D2" s="2" t="s">
        <v>277</v>
      </c>
    </row>
    <row r="3" spans="1:4" ht="15">
      <c r="A3" s="3" t="s">
        <v>278</v>
      </c>
      <c r="B3" s="3">
        <f>Presupuesto!B9-SUM(Presupuesto!B3:B8)</f>
        <v>0</v>
      </c>
      <c r="C3" s="3">
        <f>0</f>
        <v>0</v>
      </c>
      <c r="D3" s="3" t="str">
        <f>IF(ABS(B3)&lt;0.01,"OK","REVISAR")</f>
        <v>OK</v>
      </c>
    </row>
    <row r="4" spans="1:4" ht="15">
      <c r="A4" s="3" t="s">
        <v>279</v>
      </c>
      <c r="B4" s="3">
        <f>SUM(Financiacion!B3:B5)-1</f>
        <v>0</v>
      </c>
      <c r="C4" s="3">
        <f>0</f>
        <v>0</v>
      </c>
      <c r="D4" s="3" t="str">
        <f>IF(ABS(B4)&lt;0.000001,"OK","REVISAR")</f>
        <v>OK</v>
      </c>
    </row>
    <row r="5" spans="1:4" ht="15">
      <c r="A5" s="3" t="s">
        <v>280</v>
      </c>
      <c r="B5" s="3">
        <f>SUM(Financiacion!C3:C5)-Presupuesto!B9</f>
        <v>0</v>
      </c>
      <c r="C5" s="3">
        <f>0</f>
        <v>0</v>
      </c>
      <c r="D5" s="3" t="str">
        <f>IF(ABS(B5)&lt;0.01,"OK","REVISAR")</f>
        <v>OK</v>
      </c>
    </row>
    <row r="6" spans="1:4" ht="15">
      <c r="A6" s="3" t="s">
        <v>281</v>
      </c>
      <c r="B6" s="3">
        <f>'Amortizacion Deuda'!F27</f>
        <v>2.1032064978498966E-12</v>
      </c>
      <c r="C6" s="3" t="s">
        <v>282</v>
      </c>
      <c r="D6" s="3" t="str">
        <f>IF(ABS(B6)&lt;0.01,"OK","REVISAR")</f>
        <v>OK</v>
      </c>
    </row>
    <row r="7" spans="1:4" ht="15">
      <c r="A7" s="3" t="s">
        <v>283</v>
      </c>
      <c r="B7" s="3">
        <f>COUNT('Flujos de Caja'!A4:A28)</f>
        <v>25</v>
      </c>
      <c r="C7" s="3">
        <f>25</f>
        <v>25</v>
      </c>
      <c r="D7" s="3" t="str">
        <f>IF(B7=25,"OK","REVISAR")</f>
        <v>OK</v>
      </c>
    </row>
    <row r="8" spans="1:4" ht="15">
      <c r="A8" s="3" t="s">
        <v>284</v>
      </c>
      <c r="B8" s="3">
        <f>COUNT(Riesgos!A3:A22)</f>
        <v>20</v>
      </c>
      <c r="C8" s="3">
        <f>20</f>
        <v>20</v>
      </c>
      <c r="D8" s="3" t="str">
        <f>IF(B8=20,"OK","REVISAR")</f>
        <v>OK</v>
      </c>
    </row>
    <row r="9" spans="1:4" ht="15">
      <c r="A9" s="3" t="s">
        <v>285</v>
      </c>
      <c r="B9" s="3">
        <f>COUNT(Riesgos!A27:A36)</f>
        <v>10</v>
      </c>
      <c r="C9" s="3">
        <f>10</f>
        <v>10</v>
      </c>
      <c r="D9" s="3" t="str">
        <f>IF(B9=10,"OK","REVISAR")</f>
        <v>OK</v>
      </c>
    </row>
    <row r="10" spans="1:4" ht="15">
      <c r="A10" s="3" t="s">
        <v>286</v>
      </c>
      <c r="B10" s="3">
        <f>COUNTIF(Riesgos!C27:C36,"Ambiental")</f>
        <v>5</v>
      </c>
      <c r="C10" s="3">
        <f>5</f>
        <v>5</v>
      </c>
      <c r="D10" s="3" t="str">
        <f>IF(B10=5,"OK","REVISAR")</f>
        <v>OK</v>
      </c>
    </row>
    <row r="11" spans="1:4" ht="15">
      <c r="A11" s="3" t="s">
        <v>287</v>
      </c>
      <c r="B11" s="3">
        <f>'Diseno Caudal'!B11-'Diseno Caudal'!B9</f>
        <v>3.5331680826691</v>
      </c>
      <c r="C11" s="3" t="s">
        <v>288</v>
      </c>
      <c r="D11" s="3" t="str">
        <f>IF(B11&gt;=0,"OK","REVISAR")</f>
        <v>OK</v>
      </c>
    </row>
    <row r="12" spans="1:4" ht="15">
      <c r="A12" s="3" t="s">
        <v>289</v>
      </c>
      <c r="B12" s="3">
        <f>Indicadores!B10-Supuestos!B21</f>
        <v>-4.111710971699267E-13</v>
      </c>
      <c r="C12" s="3" t="s">
        <v>290</v>
      </c>
      <c r="D12" s="3" t="str">
        <f>IF(ABS(B12)&lt;0.000001,"OK","REVISAR")</f>
        <v>OK</v>
      </c>
    </row>
    <row r="13" spans="1:4" ht="15">
      <c r="A13" s="3" t="s">
        <v>291</v>
      </c>
      <c r="B13" s="3">
        <f>Indicadores!B9</f>
        <v>1.5583457184604053</v>
      </c>
      <c r="C13" s="3" t="s">
        <v>292</v>
      </c>
      <c r="D13" s="3" t="str">
        <f>IF(B13&gt;1,"OK","REVISAR")</f>
        <v>OK</v>
      </c>
    </row>
  </sheetData>
  <mergeCells count="1">
    <mergeCell ref="A1:D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40.00390625" style="0" customWidth="1"/>
    <col min="2" max="3" width="16.00390625" style="0" customWidth="1"/>
    <col min="4" max="4" width="55.00390625" style="0" customWidth="1"/>
  </cols>
  <sheetData>
    <row r="1" ht="15">
      <c r="A1" s="4" t="s">
        <v>196</v>
      </c>
    </row>
    <row r="2" spans="1:4" ht="15">
      <c r="A2" s="5" t="s">
        <v>197</v>
      </c>
      <c r="B2" s="5" t="s">
        <v>198</v>
      </c>
      <c r="C2" s="5" t="s">
        <v>199</v>
      </c>
      <c r="D2" s="5" t="s">
        <v>200</v>
      </c>
    </row>
    <row r="3" spans="1:4" ht="15">
      <c r="A3" s="3" t="s">
        <v>201</v>
      </c>
      <c r="B3" s="6">
        <v>17000</v>
      </c>
      <c r="C3" s="3" t="s">
        <v>202</v>
      </c>
      <c r="D3" s="3" t="s">
        <v>203</v>
      </c>
    </row>
    <row r="4" spans="1:4" ht="15">
      <c r="A4" s="3" t="s">
        <v>204</v>
      </c>
      <c r="B4" s="6">
        <v>10957</v>
      </c>
      <c r="C4" s="3" t="s">
        <v>205</v>
      </c>
      <c r="D4" s="3" t="s">
        <v>206</v>
      </c>
    </row>
    <row r="5" spans="1:4" ht="15">
      <c r="A5" s="3" t="s">
        <v>207</v>
      </c>
      <c r="B5" s="7">
        <v>0.012</v>
      </c>
      <c r="C5" s="3" t="s">
        <v>208</v>
      </c>
      <c r="D5" s="3" t="s">
        <v>209</v>
      </c>
    </row>
    <row r="6" spans="1:4" ht="15">
      <c r="A6" s="3" t="s">
        <v>210</v>
      </c>
      <c r="B6" s="6">
        <v>25</v>
      </c>
      <c r="C6" s="3" t="s">
        <v>211</v>
      </c>
      <c r="D6" s="3" t="s">
        <v>212</v>
      </c>
    </row>
    <row r="7" spans="1:4" ht="15">
      <c r="A7" s="3" t="s">
        <v>213</v>
      </c>
      <c r="B7" s="6">
        <v>140</v>
      </c>
      <c r="C7" s="3" t="s">
        <v>214</v>
      </c>
      <c r="D7" s="3" t="s">
        <v>215</v>
      </c>
    </row>
    <row r="8" spans="1:4" ht="15">
      <c r="A8" s="3" t="s">
        <v>216</v>
      </c>
      <c r="B8" s="7">
        <v>0.25</v>
      </c>
      <c r="C8" s="3" t="s">
        <v>217</v>
      </c>
      <c r="D8" s="3" t="s">
        <v>218</v>
      </c>
    </row>
    <row r="9" spans="1:4" ht="15">
      <c r="A9" s="3" t="s">
        <v>219</v>
      </c>
      <c r="B9" s="6">
        <v>1.3</v>
      </c>
      <c r="C9" s="3" t="s">
        <v>220</v>
      </c>
      <c r="D9" s="3" t="s">
        <v>221</v>
      </c>
    </row>
    <row r="10" spans="1:4" ht="15">
      <c r="A10" s="3" t="s">
        <v>222</v>
      </c>
      <c r="B10" s="6">
        <v>1.6</v>
      </c>
      <c r="C10" s="3" t="s">
        <v>223</v>
      </c>
      <c r="D10" s="3" t="s">
        <v>224</v>
      </c>
    </row>
    <row r="11" spans="1:4" ht="15">
      <c r="A11" s="3" t="s">
        <v>225</v>
      </c>
      <c r="B11" s="6">
        <v>45</v>
      </c>
      <c r="C11" s="3" t="s">
        <v>226</v>
      </c>
      <c r="D11" s="3" t="s">
        <v>227</v>
      </c>
    </row>
    <row r="12" spans="1:4" ht="15">
      <c r="A12" s="3" t="s">
        <v>228</v>
      </c>
      <c r="B12" s="6">
        <v>25</v>
      </c>
      <c r="C12" s="3" t="s">
        <v>229</v>
      </c>
      <c r="D12" s="3" t="s">
        <v>230</v>
      </c>
    </row>
    <row r="13" spans="1:4" ht="15">
      <c r="A13" s="3" t="s">
        <v>231</v>
      </c>
      <c r="B13" s="6">
        <v>1500</v>
      </c>
      <c r="C13" s="3" t="s">
        <v>232</v>
      </c>
      <c r="D13" s="3" t="s">
        <v>233</v>
      </c>
    </row>
    <row r="14" spans="1:4" ht="15">
      <c r="A14" s="3" t="s">
        <v>234</v>
      </c>
      <c r="B14" s="6">
        <v>1150</v>
      </c>
      <c r="C14" s="3" t="s">
        <v>235</v>
      </c>
      <c r="D14" s="3" t="s">
        <v>236</v>
      </c>
    </row>
    <row r="15" spans="1:4" ht="15">
      <c r="A15" s="3" t="s">
        <v>237</v>
      </c>
      <c r="B15" s="7">
        <v>0.035</v>
      </c>
      <c r="C15" s="3" t="s">
        <v>238</v>
      </c>
      <c r="D15" s="3" t="s">
        <v>239</v>
      </c>
    </row>
    <row r="16" spans="1:4" ht="15">
      <c r="A16" s="3" t="s">
        <v>240</v>
      </c>
      <c r="B16" s="6">
        <v>4150</v>
      </c>
      <c r="C16" s="3" t="s">
        <v>241</v>
      </c>
      <c r="D16" s="3" t="s">
        <v>242</v>
      </c>
    </row>
    <row r="17" spans="1:4" ht="15">
      <c r="A17" s="3" t="s">
        <v>243</v>
      </c>
      <c r="B17" s="7">
        <v>0.8</v>
      </c>
      <c r="C17" s="3" t="s">
        <v>244</v>
      </c>
      <c r="D17" s="3" t="s">
        <v>245</v>
      </c>
    </row>
    <row r="18" spans="1:4" ht="15">
      <c r="A18" s="3" t="s">
        <v>246</v>
      </c>
      <c r="B18" s="7">
        <v>0.1</v>
      </c>
      <c r="C18" s="3" t="s">
        <v>247</v>
      </c>
      <c r="D18" s="3" t="s">
        <v>248</v>
      </c>
    </row>
    <row r="19" spans="1:4" ht="15">
      <c r="A19" s="3" t="s">
        <v>249</v>
      </c>
      <c r="B19" s="7">
        <v>0.1</v>
      </c>
      <c r="C19" s="3" t="s">
        <v>250</v>
      </c>
      <c r="D19" s="3" t="s">
        <v>251</v>
      </c>
    </row>
    <row r="20" spans="1:4" ht="15">
      <c r="A20" s="3" t="s">
        <v>252</v>
      </c>
      <c r="B20" s="7">
        <v>0.09</v>
      </c>
      <c r="C20" s="3" t="s">
        <v>253</v>
      </c>
      <c r="D20" s="3" t="s">
        <v>254</v>
      </c>
    </row>
    <row r="21" spans="1:4" ht="15">
      <c r="A21" s="3" t="s">
        <v>255</v>
      </c>
      <c r="B21" s="7">
        <v>0.11</v>
      </c>
      <c r="C21" s="3" t="s">
        <v>256</v>
      </c>
      <c r="D21" s="3" t="s">
        <v>257</v>
      </c>
    </row>
    <row r="22" spans="1:4" ht="15">
      <c r="A22" s="3" t="s">
        <v>258</v>
      </c>
      <c r="B22" s="7">
        <v>0.14</v>
      </c>
      <c r="C22" s="3" t="s">
        <v>259</v>
      </c>
      <c r="D22" s="3" t="s">
        <v>260</v>
      </c>
    </row>
    <row r="23" spans="1:4" ht="15">
      <c r="A23" s="3" t="s">
        <v>261</v>
      </c>
      <c r="B23" s="7">
        <v>0.35</v>
      </c>
      <c r="C23" s="3" t="s">
        <v>262</v>
      </c>
      <c r="D23" s="3" t="s">
        <v>263</v>
      </c>
    </row>
    <row r="24" spans="1:4" ht="15">
      <c r="A24" s="3" t="s">
        <v>264</v>
      </c>
      <c r="B24" s="6">
        <v>10</v>
      </c>
      <c r="C24" s="3" t="s">
        <v>265</v>
      </c>
      <c r="D24" s="3" t="s">
        <v>266</v>
      </c>
    </row>
    <row r="25" spans="1:4" ht="15">
      <c r="A25" s="3" t="s">
        <v>267</v>
      </c>
      <c r="B25" s="7">
        <v>0.09</v>
      </c>
      <c r="C25" s="3" t="s">
        <v>268</v>
      </c>
      <c r="D25" s="3" t="s">
        <v>269</v>
      </c>
    </row>
    <row r="26" spans="1:4" ht="15">
      <c r="A26" s="3" t="s">
        <v>270</v>
      </c>
      <c r="B26" s="6">
        <v>25</v>
      </c>
      <c r="C26" s="3" t="s">
        <v>271</v>
      </c>
      <c r="D26" s="3" t="s">
        <v>272</v>
      </c>
    </row>
  </sheetData>
  <autoFilter ref="A2:D2"/>
  <mergeCells count="1">
    <mergeCell ref="A1:D1"/>
  </mergeCells>
  <printOptions/>
  <pageMargins left="0.75" right="0.75" top="1" bottom="1" header="0.5" footer="0.5"/>
  <pageSetup fitToHeight="0" fitToWidth="1" horizontalDpi="600" verticalDpi="600" orientation="landscape"/>
  <headerFooter>
    <oddFooter>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43.00390625" style="0" customWidth="1"/>
    <col min="2" max="2" width="18.00390625" style="0" customWidth="1"/>
    <col min="3" max="3" width="40.00390625" style="0" customWidth="1"/>
  </cols>
  <sheetData>
    <row r="1" ht="15">
      <c r="A1" s="4" t="s">
        <v>174</v>
      </c>
    </row>
    <row r="2" spans="1:3" ht="15">
      <c r="A2" s="5" t="s">
        <v>175</v>
      </c>
      <c r="B2" s="5" t="s">
        <v>176</v>
      </c>
      <c r="C2" s="5" t="s">
        <v>177</v>
      </c>
    </row>
    <row r="3" spans="1:3" ht="15">
      <c r="A3" s="3" t="s">
        <v>178</v>
      </c>
      <c r="B3" s="8">
        <f>Supuestos!B3</f>
        <v>17000</v>
      </c>
      <c r="C3" s="3" t="s">
        <v>179</v>
      </c>
    </row>
    <row r="4" spans="1:3" ht="15">
      <c r="A4" s="3" t="s">
        <v>180</v>
      </c>
      <c r="B4" s="8">
        <f>Supuestos!B4</f>
        <v>10957</v>
      </c>
      <c r="C4" s="3" t="s">
        <v>181</v>
      </c>
    </row>
    <row r="5" spans="1:3" ht="15">
      <c r="A5" s="3" t="s">
        <v>182</v>
      </c>
      <c r="B5" s="8">
        <f>B4*(1+Supuestos!$B$5)^Supuestos!$B$6</f>
        <v>14764.0148804563</v>
      </c>
      <c r="C5" s="3" t="s">
        <v>183</v>
      </c>
    </row>
    <row r="6" spans="1:3" ht="15">
      <c r="A6" s="3" t="s">
        <v>184</v>
      </c>
      <c r="B6" s="8">
        <f>Supuestos!B7</f>
        <v>140</v>
      </c>
      <c r="C6" s="3" t="s">
        <v>185</v>
      </c>
    </row>
    <row r="7" spans="1:3" ht="15">
      <c r="A7" s="3" t="s">
        <v>186</v>
      </c>
      <c r="B7" s="8">
        <f>B6/(1-Supuestos!$B$8)</f>
        <v>186.66666666666666</v>
      </c>
      <c r="C7" s="3" t="s">
        <v>187</v>
      </c>
    </row>
    <row r="8" spans="1:3" ht="15">
      <c r="A8" s="3" t="s">
        <v>188</v>
      </c>
      <c r="B8" s="8">
        <f>B5*B7/86400</f>
        <v>31.897563013331478</v>
      </c>
      <c r="C8" s="3" t="s">
        <v>189</v>
      </c>
    </row>
    <row r="9" spans="1:3" ht="15">
      <c r="A9" s="3" t="s">
        <v>190</v>
      </c>
      <c r="B9" s="8">
        <f>B8*Supuestos!$B$9</f>
        <v>41.4668319173309</v>
      </c>
      <c r="C9" s="3" t="s">
        <v>191</v>
      </c>
    </row>
    <row r="10" spans="1:3" ht="15">
      <c r="A10" s="3" t="s">
        <v>192</v>
      </c>
      <c r="B10" s="8">
        <f>B9*Supuestos!$B$10</f>
        <v>66.3469310677294</v>
      </c>
      <c r="C10" s="3" t="s">
        <v>193</v>
      </c>
    </row>
    <row r="11" spans="1:3" ht="15">
      <c r="A11" s="3" t="s">
        <v>194</v>
      </c>
      <c r="B11" s="8">
        <f>Supuestos!B11</f>
        <v>45</v>
      </c>
      <c r="C11" s="3" t="s">
        <v>195</v>
      </c>
    </row>
  </sheetData>
  <autoFilter ref="A2:C2"/>
  <mergeCells count="1">
    <mergeCell ref="A1:C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62.00390625" style="0" customWidth="1"/>
    <col min="2" max="2" width="18.00390625" style="0" customWidth="1"/>
    <col min="3" max="3" width="15.00390625" style="0" customWidth="1"/>
  </cols>
  <sheetData>
    <row r="1" ht="15">
      <c r="A1" s="4" t="s">
        <v>163</v>
      </c>
    </row>
    <row r="2" spans="1:3" ht="15">
      <c r="A2" s="5" t="s">
        <v>164</v>
      </c>
      <c r="B2" s="5" t="s">
        <v>165</v>
      </c>
      <c r="C2" s="5" t="s">
        <v>166</v>
      </c>
    </row>
    <row r="3" spans="1:3" ht="15">
      <c r="A3" s="3" t="s">
        <v>167</v>
      </c>
      <c r="B3" s="6">
        <v>2400</v>
      </c>
      <c r="C3" s="9">
        <f>B3/$B$9</f>
        <v>0.12017425266636624</v>
      </c>
    </row>
    <row r="4" spans="1:3" ht="15">
      <c r="A4" s="3" t="s">
        <v>168</v>
      </c>
      <c r="B4" s="6">
        <v>6300</v>
      </c>
      <c r="C4" s="9">
        <f>B4/$B$9</f>
        <v>0.31545741324921134</v>
      </c>
    </row>
    <row r="5" spans="1:3" ht="15">
      <c r="A5" s="3" t="s">
        <v>169</v>
      </c>
      <c r="B5" s="6">
        <v>2800</v>
      </c>
      <c r="C5" s="9">
        <f>B5/$B$9</f>
        <v>0.14020329477742727</v>
      </c>
    </row>
    <row r="6" spans="1:3" ht="15">
      <c r="A6" s="3" t="s">
        <v>170</v>
      </c>
      <c r="B6" s="6">
        <v>4200</v>
      </c>
      <c r="C6" s="9">
        <f>B6/$B$9</f>
        <v>0.2103049421661409</v>
      </c>
    </row>
    <row r="7" spans="1:3" ht="15">
      <c r="A7" s="3" t="s">
        <v>171</v>
      </c>
      <c r="B7" s="6">
        <v>2471</v>
      </c>
      <c r="C7" s="9">
        <f>B7/$B$9</f>
        <v>0.12372940764107956</v>
      </c>
    </row>
    <row r="8" spans="1:3" ht="15">
      <c r="A8" s="3" t="s">
        <v>172</v>
      </c>
      <c r="B8" s="6">
        <v>1800</v>
      </c>
      <c r="C8" s="9">
        <f>B8/$B$9</f>
        <v>0.09013068949977468</v>
      </c>
    </row>
    <row r="9" spans="1:3" ht="15">
      <c r="A9" s="3" t="s">
        <v>173</v>
      </c>
      <c r="B9" s="3">
        <f>SUM(B3:B8)</f>
        <v>19971</v>
      </c>
      <c r="C9" s="3">
        <f>SUM(C3:C8)</f>
        <v>1</v>
      </c>
    </row>
  </sheetData>
  <autoFilter ref="A2:C2"/>
  <mergeCells count="1">
    <mergeCell ref="A1:C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35.00390625" style="0" customWidth="1"/>
    <col min="2" max="2" width="16.00390625" style="0" customWidth="1"/>
    <col min="3" max="3" width="18.00390625" style="0" customWidth="1"/>
    <col min="4" max="4" width="16.00390625" style="0" customWidth="1"/>
    <col min="5" max="5" width="28.00390625" style="0" customWidth="1"/>
  </cols>
  <sheetData>
    <row r="1" ht="15">
      <c r="A1" s="4" t="s">
        <v>147</v>
      </c>
    </row>
    <row r="2" spans="1:5" ht="15">
      <c r="A2" s="5" t="s">
        <v>148</v>
      </c>
      <c r="B2" s="5" t="s">
        <v>149</v>
      </c>
      <c r="C2" s="5" t="s">
        <v>150</v>
      </c>
      <c r="D2" s="5" t="s">
        <v>151</v>
      </c>
      <c r="E2" s="5" t="s">
        <v>152</v>
      </c>
    </row>
    <row r="3" spans="1:5" ht="15">
      <c r="A3" s="3" t="s">
        <v>153</v>
      </c>
      <c r="B3" s="10">
        <f>Supuestos!B17</f>
        <v>0.8</v>
      </c>
      <c r="C3" s="8">
        <f>B3*Presupuesto!$B$9</f>
        <v>15976.8</v>
      </c>
      <c r="D3" s="9">
        <f>Supuestos!B20</f>
        <v>0.09</v>
      </c>
      <c r="E3" s="3" t="s">
        <v>154</v>
      </c>
    </row>
    <row r="4" spans="1:5" ht="15">
      <c r="A4" s="3" t="s">
        <v>155</v>
      </c>
      <c r="B4" s="10">
        <f>Supuestos!B18</f>
        <v>0.1</v>
      </c>
      <c r="C4" s="8">
        <f>B4*Presupuesto!$B$9</f>
        <v>1997.1</v>
      </c>
      <c r="D4" s="9">
        <f>Supuestos!B21</f>
        <v>0.11</v>
      </c>
      <c r="E4" s="3" t="s">
        <v>156</v>
      </c>
    </row>
    <row r="5" spans="1:5" ht="15">
      <c r="A5" s="3" t="s">
        <v>157</v>
      </c>
      <c r="B5" s="10">
        <f>Supuestos!B19</f>
        <v>0.1</v>
      </c>
      <c r="C5" s="8">
        <f>B5*Presupuesto!$B$9</f>
        <v>1997.1</v>
      </c>
      <c r="D5" s="9">
        <f>Supuestos!B22</f>
        <v>0.14</v>
      </c>
      <c r="E5" s="3" t="s">
        <v>158</v>
      </c>
    </row>
    <row r="6" spans="1:5" ht="15">
      <c r="A6" s="3" t="s">
        <v>159</v>
      </c>
      <c r="B6" s="10">
        <f>SUM(B3:B5)</f>
        <v>1</v>
      </c>
      <c r="C6" s="8">
        <f>SUM(C3:C5)</f>
        <v>19970.999999999996</v>
      </c>
      <c r="D6" s="9"/>
      <c r="E6" s="3" t="s">
        <v>160</v>
      </c>
    </row>
    <row r="7" spans="1:5" ht="15">
      <c r="A7" s="3"/>
      <c r="B7" s="10"/>
      <c r="C7" s="8"/>
      <c r="D7" s="9"/>
      <c r="E7" s="3"/>
    </row>
    <row r="8" spans="1:5" ht="15">
      <c r="A8" s="3" t="s">
        <v>161</v>
      </c>
      <c r="B8" s="10">
        <f>B3*D3+B4*D4*(1-Supuestos!$B$23)+B5*D5</f>
        <v>0.09315</v>
      </c>
      <c r="C8" s="8" t="s">
        <v>162</v>
      </c>
      <c r="D8" s="9"/>
      <c r="E8" s="3"/>
    </row>
  </sheetData>
  <autoFilter ref="A2:E2"/>
  <mergeCells count="1">
    <mergeCell ref="A1:E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9.00390625" style="0" customWidth="1"/>
    <col min="2" max="2" width="18.00390625" style="0" customWidth="1"/>
    <col min="3" max="5" width="17.00390625" style="0" customWidth="1"/>
    <col min="6" max="6" width="18.00390625" style="0" customWidth="1"/>
  </cols>
  <sheetData>
    <row r="1" ht="15">
      <c r="A1" s="4" t="s">
        <v>140</v>
      </c>
    </row>
    <row r="2" spans="1:6" ht="15">
      <c r="A2" s="5" t="s">
        <v>141</v>
      </c>
      <c r="B2" s="5" t="s">
        <v>142</v>
      </c>
      <c r="C2" s="5" t="s">
        <v>143</v>
      </c>
      <c r="D2" s="5" t="s">
        <v>144</v>
      </c>
      <c r="E2" s="5" t="s">
        <v>145</v>
      </c>
      <c r="F2" s="5" t="s">
        <v>146</v>
      </c>
    </row>
    <row r="3" spans="1:6" ht="15">
      <c r="A3" s="3">
        <v>1</v>
      </c>
      <c r="B3" s="8">
        <f>Financiacion!$C$4</f>
        <v>1997.1</v>
      </c>
      <c r="C3" s="8">
        <f>IF(A3&lt;=Supuestos!$B$24,B3*Supuestos!$B$21,0)</f>
        <v>219.681</v>
      </c>
      <c r="D3" s="8">
        <f>IF(A3&lt;=Supuestos!$B$24,MIN(B3,E3-C3),0)</f>
        <v>119.42943005639776</v>
      </c>
      <c r="E3" s="8">
        <f>IF(A3&lt;=Supuestos!$B$24,-PMT(Supuestos!$B$21,Supuestos!$B$24,Financiacion!$C$4),0)</f>
        <v>339.1104300563978</v>
      </c>
      <c r="F3" s="8">
        <f>MAX(0,B3-D3)</f>
        <v>1877.6705699436022</v>
      </c>
    </row>
    <row r="4" spans="1:6" ht="15">
      <c r="A4" s="3">
        <f>A3+1</f>
        <v>2</v>
      </c>
      <c r="B4" s="8">
        <f>F3</f>
        <v>1877.6705699436022</v>
      </c>
      <c r="C4" s="8">
        <f>IF(A4&lt;=Supuestos!$B$24,B4*Supuestos!$B$21,0)</f>
        <v>206.543762693796</v>
      </c>
      <c r="D4" s="8">
        <f>IF(A4&lt;=Supuestos!$B$24,MIN(B4,E4-C4),0)</f>
        <v>132.56666736260178</v>
      </c>
      <c r="E4" s="8">
        <f>IF(A4&lt;=Supuestos!$B$24,-PMT(Supuestos!$B$21,Supuestos!$B$24,Financiacion!$C$4),0)</f>
        <v>339.1104300563978</v>
      </c>
      <c r="F4" s="8">
        <f>MAX(0,B4-D4)</f>
        <v>1745.1039025810005</v>
      </c>
    </row>
    <row r="5" spans="1:6" ht="15">
      <c r="A5" s="3">
        <f>A4+1</f>
        <v>3</v>
      </c>
      <c r="B5" s="8">
        <f>F4</f>
        <v>1745.1039025810005</v>
      </c>
      <c r="C5" s="8">
        <f>IF(A5&lt;=Supuestos!$B$24,B5*Supuestos!$B$21,0)</f>
        <v>191.96142928391</v>
      </c>
      <c r="D5" s="8">
        <f>IF(A5&lt;=Supuestos!$B$24,MIN(B5,E5-C5),0)</f>
        <v>147.14900077248777</v>
      </c>
      <c r="E5" s="8">
        <f>IF(A5&lt;=Supuestos!$B$24,-PMT(Supuestos!$B$21,Supuestos!$B$24,Financiacion!$C$4),0)</f>
        <v>339.1104300563978</v>
      </c>
      <c r="F5" s="8">
        <f>MAX(0,B5-D5)</f>
        <v>1597.9549018085127</v>
      </c>
    </row>
    <row r="6" spans="1:6" ht="15">
      <c r="A6" s="3">
        <f>A5+1</f>
        <v>4</v>
      </c>
      <c r="B6" s="8">
        <f>F5</f>
        <v>1597.9549018085127</v>
      </c>
      <c r="C6" s="8">
        <f>IF(A6&lt;=Supuestos!$B$24,B6*Supuestos!$B$21,0)</f>
        <v>175.775039198936</v>
      </c>
      <c r="D6" s="8">
        <f>IF(A6&lt;=Supuestos!$B$24,MIN(B6,E6-C6),0)</f>
        <v>163.33539085746176</v>
      </c>
      <c r="E6" s="8">
        <f>IF(A6&lt;=Supuestos!$B$24,-PMT(Supuestos!$B$21,Supuestos!$B$24,Financiacion!$C$4),0)</f>
        <v>339.1104300563978</v>
      </c>
      <c r="F6" s="8">
        <f>MAX(0,B6-D6)</f>
        <v>1434.6195109510509</v>
      </c>
    </row>
    <row r="7" spans="1:6" ht="15">
      <c r="A7" s="3">
        <f>A6+1</f>
        <v>5</v>
      </c>
      <c r="B7" s="8">
        <f>F6</f>
        <v>1434.6195109510509</v>
      </c>
      <c r="C7" s="8">
        <f>IF(A7&lt;=Supuestos!$B$24,B7*Supuestos!$B$21,0)</f>
        <v>157.808146204616</v>
      </c>
      <c r="D7" s="8">
        <f>IF(A7&lt;=Supuestos!$B$24,MIN(B7,E7-C7),0)</f>
        <v>181.30228385178177</v>
      </c>
      <c r="E7" s="8">
        <f>IF(A7&lt;=Supuestos!$B$24,-PMT(Supuestos!$B$21,Supuestos!$B$24,Financiacion!$C$4),0)</f>
        <v>339.1104300563978</v>
      </c>
      <c r="F7" s="8">
        <f>MAX(0,B7-D7)</f>
        <v>1253.317227099269</v>
      </c>
    </row>
    <row r="8" spans="1:6" ht="15">
      <c r="A8" s="3">
        <f>A7+1</f>
        <v>6</v>
      </c>
      <c r="B8" s="8">
        <f>F7</f>
        <v>1253.317227099269</v>
      </c>
      <c r="C8" s="8">
        <f>IF(A8&lt;=Supuestos!$B$24,B8*Supuestos!$B$21,0)</f>
        <v>137.86489498092</v>
      </c>
      <c r="D8" s="8">
        <f>IF(A8&lt;=Supuestos!$B$24,MIN(B8,E8-C8),0)</f>
        <v>201.24553507547776</v>
      </c>
      <c r="E8" s="8">
        <f>IF(A8&lt;=Supuestos!$B$24,-PMT(Supuestos!$B$21,Supuestos!$B$24,Financiacion!$C$4),0)</f>
        <v>339.1104300563978</v>
      </c>
      <c r="F8" s="8">
        <f>MAX(0,B8-D8)</f>
        <v>1052.0716920237912</v>
      </c>
    </row>
    <row r="9" spans="1:6" ht="15">
      <c r="A9" s="3">
        <f>A8+1</f>
        <v>7</v>
      </c>
      <c r="B9" s="8">
        <f>F8</f>
        <v>1052.0716920237912</v>
      </c>
      <c r="C9" s="8">
        <f>IF(A9&lt;=Supuestos!$B$24,B9*Supuestos!$B$21,0)</f>
        <v>115.727886122617</v>
      </c>
      <c r="D9" s="8">
        <f>IF(A9&lt;=Supuestos!$B$24,MIN(B9,E9-C9),0)</f>
        <v>223.38254393378077</v>
      </c>
      <c r="E9" s="8">
        <f>IF(A9&lt;=Supuestos!$B$24,-PMT(Supuestos!$B$21,Supuestos!$B$24,Financiacion!$C$4),0)</f>
        <v>339.1104300563978</v>
      </c>
      <c r="F9" s="8">
        <f>MAX(0,B9-D9)</f>
        <v>828.6891480900105</v>
      </c>
    </row>
    <row r="10" spans="1:6" ht="15">
      <c r="A10" s="3">
        <f>A9+1</f>
        <v>8</v>
      </c>
      <c r="B10" s="8">
        <f>F9</f>
        <v>828.6891480900105</v>
      </c>
      <c r="C10" s="8">
        <f>IF(A10&lt;=Supuestos!$B$24,B10*Supuestos!$B$21,0)</f>
        <v>91.1558062899012</v>
      </c>
      <c r="D10" s="8">
        <f>IF(A10&lt;=Supuestos!$B$24,MIN(B10,E10-C10),0)</f>
        <v>247.95462376649658</v>
      </c>
      <c r="E10" s="8">
        <f>IF(A10&lt;=Supuestos!$B$24,-PMT(Supuestos!$B$21,Supuestos!$B$24,Financiacion!$C$4),0)</f>
        <v>339.1104300563978</v>
      </c>
      <c r="F10" s="8">
        <f>MAX(0,B10-D10)</f>
        <v>580.7345243235138</v>
      </c>
    </row>
    <row r="11" spans="1:6" ht="15">
      <c r="A11" s="3">
        <f>A10+1</f>
        <v>9</v>
      </c>
      <c r="B11" s="8">
        <f>F10</f>
        <v>580.7345243235138</v>
      </c>
      <c r="C11" s="8">
        <f>IF(A11&lt;=Supuestos!$B$24,B11*Supuestos!$B$21,0)</f>
        <v>63.8807976755865</v>
      </c>
      <c r="D11" s="8">
        <f>IF(A11&lt;=Supuestos!$B$24,MIN(B11,E11-C11),0)</f>
        <v>275.22963238081127</v>
      </c>
      <c r="E11" s="8">
        <f>IF(A11&lt;=Supuestos!$B$24,-PMT(Supuestos!$B$21,Supuestos!$B$24,Financiacion!$C$4),0)</f>
        <v>339.1104300563978</v>
      </c>
      <c r="F11" s="8">
        <f>MAX(0,B11-D11)</f>
        <v>305.50489194270256</v>
      </c>
    </row>
    <row r="12" spans="1:6" ht="15">
      <c r="A12" s="3">
        <f>A11+1</f>
        <v>10</v>
      </c>
      <c r="B12" s="8">
        <f>F11</f>
        <v>305.50489194270256</v>
      </c>
      <c r="C12" s="8">
        <f>IF(A12&lt;=Supuestos!$B$24,B12*Supuestos!$B$21,0)</f>
        <v>33.6055381136973</v>
      </c>
      <c r="D12" s="8">
        <f>IF(A12&lt;=Supuestos!$B$24,MIN(B12,E12-C12),0)</f>
        <v>305.50489194270045</v>
      </c>
      <c r="E12" s="8">
        <f>IF(A12&lt;=Supuestos!$B$24,-PMT(Supuestos!$B$21,Supuestos!$B$24,Financiacion!$C$4),0)</f>
        <v>339.1104300563978</v>
      </c>
      <c r="F12" s="8">
        <f>MAX(0,B12-D12)</f>
        <v>2.1032064978498966E-12</v>
      </c>
    </row>
    <row r="13" spans="1:6" ht="15">
      <c r="A13" s="3">
        <f>A12+1</f>
        <v>11</v>
      </c>
      <c r="B13" s="8">
        <f>F12</f>
        <v>2.1032064978498966E-12</v>
      </c>
      <c r="C13" s="8">
        <f>IF(A13&lt;=Supuestos!$B$24,B13*Supuestos!$B$21,0)</f>
        <v>0</v>
      </c>
      <c r="D13" s="8">
        <f>IF(A13&lt;=Supuestos!$B$24,MIN(B13,E13-C13),0)</f>
        <v>0</v>
      </c>
      <c r="E13" s="8">
        <f>IF(A13&lt;=Supuestos!$B$24,-PMT(Supuestos!$B$21,Supuestos!$B$24,Financiacion!$C$4),0)</f>
        <v>0</v>
      </c>
      <c r="F13" s="8">
        <f>MAX(0,B13-D13)</f>
        <v>2.1032064978498966E-12</v>
      </c>
    </row>
    <row r="14" spans="1:6" ht="15">
      <c r="A14" s="3">
        <f>A13+1</f>
        <v>12</v>
      </c>
      <c r="B14" s="8">
        <f>F13</f>
        <v>2.1032064978498966E-12</v>
      </c>
      <c r="C14" s="8">
        <f>IF(A14&lt;=Supuestos!$B$24,B14*Supuestos!$B$21,0)</f>
        <v>0</v>
      </c>
      <c r="D14" s="8">
        <f>IF(A14&lt;=Supuestos!$B$24,MIN(B14,E14-C14),0)</f>
        <v>0</v>
      </c>
      <c r="E14" s="8">
        <f>IF(A14&lt;=Supuestos!$B$24,-PMT(Supuestos!$B$21,Supuestos!$B$24,Financiacion!$C$4),0)</f>
        <v>0</v>
      </c>
      <c r="F14" s="8">
        <f>MAX(0,B14-D14)</f>
        <v>2.1032064978498966E-12</v>
      </c>
    </row>
    <row r="15" spans="1:6" ht="15">
      <c r="A15" s="3">
        <f>A14+1</f>
        <v>13</v>
      </c>
      <c r="B15" s="8">
        <f>F14</f>
        <v>2.1032064978498966E-12</v>
      </c>
      <c r="C15" s="8">
        <f>IF(A15&lt;=Supuestos!$B$24,B15*Supuestos!$B$21,0)</f>
        <v>0</v>
      </c>
      <c r="D15" s="8">
        <f>IF(A15&lt;=Supuestos!$B$24,MIN(B15,E15-C15),0)</f>
        <v>0</v>
      </c>
      <c r="E15" s="8">
        <f>IF(A15&lt;=Supuestos!$B$24,-PMT(Supuestos!$B$21,Supuestos!$B$24,Financiacion!$C$4),0)</f>
        <v>0</v>
      </c>
      <c r="F15" s="8">
        <f>MAX(0,B15-D15)</f>
        <v>2.1032064978498966E-12</v>
      </c>
    </row>
    <row r="16" spans="1:6" ht="15">
      <c r="A16" s="3">
        <f>A15+1</f>
        <v>14</v>
      </c>
      <c r="B16" s="8">
        <f>F15</f>
        <v>2.1032064978498966E-12</v>
      </c>
      <c r="C16" s="8">
        <f>IF(A16&lt;=Supuestos!$B$24,B16*Supuestos!$B$21,0)</f>
        <v>0</v>
      </c>
      <c r="D16" s="8">
        <f>IF(A16&lt;=Supuestos!$B$24,MIN(B16,E16-C16),0)</f>
        <v>0</v>
      </c>
      <c r="E16" s="8">
        <f>IF(A16&lt;=Supuestos!$B$24,-PMT(Supuestos!$B$21,Supuestos!$B$24,Financiacion!$C$4),0)</f>
        <v>0</v>
      </c>
      <c r="F16" s="8">
        <f>MAX(0,B16-D16)</f>
        <v>2.1032064978498966E-12</v>
      </c>
    </row>
    <row r="17" spans="1:6" ht="15">
      <c r="A17" s="3">
        <f>A16+1</f>
        <v>15</v>
      </c>
      <c r="B17" s="8">
        <f>F16</f>
        <v>2.1032064978498966E-12</v>
      </c>
      <c r="C17" s="8">
        <f>IF(A17&lt;=Supuestos!$B$24,B17*Supuestos!$B$21,0)</f>
        <v>0</v>
      </c>
      <c r="D17" s="8">
        <f>IF(A17&lt;=Supuestos!$B$24,MIN(B17,E17-C17),0)</f>
        <v>0</v>
      </c>
      <c r="E17" s="8">
        <f>IF(A17&lt;=Supuestos!$B$24,-PMT(Supuestos!$B$21,Supuestos!$B$24,Financiacion!$C$4),0)</f>
        <v>0</v>
      </c>
      <c r="F17" s="8">
        <f>MAX(0,B17-D17)</f>
        <v>2.1032064978498966E-12</v>
      </c>
    </row>
    <row r="18" spans="1:6" ht="15">
      <c r="A18" s="3">
        <f>A17+1</f>
        <v>16</v>
      </c>
      <c r="B18" s="8">
        <f>F17</f>
        <v>2.1032064978498966E-12</v>
      </c>
      <c r="C18" s="8">
        <f>IF(A18&lt;=Supuestos!$B$24,B18*Supuestos!$B$21,0)</f>
        <v>0</v>
      </c>
      <c r="D18" s="8">
        <f>IF(A18&lt;=Supuestos!$B$24,MIN(B18,E18-C18),0)</f>
        <v>0</v>
      </c>
      <c r="E18" s="8">
        <f>IF(A18&lt;=Supuestos!$B$24,-PMT(Supuestos!$B$21,Supuestos!$B$24,Financiacion!$C$4),0)</f>
        <v>0</v>
      </c>
      <c r="F18" s="8">
        <f>MAX(0,B18-D18)</f>
        <v>2.1032064978498966E-12</v>
      </c>
    </row>
    <row r="19" spans="1:6" ht="15">
      <c r="A19" s="3">
        <f>A18+1</f>
        <v>17</v>
      </c>
      <c r="B19" s="8">
        <f>F18</f>
        <v>2.1032064978498966E-12</v>
      </c>
      <c r="C19" s="8">
        <f>IF(A19&lt;=Supuestos!$B$24,B19*Supuestos!$B$21,0)</f>
        <v>0</v>
      </c>
      <c r="D19" s="8">
        <f>IF(A19&lt;=Supuestos!$B$24,MIN(B19,E19-C19),0)</f>
        <v>0</v>
      </c>
      <c r="E19" s="8">
        <f>IF(A19&lt;=Supuestos!$B$24,-PMT(Supuestos!$B$21,Supuestos!$B$24,Financiacion!$C$4),0)</f>
        <v>0</v>
      </c>
      <c r="F19" s="8">
        <f>MAX(0,B19-D19)</f>
        <v>2.1032064978498966E-12</v>
      </c>
    </row>
    <row r="20" spans="1:6" ht="15">
      <c r="A20" s="3">
        <f>A19+1</f>
        <v>18</v>
      </c>
      <c r="B20" s="8">
        <f>F19</f>
        <v>2.1032064978498966E-12</v>
      </c>
      <c r="C20" s="8">
        <f>IF(A20&lt;=Supuestos!$B$24,B20*Supuestos!$B$21,0)</f>
        <v>0</v>
      </c>
      <c r="D20" s="8">
        <f>IF(A20&lt;=Supuestos!$B$24,MIN(B20,E20-C20),0)</f>
        <v>0</v>
      </c>
      <c r="E20" s="8">
        <f>IF(A20&lt;=Supuestos!$B$24,-PMT(Supuestos!$B$21,Supuestos!$B$24,Financiacion!$C$4),0)</f>
        <v>0</v>
      </c>
      <c r="F20" s="8">
        <f>MAX(0,B20-D20)</f>
        <v>2.1032064978498966E-12</v>
      </c>
    </row>
    <row r="21" spans="1:6" ht="15">
      <c r="A21" s="3">
        <f>A20+1</f>
        <v>19</v>
      </c>
      <c r="B21" s="8">
        <f>F20</f>
        <v>2.1032064978498966E-12</v>
      </c>
      <c r="C21" s="8">
        <f>IF(A21&lt;=Supuestos!$B$24,B21*Supuestos!$B$21,0)</f>
        <v>0</v>
      </c>
      <c r="D21" s="8">
        <f>IF(A21&lt;=Supuestos!$B$24,MIN(B21,E21-C21),0)</f>
        <v>0</v>
      </c>
      <c r="E21" s="8">
        <f>IF(A21&lt;=Supuestos!$B$24,-PMT(Supuestos!$B$21,Supuestos!$B$24,Financiacion!$C$4),0)</f>
        <v>0</v>
      </c>
      <c r="F21" s="8">
        <f>MAX(0,B21-D21)</f>
        <v>2.1032064978498966E-12</v>
      </c>
    </row>
    <row r="22" spans="1:6" ht="15">
      <c r="A22" s="3">
        <f>A21+1</f>
        <v>20</v>
      </c>
      <c r="B22" s="8">
        <f>F21</f>
        <v>2.1032064978498966E-12</v>
      </c>
      <c r="C22" s="8">
        <f>IF(A22&lt;=Supuestos!$B$24,B22*Supuestos!$B$21,0)</f>
        <v>0</v>
      </c>
      <c r="D22" s="8">
        <f>IF(A22&lt;=Supuestos!$B$24,MIN(B22,E22-C22),0)</f>
        <v>0</v>
      </c>
      <c r="E22" s="8">
        <f>IF(A22&lt;=Supuestos!$B$24,-PMT(Supuestos!$B$21,Supuestos!$B$24,Financiacion!$C$4),0)</f>
        <v>0</v>
      </c>
      <c r="F22" s="8">
        <f>MAX(0,B22-D22)</f>
        <v>2.1032064978498966E-12</v>
      </c>
    </row>
    <row r="23" spans="1:6" ht="15">
      <c r="A23" s="3">
        <f>A22+1</f>
        <v>21</v>
      </c>
      <c r="B23" s="8">
        <f>F22</f>
        <v>2.1032064978498966E-12</v>
      </c>
      <c r="C23" s="8">
        <f>IF(A23&lt;=Supuestos!$B$24,B23*Supuestos!$B$21,0)</f>
        <v>0</v>
      </c>
      <c r="D23" s="8">
        <f>IF(A23&lt;=Supuestos!$B$24,MIN(B23,E23-C23),0)</f>
        <v>0</v>
      </c>
      <c r="E23" s="8">
        <f>IF(A23&lt;=Supuestos!$B$24,-PMT(Supuestos!$B$21,Supuestos!$B$24,Financiacion!$C$4),0)</f>
        <v>0</v>
      </c>
      <c r="F23" s="8">
        <f>MAX(0,B23-D23)</f>
        <v>2.1032064978498966E-12</v>
      </c>
    </row>
    <row r="24" spans="1:6" ht="15">
      <c r="A24" s="3">
        <f>A23+1</f>
        <v>22</v>
      </c>
      <c r="B24" s="8">
        <f>F23</f>
        <v>2.1032064978498966E-12</v>
      </c>
      <c r="C24" s="8">
        <f>IF(A24&lt;=Supuestos!$B$24,B24*Supuestos!$B$21,0)</f>
        <v>0</v>
      </c>
      <c r="D24" s="8">
        <f>IF(A24&lt;=Supuestos!$B$24,MIN(B24,E24-C24),0)</f>
        <v>0</v>
      </c>
      <c r="E24" s="8">
        <f>IF(A24&lt;=Supuestos!$B$24,-PMT(Supuestos!$B$21,Supuestos!$B$24,Financiacion!$C$4),0)</f>
        <v>0</v>
      </c>
      <c r="F24" s="8">
        <f>MAX(0,B24-D24)</f>
        <v>2.1032064978498966E-12</v>
      </c>
    </row>
    <row r="25" spans="1:6" ht="15">
      <c r="A25" s="3">
        <f>A24+1</f>
        <v>23</v>
      </c>
      <c r="B25" s="8">
        <f>F24</f>
        <v>2.1032064978498966E-12</v>
      </c>
      <c r="C25" s="8">
        <f>IF(A25&lt;=Supuestos!$B$24,B25*Supuestos!$B$21,0)</f>
        <v>0</v>
      </c>
      <c r="D25" s="8">
        <f>IF(A25&lt;=Supuestos!$B$24,MIN(B25,E25-C25),0)</f>
        <v>0</v>
      </c>
      <c r="E25" s="8">
        <f>IF(A25&lt;=Supuestos!$B$24,-PMT(Supuestos!$B$21,Supuestos!$B$24,Financiacion!$C$4),0)</f>
        <v>0</v>
      </c>
      <c r="F25" s="8">
        <f>MAX(0,B25-D25)</f>
        <v>2.1032064978498966E-12</v>
      </c>
    </row>
    <row r="26" spans="1:6" ht="15">
      <c r="A26" s="3">
        <f>A25+1</f>
        <v>24</v>
      </c>
      <c r="B26" s="8">
        <f>F25</f>
        <v>2.1032064978498966E-12</v>
      </c>
      <c r="C26" s="8">
        <f>IF(A26&lt;=Supuestos!$B$24,B26*Supuestos!$B$21,0)</f>
        <v>0</v>
      </c>
      <c r="D26" s="8">
        <f>IF(A26&lt;=Supuestos!$B$24,MIN(B26,E26-C26),0)</f>
        <v>0</v>
      </c>
      <c r="E26" s="8">
        <f>IF(A26&lt;=Supuestos!$B$24,-PMT(Supuestos!$B$21,Supuestos!$B$24,Financiacion!$C$4),0)</f>
        <v>0</v>
      </c>
      <c r="F26" s="8">
        <f>MAX(0,B26-D26)</f>
        <v>2.1032064978498966E-12</v>
      </c>
    </row>
    <row r="27" spans="1:6" ht="15">
      <c r="A27" s="3">
        <f>A26+1</f>
        <v>25</v>
      </c>
      <c r="B27" s="8">
        <f>F26</f>
        <v>2.1032064978498966E-12</v>
      </c>
      <c r="C27" s="8">
        <f>IF(A27&lt;=Supuestos!$B$24,B27*Supuestos!$B$21,0)</f>
        <v>0</v>
      </c>
      <c r="D27" s="8">
        <f>IF(A27&lt;=Supuestos!$B$24,MIN(B27,E27-C27),0)</f>
        <v>0</v>
      </c>
      <c r="E27" s="8">
        <f>IF(A27&lt;=Supuestos!$B$24,-PMT(Supuestos!$B$21,Supuestos!$B$24,Financiacion!$C$4),0)</f>
        <v>0</v>
      </c>
      <c r="F27" s="8">
        <f>MAX(0,B27-D27)</f>
        <v>2.1032064978498966E-12</v>
      </c>
    </row>
  </sheetData>
  <autoFilter ref="A2:F2"/>
  <mergeCells count="1">
    <mergeCell ref="A1:F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8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8.00390625" style="0" customWidth="1"/>
    <col min="2" max="16" width="13.00390625" style="0" customWidth="1"/>
  </cols>
  <sheetData>
    <row r="1" ht="15">
      <c r="A1" s="4" t="s">
        <v>123</v>
      </c>
    </row>
    <row r="2" spans="1:16" ht="15">
      <c r="A2" s="5" t="s">
        <v>124</v>
      </c>
      <c r="B2" s="5" t="s">
        <v>125</v>
      </c>
      <c r="C2" s="5" t="s">
        <v>126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131</v>
      </c>
      <c r="I2" s="5" t="s">
        <v>132</v>
      </c>
      <c r="J2" s="5" t="s">
        <v>133</v>
      </c>
      <c r="K2" s="5" t="s">
        <v>134</v>
      </c>
      <c r="L2" s="5" t="s">
        <v>135</v>
      </c>
      <c r="M2" s="5" t="s">
        <v>136</v>
      </c>
      <c r="N2" s="5" t="s">
        <v>137</v>
      </c>
      <c r="O2" s="5" t="s">
        <v>138</v>
      </c>
      <c r="P2" s="5" t="s">
        <v>139</v>
      </c>
    </row>
    <row r="3" spans="1:16" ht="15">
      <c r="A3" s="11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f>Financiacion!$C$4</f>
        <v>1997.1</v>
      </c>
      <c r="L3" s="12">
        <f>-Presupuesto!$B$9</f>
        <v>-19971</v>
      </c>
      <c r="M3" s="12">
        <f>-Financiacion!$C$5</f>
        <v>-1997.1</v>
      </c>
      <c r="N3" s="12">
        <f>-Financiacion!$C$4</f>
        <v>-1997.1</v>
      </c>
      <c r="O3" s="12">
        <v>0</v>
      </c>
      <c r="P3" s="12">
        <f>-Presupuesto!$B$9</f>
        <v>-19971</v>
      </c>
    </row>
    <row r="4" spans="1:16" ht="15">
      <c r="A4" s="11">
        <v>1</v>
      </c>
      <c r="B4" s="12">
        <f>Supuestos!$B$13*(1+Supuestos!$B$15)^(A4-1)</f>
        <v>1500</v>
      </c>
      <c r="C4" s="12">
        <f>Supuestos!$B$14*(1+Supuestos!$B$15)^(A4-1)</f>
        <v>1150</v>
      </c>
      <c r="D4" s="12">
        <f>B4-C4</f>
        <v>350</v>
      </c>
      <c r="E4" s="12">
        <f>Presupuesto!$B$9/Supuestos!$B$26</f>
        <v>798.84</v>
      </c>
      <c r="F4" s="12">
        <f>D4-E4</f>
        <v>-448.84000000000003</v>
      </c>
      <c r="G4" s="12">
        <f>'Amortizacion Deuda'!C3</f>
        <v>219.681</v>
      </c>
      <c r="H4" s="12">
        <f>MAX(0,F4)*Supuestos!$B$23</f>
        <v>0</v>
      </c>
      <c r="I4" s="12">
        <f>MAX(0,F4-G4)*Supuestos!$B$23</f>
        <v>0</v>
      </c>
      <c r="J4" s="12">
        <f>'Amortizacion Deuda'!D3</f>
        <v>119.42943005639776</v>
      </c>
      <c r="K4" s="12">
        <f>'Amortizacion Deuda'!F3</f>
        <v>1877.6705699436022</v>
      </c>
      <c r="L4" s="12">
        <f>D4-H4</f>
        <v>350</v>
      </c>
      <c r="M4" s="12">
        <f>D4-G4-I4-J4</f>
        <v>10.889569943602226</v>
      </c>
      <c r="N4" s="12">
        <f>G4+J4</f>
        <v>339.1104300563978</v>
      </c>
      <c r="O4" s="12">
        <f>Supuestos!$B$16*(1+Supuestos!$B$15)^(A4-1)</f>
        <v>4150</v>
      </c>
      <c r="P4" s="12">
        <f>O4-C4</f>
        <v>3000</v>
      </c>
    </row>
    <row r="5" spans="1:16" ht="15">
      <c r="A5" s="11">
        <f>A4+1</f>
        <v>2</v>
      </c>
      <c r="B5" s="12">
        <f>Supuestos!$B$13*(1+Supuestos!$B$15)^(A5-1)</f>
        <v>1552.5</v>
      </c>
      <c r="C5" s="12">
        <f>Supuestos!$B$14*(1+Supuestos!$B$15)^(A5-1)</f>
        <v>1190.25</v>
      </c>
      <c r="D5" s="12">
        <f>B5-C5</f>
        <v>362.25</v>
      </c>
      <c r="E5" s="12">
        <f>Presupuesto!$B$9/Supuestos!$B$26</f>
        <v>798.84</v>
      </c>
      <c r="F5" s="12">
        <f>D5-E5</f>
        <v>-436.59000000000003</v>
      </c>
      <c r="G5" s="12">
        <f>'Amortizacion Deuda'!C4</f>
        <v>206.543762693796</v>
      </c>
      <c r="H5" s="12">
        <f>MAX(0,F5)*Supuestos!$B$23</f>
        <v>0</v>
      </c>
      <c r="I5" s="12">
        <f>MAX(0,F5-G5)*Supuestos!$B$23</f>
        <v>0</v>
      </c>
      <c r="J5" s="12">
        <f>'Amortizacion Deuda'!D4</f>
        <v>132.56666736260178</v>
      </c>
      <c r="K5" s="12">
        <f>'Amortizacion Deuda'!F4</f>
        <v>1745.1039025810005</v>
      </c>
      <c r="L5" s="12">
        <f>D5-H5</f>
        <v>362.25</v>
      </c>
      <c r="M5" s="12">
        <f>D5-G5-I5-J5</f>
        <v>23.139569943602226</v>
      </c>
      <c r="N5" s="12">
        <f>G5+J5</f>
        <v>339.1104300563978</v>
      </c>
      <c r="O5" s="12">
        <f>Supuestos!$B$16*(1+Supuestos!$B$15)^(A5-1)</f>
        <v>4295.25</v>
      </c>
      <c r="P5" s="12">
        <f>O5-C5</f>
        <v>3105</v>
      </c>
    </row>
    <row r="6" spans="1:16" ht="15">
      <c r="A6" s="11">
        <f>A5+1</f>
        <v>3</v>
      </c>
      <c r="B6" s="12">
        <f>Supuestos!$B$13*(1+Supuestos!$B$15)^(A6-1)</f>
        <v>1606.8375</v>
      </c>
      <c r="C6" s="12">
        <f>Supuestos!$B$14*(1+Supuestos!$B$15)^(A6-1)</f>
        <v>1231.90875</v>
      </c>
      <c r="D6" s="12">
        <f>B6-C6</f>
        <v>374.92875000000004</v>
      </c>
      <c r="E6" s="12">
        <f>Presupuesto!$B$9/Supuestos!$B$26</f>
        <v>798.84</v>
      </c>
      <c r="F6" s="12">
        <f>D6-E6</f>
        <v>-423.91125</v>
      </c>
      <c r="G6" s="12">
        <f>'Amortizacion Deuda'!C5</f>
        <v>191.96142928391</v>
      </c>
      <c r="H6" s="12">
        <f>MAX(0,F6)*Supuestos!$B$23</f>
        <v>0</v>
      </c>
      <c r="I6" s="12">
        <f>MAX(0,F6-G6)*Supuestos!$B$23</f>
        <v>0</v>
      </c>
      <c r="J6" s="12">
        <f>'Amortizacion Deuda'!D5</f>
        <v>147.14900077248777</v>
      </c>
      <c r="K6" s="12">
        <f>'Amortizacion Deuda'!F5</f>
        <v>1597.9549018085127</v>
      </c>
      <c r="L6" s="12">
        <f>D6-H6</f>
        <v>374.92875000000004</v>
      </c>
      <c r="M6" s="12">
        <f>D6-G6-I6-J6</f>
        <v>35.81831994360226</v>
      </c>
      <c r="N6" s="12">
        <f>G6+J6</f>
        <v>339.1104300563978</v>
      </c>
      <c r="O6" s="12">
        <f>Supuestos!$B$16*(1+Supuestos!$B$15)^(A6-1)</f>
        <v>4445.58375</v>
      </c>
      <c r="P6" s="12">
        <f>O6-C6</f>
        <v>3213.6749999999997</v>
      </c>
    </row>
    <row r="7" spans="1:16" ht="15">
      <c r="A7" s="11">
        <f>A6+1</f>
        <v>4</v>
      </c>
      <c r="B7" s="12">
        <f>Supuestos!$B$13*(1+Supuestos!$B$15)^(A7-1)</f>
        <v>1663.0768125</v>
      </c>
      <c r="C7" s="12">
        <f>Supuestos!$B$14*(1+Supuestos!$B$15)^(A7-1)</f>
        <v>1275.02555625</v>
      </c>
      <c r="D7" s="12">
        <f>B7-C7</f>
        <v>388.05125625000005</v>
      </c>
      <c r="E7" s="12">
        <f>Presupuesto!$B$9/Supuestos!$B$26</f>
        <v>798.84</v>
      </c>
      <c r="F7" s="12">
        <f>D7-E7</f>
        <v>-410.78874375</v>
      </c>
      <c r="G7" s="12">
        <f>'Amortizacion Deuda'!C6</f>
        <v>175.775039198936</v>
      </c>
      <c r="H7" s="12">
        <f>MAX(0,F7)*Supuestos!$B$23</f>
        <v>0</v>
      </c>
      <c r="I7" s="12">
        <f>MAX(0,F7-G7)*Supuestos!$B$23</f>
        <v>0</v>
      </c>
      <c r="J7" s="12">
        <f>'Amortizacion Deuda'!D6</f>
        <v>163.33539085746176</v>
      </c>
      <c r="K7" s="12">
        <f>'Amortizacion Deuda'!F6</f>
        <v>1434.6195109510509</v>
      </c>
      <c r="L7" s="12">
        <f>D7-H7</f>
        <v>388.05125625000005</v>
      </c>
      <c r="M7" s="12">
        <f>D7-G7-I7-J7</f>
        <v>48.94082619360228</v>
      </c>
      <c r="N7" s="12">
        <f>G7+J7</f>
        <v>339.1104300563978</v>
      </c>
      <c r="O7" s="12">
        <f>Supuestos!$B$16*(1+Supuestos!$B$15)^(A7-1)</f>
        <v>4601.17918125</v>
      </c>
      <c r="P7" s="12">
        <f>O7-C7</f>
        <v>3326.153625</v>
      </c>
    </row>
    <row r="8" spans="1:16" ht="15">
      <c r="A8" s="11">
        <f>A7+1</f>
        <v>5</v>
      </c>
      <c r="B8" s="12">
        <f>Supuestos!$B$13*(1+Supuestos!$B$15)^(A8-1)</f>
        <v>1721.2845009375</v>
      </c>
      <c r="C8" s="12">
        <f>Supuestos!$B$14*(1+Supuestos!$B$15)^(A8-1)</f>
        <v>1319.65145071875</v>
      </c>
      <c r="D8" s="12">
        <f>B8-C8</f>
        <v>401.63305021875</v>
      </c>
      <c r="E8" s="12">
        <f>Presupuesto!$B$9/Supuestos!$B$26</f>
        <v>798.84</v>
      </c>
      <c r="F8" s="12">
        <f>D8-E8</f>
        <v>-397.20694978125005</v>
      </c>
      <c r="G8" s="12">
        <f>'Amortizacion Deuda'!C7</f>
        <v>157.808146204616</v>
      </c>
      <c r="H8" s="12">
        <f>MAX(0,F8)*Supuestos!$B$23</f>
        <v>0</v>
      </c>
      <c r="I8" s="12">
        <f>MAX(0,F8-G8)*Supuestos!$B$23</f>
        <v>0</v>
      </c>
      <c r="J8" s="12">
        <f>'Amortizacion Deuda'!D7</f>
        <v>181.30228385178177</v>
      </c>
      <c r="K8" s="12">
        <f>'Amortizacion Deuda'!F7</f>
        <v>1253.317227099269</v>
      </c>
      <c r="L8" s="12">
        <f>D8-H8</f>
        <v>401.63305021875</v>
      </c>
      <c r="M8" s="12">
        <f>D8-G8-I8-J8</f>
        <v>62.52262016235221</v>
      </c>
      <c r="N8" s="12">
        <f>G8+J8</f>
        <v>339.1104300563978</v>
      </c>
      <c r="O8" s="12">
        <f>Supuestos!$B$16*(1+Supuestos!$B$15)^(A8-1)</f>
        <v>4762.22045259375</v>
      </c>
      <c r="P8" s="12">
        <f>O8-C8</f>
        <v>3442.569001875</v>
      </c>
    </row>
    <row r="9" spans="1:16" ht="15">
      <c r="A9" s="11">
        <f>A8+1</f>
        <v>6</v>
      </c>
      <c r="B9" s="12">
        <f>Supuestos!$B$13*(1+Supuestos!$B$15)^(A9-1)</f>
        <v>1781.52945847031</v>
      </c>
      <c r="C9" s="12">
        <f>Supuestos!$B$14*(1+Supuestos!$B$15)^(A9-1)</f>
        <v>1365.83925149391</v>
      </c>
      <c r="D9" s="12">
        <f>B9-C9</f>
        <v>415.69020697639985</v>
      </c>
      <c r="E9" s="12">
        <f>Presupuesto!$B$9/Supuestos!$B$26</f>
        <v>798.84</v>
      </c>
      <c r="F9" s="12">
        <f>D9-E9</f>
        <v>-383.1497930236002</v>
      </c>
      <c r="G9" s="12">
        <f>'Amortizacion Deuda'!C8</f>
        <v>137.86489498092</v>
      </c>
      <c r="H9" s="12">
        <f>MAX(0,F9)*Supuestos!$B$23</f>
        <v>0</v>
      </c>
      <c r="I9" s="12">
        <f>MAX(0,F9-G9)*Supuestos!$B$23</f>
        <v>0</v>
      </c>
      <c r="J9" s="12">
        <f>'Amortizacion Deuda'!D8</f>
        <v>201.24553507547776</v>
      </c>
      <c r="K9" s="12">
        <f>'Amortizacion Deuda'!F8</f>
        <v>1052.0716920237912</v>
      </c>
      <c r="L9" s="12">
        <f>D9-H9</f>
        <v>415.69020697639985</v>
      </c>
      <c r="M9" s="12">
        <f>D9-G9-I9-J9</f>
        <v>76.5797769200021</v>
      </c>
      <c r="N9" s="12">
        <f>G9+J9</f>
        <v>339.1104300563978</v>
      </c>
      <c r="O9" s="12">
        <f>Supuestos!$B$16*(1+Supuestos!$B$15)^(A9-1)</f>
        <v>4928.89816843453</v>
      </c>
      <c r="P9" s="12">
        <f>O9-C9</f>
        <v>3563.05891694062</v>
      </c>
    </row>
    <row r="10" spans="1:16" ht="15">
      <c r="A10" s="11">
        <f>A9+1</f>
        <v>7</v>
      </c>
      <c r="B10" s="12">
        <f>Supuestos!$B$13*(1+Supuestos!$B$15)^(A10-1)</f>
        <v>1843.88298951677</v>
      </c>
      <c r="C10" s="12">
        <f>Supuestos!$B$14*(1+Supuestos!$B$15)^(A10-1)</f>
        <v>1413.64362529619</v>
      </c>
      <c r="D10" s="12">
        <f>B10-C10</f>
        <v>430.23936422058</v>
      </c>
      <c r="E10" s="12">
        <f>Presupuesto!$B$9/Supuestos!$B$26</f>
        <v>798.84</v>
      </c>
      <c r="F10" s="12">
        <f>D10-E10</f>
        <v>-368.60063577942003</v>
      </c>
      <c r="G10" s="12">
        <f>'Amortizacion Deuda'!C9</f>
        <v>115.727886122617</v>
      </c>
      <c r="H10" s="12">
        <f>MAX(0,F10)*Supuestos!$B$23</f>
        <v>0</v>
      </c>
      <c r="I10" s="12">
        <f>MAX(0,F10-G10)*Supuestos!$B$23</f>
        <v>0</v>
      </c>
      <c r="J10" s="12">
        <f>'Amortizacion Deuda'!D9</f>
        <v>223.38254393378077</v>
      </c>
      <c r="K10" s="12">
        <f>'Amortizacion Deuda'!F9</f>
        <v>828.6891480900105</v>
      </c>
      <c r="L10" s="12">
        <f>D10-H10</f>
        <v>430.23936422058</v>
      </c>
      <c r="M10" s="12">
        <f>D10-G10-I10-J10</f>
        <v>91.12893416418223</v>
      </c>
      <c r="N10" s="12">
        <f>G10+J10</f>
        <v>339.1104300563978</v>
      </c>
      <c r="O10" s="12">
        <f>Supuestos!$B$16*(1+Supuestos!$B$15)^(A10-1)</f>
        <v>5101.40960432974</v>
      </c>
      <c r="P10" s="12">
        <f>O10-C10</f>
        <v>3687.76597903355</v>
      </c>
    </row>
    <row r="11" spans="1:16" ht="15">
      <c r="A11" s="11">
        <f>A10+1</f>
        <v>8</v>
      </c>
      <c r="B11" s="12">
        <f>Supuestos!$B$13*(1+Supuestos!$B$15)^(A11-1)</f>
        <v>1908.41889414986</v>
      </c>
      <c r="C11" s="12">
        <f>Supuestos!$B$14*(1+Supuestos!$B$15)^(A11-1)</f>
        <v>1463.12115218156</v>
      </c>
      <c r="D11" s="12">
        <f>B11-C11</f>
        <v>445.2977419683</v>
      </c>
      <c r="E11" s="12">
        <f>Presupuesto!$B$9/Supuestos!$B$26</f>
        <v>798.84</v>
      </c>
      <c r="F11" s="12">
        <f>D11-E11</f>
        <v>-353.54225803170004</v>
      </c>
      <c r="G11" s="12">
        <f>'Amortizacion Deuda'!C10</f>
        <v>91.1558062899012</v>
      </c>
      <c r="H11" s="12">
        <f>MAX(0,F11)*Supuestos!$B$23</f>
        <v>0</v>
      </c>
      <c r="I11" s="12">
        <f>MAX(0,F11-G11)*Supuestos!$B$23</f>
        <v>0</v>
      </c>
      <c r="J11" s="12">
        <f>'Amortizacion Deuda'!D10</f>
        <v>247.95462376649658</v>
      </c>
      <c r="K11" s="12">
        <f>'Amortizacion Deuda'!F10</f>
        <v>580.7345243235138</v>
      </c>
      <c r="L11" s="12">
        <f>D11-H11</f>
        <v>445.2977419683</v>
      </c>
      <c r="M11" s="12">
        <f>D11-G11-I11-J11</f>
        <v>106.18731191190221</v>
      </c>
      <c r="N11" s="12">
        <f>G11+J11</f>
        <v>339.1104300563978</v>
      </c>
      <c r="O11" s="12">
        <f>Supuestos!$B$16*(1+Supuestos!$B$15)^(A11-1)</f>
        <v>5279.95894048128</v>
      </c>
      <c r="P11" s="12">
        <f>O11-C11</f>
        <v>3816.8377882997193</v>
      </c>
    </row>
    <row r="12" spans="1:16" ht="15">
      <c r="A12" s="11">
        <f>A11+1</f>
        <v>9</v>
      </c>
      <c r="B12" s="12">
        <f>Supuestos!$B$13*(1+Supuestos!$B$15)^(A12-1)</f>
        <v>1975.2135554451</v>
      </c>
      <c r="C12" s="12">
        <f>Supuestos!$B$14*(1+Supuestos!$B$15)^(A12-1)</f>
        <v>1514.33039250791</v>
      </c>
      <c r="D12" s="12">
        <f>B12-C12</f>
        <v>460.88316293719004</v>
      </c>
      <c r="E12" s="12">
        <f>Presupuesto!$B$9/Supuestos!$B$26</f>
        <v>798.84</v>
      </c>
      <c r="F12" s="12">
        <f>D12-E12</f>
        <v>-337.95683706281</v>
      </c>
      <c r="G12" s="12">
        <f>'Amortizacion Deuda'!C11</f>
        <v>63.8807976755865</v>
      </c>
      <c r="H12" s="12">
        <f>MAX(0,F12)*Supuestos!$B$23</f>
        <v>0</v>
      </c>
      <c r="I12" s="12">
        <f>MAX(0,F12-G12)*Supuestos!$B$23</f>
        <v>0</v>
      </c>
      <c r="J12" s="12">
        <f>'Amortizacion Deuda'!D11</f>
        <v>275.22963238081127</v>
      </c>
      <c r="K12" s="12">
        <f>'Amortizacion Deuda'!F11</f>
        <v>305.50489194270256</v>
      </c>
      <c r="L12" s="12">
        <f>D12-H12</f>
        <v>460.88316293719004</v>
      </c>
      <c r="M12" s="12">
        <f>D12-G12-I12-J12</f>
        <v>121.77273288079226</v>
      </c>
      <c r="N12" s="12">
        <f>G12+J12</f>
        <v>339.1104300563978</v>
      </c>
      <c r="O12" s="12">
        <f>Supuestos!$B$16*(1+Supuestos!$B$15)^(A12-1)</f>
        <v>5464.75750339812</v>
      </c>
      <c r="P12" s="12">
        <f>O12-C12</f>
        <v>3950.4271108902103</v>
      </c>
    </row>
    <row r="13" spans="1:16" ht="15">
      <c r="A13" s="11">
        <f>A12+1</f>
        <v>10</v>
      </c>
      <c r="B13" s="12">
        <f>Supuestos!$B$13*(1+Supuestos!$B$15)^(A13-1)</f>
        <v>2044.34602988568</v>
      </c>
      <c r="C13" s="12">
        <f>Supuestos!$B$14*(1+Supuestos!$B$15)^(A13-1)</f>
        <v>1567.33195624569</v>
      </c>
      <c r="D13" s="12">
        <f>B13-C13</f>
        <v>477.0140736399901</v>
      </c>
      <c r="E13" s="12">
        <f>Presupuesto!$B$9/Supuestos!$B$26</f>
        <v>798.84</v>
      </c>
      <c r="F13" s="12">
        <f>D13-E13</f>
        <v>-321.82592636000993</v>
      </c>
      <c r="G13" s="12">
        <f>'Amortizacion Deuda'!C12</f>
        <v>33.6055381136973</v>
      </c>
      <c r="H13" s="12">
        <f>MAX(0,F13)*Supuestos!$B$23</f>
        <v>0</v>
      </c>
      <c r="I13" s="12">
        <f>MAX(0,F13-G13)*Supuestos!$B$23</f>
        <v>0</v>
      </c>
      <c r="J13" s="12">
        <f>'Amortizacion Deuda'!D12</f>
        <v>305.50489194270045</v>
      </c>
      <c r="K13" s="12">
        <f>'Amortizacion Deuda'!F12</f>
        <v>2.1032064978498966E-12</v>
      </c>
      <c r="L13" s="12">
        <f>D13-H13</f>
        <v>477.0140736399901</v>
      </c>
      <c r="M13" s="12">
        <f>D13-G13-I13-J13</f>
        <v>137.90364358359233</v>
      </c>
      <c r="N13" s="12">
        <f>G13+J13</f>
        <v>339.1104300563978</v>
      </c>
      <c r="O13" s="12">
        <f>Supuestos!$B$16*(1+Supuestos!$B$15)^(A13-1)</f>
        <v>5656.02401601706</v>
      </c>
      <c r="P13" s="12">
        <f>O13-C13</f>
        <v>4088.6920597713697</v>
      </c>
    </row>
    <row r="14" spans="1:16" ht="15">
      <c r="A14" s="11">
        <f>A13+1</f>
        <v>11</v>
      </c>
      <c r="B14" s="12">
        <f>Supuestos!$B$13*(1+Supuestos!$B$15)^(A14-1)</f>
        <v>2115.89814093168</v>
      </c>
      <c r="C14" s="12">
        <f>Supuestos!$B$14*(1+Supuestos!$B$15)^(A14-1)</f>
        <v>1622.18857471429</v>
      </c>
      <c r="D14" s="12">
        <f>B14-C14</f>
        <v>493.7095662173897</v>
      </c>
      <c r="E14" s="12">
        <f>Presupuesto!$B$9/Supuestos!$B$26</f>
        <v>798.84</v>
      </c>
      <c r="F14" s="12">
        <f>D14-E14</f>
        <v>-305.13043378261034</v>
      </c>
      <c r="G14" s="12">
        <f>'Amortizacion Deuda'!C13</f>
        <v>0</v>
      </c>
      <c r="H14" s="12">
        <f>MAX(0,F14)*Supuestos!$B$23</f>
        <v>0</v>
      </c>
      <c r="I14" s="12">
        <f>MAX(0,F14-G14)*Supuestos!$B$23</f>
        <v>0</v>
      </c>
      <c r="J14" s="12">
        <f>'Amortizacion Deuda'!D13</f>
        <v>0</v>
      </c>
      <c r="K14" s="12">
        <f>'Amortizacion Deuda'!F13</f>
        <v>2.1032064978498966E-12</v>
      </c>
      <c r="L14" s="12">
        <f>D14-H14</f>
        <v>493.7095662173897</v>
      </c>
      <c r="M14" s="12">
        <f>D14-G14-I14-J14</f>
        <v>493.7095662173897</v>
      </c>
      <c r="N14" s="12">
        <f>G14+J14</f>
        <v>0</v>
      </c>
      <c r="O14" s="12">
        <f>Supuestos!$B$16*(1+Supuestos!$B$15)^(A14-1)</f>
        <v>5853.98485657765</v>
      </c>
      <c r="P14" s="12">
        <f>O14-C14</f>
        <v>4231.7962818633605</v>
      </c>
    </row>
    <row r="15" spans="1:16" ht="15">
      <c r="A15" s="11">
        <f>A14+1</f>
        <v>12</v>
      </c>
      <c r="B15" s="12">
        <f>Supuestos!$B$13*(1+Supuestos!$B$15)^(A15-1)</f>
        <v>2189.95457586429</v>
      </c>
      <c r="C15" s="12">
        <f>Supuestos!$B$14*(1+Supuestos!$B$15)^(A15-1)</f>
        <v>1678.96517482929</v>
      </c>
      <c r="D15" s="12">
        <f>B15-C15</f>
        <v>510.9894010349999</v>
      </c>
      <c r="E15" s="12">
        <f>Presupuesto!$B$9/Supuestos!$B$26</f>
        <v>798.84</v>
      </c>
      <c r="F15" s="12">
        <f>D15-E15</f>
        <v>-287.85059896500013</v>
      </c>
      <c r="G15" s="12">
        <f>'Amortizacion Deuda'!C14</f>
        <v>0</v>
      </c>
      <c r="H15" s="12">
        <f>MAX(0,F15)*Supuestos!$B$23</f>
        <v>0</v>
      </c>
      <c r="I15" s="12">
        <f>MAX(0,F15-G15)*Supuestos!$B$23</f>
        <v>0</v>
      </c>
      <c r="J15" s="12">
        <f>'Amortizacion Deuda'!D14</f>
        <v>0</v>
      </c>
      <c r="K15" s="12">
        <f>'Amortizacion Deuda'!F14</f>
        <v>2.1032064978498966E-12</v>
      </c>
      <c r="L15" s="12">
        <f>D15-H15</f>
        <v>510.9894010349999</v>
      </c>
      <c r="M15" s="12">
        <f>D15-G15-I15-J15</f>
        <v>510.9894010349999</v>
      </c>
      <c r="N15" s="12">
        <f>G15+J15</f>
        <v>0</v>
      </c>
      <c r="O15" s="12">
        <f>Supuestos!$B$16*(1+Supuestos!$B$15)^(A15-1)</f>
        <v>6058.87432655787</v>
      </c>
      <c r="P15" s="12">
        <f>O15-C15</f>
        <v>4379.90915172858</v>
      </c>
    </row>
    <row r="16" spans="1:16" ht="15">
      <c r="A16" s="11">
        <f>A15+1</f>
        <v>13</v>
      </c>
      <c r="B16" s="12">
        <f>Supuestos!$B$13*(1+Supuestos!$B$15)^(A16-1)</f>
        <v>2266.60298601954</v>
      </c>
      <c r="C16" s="12">
        <f>Supuestos!$B$14*(1+Supuestos!$B$15)^(A16-1)</f>
        <v>1737.72895594831</v>
      </c>
      <c r="D16" s="12">
        <f>B16-C16</f>
        <v>528.87403007123</v>
      </c>
      <c r="E16" s="12">
        <f>Presupuesto!$B$9/Supuestos!$B$26</f>
        <v>798.84</v>
      </c>
      <c r="F16" s="12">
        <f>D16-E16</f>
        <v>-269.96596992877005</v>
      </c>
      <c r="G16" s="12">
        <f>'Amortizacion Deuda'!C15</f>
        <v>0</v>
      </c>
      <c r="H16" s="12">
        <f>MAX(0,F16)*Supuestos!$B$23</f>
        <v>0</v>
      </c>
      <c r="I16" s="12">
        <f>MAX(0,F16-G16)*Supuestos!$B$23</f>
        <v>0</v>
      </c>
      <c r="J16" s="12">
        <f>'Amortizacion Deuda'!D15</f>
        <v>0</v>
      </c>
      <c r="K16" s="12">
        <f>'Amortizacion Deuda'!F15</f>
        <v>2.1032064978498966E-12</v>
      </c>
      <c r="L16" s="12">
        <f>D16-H16</f>
        <v>528.87403007123</v>
      </c>
      <c r="M16" s="12">
        <f>D16-G16-I16-J16</f>
        <v>528.87403007123</v>
      </c>
      <c r="N16" s="12">
        <f>G16+J16</f>
        <v>0</v>
      </c>
      <c r="O16" s="12">
        <f>Supuestos!$B$16*(1+Supuestos!$B$15)^(A16-1)</f>
        <v>6270.9349279874</v>
      </c>
      <c r="P16" s="12">
        <f>O16-C16</f>
        <v>4533.205972039091</v>
      </c>
    </row>
    <row r="17" spans="1:16" ht="15">
      <c r="A17" s="11">
        <f>A16+1</f>
        <v>14</v>
      </c>
      <c r="B17" s="12">
        <f>Supuestos!$B$13*(1+Supuestos!$B$15)^(A17-1)</f>
        <v>2345.93409053022</v>
      </c>
      <c r="C17" s="12">
        <f>Supuestos!$B$14*(1+Supuestos!$B$15)^(A17-1)</f>
        <v>1798.54946940651</v>
      </c>
      <c r="D17" s="12">
        <f>B17-C17</f>
        <v>547.3846211237101</v>
      </c>
      <c r="E17" s="12">
        <f>Presupuesto!$B$9/Supuestos!$B$26</f>
        <v>798.84</v>
      </c>
      <c r="F17" s="12">
        <f>D17-E17</f>
        <v>-251.45537887628996</v>
      </c>
      <c r="G17" s="12">
        <f>'Amortizacion Deuda'!C16</f>
        <v>0</v>
      </c>
      <c r="H17" s="12">
        <f>MAX(0,F17)*Supuestos!$B$23</f>
        <v>0</v>
      </c>
      <c r="I17" s="12">
        <f>MAX(0,F17-G17)*Supuestos!$B$23</f>
        <v>0</v>
      </c>
      <c r="J17" s="12">
        <f>'Amortizacion Deuda'!D16</f>
        <v>0</v>
      </c>
      <c r="K17" s="12">
        <f>'Amortizacion Deuda'!F16</f>
        <v>2.1032064978498966E-12</v>
      </c>
      <c r="L17" s="12">
        <f>D17-H17</f>
        <v>547.3846211237101</v>
      </c>
      <c r="M17" s="12">
        <f>D17-G17-I17-J17</f>
        <v>547.3846211237101</v>
      </c>
      <c r="N17" s="12">
        <f>G17+J17</f>
        <v>0</v>
      </c>
      <c r="O17" s="12">
        <f>Supuestos!$B$16*(1+Supuestos!$B$15)^(A17-1)</f>
        <v>6490.41765046695</v>
      </c>
      <c r="P17" s="12">
        <f>O17-C17</f>
        <v>4691.86818106044</v>
      </c>
    </row>
    <row r="18" spans="1:16" ht="15">
      <c r="A18" s="11">
        <f>A17+1</f>
        <v>15</v>
      </c>
      <c r="B18" s="12">
        <f>Supuestos!$B$13*(1+Supuestos!$B$15)^(A18-1)</f>
        <v>2428.04178369878</v>
      </c>
      <c r="C18" s="12">
        <f>Supuestos!$B$14*(1+Supuestos!$B$15)^(A18-1)</f>
        <v>1861.49870083573</v>
      </c>
      <c r="D18" s="12">
        <f>B18-C18</f>
        <v>566.5430828630499</v>
      </c>
      <c r="E18" s="12">
        <f>Presupuesto!$B$9/Supuestos!$B$26</f>
        <v>798.84</v>
      </c>
      <c r="F18" s="12">
        <f>D18-E18</f>
        <v>-232.29691713695013</v>
      </c>
      <c r="G18" s="12">
        <f>'Amortizacion Deuda'!C17</f>
        <v>0</v>
      </c>
      <c r="H18" s="12">
        <f>MAX(0,F18)*Supuestos!$B$23</f>
        <v>0</v>
      </c>
      <c r="I18" s="12">
        <f>MAX(0,F18-G18)*Supuestos!$B$23</f>
        <v>0</v>
      </c>
      <c r="J18" s="12">
        <f>'Amortizacion Deuda'!D17</f>
        <v>0</v>
      </c>
      <c r="K18" s="12">
        <f>'Amortizacion Deuda'!F17</f>
        <v>2.1032064978498966E-12</v>
      </c>
      <c r="L18" s="12">
        <f>D18-H18</f>
        <v>566.5430828630499</v>
      </c>
      <c r="M18" s="12">
        <f>D18-G18-I18-J18</f>
        <v>566.5430828630499</v>
      </c>
      <c r="N18" s="12">
        <f>G18+J18</f>
        <v>0</v>
      </c>
      <c r="O18" s="12">
        <f>Supuestos!$B$16*(1+Supuestos!$B$15)^(A18-1)</f>
        <v>6717.5822682333</v>
      </c>
      <c r="P18" s="12">
        <f>O18-C18</f>
        <v>4856.08356739757</v>
      </c>
    </row>
    <row r="19" spans="1:16" ht="15">
      <c r="A19" s="11">
        <f>A18+1</f>
        <v>16</v>
      </c>
      <c r="B19" s="12">
        <f>Supuestos!$B$13*(1+Supuestos!$B$15)^(A19-1)</f>
        <v>2513.02324612824</v>
      </c>
      <c r="C19" s="12">
        <f>Supuestos!$B$14*(1+Supuestos!$B$15)^(A19-1)</f>
        <v>1926.65115536498</v>
      </c>
      <c r="D19" s="12">
        <f>B19-C19</f>
        <v>586.3720907632598</v>
      </c>
      <c r="E19" s="12">
        <f>Presupuesto!$B$9/Supuestos!$B$26</f>
        <v>798.84</v>
      </c>
      <c r="F19" s="12">
        <f>D19-E19</f>
        <v>-212.46790923674018</v>
      </c>
      <c r="G19" s="12">
        <f>'Amortizacion Deuda'!C18</f>
        <v>0</v>
      </c>
      <c r="H19" s="12">
        <f>MAX(0,F19)*Supuestos!$B$23</f>
        <v>0</v>
      </c>
      <c r="I19" s="12">
        <f>MAX(0,F19-G19)*Supuestos!$B$23</f>
        <v>0</v>
      </c>
      <c r="J19" s="12">
        <f>'Amortizacion Deuda'!D18</f>
        <v>0</v>
      </c>
      <c r="K19" s="12">
        <f>'Amortizacion Deuda'!F18</f>
        <v>2.1032064978498966E-12</v>
      </c>
      <c r="L19" s="12">
        <f>D19-H19</f>
        <v>586.3720907632598</v>
      </c>
      <c r="M19" s="12">
        <f>D19-G19-I19-J19</f>
        <v>586.3720907632598</v>
      </c>
      <c r="N19" s="12">
        <f>G19+J19</f>
        <v>0</v>
      </c>
      <c r="O19" s="12">
        <f>Supuestos!$B$16*(1+Supuestos!$B$15)^(A19-1)</f>
        <v>6952.69764762146</v>
      </c>
      <c r="P19" s="12">
        <f>O19-C19</f>
        <v>5026.046492256481</v>
      </c>
    </row>
    <row r="20" spans="1:16" ht="15">
      <c r="A20" s="11">
        <f>A19+1</f>
        <v>17</v>
      </c>
      <c r="B20" s="12">
        <f>Supuestos!$B$13*(1+Supuestos!$B$15)^(A20-1)</f>
        <v>2600.97905974273</v>
      </c>
      <c r="C20" s="12">
        <f>Supuestos!$B$14*(1+Supuestos!$B$15)^(A20-1)</f>
        <v>1994.08394580276</v>
      </c>
      <c r="D20" s="12">
        <f>B20-C20</f>
        <v>606.8951139399701</v>
      </c>
      <c r="E20" s="12">
        <f>Presupuesto!$B$9/Supuestos!$B$26</f>
        <v>798.84</v>
      </c>
      <c r="F20" s="12">
        <f>D20-E20</f>
        <v>-191.94488606002994</v>
      </c>
      <c r="G20" s="12">
        <f>'Amortizacion Deuda'!C19</f>
        <v>0</v>
      </c>
      <c r="H20" s="12">
        <f>MAX(0,F20)*Supuestos!$B$23</f>
        <v>0</v>
      </c>
      <c r="I20" s="12">
        <f>MAX(0,F20-G20)*Supuestos!$B$23</f>
        <v>0</v>
      </c>
      <c r="J20" s="12">
        <f>'Amortizacion Deuda'!D19</f>
        <v>0</v>
      </c>
      <c r="K20" s="12">
        <f>'Amortizacion Deuda'!F19</f>
        <v>2.1032064978498966E-12</v>
      </c>
      <c r="L20" s="12">
        <f>D20-H20</f>
        <v>606.8951139399701</v>
      </c>
      <c r="M20" s="12">
        <f>D20-G20-I20-J20</f>
        <v>606.8951139399701</v>
      </c>
      <c r="N20" s="12">
        <f>G20+J20</f>
        <v>0</v>
      </c>
      <c r="O20" s="12">
        <f>Supuestos!$B$16*(1+Supuestos!$B$15)^(A20-1)</f>
        <v>7196.04206528821</v>
      </c>
      <c r="P20" s="12">
        <f>O20-C20</f>
        <v>5201.958119485451</v>
      </c>
    </row>
    <row r="21" spans="1:16" ht="15">
      <c r="A21" s="11">
        <f>A20+1</f>
        <v>18</v>
      </c>
      <c r="B21" s="12">
        <f>Supuestos!$B$13*(1+Supuestos!$B$15)^(A21-1)</f>
        <v>2692.01332683372</v>
      </c>
      <c r="C21" s="12">
        <f>Supuestos!$B$14*(1+Supuestos!$B$15)^(A21-1)</f>
        <v>2063.87688390585</v>
      </c>
      <c r="D21" s="12">
        <f>B21-C21</f>
        <v>628.1364429278701</v>
      </c>
      <c r="E21" s="12">
        <f>Presupuesto!$B$9/Supuestos!$B$26</f>
        <v>798.84</v>
      </c>
      <c r="F21" s="12">
        <f>D21-E21</f>
        <v>-170.7035570721299</v>
      </c>
      <c r="G21" s="12">
        <f>'Amortizacion Deuda'!C20</f>
        <v>0</v>
      </c>
      <c r="H21" s="12">
        <f>MAX(0,F21)*Supuestos!$B$23</f>
        <v>0</v>
      </c>
      <c r="I21" s="12">
        <f>MAX(0,F21-G21)*Supuestos!$B$23</f>
        <v>0</v>
      </c>
      <c r="J21" s="12">
        <f>'Amortizacion Deuda'!D20</f>
        <v>0</v>
      </c>
      <c r="K21" s="12">
        <f>'Amortizacion Deuda'!F20</f>
        <v>2.1032064978498966E-12</v>
      </c>
      <c r="L21" s="12">
        <f>D21-H21</f>
        <v>628.1364429278701</v>
      </c>
      <c r="M21" s="12">
        <f>D21-G21-I21-J21</f>
        <v>628.1364429278701</v>
      </c>
      <c r="N21" s="12">
        <f>G21+J21</f>
        <v>0</v>
      </c>
      <c r="O21" s="12">
        <f>Supuestos!$B$16*(1+Supuestos!$B$15)^(A21-1)</f>
        <v>7447.9035375733</v>
      </c>
      <c r="P21" s="12">
        <f>O21-C21</f>
        <v>5384.02665366745</v>
      </c>
    </row>
    <row r="22" spans="1:16" ht="15">
      <c r="A22" s="11">
        <f>A21+1</f>
        <v>19</v>
      </c>
      <c r="B22" s="12">
        <f>Supuestos!$B$13*(1+Supuestos!$B$15)^(A22-1)</f>
        <v>2786.2337932729</v>
      </c>
      <c r="C22" s="12">
        <f>Supuestos!$B$14*(1+Supuestos!$B$15)^(A22-1)</f>
        <v>2136.11257484256</v>
      </c>
      <c r="D22" s="12">
        <f>B22-C22</f>
        <v>650.1212184303399</v>
      </c>
      <c r="E22" s="12">
        <f>Presupuesto!$B$9/Supuestos!$B$26</f>
        <v>798.84</v>
      </c>
      <c r="F22" s="12">
        <f>D22-E22</f>
        <v>-148.7187815696601</v>
      </c>
      <c r="G22" s="12">
        <f>'Amortizacion Deuda'!C21</f>
        <v>0</v>
      </c>
      <c r="H22" s="12">
        <f>MAX(0,F22)*Supuestos!$B$23</f>
        <v>0</v>
      </c>
      <c r="I22" s="12">
        <f>MAX(0,F22-G22)*Supuestos!$B$23</f>
        <v>0</v>
      </c>
      <c r="J22" s="12">
        <f>'Amortizacion Deuda'!D21</f>
        <v>0</v>
      </c>
      <c r="K22" s="12">
        <f>'Amortizacion Deuda'!F21</f>
        <v>2.1032064978498966E-12</v>
      </c>
      <c r="L22" s="12">
        <f>D22-H22</f>
        <v>650.1212184303399</v>
      </c>
      <c r="M22" s="12">
        <f>D22-G22-I22-J22</f>
        <v>650.1212184303399</v>
      </c>
      <c r="N22" s="12">
        <f>G22+J22</f>
        <v>0</v>
      </c>
      <c r="O22" s="12">
        <f>Supuestos!$B$16*(1+Supuestos!$B$15)^(A22-1)</f>
        <v>7708.58016138836</v>
      </c>
      <c r="P22" s="12">
        <f>O22-C22</f>
        <v>5572.467586545799</v>
      </c>
    </row>
    <row r="23" spans="1:16" ht="15">
      <c r="A23" s="11">
        <f>A22+1</f>
        <v>20</v>
      </c>
      <c r="B23" s="12">
        <f>Supuestos!$B$13*(1+Supuestos!$B$15)^(A23-1)</f>
        <v>2883.75197603745</v>
      </c>
      <c r="C23" s="12">
        <f>Supuestos!$B$14*(1+Supuestos!$B$15)^(A23-1)</f>
        <v>2210.87651496205</v>
      </c>
      <c r="D23" s="12">
        <f>B23-C23</f>
        <v>672.8754610753999</v>
      </c>
      <c r="E23" s="12">
        <f>Presupuesto!$B$9/Supuestos!$B$26</f>
        <v>798.84</v>
      </c>
      <c r="F23" s="12">
        <f>D23-E23</f>
        <v>-125.9645389246001</v>
      </c>
      <c r="G23" s="12">
        <f>'Amortizacion Deuda'!C22</f>
        <v>0</v>
      </c>
      <c r="H23" s="12">
        <f>MAX(0,F23)*Supuestos!$B$23</f>
        <v>0</v>
      </c>
      <c r="I23" s="12">
        <f>MAX(0,F23-G23)*Supuestos!$B$23</f>
        <v>0</v>
      </c>
      <c r="J23" s="12">
        <f>'Amortizacion Deuda'!D22</f>
        <v>0</v>
      </c>
      <c r="K23" s="12">
        <f>'Amortizacion Deuda'!F22</f>
        <v>2.1032064978498966E-12</v>
      </c>
      <c r="L23" s="12">
        <f>D23-H23</f>
        <v>672.8754610753999</v>
      </c>
      <c r="M23" s="12">
        <f>D23-G23-I23-J23</f>
        <v>672.8754610753999</v>
      </c>
      <c r="N23" s="12">
        <f>G23+J23</f>
        <v>0</v>
      </c>
      <c r="O23" s="12">
        <f>Supuestos!$B$16*(1+Supuestos!$B$15)^(A23-1)</f>
        <v>7978.38046703696</v>
      </c>
      <c r="P23" s="12">
        <f>O23-C23</f>
        <v>5767.503952074911</v>
      </c>
    </row>
    <row r="24" spans="1:16" ht="15">
      <c r="A24" s="11">
        <f>A23+1</f>
        <v>21</v>
      </c>
      <c r="B24" s="12">
        <f>Supuestos!$B$13*(1+Supuestos!$B$15)^(A24-1)</f>
        <v>2984.68329519876</v>
      </c>
      <c r="C24" s="12">
        <f>Supuestos!$B$14*(1+Supuestos!$B$15)^(A24-1)</f>
        <v>2288.25719298572</v>
      </c>
      <c r="D24" s="12">
        <f>B24-C24</f>
        <v>696.4261022130399</v>
      </c>
      <c r="E24" s="12">
        <f>Presupuesto!$B$9/Supuestos!$B$26</f>
        <v>798.84</v>
      </c>
      <c r="F24" s="12">
        <f>D24-E24</f>
        <v>-102.41389778696009</v>
      </c>
      <c r="G24" s="12">
        <f>'Amortizacion Deuda'!C23</f>
        <v>0</v>
      </c>
      <c r="H24" s="12">
        <f>MAX(0,F24)*Supuestos!$B$23</f>
        <v>0</v>
      </c>
      <c r="I24" s="12">
        <f>MAX(0,F24-G24)*Supuestos!$B$23</f>
        <v>0</v>
      </c>
      <c r="J24" s="12">
        <f>'Amortizacion Deuda'!D23</f>
        <v>0</v>
      </c>
      <c r="K24" s="12">
        <f>'Amortizacion Deuda'!F23</f>
        <v>2.1032064978498966E-12</v>
      </c>
      <c r="L24" s="12">
        <f>D24-H24</f>
        <v>696.4261022130399</v>
      </c>
      <c r="M24" s="12">
        <f>D24-G24-I24-J24</f>
        <v>696.4261022130399</v>
      </c>
      <c r="N24" s="12">
        <f>G24+J24</f>
        <v>0</v>
      </c>
      <c r="O24" s="12">
        <f>Supuestos!$B$16*(1+Supuestos!$B$15)^(A24-1)</f>
        <v>8257.62378338325</v>
      </c>
      <c r="P24" s="12">
        <f>O24-C24</f>
        <v>5969.366590397529</v>
      </c>
    </row>
    <row r="25" spans="1:16" ht="15">
      <c r="A25" s="11">
        <f>A24+1</f>
        <v>22</v>
      </c>
      <c r="B25" s="12">
        <f>Supuestos!$B$13*(1+Supuestos!$B$15)^(A25-1)</f>
        <v>3089.14721053072</v>
      </c>
      <c r="C25" s="12">
        <f>Supuestos!$B$14*(1+Supuestos!$B$15)^(A25-1)</f>
        <v>2368.34619474022</v>
      </c>
      <c r="D25" s="12">
        <f>B25-C25</f>
        <v>720.8010157904996</v>
      </c>
      <c r="E25" s="12">
        <f>Presupuesto!$B$9/Supuestos!$B$26</f>
        <v>798.84</v>
      </c>
      <c r="F25" s="12">
        <f>D25-E25</f>
        <v>-78.03898420950043</v>
      </c>
      <c r="G25" s="12">
        <f>'Amortizacion Deuda'!C24</f>
        <v>0</v>
      </c>
      <c r="H25" s="12">
        <f>MAX(0,F25)*Supuestos!$B$23</f>
        <v>0</v>
      </c>
      <c r="I25" s="12">
        <f>MAX(0,F25-G25)*Supuestos!$B$23</f>
        <v>0</v>
      </c>
      <c r="J25" s="12">
        <f>'Amortizacion Deuda'!D24</f>
        <v>0</v>
      </c>
      <c r="K25" s="12">
        <f>'Amortizacion Deuda'!F24</f>
        <v>2.1032064978498966E-12</v>
      </c>
      <c r="L25" s="12">
        <f>D25-H25</f>
        <v>720.8010157904996</v>
      </c>
      <c r="M25" s="12">
        <f>D25-G25-I25-J25</f>
        <v>720.8010157904996</v>
      </c>
      <c r="N25" s="12">
        <f>G25+J25</f>
        <v>0</v>
      </c>
      <c r="O25" s="12">
        <f>Supuestos!$B$16*(1+Supuestos!$B$15)^(A25-1)</f>
        <v>8546.64061580166</v>
      </c>
      <c r="P25" s="12">
        <f>O25-C25</f>
        <v>6178.29442106144</v>
      </c>
    </row>
    <row r="26" spans="1:16" ht="15">
      <c r="A26" s="11">
        <f>A25+1</f>
        <v>23</v>
      </c>
      <c r="B26" s="12">
        <f>Supuestos!$B$13*(1+Supuestos!$B$15)^(A26-1)</f>
        <v>3197.2673628993</v>
      </c>
      <c r="C26" s="12">
        <f>Supuestos!$B$14*(1+Supuestos!$B$15)^(A26-1)</f>
        <v>2451.23831155613</v>
      </c>
      <c r="D26" s="12">
        <f>B26-C26</f>
        <v>746.0290513431701</v>
      </c>
      <c r="E26" s="12">
        <f>Presupuesto!$B$9/Supuestos!$B$26</f>
        <v>798.84</v>
      </c>
      <c r="F26" s="12">
        <f>D26-E26</f>
        <v>-52.810948656829964</v>
      </c>
      <c r="G26" s="12">
        <f>'Amortizacion Deuda'!C25</f>
        <v>0</v>
      </c>
      <c r="H26" s="12">
        <f>MAX(0,F26)*Supuestos!$B$23</f>
        <v>0</v>
      </c>
      <c r="I26" s="12">
        <f>MAX(0,F26-G26)*Supuestos!$B$23</f>
        <v>0</v>
      </c>
      <c r="J26" s="12">
        <f>'Amortizacion Deuda'!D25</f>
        <v>0</v>
      </c>
      <c r="K26" s="12">
        <f>'Amortizacion Deuda'!F25</f>
        <v>2.1032064978498966E-12</v>
      </c>
      <c r="L26" s="12">
        <f>D26-H26</f>
        <v>746.0290513431701</v>
      </c>
      <c r="M26" s="12">
        <f>D26-G26-I26-J26</f>
        <v>746.0290513431701</v>
      </c>
      <c r="N26" s="12">
        <f>G26+J26</f>
        <v>0</v>
      </c>
      <c r="O26" s="12">
        <f>Supuestos!$B$16*(1+Supuestos!$B$15)^(A26-1)</f>
        <v>8845.77303735472</v>
      </c>
      <c r="P26" s="12">
        <f>O26-C26</f>
        <v>6394.53472579859</v>
      </c>
    </row>
    <row r="27" spans="1:16" ht="15">
      <c r="A27" s="11">
        <f>A26+1</f>
        <v>24</v>
      </c>
      <c r="B27" s="12">
        <f>Supuestos!$B$13*(1+Supuestos!$B$15)^(A27-1)</f>
        <v>3309.17172060077</v>
      </c>
      <c r="C27" s="12">
        <f>Supuestos!$B$14*(1+Supuestos!$B$15)^(A27-1)</f>
        <v>2537.03165246059</v>
      </c>
      <c r="D27" s="12">
        <f>B27-C27</f>
        <v>772.1400681401801</v>
      </c>
      <c r="E27" s="12">
        <f>Presupuesto!$B$9/Supuestos!$B$26</f>
        <v>798.84</v>
      </c>
      <c r="F27" s="12">
        <f>D27-E27</f>
        <v>-26.699931859819912</v>
      </c>
      <c r="G27" s="12">
        <f>'Amortizacion Deuda'!C26</f>
        <v>0</v>
      </c>
      <c r="H27" s="12">
        <f>MAX(0,F27)*Supuestos!$B$23</f>
        <v>0</v>
      </c>
      <c r="I27" s="12">
        <f>MAX(0,F27-G27)*Supuestos!$B$23</f>
        <v>0</v>
      </c>
      <c r="J27" s="12">
        <f>'Amortizacion Deuda'!D26</f>
        <v>0</v>
      </c>
      <c r="K27" s="12">
        <f>'Amortizacion Deuda'!F26</f>
        <v>2.1032064978498966E-12</v>
      </c>
      <c r="L27" s="12">
        <f>D27-H27</f>
        <v>772.1400681401801</v>
      </c>
      <c r="M27" s="12">
        <f>D27-G27-I27-J27</f>
        <v>772.1400681401801</v>
      </c>
      <c r="N27" s="12">
        <f>G27+J27</f>
        <v>0</v>
      </c>
      <c r="O27" s="12">
        <f>Supuestos!$B$16*(1+Supuestos!$B$15)^(A27-1)</f>
        <v>9155.37509366213</v>
      </c>
      <c r="P27" s="12">
        <f>O27-C27</f>
        <v>6618.343441201541</v>
      </c>
    </row>
    <row r="28" spans="1:16" ht="15">
      <c r="A28" s="11">
        <f>A27+1</f>
        <v>25</v>
      </c>
      <c r="B28" s="12">
        <f>Supuestos!$B$13*(1+Supuestos!$B$15)^(A28-1)</f>
        <v>3424.9927308218</v>
      </c>
      <c r="C28" s="12">
        <f>Supuestos!$B$14*(1+Supuestos!$B$15)^(A28-1)</f>
        <v>2625.82776029671</v>
      </c>
      <c r="D28" s="12">
        <f>B28-C28</f>
        <v>799.1649705250898</v>
      </c>
      <c r="E28" s="12">
        <f>Presupuesto!$B$9/Supuestos!$B$26</f>
        <v>798.84</v>
      </c>
      <c r="F28" s="12">
        <f>D28-E28</f>
        <v>0.324970525089725</v>
      </c>
      <c r="G28" s="12">
        <f>'Amortizacion Deuda'!C27</f>
        <v>0</v>
      </c>
      <c r="H28" s="12">
        <f>MAX(0,F28)*Supuestos!$B$23</f>
        <v>0.113739683781404</v>
      </c>
      <c r="I28" s="12">
        <f>MAX(0,F28-G28)*Supuestos!$B$23</f>
        <v>0.113739683781404</v>
      </c>
      <c r="J28" s="12">
        <f>'Amortizacion Deuda'!D27</f>
        <v>0</v>
      </c>
      <c r="K28" s="12">
        <f>'Amortizacion Deuda'!F27</f>
        <v>2.1032064978498966E-12</v>
      </c>
      <c r="L28" s="12">
        <f>D28-H28</f>
        <v>799.0512308413083</v>
      </c>
      <c r="M28" s="12">
        <f>D28-G28-I28-J28</f>
        <v>799.0512308413083</v>
      </c>
      <c r="N28" s="12">
        <f>G28+J28</f>
        <v>0</v>
      </c>
      <c r="O28" s="12">
        <f>Supuestos!$B$16*(1+Supuestos!$B$15)^(A28-1)</f>
        <v>9475.81322194031</v>
      </c>
      <c r="P28" s="12">
        <f>O28-C28</f>
        <v>6849.9854616436005</v>
      </c>
    </row>
  </sheetData>
  <autoFilter ref="A2:P2"/>
  <mergeCells count="1">
    <mergeCell ref="A1:P1"/>
  </mergeCells>
  <printOptions/>
  <pageMargins left="0.75" right="0.75" top="1" bottom="1" header="0.5" footer="0.5"/>
  <pageSetup fitToHeight="0" fitToWidth="1" horizontalDpi="600" verticalDpi="600" orientation="landscape"/>
  <headerFooter>
    <oddFooter>&amp;RPágina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8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32" width="13.00390625" style="0" customWidth="1"/>
  </cols>
  <sheetData>
    <row r="1" ht="15">
      <c r="A1" s="4" t="s">
        <v>116</v>
      </c>
    </row>
    <row r="2" spans="1:32" ht="15">
      <c r="A2" s="5" t="s">
        <v>117</v>
      </c>
      <c r="B2" s="5" t="s">
        <v>118</v>
      </c>
      <c r="C2" s="5" t="s">
        <v>119</v>
      </c>
      <c r="D2" s="5" t="s">
        <v>120</v>
      </c>
      <c r="E2" s="5" t="s">
        <v>121</v>
      </c>
      <c r="F2" s="5" t="s">
        <v>122</v>
      </c>
      <c r="G2" s="5">
        <v>0</v>
      </c>
      <c r="H2" s="5">
        <v>1</v>
      </c>
      <c r="I2" s="5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5">
        <v>8</v>
      </c>
      <c r="P2" s="5">
        <v>9</v>
      </c>
      <c r="Q2" s="5">
        <v>10</v>
      </c>
      <c r="R2" s="5">
        <v>11</v>
      </c>
      <c r="S2" s="5">
        <v>12</v>
      </c>
      <c r="T2" s="5">
        <v>13</v>
      </c>
      <c r="U2" s="5">
        <v>14</v>
      </c>
      <c r="V2" s="5">
        <v>15</v>
      </c>
      <c r="W2" s="5">
        <v>16</v>
      </c>
      <c r="X2" s="5">
        <v>17</v>
      </c>
      <c r="Y2" s="5">
        <v>18</v>
      </c>
      <c r="Z2" s="5">
        <v>19</v>
      </c>
      <c r="AA2" s="5">
        <v>20</v>
      </c>
      <c r="AB2" s="5">
        <v>21</v>
      </c>
      <c r="AC2" s="5">
        <v>22</v>
      </c>
      <c r="AD2" s="5">
        <v>23</v>
      </c>
      <c r="AE2" s="5">
        <v>24</v>
      </c>
      <c r="AF2" s="5">
        <v>25</v>
      </c>
    </row>
    <row r="3" spans="1:32" ht="15">
      <c r="A3" s="13">
        <v>0</v>
      </c>
      <c r="B3" s="14">
        <f>(1-A3)/2*Presupuesto!$B$9</f>
        <v>9985.5</v>
      </c>
      <c r="C3" s="14">
        <f>(1-A3)/2*Presupuesto!$B$9</f>
        <v>9985.5</v>
      </c>
      <c r="D3" s="15">
        <f>IRR(G3:AF3)</f>
        <v>-0.05397940689416905</v>
      </c>
      <c r="E3" s="14">
        <f>NPV(Supuestos!$B$22,H3:AF3)+G3</f>
        <v>-15794.058409020663</v>
      </c>
      <c r="F3" s="14" t="str">
        <f>IF(D3&gt;=Supuestos!$B$22,"Viable","No viable")</f>
        <v>No viable</v>
      </c>
      <c r="G3" s="14">
        <f>-C3</f>
        <v>-9985.5</v>
      </c>
      <c r="H3" s="14">
        <f>'Flujos de Caja'!D4-('Amortizacion Deuda'!C3*B3/Financiacion!$C$4)-('Amortizacion Deuda'!D3*B3/Financiacion!$C$4)-MAX(0,'Flujos de Caja'!F4-('Amortizacion Deuda'!C3*B3/Financiacion!$C$4))*Supuestos!$B$23</f>
        <v>-1345.5521502819893</v>
      </c>
      <c r="I3" s="14">
        <f>'Flujos de Caja'!D5-('Amortizacion Deuda'!C4*B3/Financiacion!$C$4)-('Amortizacion Deuda'!D4*B3/Financiacion!$C$4)-MAX(0,'Flujos de Caja'!F5-('Amortizacion Deuda'!C4*B3/Financiacion!$C$4))*Supuestos!$B$23</f>
        <v>-1333.3021502819888</v>
      </c>
      <c r="J3" s="14">
        <f>'Flujos de Caja'!D6-('Amortizacion Deuda'!C5*B3/Financiacion!$C$4)-('Amortizacion Deuda'!D5*B3/Financiacion!$C$4)-MAX(0,'Flujos de Caja'!F6-('Amortizacion Deuda'!C5*B3/Financiacion!$C$4))*Supuestos!$B$23</f>
        <v>-1320.6234002819888</v>
      </c>
      <c r="K3" s="14">
        <f>'Flujos de Caja'!D7-('Amortizacion Deuda'!C6*B3/Financiacion!$C$4)-('Amortizacion Deuda'!D6*B3/Financiacion!$C$4)-MAX(0,'Flujos de Caja'!F7-('Amortizacion Deuda'!C6*B3/Financiacion!$C$4))*Supuestos!$B$23</f>
        <v>-1307.500894031989</v>
      </c>
      <c r="L3" s="14">
        <f>'Flujos de Caja'!D8-('Amortizacion Deuda'!C7*B3/Financiacion!$C$4)-('Amortizacion Deuda'!D7*B3/Financiacion!$C$4)-MAX(0,'Flujos de Caja'!F8-('Amortizacion Deuda'!C7*B3/Financiacion!$C$4))*Supuestos!$B$23</f>
        <v>-1293.919100063239</v>
      </c>
      <c r="M3" s="14">
        <f>'Flujos de Caja'!D9-('Amortizacion Deuda'!C8*B3/Financiacion!$C$4)-('Amortizacion Deuda'!D8*B3/Financiacion!$C$4)-MAX(0,'Flujos de Caja'!F9-('Amortizacion Deuda'!C8*B3/Financiacion!$C$4))*Supuestos!$B$23</f>
        <v>-1279.8619433055892</v>
      </c>
      <c r="N3" s="14">
        <f>'Flujos de Caja'!D10-('Amortizacion Deuda'!C9*B3/Financiacion!$C$4)-('Amortizacion Deuda'!D9*B3/Financiacion!$C$4)-MAX(0,'Flujos de Caja'!F10-('Amortizacion Deuda'!C9*B3/Financiacion!$C$4))*Supuestos!$B$23</f>
        <v>-1265.3127860614088</v>
      </c>
      <c r="O3" s="14">
        <f>'Flujos de Caja'!D11-('Amortizacion Deuda'!C10*B3/Financiacion!$C$4)-('Amortizacion Deuda'!D10*B3/Financiacion!$C$4)-MAX(0,'Flujos de Caja'!F11-('Amortizacion Deuda'!C10*B3/Financiacion!$C$4))*Supuestos!$B$23</f>
        <v>-1250.2544083136877</v>
      </c>
      <c r="P3" s="14">
        <f>'Flujos de Caja'!D12-('Amortizacion Deuda'!C11*B3/Financiacion!$C$4)-('Amortizacion Deuda'!D11*B3/Financiacion!$C$4)-MAX(0,'Flujos de Caja'!F12-('Amortizacion Deuda'!C11*B3/Financiacion!$C$4))*Supuestos!$B$23</f>
        <v>-1234.6689873447986</v>
      </c>
      <c r="Q3" s="14">
        <f>'Flujos de Caja'!D13-('Amortizacion Deuda'!C12*B3/Financiacion!$C$4)-('Amortizacion Deuda'!D12*B3/Financiacion!$C$4)-MAX(0,'Flujos de Caja'!F13-('Amortizacion Deuda'!C12*B3/Financiacion!$C$4))*Supuestos!$B$23</f>
        <v>-1218.538076642001</v>
      </c>
      <c r="R3" s="14">
        <f>'Flujos de Caja'!D14-('Amortizacion Deuda'!C13*B3/Financiacion!$C$4)-('Amortizacion Deuda'!D13*B3/Financiacion!$C$4)-MAX(0,'Flujos de Caja'!F14-('Amortizacion Deuda'!C13*B3/Financiacion!$C$4))*Supuestos!$B$23</f>
        <v>493.7095662173897</v>
      </c>
      <c r="S3" s="14">
        <f>'Flujos de Caja'!D15-('Amortizacion Deuda'!C14*B3/Financiacion!$C$4)-('Amortizacion Deuda'!D14*B3/Financiacion!$C$4)-MAX(0,'Flujos de Caja'!F15-('Amortizacion Deuda'!C14*B3/Financiacion!$C$4))*Supuestos!$B$23</f>
        <v>510.9894010349999</v>
      </c>
      <c r="T3" s="14">
        <f>'Flujos de Caja'!D16-('Amortizacion Deuda'!C15*B3/Financiacion!$C$4)-('Amortizacion Deuda'!D15*B3/Financiacion!$C$4)-MAX(0,'Flujos de Caja'!F16-('Amortizacion Deuda'!C15*B3/Financiacion!$C$4))*Supuestos!$B$23</f>
        <v>528.87403007123</v>
      </c>
      <c r="U3" s="14">
        <f>'Flujos de Caja'!D17-('Amortizacion Deuda'!C16*B3/Financiacion!$C$4)-('Amortizacion Deuda'!D16*B3/Financiacion!$C$4)-MAX(0,'Flujos de Caja'!F17-('Amortizacion Deuda'!C16*B3/Financiacion!$C$4))*Supuestos!$B$23</f>
        <v>547.3846211237101</v>
      </c>
      <c r="V3" s="14">
        <f>'Flujos de Caja'!D18-('Amortizacion Deuda'!C17*B3/Financiacion!$C$4)-('Amortizacion Deuda'!D17*B3/Financiacion!$C$4)-MAX(0,'Flujos de Caja'!F18-('Amortizacion Deuda'!C17*B3/Financiacion!$C$4))*Supuestos!$B$23</f>
        <v>566.5430828630499</v>
      </c>
      <c r="W3" s="14">
        <f>'Flujos de Caja'!D19-('Amortizacion Deuda'!C18*B3/Financiacion!$C$4)-('Amortizacion Deuda'!D18*B3/Financiacion!$C$4)-MAX(0,'Flujos de Caja'!F19-('Amortizacion Deuda'!C18*B3/Financiacion!$C$4))*Supuestos!$B$23</f>
        <v>586.3720907632598</v>
      </c>
      <c r="X3" s="14">
        <f>'Flujos de Caja'!D20-('Amortizacion Deuda'!C19*B3/Financiacion!$C$4)-('Amortizacion Deuda'!D19*B3/Financiacion!$C$4)-MAX(0,'Flujos de Caja'!F20-('Amortizacion Deuda'!C19*B3/Financiacion!$C$4))*Supuestos!$B$23</f>
        <v>606.8951139399701</v>
      </c>
      <c r="Y3" s="14">
        <f>'Flujos de Caja'!D21-('Amortizacion Deuda'!C20*B3/Financiacion!$C$4)-('Amortizacion Deuda'!D20*B3/Financiacion!$C$4)-MAX(0,'Flujos de Caja'!F21-('Amortizacion Deuda'!C20*B3/Financiacion!$C$4))*Supuestos!$B$23</f>
        <v>628.1364429278701</v>
      </c>
      <c r="Z3" s="14">
        <f>'Flujos de Caja'!D22-('Amortizacion Deuda'!C21*B3/Financiacion!$C$4)-('Amortizacion Deuda'!D21*B3/Financiacion!$C$4)-MAX(0,'Flujos de Caja'!F22-('Amortizacion Deuda'!C21*B3/Financiacion!$C$4))*Supuestos!$B$23</f>
        <v>650.1212184303399</v>
      </c>
      <c r="AA3" s="14">
        <f>'Flujos de Caja'!D23-('Amortizacion Deuda'!C22*B3/Financiacion!$C$4)-('Amortizacion Deuda'!D22*B3/Financiacion!$C$4)-MAX(0,'Flujos de Caja'!F23-('Amortizacion Deuda'!C22*B3/Financiacion!$C$4))*Supuestos!$B$23</f>
        <v>672.8754610753999</v>
      </c>
      <c r="AB3" s="14">
        <f>'Flujos de Caja'!D24-('Amortizacion Deuda'!C23*B3/Financiacion!$C$4)-('Amortizacion Deuda'!D23*B3/Financiacion!$C$4)-MAX(0,'Flujos de Caja'!F24-('Amortizacion Deuda'!C23*B3/Financiacion!$C$4))*Supuestos!$B$23</f>
        <v>696.4261022130399</v>
      </c>
      <c r="AC3" s="14">
        <f>'Flujos de Caja'!D25-('Amortizacion Deuda'!C24*B3/Financiacion!$C$4)-('Amortizacion Deuda'!D24*B3/Financiacion!$C$4)-MAX(0,'Flujos de Caja'!F25-('Amortizacion Deuda'!C24*B3/Financiacion!$C$4))*Supuestos!$B$23</f>
        <v>720.8010157904996</v>
      </c>
      <c r="AD3" s="14">
        <f>'Flujos de Caja'!D26-('Amortizacion Deuda'!C25*B3/Financiacion!$C$4)-('Amortizacion Deuda'!D25*B3/Financiacion!$C$4)-MAX(0,'Flujos de Caja'!F26-('Amortizacion Deuda'!C25*B3/Financiacion!$C$4))*Supuestos!$B$23</f>
        <v>746.0290513431701</v>
      </c>
      <c r="AE3" s="14">
        <f>'Flujos de Caja'!D27-('Amortizacion Deuda'!C26*B3/Financiacion!$C$4)-('Amortizacion Deuda'!D26*B3/Financiacion!$C$4)-MAX(0,'Flujos de Caja'!F27-('Amortizacion Deuda'!C26*B3/Financiacion!$C$4))*Supuestos!$B$23</f>
        <v>772.1400681401801</v>
      </c>
      <c r="AF3" s="14">
        <f>'Flujos de Caja'!D28-('Amortizacion Deuda'!C27*B3/Financiacion!$C$4)-('Amortizacion Deuda'!D27*B3/Financiacion!$C$4)-MAX(0,'Flujos de Caja'!F28-('Amortizacion Deuda'!C27*B3/Financiacion!$C$4))*Supuestos!$B$23</f>
        <v>799.0512308413083</v>
      </c>
    </row>
    <row r="4" spans="1:32" ht="15">
      <c r="A4" s="13">
        <v>0.4</v>
      </c>
      <c r="B4" s="14">
        <f>(1-A4)/2*Presupuesto!$B$9</f>
        <v>5991.3</v>
      </c>
      <c r="C4" s="14">
        <f>(1-A4)/2*Presupuesto!$B$9</f>
        <v>5991.3</v>
      </c>
      <c r="D4" s="15">
        <f>IRR(G4:AF4)</f>
        <v>-0.014606345852164413</v>
      </c>
      <c r="E4" s="14">
        <f>NPV(Supuestos!$B$22,H4:AF4)+G4</f>
        <v>-8262.179968943623</v>
      </c>
      <c r="F4" s="14" t="str">
        <f>IF(D4&gt;=Supuestos!$B$22,"Viable","No viable")</f>
        <v>No viable</v>
      </c>
      <c r="G4" s="14">
        <f>-C4</f>
        <v>-5991.3</v>
      </c>
      <c r="H4" s="14">
        <f>'Flujos de Caja'!D4-('Amortizacion Deuda'!C3*B4/Financiacion!$C$4)-('Amortizacion Deuda'!D3*B4/Financiacion!$C$4)-MAX(0,'Flujos de Caja'!F4-('Amortizacion Deuda'!C3*B4/Financiacion!$C$4))*Supuestos!$B$23</f>
        <v>-667.3312901691934</v>
      </c>
      <c r="I4" s="14">
        <f>'Flujos de Caja'!D5-('Amortizacion Deuda'!C4*B4/Financiacion!$C$4)-('Amortizacion Deuda'!D4*B4/Financiacion!$C$4)-MAX(0,'Flujos de Caja'!F5-('Amortizacion Deuda'!C4*B4/Financiacion!$C$4))*Supuestos!$B$23</f>
        <v>-655.0812901691934</v>
      </c>
      <c r="J4" s="14">
        <f>'Flujos de Caja'!D6-('Amortizacion Deuda'!C5*B4/Financiacion!$C$4)-('Amortizacion Deuda'!D5*B4/Financiacion!$C$4)-MAX(0,'Flujos de Caja'!F6-('Amortizacion Deuda'!C5*B4/Financiacion!$C$4))*Supuestos!$B$23</f>
        <v>-642.4025401691933</v>
      </c>
      <c r="K4" s="14">
        <f>'Flujos de Caja'!D7-('Amortizacion Deuda'!C6*B4/Financiacion!$C$4)-('Amortizacion Deuda'!D6*B4/Financiacion!$C$4)-MAX(0,'Flujos de Caja'!F7-('Amortizacion Deuda'!C6*B4/Financiacion!$C$4))*Supuestos!$B$23</f>
        <v>-629.2800339191958</v>
      </c>
      <c r="L4" s="14">
        <f>'Flujos de Caja'!D8-('Amortizacion Deuda'!C7*B4/Financiacion!$C$4)-('Amortizacion Deuda'!D7*B4/Financiacion!$C$4)-MAX(0,'Flujos de Caja'!F8-('Amortizacion Deuda'!C7*B4/Financiacion!$C$4))*Supuestos!$B$23</f>
        <v>-615.6982399504434</v>
      </c>
      <c r="M4" s="14">
        <f>'Flujos de Caja'!D9-('Amortizacion Deuda'!C8*B4/Financiacion!$C$4)-('Amortizacion Deuda'!D8*B4/Financiacion!$C$4)-MAX(0,'Flujos de Caja'!F9-('Amortizacion Deuda'!C8*B4/Financiacion!$C$4))*Supuestos!$B$23</f>
        <v>-601.6410831927935</v>
      </c>
      <c r="N4" s="14">
        <f>'Flujos de Caja'!D10-('Amortizacion Deuda'!C9*B4/Financiacion!$C$4)-('Amortizacion Deuda'!D9*B4/Financiacion!$C$4)-MAX(0,'Flujos de Caja'!F10-('Amortizacion Deuda'!C9*B4/Financiacion!$C$4))*Supuestos!$B$23</f>
        <v>-587.0919259486129</v>
      </c>
      <c r="O4" s="14">
        <f>'Flujos de Caja'!D11-('Amortizacion Deuda'!C10*B4/Financiacion!$C$4)-('Amortizacion Deuda'!D10*B4/Financiacion!$C$4)-MAX(0,'Flujos de Caja'!F11-('Amortizacion Deuda'!C10*B4/Financiacion!$C$4))*Supuestos!$B$23</f>
        <v>-572.0335482008929</v>
      </c>
      <c r="P4" s="14">
        <f>'Flujos de Caja'!D12-('Amortizacion Deuda'!C11*B4/Financiacion!$C$4)-('Amortizacion Deuda'!D11*B4/Financiacion!$C$4)-MAX(0,'Flujos de Caja'!F12-('Amortizacion Deuda'!C11*B4/Financiacion!$C$4))*Supuestos!$B$23</f>
        <v>-556.4481272320008</v>
      </c>
      <c r="Q4" s="14">
        <f>'Flujos de Caja'!D13-('Amortizacion Deuda'!C12*B4/Financiacion!$C$4)-('Amortizacion Deuda'!D12*B4/Financiacion!$C$4)-MAX(0,'Flujos de Caja'!F13-('Amortizacion Deuda'!C12*B4/Financiacion!$C$4))*Supuestos!$B$23</f>
        <v>-540.3172165292027</v>
      </c>
      <c r="R4" s="14">
        <f>'Flujos de Caja'!D14-('Amortizacion Deuda'!C13*B4/Financiacion!$C$4)-('Amortizacion Deuda'!D13*B4/Financiacion!$C$4)-MAX(0,'Flujos de Caja'!F14-('Amortizacion Deuda'!C13*B4/Financiacion!$C$4))*Supuestos!$B$23</f>
        <v>493.7095662173897</v>
      </c>
      <c r="S4" s="14">
        <f>'Flujos de Caja'!D15-('Amortizacion Deuda'!C14*B4/Financiacion!$C$4)-('Amortizacion Deuda'!D14*B4/Financiacion!$C$4)-MAX(0,'Flujos de Caja'!F15-('Amortizacion Deuda'!C14*B4/Financiacion!$C$4))*Supuestos!$B$23</f>
        <v>510.9894010349999</v>
      </c>
      <c r="T4" s="14">
        <f>'Flujos de Caja'!D16-('Amortizacion Deuda'!C15*B4/Financiacion!$C$4)-('Amortizacion Deuda'!D15*B4/Financiacion!$C$4)-MAX(0,'Flujos de Caja'!F16-('Amortizacion Deuda'!C15*B4/Financiacion!$C$4))*Supuestos!$B$23</f>
        <v>528.87403007123</v>
      </c>
      <c r="U4" s="14">
        <f>'Flujos de Caja'!D17-('Amortizacion Deuda'!C16*B4/Financiacion!$C$4)-('Amortizacion Deuda'!D16*B4/Financiacion!$C$4)-MAX(0,'Flujos de Caja'!F17-('Amortizacion Deuda'!C16*B4/Financiacion!$C$4))*Supuestos!$B$23</f>
        <v>547.3846211237101</v>
      </c>
      <c r="V4" s="14">
        <f>'Flujos de Caja'!D18-('Amortizacion Deuda'!C17*B4/Financiacion!$C$4)-('Amortizacion Deuda'!D17*B4/Financiacion!$C$4)-MAX(0,'Flujos de Caja'!F18-('Amortizacion Deuda'!C17*B4/Financiacion!$C$4))*Supuestos!$B$23</f>
        <v>566.5430828630499</v>
      </c>
      <c r="W4" s="14">
        <f>'Flujos de Caja'!D19-('Amortizacion Deuda'!C18*B4/Financiacion!$C$4)-('Amortizacion Deuda'!D18*B4/Financiacion!$C$4)-MAX(0,'Flujos de Caja'!F19-('Amortizacion Deuda'!C18*B4/Financiacion!$C$4))*Supuestos!$B$23</f>
        <v>586.3720907632598</v>
      </c>
      <c r="X4" s="14">
        <f>'Flujos de Caja'!D20-('Amortizacion Deuda'!C19*B4/Financiacion!$C$4)-('Amortizacion Deuda'!D19*B4/Financiacion!$C$4)-MAX(0,'Flujos de Caja'!F20-('Amortizacion Deuda'!C19*B4/Financiacion!$C$4))*Supuestos!$B$23</f>
        <v>606.8951139399701</v>
      </c>
      <c r="Y4" s="14">
        <f>'Flujos de Caja'!D21-('Amortizacion Deuda'!C20*B4/Financiacion!$C$4)-('Amortizacion Deuda'!D20*B4/Financiacion!$C$4)-MAX(0,'Flujos de Caja'!F21-('Amortizacion Deuda'!C20*B4/Financiacion!$C$4))*Supuestos!$B$23</f>
        <v>628.1364429278701</v>
      </c>
      <c r="Z4" s="14">
        <f>'Flujos de Caja'!D22-('Amortizacion Deuda'!C21*B4/Financiacion!$C$4)-('Amortizacion Deuda'!D21*B4/Financiacion!$C$4)-MAX(0,'Flujos de Caja'!F22-('Amortizacion Deuda'!C21*B4/Financiacion!$C$4))*Supuestos!$B$23</f>
        <v>650.1212184303399</v>
      </c>
      <c r="AA4" s="14">
        <f>'Flujos de Caja'!D23-('Amortizacion Deuda'!C22*B4/Financiacion!$C$4)-('Amortizacion Deuda'!D22*B4/Financiacion!$C$4)-MAX(0,'Flujos de Caja'!F23-('Amortizacion Deuda'!C22*B4/Financiacion!$C$4))*Supuestos!$B$23</f>
        <v>672.8754610753999</v>
      </c>
      <c r="AB4" s="14">
        <f>'Flujos de Caja'!D24-('Amortizacion Deuda'!C23*B4/Financiacion!$C$4)-('Amortizacion Deuda'!D23*B4/Financiacion!$C$4)-MAX(0,'Flujos de Caja'!F24-('Amortizacion Deuda'!C23*B4/Financiacion!$C$4))*Supuestos!$B$23</f>
        <v>696.4261022130399</v>
      </c>
      <c r="AC4" s="14">
        <f>'Flujos de Caja'!D25-('Amortizacion Deuda'!C24*B4/Financiacion!$C$4)-('Amortizacion Deuda'!D24*B4/Financiacion!$C$4)-MAX(0,'Flujos de Caja'!F25-('Amortizacion Deuda'!C24*B4/Financiacion!$C$4))*Supuestos!$B$23</f>
        <v>720.8010157904996</v>
      </c>
      <c r="AD4" s="14">
        <f>'Flujos de Caja'!D26-('Amortizacion Deuda'!C25*B4/Financiacion!$C$4)-('Amortizacion Deuda'!D25*B4/Financiacion!$C$4)-MAX(0,'Flujos de Caja'!F26-('Amortizacion Deuda'!C25*B4/Financiacion!$C$4))*Supuestos!$B$23</f>
        <v>746.0290513431701</v>
      </c>
      <c r="AE4" s="14">
        <f>'Flujos de Caja'!D27-('Amortizacion Deuda'!C26*B4/Financiacion!$C$4)-('Amortizacion Deuda'!D26*B4/Financiacion!$C$4)-MAX(0,'Flujos de Caja'!F27-('Amortizacion Deuda'!C26*B4/Financiacion!$C$4))*Supuestos!$B$23</f>
        <v>772.1400681401801</v>
      </c>
      <c r="AF4" s="14">
        <f>'Flujos de Caja'!D28-('Amortizacion Deuda'!C27*B4/Financiacion!$C$4)-('Amortizacion Deuda'!D27*B4/Financiacion!$C$4)-MAX(0,'Flujos de Caja'!F28-('Amortizacion Deuda'!C27*B4/Financiacion!$C$4))*Supuestos!$B$23</f>
        <v>799.0512308413083</v>
      </c>
    </row>
    <row r="5" spans="1:32" ht="15">
      <c r="A5" s="13">
        <v>0.6</v>
      </c>
      <c r="B5" s="14">
        <f>(1-A5)/2*Presupuesto!$B$9</f>
        <v>3994.2</v>
      </c>
      <c r="C5" s="14">
        <f>(1-A5)/2*Presupuesto!$B$9</f>
        <v>3994.2</v>
      </c>
      <c r="D5" s="15">
        <f>IRR(G5:AF5)</f>
        <v>0.021826211162366136</v>
      </c>
      <c r="E5" s="14">
        <f>NPV(Supuestos!$B$22,H5:AF5)+G5</f>
        <v>-4496.240748905102</v>
      </c>
      <c r="F5" s="14" t="str">
        <f>IF(D5&gt;=Supuestos!$B$22,"Viable","No viable")</f>
        <v>No viable</v>
      </c>
      <c r="G5" s="14">
        <f>-C5</f>
        <v>-3994.2</v>
      </c>
      <c r="H5" s="14">
        <f>'Flujos de Caja'!D4-('Amortizacion Deuda'!C3*B5/Financiacion!$C$4)-('Amortizacion Deuda'!D3*B5/Financiacion!$C$4)-MAX(0,'Flujos de Caja'!F4-('Amortizacion Deuda'!C3*B5/Financiacion!$C$4))*Supuestos!$B$23</f>
        <v>-328.22086011279555</v>
      </c>
      <c r="I5" s="14">
        <f>'Flujos de Caja'!D5-('Amortizacion Deuda'!C4*B5/Financiacion!$C$4)-('Amortizacion Deuda'!D4*B5/Financiacion!$C$4)-MAX(0,'Flujos de Caja'!F5-('Amortizacion Deuda'!C4*B5/Financiacion!$C$4))*Supuestos!$B$23</f>
        <v>-315.9708601127956</v>
      </c>
      <c r="J5" s="14">
        <f>'Flujos de Caja'!D6-('Amortizacion Deuda'!C5*B5/Financiacion!$C$4)-('Amortizacion Deuda'!D5*B5/Financiacion!$C$4)-MAX(0,'Flujos de Caja'!F6-('Amortizacion Deuda'!C5*B5/Financiacion!$C$4))*Supuestos!$B$23</f>
        <v>-303.292110112796</v>
      </c>
      <c r="K5" s="14">
        <f>'Flujos de Caja'!D7-('Amortizacion Deuda'!C6*B5/Financiacion!$C$4)-('Amortizacion Deuda'!D6*B5/Financiacion!$C$4)-MAX(0,'Flujos de Caja'!F7-('Amortizacion Deuda'!C6*B5/Financiacion!$C$4))*Supuestos!$B$23</f>
        <v>-290.1696038627955</v>
      </c>
      <c r="L5" s="14">
        <f>'Flujos de Caja'!D8-('Amortizacion Deuda'!C7*B5/Financiacion!$C$4)-('Amortizacion Deuda'!D7*B5/Financiacion!$C$4)-MAX(0,'Flujos de Caja'!F8-('Amortizacion Deuda'!C7*B5/Financiacion!$C$4))*Supuestos!$B$23</f>
        <v>-276.58780989404556</v>
      </c>
      <c r="M5" s="14">
        <f>'Flujos de Caja'!D9-('Amortizacion Deuda'!C8*B5/Financiacion!$C$4)-('Amortizacion Deuda'!D8*B5/Financiacion!$C$4)-MAX(0,'Flujos de Caja'!F9-('Amortizacion Deuda'!C8*B5/Financiacion!$C$4))*Supuestos!$B$23</f>
        <v>-262.53065313639576</v>
      </c>
      <c r="N5" s="14">
        <f>'Flujos de Caja'!D10-('Amortizacion Deuda'!C9*B5/Financiacion!$C$4)-('Amortizacion Deuda'!D9*B5/Financiacion!$C$4)-MAX(0,'Flujos de Caja'!F10-('Amortizacion Deuda'!C9*B5/Financiacion!$C$4))*Supuestos!$B$23</f>
        <v>-247.98149589221558</v>
      </c>
      <c r="O5" s="14">
        <f>'Flujos de Caja'!D11-('Amortizacion Deuda'!C10*B5/Financiacion!$C$4)-('Amortizacion Deuda'!D10*B5/Financiacion!$C$4)-MAX(0,'Flujos de Caja'!F11-('Amortizacion Deuda'!C10*B5/Financiacion!$C$4))*Supuestos!$B$23</f>
        <v>-232.92311814449505</v>
      </c>
      <c r="P5" s="14">
        <f>'Flujos de Caja'!D12-('Amortizacion Deuda'!C11*B5/Financiacion!$C$4)-('Amortizacion Deuda'!D11*B5/Financiacion!$C$4)-MAX(0,'Flujos de Caja'!F12-('Amortizacion Deuda'!C11*B5/Financiacion!$C$4))*Supuestos!$B$23</f>
        <v>-217.33769717560762</v>
      </c>
      <c r="Q5" s="14">
        <f>'Flujos de Caja'!D13-('Amortizacion Deuda'!C12*B5/Financiacion!$C$4)-('Amortizacion Deuda'!D12*B5/Financiacion!$C$4)-MAX(0,'Flujos de Caja'!F13-('Amortizacion Deuda'!C12*B5/Financiacion!$C$4))*Supuestos!$B$23</f>
        <v>-201.2067864728034</v>
      </c>
      <c r="R5" s="14">
        <f>'Flujos de Caja'!D14-('Amortizacion Deuda'!C13*B5/Financiacion!$C$4)-('Amortizacion Deuda'!D13*B5/Financiacion!$C$4)-MAX(0,'Flujos de Caja'!F14-('Amortizacion Deuda'!C13*B5/Financiacion!$C$4))*Supuestos!$B$23</f>
        <v>493.7095662173897</v>
      </c>
      <c r="S5" s="14">
        <f>'Flujos de Caja'!D15-('Amortizacion Deuda'!C14*B5/Financiacion!$C$4)-('Amortizacion Deuda'!D14*B5/Financiacion!$C$4)-MAX(0,'Flujos de Caja'!F15-('Amortizacion Deuda'!C14*B5/Financiacion!$C$4))*Supuestos!$B$23</f>
        <v>510.9894010349999</v>
      </c>
      <c r="T5" s="14">
        <f>'Flujos de Caja'!D16-('Amortizacion Deuda'!C15*B5/Financiacion!$C$4)-('Amortizacion Deuda'!D15*B5/Financiacion!$C$4)-MAX(0,'Flujos de Caja'!F16-('Amortizacion Deuda'!C15*B5/Financiacion!$C$4))*Supuestos!$B$23</f>
        <v>528.87403007123</v>
      </c>
      <c r="U5" s="14">
        <f>'Flujos de Caja'!D17-('Amortizacion Deuda'!C16*B5/Financiacion!$C$4)-('Amortizacion Deuda'!D16*B5/Financiacion!$C$4)-MAX(0,'Flujos de Caja'!F17-('Amortizacion Deuda'!C16*B5/Financiacion!$C$4))*Supuestos!$B$23</f>
        <v>547.3846211237101</v>
      </c>
      <c r="V5" s="14">
        <f>'Flujos de Caja'!D18-('Amortizacion Deuda'!C17*B5/Financiacion!$C$4)-('Amortizacion Deuda'!D17*B5/Financiacion!$C$4)-MAX(0,'Flujos de Caja'!F18-('Amortizacion Deuda'!C17*B5/Financiacion!$C$4))*Supuestos!$B$23</f>
        <v>566.5430828630499</v>
      </c>
      <c r="W5" s="14">
        <f>'Flujos de Caja'!D19-('Amortizacion Deuda'!C18*B5/Financiacion!$C$4)-('Amortizacion Deuda'!D18*B5/Financiacion!$C$4)-MAX(0,'Flujos de Caja'!F19-('Amortizacion Deuda'!C18*B5/Financiacion!$C$4))*Supuestos!$B$23</f>
        <v>586.3720907632598</v>
      </c>
      <c r="X5" s="14">
        <f>'Flujos de Caja'!D20-('Amortizacion Deuda'!C19*B5/Financiacion!$C$4)-('Amortizacion Deuda'!D19*B5/Financiacion!$C$4)-MAX(0,'Flujos de Caja'!F20-('Amortizacion Deuda'!C19*B5/Financiacion!$C$4))*Supuestos!$B$23</f>
        <v>606.8951139399701</v>
      </c>
      <c r="Y5" s="14">
        <f>'Flujos de Caja'!D21-('Amortizacion Deuda'!C20*B5/Financiacion!$C$4)-('Amortizacion Deuda'!D20*B5/Financiacion!$C$4)-MAX(0,'Flujos de Caja'!F21-('Amortizacion Deuda'!C20*B5/Financiacion!$C$4))*Supuestos!$B$23</f>
        <v>628.1364429278701</v>
      </c>
      <c r="Z5" s="14">
        <f>'Flujos de Caja'!D22-('Amortizacion Deuda'!C21*B5/Financiacion!$C$4)-('Amortizacion Deuda'!D21*B5/Financiacion!$C$4)-MAX(0,'Flujos de Caja'!F22-('Amortizacion Deuda'!C21*B5/Financiacion!$C$4))*Supuestos!$B$23</f>
        <v>650.1212184303399</v>
      </c>
      <c r="AA5" s="14">
        <f>'Flujos de Caja'!D23-('Amortizacion Deuda'!C22*B5/Financiacion!$C$4)-('Amortizacion Deuda'!D22*B5/Financiacion!$C$4)-MAX(0,'Flujos de Caja'!F23-('Amortizacion Deuda'!C22*B5/Financiacion!$C$4))*Supuestos!$B$23</f>
        <v>672.8754610753999</v>
      </c>
      <c r="AB5" s="14">
        <f>'Flujos de Caja'!D24-('Amortizacion Deuda'!C23*B5/Financiacion!$C$4)-('Amortizacion Deuda'!D23*B5/Financiacion!$C$4)-MAX(0,'Flujos de Caja'!F24-('Amortizacion Deuda'!C23*B5/Financiacion!$C$4))*Supuestos!$B$23</f>
        <v>696.4261022130399</v>
      </c>
      <c r="AC5" s="14">
        <f>'Flujos de Caja'!D25-('Amortizacion Deuda'!C24*B5/Financiacion!$C$4)-('Amortizacion Deuda'!D24*B5/Financiacion!$C$4)-MAX(0,'Flujos de Caja'!F25-('Amortizacion Deuda'!C24*B5/Financiacion!$C$4))*Supuestos!$B$23</f>
        <v>720.8010157904996</v>
      </c>
      <c r="AD5" s="14">
        <f>'Flujos de Caja'!D26-('Amortizacion Deuda'!C25*B5/Financiacion!$C$4)-('Amortizacion Deuda'!D25*B5/Financiacion!$C$4)-MAX(0,'Flujos de Caja'!F26-('Amortizacion Deuda'!C25*B5/Financiacion!$C$4))*Supuestos!$B$23</f>
        <v>746.0290513431701</v>
      </c>
      <c r="AE5" s="14">
        <f>'Flujos de Caja'!D27-('Amortizacion Deuda'!C26*B5/Financiacion!$C$4)-('Amortizacion Deuda'!D26*B5/Financiacion!$C$4)-MAX(0,'Flujos de Caja'!F27-('Amortizacion Deuda'!C26*B5/Financiacion!$C$4))*Supuestos!$B$23</f>
        <v>772.1400681401801</v>
      </c>
      <c r="AF5" s="14">
        <f>'Flujos de Caja'!D28-('Amortizacion Deuda'!C27*B5/Financiacion!$C$4)-('Amortizacion Deuda'!D27*B5/Financiacion!$C$4)-MAX(0,'Flujos de Caja'!F28-('Amortizacion Deuda'!C27*B5/Financiacion!$C$4))*Supuestos!$B$23</f>
        <v>799.0512308413083</v>
      </c>
    </row>
    <row r="6" spans="1:32" ht="15">
      <c r="A6" s="13">
        <v>0.7</v>
      </c>
      <c r="B6" s="14">
        <f>(1-A6)/2*Presupuesto!$B$9</f>
        <v>2995.65</v>
      </c>
      <c r="C6" s="14">
        <f>(1-A6)/2*Presupuesto!$B$9</f>
        <v>2995.65</v>
      </c>
      <c r="D6" s="15">
        <f>IRR(G6:AF6)</f>
        <v>0.05203632439827555</v>
      </c>
      <c r="E6" s="14">
        <f>NPV(Supuestos!$B$22,H6:AF6)+G6</f>
        <v>-2613.271138885842</v>
      </c>
      <c r="F6" s="14" t="str">
        <f>IF(D6&gt;=Supuestos!$B$22,"Viable","No viable")</f>
        <v>No viable</v>
      </c>
      <c r="G6" s="14">
        <f>-C6</f>
        <v>-2995.65</v>
      </c>
      <c r="H6" s="14">
        <f>'Flujos de Caja'!D4-('Amortizacion Deuda'!C3*B6/Financiacion!$C$4)-('Amortizacion Deuda'!D3*B6/Financiacion!$C$4)-MAX(0,'Flujos de Caja'!F4-('Amortizacion Deuda'!C3*B6/Financiacion!$C$4))*Supuestos!$B$23</f>
        <v>-158.66564508459672</v>
      </c>
      <c r="I6" s="14">
        <f>'Flujos de Caja'!D5-('Amortizacion Deuda'!C4*B6/Financiacion!$C$4)-('Amortizacion Deuda'!D4*B6/Financiacion!$C$4)-MAX(0,'Flujos de Caja'!F5-('Amortizacion Deuda'!C4*B6/Financiacion!$C$4))*Supuestos!$B$23</f>
        <v>-146.41564508459666</v>
      </c>
      <c r="J6" s="14">
        <f>'Flujos de Caja'!D6-('Amortizacion Deuda'!C5*B6/Financiacion!$C$4)-('Amortizacion Deuda'!D5*B6/Financiacion!$C$4)-MAX(0,'Flujos de Caja'!F6-('Amortizacion Deuda'!C5*B6/Financiacion!$C$4))*Supuestos!$B$23</f>
        <v>-133.73689508459665</v>
      </c>
      <c r="K6" s="14">
        <f>'Flujos de Caja'!D7-('Amortizacion Deuda'!C6*B6/Financiacion!$C$4)-('Amortizacion Deuda'!D6*B6/Financiacion!$C$4)-MAX(0,'Flujos de Caja'!F7-('Amortizacion Deuda'!C6*B6/Financiacion!$C$4))*Supuestos!$B$23</f>
        <v>-120.61438883459664</v>
      </c>
      <c r="L6" s="14">
        <f>'Flujos de Caja'!D8-('Amortizacion Deuda'!C7*B6/Financiacion!$C$4)-('Amortizacion Deuda'!D7*B6/Financiacion!$C$4)-MAX(0,'Flujos de Caja'!F8-('Amortizacion Deuda'!C7*B6/Financiacion!$C$4))*Supuestos!$B$23</f>
        <v>-107.0325948658467</v>
      </c>
      <c r="M6" s="14">
        <f>'Flujos de Caja'!D9-('Amortizacion Deuda'!C8*B6/Financiacion!$C$4)-('Amortizacion Deuda'!D8*B6/Financiacion!$C$4)-MAX(0,'Flujos de Caja'!F9-('Amortizacion Deuda'!C8*B6/Financiacion!$C$4))*Supuestos!$B$23</f>
        <v>-92.97543810819684</v>
      </c>
      <c r="N6" s="14">
        <f>'Flujos de Caja'!D10-('Amortizacion Deuda'!C9*B6/Financiacion!$C$4)-('Amortizacion Deuda'!D9*B6/Financiacion!$C$4)-MAX(0,'Flujos de Caja'!F10-('Amortizacion Deuda'!C9*B6/Financiacion!$C$4))*Supuestos!$B$23</f>
        <v>-78.42628086401669</v>
      </c>
      <c r="O6" s="14">
        <f>'Flujos de Caja'!D11-('Amortizacion Deuda'!C10*B6/Financiacion!$C$4)-('Amortizacion Deuda'!D10*B6/Financiacion!$C$4)-MAX(0,'Flujos de Caja'!F11-('Amortizacion Deuda'!C10*B6/Financiacion!$C$4))*Supuestos!$B$23</f>
        <v>-63.36790311629716</v>
      </c>
      <c r="P6" s="14">
        <f>'Flujos de Caja'!D12-('Amortizacion Deuda'!C11*B6/Financiacion!$C$4)-('Amortizacion Deuda'!D11*B6/Financiacion!$C$4)-MAX(0,'Flujos de Caja'!F12-('Amortizacion Deuda'!C11*B6/Financiacion!$C$4))*Supuestos!$B$23</f>
        <v>-47.782482147406654</v>
      </c>
      <c r="Q6" s="14">
        <f>'Flujos de Caja'!D13-('Amortizacion Deuda'!C12*B6/Financiacion!$C$4)-('Amortizacion Deuda'!D12*B6/Financiacion!$C$4)-MAX(0,'Flujos de Caja'!F13-('Amortizacion Deuda'!C12*B6/Financiacion!$C$4))*Supuestos!$B$23</f>
        <v>-31.65157144460659</v>
      </c>
      <c r="R6" s="14">
        <f>'Flujos de Caja'!D14-('Amortizacion Deuda'!C13*B6/Financiacion!$C$4)-('Amortizacion Deuda'!D13*B6/Financiacion!$C$4)-MAX(0,'Flujos de Caja'!F14-('Amortizacion Deuda'!C13*B6/Financiacion!$C$4))*Supuestos!$B$23</f>
        <v>493.7095662173897</v>
      </c>
      <c r="S6" s="14">
        <f>'Flujos de Caja'!D15-('Amortizacion Deuda'!C14*B6/Financiacion!$C$4)-('Amortizacion Deuda'!D14*B6/Financiacion!$C$4)-MAX(0,'Flujos de Caja'!F15-('Amortizacion Deuda'!C14*B6/Financiacion!$C$4))*Supuestos!$B$23</f>
        <v>510.9894010349999</v>
      </c>
      <c r="T6" s="14">
        <f>'Flujos de Caja'!D16-('Amortizacion Deuda'!C15*B6/Financiacion!$C$4)-('Amortizacion Deuda'!D15*B6/Financiacion!$C$4)-MAX(0,'Flujos de Caja'!F16-('Amortizacion Deuda'!C15*B6/Financiacion!$C$4))*Supuestos!$B$23</f>
        <v>528.87403007123</v>
      </c>
      <c r="U6" s="14">
        <f>'Flujos de Caja'!D17-('Amortizacion Deuda'!C16*B6/Financiacion!$C$4)-('Amortizacion Deuda'!D16*B6/Financiacion!$C$4)-MAX(0,'Flujos de Caja'!F17-('Amortizacion Deuda'!C16*B6/Financiacion!$C$4))*Supuestos!$B$23</f>
        <v>547.3846211237101</v>
      </c>
      <c r="V6" s="14">
        <f>'Flujos de Caja'!D18-('Amortizacion Deuda'!C17*B6/Financiacion!$C$4)-('Amortizacion Deuda'!D17*B6/Financiacion!$C$4)-MAX(0,'Flujos de Caja'!F18-('Amortizacion Deuda'!C17*B6/Financiacion!$C$4))*Supuestos!$B$23</f>
        <v>566.5430828630499</v>
      </c>
      <c r="W6" s="14">
        <f>'Flujos de Caja'!D19-('Amortizacion Deuda'!C18*B6/Financiacion!$C$4)-('Amortizacion Deuda'!D18*B6/Financiacion!$C$4)-MAX(0,'Flujos de Caja'!F19-('Amortizacion Deuda'!C18*B6/Financiacion!$C$4))*Supuestos!$B$23</f>
        <v>586.3720907632598</v>
      </c>
      <c r="X6" s="14">
        <f>'Flujos de Caja'!D20-('Amortizacion Deuda'!C19*B6/Financiacion!$C$4)-('Amortizacion Deuda'!D19*B6/Financiacion!$C$4)-MAX(0,'Flujos de Caja'!F20-('Amortizacion Deuda'!C19*B6/Financiacion!$C$4))*Supuestos!$B$23</f>
        <v>606.8951139399701</v>
      </c>
      <c r="Y6" s="14">
        <f>'Flujos de Caja'!D21-('Amortizacion Deuda'!C20*B6/Financiacion!$C$4)-('Amortizacion Deuda'!D20*B6/Financiacion!$C$4)-MAX(0,'Flujos de Caja'!F21-('Amortizacion Deuda'!C20*B6/Financiacion!$C$4))*Supuestos!$B$23</f>
        <v>628.1364429278701</v>
      </c>
      <c r="Z6" s="14">
        <f>'Flujos de Caja'!D22-('Amortizacion Deuda'!C21*B6/Financiacion!$C$4)-('Amortizacion Deuda'!D21*B6/Financiacion!$C$4)-MAX(0,'Flujos de Caja'!F22-('Amortizacion Deuda'!C21*B6/Financiacion!$C$4))*Supuestos!$B$23</f>
        <v>650.1212184303399</v>
      </c>
      <c r="AA6" s="14">
        <f>'Flujos de Caja'!D23-('Amortizacion Deuda'!C22*B6/Financiacion!$C$4)-('Amortizacion Deuda'!D22*B6/Financiacion!$C$4)-MAX(0,'Flujos de Caja'!F23-('Amortizacion Deuda'!C22*B6/Financiacion!$C$4))*Supuestos!$B$23</f>
        <v>672.8754610753999</v>
      </c>
      <c r="AB6" s="14">
        <f>'Flujos de Caja'!D24-('Amortizacion Deuda'!C23*B6/Financiacion!$C$4)-('Amortizacion Deuda'!D23*B6/Financiacion!$C$4)-MAX(0,'Flujos de Caja'!F24-('Amortizacion Deuda'!C23*B6/Financiacion!$C$4))*Supuestos!$B$23</f>
        <v>696.4261022130399</v>
      </c>
      <c r="AC6" s="14">
        <f>'Flujos de Caja'!D25-('Amortizacion Deuda'!C24*B6/Financiacion!$C$4)-('Amortizacion Deuda'!D24*B6/Financiacion!$C$4)-MAX(0,'Flujos de Caja'!F25-('Amortizacion Deuda'!C24*B6/Financiacion!$C$4))*Supuestos!$B$23</f>
        <v>720.8010157904996</v>
      </c>
      <c r="AD6" s="14">
        <f>'Flujos de Caja'!D26-('Amortizacion Deuda'!C25*B6/Financiacion!$C$4)-('Amortizacion Deuda'!D25*B6/Financiacion!$C$4)-MAX(0,'Flujos de Caja'!F26-('Amortizacion Deuda'!C25*B6/Financiacion!$C$4))*Supuestos!$B$23</f>
        <v>746.0290513431701</v>
      </c>
      <c r="AE6" s="14">
        <f>'Flujos de Caja'!D27-('Amortizacion Deuda'!C26*B6/Financiacion!$C$4)-('Amortizacion Deuda'!D26*B6/Financiacion!$C$4)-MAX(0,'Flujos de Caja'!F27-('Amortizacion Deuda'!C26*B6/Financiacion!$C$4))*Supuestos!$B$23</f>
        <v>772.1400681401801</v>
      </c>
      <c r="AF6" s="14">
        <f>'Flujos de Caja'!D28-('Amortizacion Deuda'!C27*B6/Financiacion!$C$4)-('Amortizacion Deuda'!D27*B6/Financiacion!$C$4)-MAX(0,'Flujos de Caja'!F28-('Amortizacion Deuda'!C27*B6/Financiacion!$C$4))*Supuestos!$B$23</f>
        <v>799.0512308413083</v>
      </c>
    </row>
    <row r="7" spans="1:32" ht="15">
      <c r="A7" s="13">
        <v>0.8</v>
      </c>
      <c r="B7" s="14">
        <f>(1-A7)/2*Presupuesto!$B$9</f>
        <v>1997.1</v>
      </c>
      <c r="C7" s="14">
        <f>(1-A7)/2*Presupuesto!$B$9</f>
        <v>1997.1</v>
      </c>
      <c r="D7" s="15">
        <f>IRR(G7:AF7)</f>
        <v>0.1046108925530724</v>
      </c>
      <c r="E7" s="14">
        <f>NPV(Supuestos!$B$22,H7:AF7)+G7</f>
        <v>-730.3015288665811</v>
      </c>
      <c r="F7" s="14" t="str">
        <f>IF(D7&gt;=Supuestos!$B$22,"Viable","No viable")</f>
        <v>No viable</v>
      </c>
      <c r="G7" s="14">
        <f>-C7</f>
        <v>-1997.1</v>
      </c>
      <c r="H7" s="14">
        <f>'Flujos de Caja'!D4-('Amortizacion Deuda'!C3*B7/Financiacion!$C$4)-('Amortizacion Deuda'!D3*B7/Financiacion!$C$4)-MAX(0,'Flujos de Caja'!F4-('Amortizacion Deuda'!C3*B7/Financiacion!$C$4))*Supuestos!$B$23</f>
        <v>10.889569943602211</v>
      </c>
      <c r="I7" s="14">
        <f>'Flujos de Caja'!D5-('Amortizacion Deuda'!C4*B7/Financiacion!$C$4)-('Amortizacion Deuda'!D4*B7/Financiacion!$C$4)-MAX(0,'Flujos de Caja'!F5-('Amortizacion Deuda'!C4*B7/Financiacion!$C$4))*Supuestos!$B$23</f>
        <v>23.139569943602197</v>
      </c>
      <c r="J7" s="14">
        <f>'Flujos de Caja'!D6-('Amortizacion Deuda'!C5*B7/Financiacion!$C$4)-('Amortizacion Deuda'!D5*B7/Financiacion!$C$4)-MAX(0,'Flujos de Caja'!F6-('Amortizacion Deuda'!C5*B7/Financiacion!$C$4))*Supuestos!$B$23</f>
        <v>35.81831994360223</v>
      </c>
      <c r="K7" s="14">
        <f>'Flujos de Caja'!D7-('Amortizacion Deuda'!C6*B7/Financiacion!$C$4)-('Amortizacion Deuda'!D6*B7/Financiacion!$C$4)-MAX(0,'Flujos de Caja'!F7-('Amortizacion Deuda'!C6*B7/Financiacion!$C$4))*Supuestos!$B$23</f>
        <v>48.94082619360228</v>
      </c>
      <c r="L7" s="14">
        <f>'Flujos de Caja'!D8-('Amortizacion Deuda'!C7*B7/Financiacion!$C$4)-('Amortizacion Deuda'!D7*B7/Financiacion!$C$4)-MAX(0,'Flujos de Caja'!F8-('Amortizacion Deuda'!C7*B7/Financiacion!$C$4))*Supuestos!$B$23</f>
        <v>62.52262016235218</v>
      </c>
      <c r="M7" s="14">
        <f>'Flujos de Caja'!D9-('Amortizacion Deuda'!C8*B7/Financiacion!$C$4)-('Amortizacion Deuda'!D8*B7/Financiacion!$C$4)-MAX(0,'Flujos de Caja'!F9-('Amortizacion Deuda'!C8*B7/Financiacion!$C$4))*Supuestos!$B$23</f>
        <v>76.57977692000202</v>
      </c>
      <c r="N7" s="14">
        <f>'Flujos de Caja'!D10-('Amortizacion Deuda'!C9*B7/Financiacion!$C$4)-('Amortizacion Deuda'!D9*B7/Financiacion!$C$4)-MAX(0,'Flujos de Caja'!F10-('Amortizacion Deuda'!C9*B7/Financiacion!$C$4))*Supuestos!$B$23</f>
        <v>91.12893416418223</v>
      </c>
      <c r="O7" s="14">
        <f>'Flujos de Caja'!D11-('Amortizacion Deuda'!C10*B7/Financiacion!$C$4)-('Amortizacion Deuda'!D10*B7/Financiacion!$C$4)-MAX(0,'Flujos de Caja'!F11-('Amortizacion Deuda'!C10*B7/Financiacion!$C$4))*Supuestos!$B$23</f>
        <v>106.18731191190221</v>
      </c>
      <c r="P7" s="14">
        <f>'Flujos de Caja'!D12-('Amortizacion Deuda'!C11*B7/Financiacion!$C$4)-('Amortizacion Deuda'!D11*B7/Financiacion!$C$4)-MAX(0,'Flujos de Caja'!F12-('Amortizacion Deuda'!C11*B7/Financiacion!$C$4))*Supuestos!$B$23</f>
        <v>121.77273288079226</v>
      </c>
      <c r="Q7" s="14">
        <f>'Flujos de Caja'!D13-('Amortizacion Deuda'!C12*B7/Financiacion!$C$4)-('Amortizacion Deuda'!D12*B7/Financiacion!$C$4)-MAX(0,'Flujos de Caja'!F13-('Amortizacion Deuda'!C12*B7/Financiacion!$C$4))*Supuestos!$B$23</f>
        <v>137.90364358359233</v>
      </c>
      <c r="R7" s="14">
        <f>'Flujos de Caja'!D14-('Amortizacion Deuda'!C13*B7/Financiacion!$C$4)-('Amortizacion Deuda'!D13*B7/Financiacion!$C$4)-MAX(0,'Flujos de Caja'!F14-('Amortizacion Deuda'!C13*B7/Financiacion!$C$4))*Supuestos!$B$23</f>
        <v>493.7095662173897</v>
      </c>
      <c r="S7" s="14">
        <f>'Flujos de Caja'!D15-('Amortizacion Deuda'!C14*B7/Financiacion!$C$4)-('Amortizacion Deuda'!D14*B7/Financiacion!$C$4)-MAX(0,'Flujos de Caja'!F15-('Amortizacion Deuda'!C14*B7/Financiacion!$C$4))*Supuestos!$B$23</f>
        <v>510.9894010349999</v>
      </c>
      <c r="T7" s="14">
        <f>'Flujos de Caja'!D16-('Amortizacion Deuda'!C15*B7/Financiacion!$C$4)-('Amortizacion Deuda'!D15*B7/Financiacion!$C$4)-MAX(0,'Flujos de Caja'!F16-('Amortizacion Deuda'!C15*B7/Financiacion!$C$4))*Supuestos!$B$23</f>
        <v>528.87403007123</v>
      </c>
      <c r="U7" s="14">
        <f>'Flujos de Caja'!D17-('Amortizacion Deuda'!C16*B7/Financiacion!$C$4)-('Amortizacion Deuda'!D16*B7/Financiacion!$C$4)-MAX(0,'Flujos de Caja'!F17-('Amortizacion Deuda'!C16*B7/Financiacion!$C$4))*Supuestos!$B$23</f>
        <v>547.3846211237101</v>
      </c>
      <c r="V7" s="14">
        <f>'Flujos de Caja'!D18-('Amortizacion Deuda'!C17*B7/Financiacion!$C$4)-('Amortizacion Deuda'!D17*B7/Financiacion!$C$4)-MAX(0,'Flujos de Caja'!F18-('Amortizacion Deuda'!C17*B7/Financiacion!$C$4))*Supuestos!$B$23</f>
        <v>566.5430828630499</v>
      </c>
      <c r="W7" s="14">
        <f>'Flujos de Caja'!D19-('Amortizacion Deuda'!C18*B7/Financiacion!$C$4)-('Amortizacion Deuda'!D18*B7/Financiacion!$C$4)-MAX(0,'Flujos de Caja'!F19-('Amortizacion Deuda'!C18*B7/Financiacion!$C$4))*Supuestos!$B$23</f>
        <v>586.3720907632598</v>
      </c>
      <c r="X7" s="14">
        <f>'Flujos de Caja'!D20-('Amortizacion Deuda'!C19*B7/Financiacion!$C$4)-('Amortizacion Deuda'!D19*B7/Financiacion!$C$4)-MAX(0,'Flujos de Caja'!F20-('Amortizacion Deuda'!C19*B7/Financiacion!$C$4))*Supuestos!$B$23</f>
        <v>606.8951139399701</v>
      </c>
      <c r="Y7" s="14">
        <f>'Flujos de Caja'!D21-('Amortizacion Deuda'!C20*B7/Financiacion!$C$4)-('Amortizacion Deuda'!D20*B7/Financiacion!$C$4)-MAX(0,'Flujos de Caja'!F21-('Amortizacion Deuda'!C20*B7/Financiacion!$C$4))*Supuestos!$B$23</f>
        <v>628.1364429278701</v>
      </c>
      <c r="Z7" s="14">
        <f>'Flujos de Caja'!D22-('Amortizacion Deuda'!C21*B7/Financiacion!$C$4)-('Amortizacion Deuda'!D21*B7/Financiacion!$C$4)-MAX(0,'Flujos de Caja'!F22-('Amortizacion Deuda'!C21*B7/Financiacion!$C$4))*Supuestos!$B$23</f>
        <v>650.1212184303399</v>
      </c>
      <c r="AA7" s="14">
        <f>'Flujos de Caja'!D23-('Amortizacion Deuda'!C22*B7/Financiacion!$C$4)-('Amortizacion Deuda'!D22*B7/Financiacion!$C$4)-MAX(0,'Flujos de Caja'!F23-('Amortizacion Deuda'!C22*B7/Financiacion!$C$4))*Supuestos!$B$23</f>
        <v>672.8754610753999</v>
      </c>
      <c r="AB7" s="14">
        <f>'Flujos de Caja'!D24-('Amortizacion Deuda'!C23*B7/Financiacion!$C$4)-('Amortizacion Deuda'!D23*B7/Financiacion!$C$4)-MAX(0,'Flujos de Caja'!F24-('Amortizacion Deuda'!C23*B7/Financiacion!$C$4))*Supuestos!$B$23</f>
        <v>696.4261022130399</v>
      </c>
      <c r="AC7" s="14">
        <f>'Flujos de Caja'!D25-('Amortizacion Deuda'!C24*B7/Financiacion!$C$4)-('Amortizacion Deuda'!D24*B7/Financiacion!$C$4)-MAX(0,'Flujos de Caja'!F25-('Amortizacion Deuda'!C24*B7/Financiacion!$C$4))*Supuestos!$B$23</f>
        <v>720.8010157904996</v>
      </c>
      <c r="AD7" s="14">
        <f>'Flujos de Caja'!D26-('Amortizacion Deuda'!C25*B7/Financiacion!$C$4)-('Amortizacion Deuda'!D25*B7/Financiacion!$C$4)-MAX(0,'Flujos de Caja'!F26-('Amortizacion Deuda'!C25*B7/Financiacion!$C$4))*Supuestos!$B$23</f>
        <v>746.0290513431701</v>
      </c>
      <c r="AE7" s="14">
        <f>'Flujos de Caja'!D27-('Amortizacion Deuda'!C26*B7/Financiacion!$C$4)-('Amortizacion Deuda'!D26*B7/Financiacion!$C$4)-MAX(0,'Flujos de Caja'!F27-('Amortizacion Deuda'!C26*B7/Financiacion!$C$4))*Supuestos!$B$23</f>
        <v>772.1400681401801</v>
      </c>
      <c r="AF7" s="14">
        <f>'Flujos de Caja'!D28-('Amortizacion Deuda'!C27*B7/Financiacion!$C$4)-('Amortizacion Deuda'!D27*B7/Financiacion!$C$4)-MAX(0,'Flujos de Caja'!F28-('Amortizacion Deuda'!C27*B7/Financiacion!$C$4))*Supuestos!$B$23</f>
        <v>799.0512308413083</v>
      </c>
    </row>
    <row r="8" spans="1:32" ht="15">
      <c r="A8" s="13">
        <v>0.9</v>
      </c>
      <c r="B8" s="14">
        <f>(1-A8)/2*Presupuesto!$B$9</f>
        <v>998.55</v>
      </c>
      <c r="C8" s="14">
        <f>(1-A8)/2*Presupuesto!$B$9</f>
        <v>998.55</v>
      </c>
      <c r="D8" s="15">
        <f>IRR(G8:AF8)</f>
        <v>0.2517685608889223</v>
      </c>
      <c r="E8" s="14">
        <f>NPV(Supuestos!$B$22,H8:AF8)+G8</f>
        <v>1152.6680811526796</v>
      </c>
      <c r="F8" s="14" t="str">
        <f>IF(D8&gt;=Supuestos!$B$22,"Viable","No viable")</f>
        <v>Viable</v>
      </c>
      <c r="G8" s="14">
        <f>-C8</f>
        <v>-998.55</v>
      </c>
      <c r="H8" s="14">
        <f>'Flujos de Caja'!D4-('Amortizacion Deuda'!C3*B8/Financiacion!$C$4)-('Amortizacion Deuda'!D3*B8/Financiacion!$C$4)-MAX(0,'Flujos de Caja'!F4-('Amortizacion Deuda'!C3*B8/Financiacion!$C$4))*Supuestos!$B$23</f>
        <v>180.44478497180108</v>
      </c>
      <c r="I8" s="14">
        <f>'Flujos de Caja'!D5-('Amortizacion Deuda'!C4*B8/Financiacion!$C$4)-('Amortizacion Deuda'!D4*B8/Financiacion!$C$4)-MAX(0,'Flujos de Caja'!F5-('Amortizacion Deuda'!C4*B8/Financiacion!$C$4))*Supuestos!$B$23</f>
        <v>192.6947849718011</v>
      </c>
      <c r="J8" s="14">
        <f>'Flujos de Caja'!D6-('Amortizacion Deuda'!C5*B8/Financiacion!$C$4)-('Amortizacion Deuda'!D5*B8/Financiacion!$C$4)-MAX(0,'Flujos de Caja'!F6-('Amortizacion Deuda'!C5*B8/Financiacion!$C$4))*Supuestos!$B$23</f>
        <v>205.37353497180118</v>
      </c>
      <c r="K8" s="14">
        <f>'Flujos de Caja'!D7-('Amortizacion Deuda'!C6*B8/Financiacion!$C$4)-('Amortizacion Deuda'!D6*B8/Financiacion!$C$4)-MAX(0,'Flujos de Caja'!F7-('Amortizacion Deuda'!C6*B8/Financiacion!$C$4))*Supuestos!$B$23</f>
        <v>218.4960412218012</v>
      </c>
      <c r="L8" s="14">
        <f>'Flujos de Caja'!D8-('Amortizacion Deuda'!C7*B8/Financiacion!$C$4)-('Amortizacion Deuda'!D7*B8/Financiacion!$C$4)-MAX(0,'Flujos de Caja'!F8-('Amortizacion Deuda'!C7*B8/Financiacion!$C$4))*Supuestos!$B$23</f>
        <v>232.07783519055107</v>
      </c>
      <c r="M8" s="14">
        <f>'Flujos de Caja'!D9-('Amortizacion Deuda'!C8*B8/Financiacion!$C$4)-('Amortizacion Deuda'!D8*B8/Financiacion!$C$4)-MAX(0,'Flujos de Caja'!F9-('Amortizacion Deuda'!C8*B8/Financiacion!$C$4))*Supuestos!$B$23</f>
        <v>246.13499194820096</v>
      </c>
      <c r="N8" s="14">
        <f>'Flujos de Caja'!D10-('Amortizacion Deuda'!C9*B8/Financiacion!$C$4)-('Amortizacion Deuda'!D9*B8/Financiacion!$C$4)-MAX(0,'Flujos de Caja'!F10-('Amortizacion Deuda'!C9*B8/Financiacion!$C$4))*Supuestos!$B$23</f>
        <v>260.6841491923811</v>
      </c>
      <c r="O8" s="14">
        <f>'Flujos de Caja'!D11-('Amortizacion Deuda'!C10*B8/Financiacion!$C$4)-('Amortizacion Deuda'!D10*B8/Financiacion!$C$4)-MAX(0,'Flujos de Caja'!F11-('Amortizacion Deuda'!C10*B8/Financiacion!$C$4))*Supuestos!$B$23</f>
        <v>275.7425269401012</v>
      </c>
      <c r="P8" s="14">
        <f>'Flujos de Caja'!D12-('Amortizacion Deuda'!C11*B8/Financiacion!$C$4)-('Amortizacion Deuda'!D11*B8/Financiacion!$C$4)-MAX(0,'Flujos de Caja'!F12-('Amortizacion Deuda'!C11*B8/Financiacion!$C$4))*Supuestos!$B$23</f>
        <v>291.32794790899123</v>
      </c>
      <c r="Q8" s="14">
        <f>'Flujos de Caja'!D13-('Amortizacion Deuda'!C12*B8/Financiacion!$C$4)-('Amortizacion Deuda'!D12*B8/Financiacion!$C$4)-MAX(0,'Flujos de Caja'!F13-('Amortizacion Deuda'!C12*B8/Financiacion!$C$4))*Supuestos!$B$23</f>
        <v>307.458858611791</v>
      </c>
      <c r="R8" s="14">
        <f>'Flujos de Caja'!D14-('Amortizacion Deuda'!C13*B8/Financiacion!$C$4)-('Amortizacion Deuda'!D13*B8/Financiacion!$C$4)-MAX(0,'Flujos de Caja'!F14-('Amortizacion Deuda'!C13*B8/Financiacion!$C$4))*Supuestos!$B$23</f>
        <v>493.7095662173897</v>
      </c>
      <c r="S8" s="14">
        <f>'Flujos de Caja'!D15-('Amortizacion Deuda'!C14*B8/Financiacion!$C$4)-('Amortizacion Deuda'!D14*B8/Financiacion!$C$4)-MAX(0,'Flujos de Caja'!F15-('Amortizacion Deuda'!C14*B8/Financiacion!$C$4))*Supuestos!$B$23</f>
        <v>510.9894010349999</v>
      </c>
      <c r="T8" s="14">
        <f>'Flujos de Caja'!D16-('Amortizacion Deuda'!C15*B8/Financiacion!$C$4)-('Amortizacion Deuda'!D15*B8/Financiacion!$C$4)-MAX(0,'Flujos de Caja'!F16-('Amortizacion Deuda'!C15*B8/Financiacion!$C$4))*Supuestos!$B$23</f>
        <v>528.87403007123</v>
      </c>
      <c r="U8" s="14">
        <f>'Flujos de Caja'!D17-('Amortizacion Deuda'!C16*B8/Financiacion!$C$4)-('Amortizacion Deuda'!D16*B8/Financiacion!$C$4)-MAX(0,'Flujos de Caja'!F17-('Amortizacion Deuda'!C16*B8/Financiacion!$C$4))*Supuestos!$B$23</f>
        <v>547.3846211237101</v>
      </c>
      <c r="V8" s="14">
        <f>'Flujos de Caja'!D18-('Amortizacion Deuda'!C17*B8/Financiacion!$C$4)-('Amortizacion Deuda'!D17*B8/Financiacion!$C$4)-MAX(0,'Flujos de Caja'!F18-('Amortizacion Deuda'!C17*B8/Financiacion!$C$4))*Supuestos!$B$23</f>
        <v>566.5430828630499</v>
      </c>
      <c r="W8" s="14">
        <f>'Flujos de Caja'!D19-('Amortizacion Deuda'!C18*B8/Financiacion!$C$4)-('Amortizacion Deuda'!D18*B8/Financiacion!$C$4)-MAX(0,'Flujos de Caja'!F19-('Amortizacion Deuda'!C18*B8/Financiacion!$C$4))*Supuestos!$B$23</f>
        <v>586.3720907632598</v>
      </c>
      <c r="X8" s="14">
        <f>'Flujos de Caja'!D20-('Amortizacion Deuda'!C19*B8/Financiacion!$C$4)-('Amortizacion Deuda'!D19*B8/Financiacion!$C$4)-MAX(0,'Flujos de Caja'!F20-('Amortizacion Deuda'!C19*B8/Financiacion!$C$4))*Supuestos!$B$23</f>
        <v>606.8951139399701</v>
      </c>
      <c r="Y8" s="14">
        <f>'Flujos de Caja'!D21-('Amortizacion Deuda'!C20*B8/Financiacion!$C$4)-('Amortizacion Deuda'!D20*B8/Financiacion!$C$4)-MAX(0,'Flujos de Caja'!F21-('Amortizacion Deuda'!C20*B8/Financiacion!$C$4))*Supuestos!$B$23</f>
        <v>628.1364429278701</v>
      </c>
      <c r="Z8" s="14">
        <f>'Flujos de Caja'!D22-('Amortizacion Deuda'!C21*B8/Financiacion!$C$4)-('Amortizacion Deuda'!D21*B8/Financiacion!$C$4)-MAX(0,'Flujos de Caja'!F22-('Amortizacion Deuda'!C21*B8/Financiacion!$C$4))*Supuestos!$B$23</f>
        <v>650.1212184303399</v>
      </c>
      <c r="AA8" s="14">
        <f>'Flujos de Caja'!D23-('Amortizacion Deuda'!C22*B8/Financiacion!$C$4)-('Amortizacion Deuda'!D22*B8/Financiacion!$C$4)-MAX(0,'Flujos de Caja'!F23-('Amortizacion Deuda'!C22*B8/Financiacion!$C$4))*Supuestos!$B$23</f>
        <v>672.8754610753999</v>
      </c>
      <c r="AB8" s="14">
        <f>'Flujos de Caja'!D24-('Amortizacion Deuda'!C23*B8/Financiacion!$C$4)-('Amortizacion Deuda'!D23*B8/Financiacion!$C$4)-MAX(0,'Flujos de Caja'!F24-('Amortizacion Deuda'!C23*B8/Financiacion!$C$4))*Supuestos!$B$23</f>
        <v>696.4261022130399</v>
      </c>
      <c r="AC8" s="14">
        <f>'Flujos de Caja'!D25-('Amortizacion Deuda'!C24*B8/Financiacion!$C$4)-('Amortizacion Deuda'!D24*B8/Financiacion!$C$4)-MAX(0,'Flujos de Caja'!F25-('Amortizacion Deuda'!C24*B8/Financiacion!$C$4))*Supuestos!$B$23</f>
        <v>720.8010157904996</v>
      </c>
      <c r="AD8" s="14">
        <f>'Flujos de Caja'!D26-('Amortizacion Deuda'!C25*B8/Financiacion!$C$4)-('Amortizacion Deuda'!D25*B8/Financiacion!$C$4)-MAX(0,'Flujos de Caja'!F26-('Amortizacion Deuda'!C25*B8/Financiacion!$C$4))*Supuestos!$B$23</f>
        <v>746.0290513431701</v>
      </c>
      <c r="AE8" s="14">
        <f>'Flujos de Caja'!D27-('Amortizacion Deuda'!C26*B8/Financiacion!$C$4)-('Amortizacion Deuda'!D26*B8/Financiacion!$C$4)-MAX(0,'Flujos de Caja'!F27-('Amortizacion Deuda'!C26*B8/Financiacion!$C$4))*Supuestos!$B$23</f>
        <v>772.1400681401801</v>
      </c>
      <c r="AF8" s="14">
        <f>'Flujos de Caja'!D28-('Amortizacion Deuda'!C27*B8/Financiacion!$C$4)-('Amortizacion Deuda'!D27*B8/Financiacion!$C$4)-MAX(0,'Flujos de Caja'!F28-('Amortizacion Deuda'!C27*B8/Financiacion!$C$4))*Supuestos!$B$23</f>
        <v>799.0512308413083</v>
      </c>
    </row>
  </sheetData>
  <autoFilter ref="A2:AF2"/>
  <mergeCells count="1">
    <mergeCell ref="A1:AF1"/>
  </mergeCells>
  <printOptions/>
  <pageMargins left="0.75" right="0.75" top="1" bottom="1" header="0.5" footer="0.5"/>
  <pageSetup fitToHeight="0" fitToWidth="1" horizontalDpi="600" verticalDpi="600" orientation="landscape"/>
  <headerFooter>
    <oddFooter>&amp;RPágina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30.00390625" style="0" customWidth="1"/>
    <col min="2" max="2" width="20.00390625" style="0" customWidth="1"/>
    <col min="3" max="3" width="24.00390625" style="0" customWidth="1"/>
    <col min="4" max="4" width="27.00390625" style="0" customWidth="1"/>
  </cols>
  <sheetData>
    <row r="1" ht="15">
      <c r="A1" s="4" t="s">
        <v>94</v>
      </c>
    </row>
    <row r="2" spans="1:4" ht="15">
      <c r="A2" s="5" t="s">
        <v>95</v>
      </c>
      <c r="B2" s="5" t="s">
        <v>96</v>
      </c>
      <c r="C2" s="5" t="s">
        <v>97</v>
      </c>
      <c r="D2" s="5" t="s">
        <v>98</v>
      </c>
    </row>
    <row r="3" spans="1:4" ht="15">
      <c r="A3" s="3" t="s">
        <v>99</v>
      </c>
      <c r="B3" s="10">
        <f>Financiacion!B8</f>
        <v>0.09315</v>
      </c>
      <c r="C3" s="3" t="s">
        <v>100</v>
      </c>
      <c r="D3" s="3" t="s">
        <v>101</v>
      </c>
    </row>
    <row r="4" spans="1:4" ht="15">
      <c r="A4" s="3" t="s">
        <v>102</v>
      </c>
      <c r="B4" s="8">
        <f>NPV(B3,'Flujos de Caja'!L4:L28)+'Flujos de Caja'!L3</f>
        <v>-15486.829598504228</v>
      </c>
      <c r="C4" s="3" t="s">
        <v>103</v>
      </c>
      <c r="D4" s="3" t="str">
        <f>IF(B4&gt;0,"Viable","No viable")</f>
        <v>No viable</v>
      </c>
    </row>
    <row r="5" spans="1:4" ht="15">
      <c r="A5" s="3" t="s">
        <v>104</v>
      </c>
      <c r="B5" s="10">
        <f>IRR('Flujos de Caja'!L3:L28)</f>
        <v>-0.024525933826823654</v>
      </c>
      <c r="C5" s="3" t="s">
        <v>105</v>
      </c>
      <c r="D5" s="3" t="str">
        <f>IF(B5&gt;B3,"Viable","No viable")</f>
        <v>No viable</v>
      </c>
    </row>
    <row r="6" spans="1:4" ht="15">
      <c r="A6" s="3" t="s">
        <v>106</v>
      </c>
      <c r="B6" s="8">
        <f>NPV(Supuestos!B22,'Flujos de Caja'!M4:M28)+'Flujos de Caja'!M3</f>
        <v>-730.3015288665811</v>
      </c>
      <c r="C6" s="3" t="s">
        <v>107</v>
      </c>
      <c r="D6" s="3" t="str">
        <f>IF(B6&gt;0,"Viable","No alcanza Ke")</f>
        <v>No alcanza Ke</v>
      </c>
    </row>
    <row r="7" spans="1:4" ht="15">
      <c r="A7" s="3" t="s">
        <v>108</v>
      </c>
      <c r="B7" s="10">
        <f>IRR('Flujos de Caja'!M3:M28)</f>
        <v>0.10461089255307242</v>
      </c>
      <c r="C7" s="3" t="s">
        <v>109</v>
      </c>
      <c r="D7" s="3" t="str">
        <f>IF(B7&gt;Supuestos!B22,"Viable","No alcanza Ke")</f>
        <v>No alcanza Ke</v>
      </c>
    </row>
    <row r="8" spans="1:4" ht="15">
      <c r="A8" s="3" t="s">
        <v>110</v>
      </c>
      <c r="B8" s="8">
        <f>NPV(Supuestos!B25,'Flujos de Caja'!P4:P28)+'Flujos de Caja'!P3</f>
        <v>19625.705143047235</v>
      </c>
      <c r="C8" s="3" t="s">
        <v>111</v>
      </c>
      <c r="D8" s="3" t="str">
        <f>IF(B8&gt;0,"Viable","No viable")</f>
        <v>Viable</v>
      </c>
    </row>
    <row r="9" spans="1:4" ht="15">
      <c r="A9" s="3" t="s">
        <v>112</v>
      </c>
      <c r="B9" s="3">
        <f>NPV(Supuestos!B25,'Flujos de Caja'!O4:O28)/(Presupuesto!B9+NPV(Supuestos!B25,'Flujos de Caja'!C4:C28))</f>
        <v>1.5583457184604053</v>
      </c>
      <c r="C9" s="3" t="s">
        <v>113</v>
      </c>
      <c r="D9" s="3" t="str">
        <f>IF(B9&gt;1,"Viable","No viable")</f>
        <v>Viable</v>
      </c>
    </row>
    <row r="10" spans="1:4" ht="15">
      <c r="A10" s="3" t="s">
        <v>114</v>
      </c>
      <c r="B10" s="10">
        <f>IRR('Flujos de Caja'!N3:N28)</f>
        <v>0.10999999999958883</v>
      </c>
      <c r="C10" s="3" t="s">
        <v>115</v>
      </c>
      <c r="D10" s="3" t="str">
        <f>IF(ABS(B10-Supuestos!B21)&lt;0.000001,"Concilia","Revisar")</f>
        <v>Concilia</v>
      </c>
    </row>
  </sheetData>
  <autoFilter ref="A2:D2"/>
  <mergeCells count="1">
    <mergeCell ref="A1:D1"/>
  </mergeCells>
  <printOptions/>
  <pageMargins left="0.75" right="0.75" top="1" bottom="1" header="0.5" footer="0.5"/>
  <pageSetup fitToHeight="0" fitToWidth="1" horizontalDpi="600" verticalDpi="600" orientation="portrait"/>
  <headerFooter>
    <oddFooter>&amp;RPágina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6"/>
  <sheetViews>
    <sheetView showGridLines="0" workbookViewId="0" topLeftCell="A1">
      <pane ySplit="2" topLeftCell="A3" activePane="bottomLeft" state="frozen"/>
      <selection pane="bottomLeft" activeCell="A1" sqref="A1"/>
    </sheetView>
  </sheetViews>
  <sheetFormatPr defaultColWidth="9.140625" defaultRowHeight="15"/>
  <cols>
    <col min="1" max="1" width="6.00390625" style="0" customWidth="1"/>
    <col min="2" max="2" width="45.00390625" style="0" customWidth="1"/>
    <col min="3" max="3" width="15.00390625" style="0" customWidth="1"/>
    <col min="4" max="4" width="65.00390625" style="0" customWidth="1"/>
    <col min="5" max="6" width="10.00390625" style="0" customWidth="1"/>
    <col min="7" max="7" width="13.00390625" style="0" customWidth="1"/>
    <col min="8" max="8" width="16.00390625" style="0" customWidth="1"/>
  </cols>
  <sheetData>
    <row r="1" ht="15">
      <c r="A1" s="4" t="s">
        <v>0</v>
      </c>
    </row>
    <row r="2" spans="1:8" ht="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5">
      <c r="A3" s="11">
        <v>1</v>
      </c>
      <c r="B3" s="11" t="s">
        <v>9</v>
      </c>
      <c r="C3" s="11" t="s">
        <v>10</v>
      </c>
      <c r="D3" s="11">
        <v>4</v>
      </c>
      <c r="E3" s="11">
        <v>4</v>
      </c>
      <c r="F3" s="11">
        <f>D3*E3</f>
        <v>16</v>
      </c>
      <c r="G3" s="11" t="str">
        <f>IF(F3&lt;=6,"Bajo",IF(F3&lt;=12,"Medio","Alto"))</f>
        <v>Alto</v>
      </c>
      <c r="H3" s="11" t="s">
        <v>11</v>
      </c>
    </row>
    <row r="4" spans="1:8" ht="15">
      <c r="A4" s="11">
        <v>2</v>
      </c>
      <c r="B4" s="11" t="s">
        <v>12</v>
      </c>
      <c r="C4" s="11" t="s">
        <v>13</v>
      </c>
      <c r="D4" s="11">
        <v>4</v>
      </c>
      <c r="E4" s="11">
        <v>3</v>
      </c>
      <c r="F4" s="11">
        <f>D4*E4</f>
        <v>12</v>
      </c>
      <c r="G4" s="11" t="str">
        <f>IF(F4&lt;=6,"Bajo",IF(F4&lt;=12,"Medio","Alto"))</f>
        <v>Medio</v>
      </c>
      <c r="H4" s="11"/>
    </row>
    <row r="5" spans="1:8" ht="15">
      <c r="A5" s="11">
        <v>3</v>
      </c>
      <c r="B5" s="11" t="s">
        <v>14</v>
      </c>
      <c r="C5" s="11" t="s">
        <v>15</v>
      </c>
      <c r="D5" s="11">
        <v>3</v>
      </c>
      <c r="E5" s="11">
        <v>4</v>
      </c>
      <c r="F5" s="11">
        <f>D5*E5</f>
        <v>12</v>
      </c>
      <c r="G5" s="11" t="str">
        <f>IF(F5&lt;=6,"Bajo",IF(F5&lt;=12,"Medio","Alto"))</f>
        <v>Medio</v>
      </c>
      <c r="H5" s="11"/>
    </row>
    <row r="6" spans="1:8" ht="15">
      <c r="A6" s="11">
        <v>4</v>
      </c>
      <c r="B6" s="11" t="s">
        <v>16</v>
      </c>
      <c r="C6" s="11" t="s">
        <v>17</v>
      </c>
      <c r="D6" s="11">
        <v>3</v>
      </c>
      <c r="E6" s="11">
        <v>5</v>
      </c>
      <c r="F6" s="11">
        <f>D6*E6</f>
        <v>15</v>
      </c>
      <c r="G6" s="11" t="str">
        <f>IF(F6&lt;=6,"Bajo",IF(F6&lt;=12,"Medio","Alto"))</f>
        <v>Alto</v>
      </c>
      <c r="H6" s="11" t="s">
        <v>18</v>
      </c>
    </row>
    <row r="7" spans="1:8" ht="15">
      <c r="A7" s="11">
        <v>5</v>
      </c>
      <c r="B7" s="11" t="s">
        <v>19</v>
      </c>
      <c r="C7" s="11" t="s">
        <v>20</v>
      </c>
      <c r="D7" s="11">
        <v>3</v>
      </c>
      <c r="E7" s="11">
        <v>4</v>
      </c>
      <c r="F7" s="11">
        <f>D7*E7</f>
        <v>12</v>
      </c>
      <c r="G7" s="11" t="str">
        <f>IF(F7&lt;=6,"Bajo",IF(F7&lt;=12,"Medio","Alto"))</f>
        <v>Medio</v>
      </c>
      <c r="H7" s="11"/>
    </row>
    <row r="8" spans="1:8" ht="15">
      <c r="A8" s="11">
        <v>6</v>
      </c>
      <c r="B8" s="11" t="s">
        <v>21</v>
      </c>
      <c r="C8" s="11" t="s">
        <v>22</v>
      </c>
      <c r="D8" s="11">
        <v>4</v>
      </c>
      <c r="E8" s="11">
        <v>4</v>
      </c>
      <c r="F8" s="11">
        <f>D8*E8</f>
        <v>16</v>
      </c>
      <c r="G8" s="11" t="str">
        <f>IF(F8&lt;=6,"Bajo",IF(F8&lt;=12,"Medio","Alto"))</f>
        <v>Alto</v>
      </c>
      <c r="H8" s="11" t="s">
        <v>23</v>
      </c>
    </row>
    <row r="9" spans="1:8" ht="15">
      <c r="A9" s="11">
        <v>7</v>
      </c>
      <c r="B9" s="11" t="s">
        <v>24</v>
      </c>
      <c r="C9" s="11" t="s">
        <v>25</v>
      </c>
      <c r="D9" s="11">
        <v>2</v>
      </c>
      <c r="E9" s="11">
        <v>4</v>
      </c>
      <c r="F9" s="11">
        <f>D9*E9</f>
        <v>8</v>
      </c>
      <c r="G9" s="11" t="str">
        <f>IF(F9&lt;=6,"Bajo",IF(F9&lt;=12,"Medio","Alto"))</f>
        <v>Medio</v>
      </c>
      <c r="H9" s="11"/>
    </row>
    <row r="10" spans="1:8" ht="15">
      <c r="A10" s="11">
        <v>8</v>
      </c>
      <c r="B10" s="11" t="s">
        <v>26</v>
      </c>
      <c r="C10" s="11" t="s">
        <v>27</v>
      </c>
      <c r="D10" s="11">
        <v>4</v>
      </c>
      <c r="E10" s="11">
        <v>5</v>
      </c>
      <c r="F10" s="11">
        <f>D10*E10</f>
        <v>20</v>
      </c>
      <c r="G10" s="11" t="str">
        <f>IF(F10&lt;=6,"Bajo",IF(F10&lt;=12,"Medio","Alto"))</f>
        <v>Alto</v>
      </c>
      <c r="H10" s="11" t="s">
        <v>28</v>
      </c>
    </row>
    <row r="11" spans="1:8" ht="15">
      <c r="A11" s="11">
        <v>9</v>
      </c>
      <c r="B11" s="11" t="s">
        <v>29</v>
      </c>
      <c r="C11" s="11" t="s">
        <v>30</v>
      </c>
      <c r="D11" s="11">
        <v>4</v>
      </c>
      <c r="E11" s="11">
        <v>4</v>
      </c>
      <c r="F11" s="11">
        <f>D11*E11</f>
        <v>16</v>
      </c>
      <c r="G11" s="11" t="str">
        <f>IF(F11&lt;=6,"Bajo",IF(F11&lt;=12,"Medio","Alto"))</f>
        <v>Alto</v>
      </c>
      <c r="H11" s="11" t="s">
        <v>31</v>
      </c>
    </row>
    <row r="12" spans="1:8" ht="15">
      <c r="A12" s="11">
        <v>10</v>
      </c>
      <c r="B12" s="11" t="s">
        <v>32</v>
      </c>
      <c r="C12" s="11" t="s">
        <v>33</v>
      </c>
      <c r="D12" s="11">
        <v>3</v>
      </c>
      <c r="E12" s="11">
        <v>4</v>
      </c>
      <c r="F12" s="11">
        <f>D12*E12</f>
        <v>12</v>
      </c>
      <c r="G12" s="11" t="str">
        <f>IF(F12&lt;=6,"Bajo",IF(F12&lt;=12,"Medio","Alto"))</f>
        <v>Medio</v>
      </c>
      <c r="H12" s="11"/>
    </row>
    <row r="13" spans="1:8" ht="15">
      <c r="A13" s="11">
        <v>11</v>
      </c>
      <c r="B13" s="11" t="s">
        <v>34</v>
      </c>
      <c r="C13" s="11" t="s">
        <v>35</v>
      </c>
      <c r="D13" s="11">
        <v>3</v>
      </c>
      <c r="E13" s="11">
        <v>4</v>
      </c>
      <c r="F13" s="11">
        <f>D13*E13</f>
        <v>12</v>
      </c>
      <c r="G13" s="11" t="str">
        <f>IF(F13&lt;=6,"Bajo",IF(F13&lt;=12,"Medio","Alto"))</f>
        <v>Medio</v>
      </c>
      <c r="H13" s="11"/>
    </row>
    <row r="14" spans="1:8" ht="15">
      <c r="A14" s="11">
        <v>12</v>
      </c>
      <c r="B14" s="11" t="s">
        <v>36</v>
      </c>
      <c r="C14" s="11" t="s">
        <v>37</v>
      </c>
      <c r="D14" s="11">
        <v>2</v>
      </c>
      <c r="E14" s="11">
        <v>3</v>
      </c>
      <c r="F14" s="11">
        <f>D14*E14</f>
        <v>6</v>
      </c>
      <c r="G14" s="11" t="str">
        <f>IF(F14&lt;=6,"Bajo",IF(F14&lt;=12,"Medio","Alto"))</f>
        <v>Bajo</v>
      </c>
      <c r="H14" s="11"/>
    </row>
    <row r="15" spans="1:8" ht="15">
      <c r="A15" s="11">
        <v>13</v>
      </c>
      <c r="B15" s="11" t="s">
        <v>38</v>
      </c>
      <c r="C15" s="11" t="s">
        <v>39</v>
      </c>
      <c r="D15" s="11">
        <v>3</v>
      </c>
      <c r="E15" s="11">
        <v>3</v>
      </c>
      <c r="F15" s="11">
        <f>D15*E15</f>
        <v>9</v>
      </c>
      <c r="G15" s="11" t="str">
        <f>IF(F15&lt;=6,"Bajo",IF(F15&lt;=12,"Medio","Alto"))</f>
        <v>Medio</v>
      </c>
      <c r="H15" s="11"/>
    </row>
    <row r="16" spans="1:8" ht="15">
      <c r="A16" s="11">
        <v>14</v>
      </c>
      <c r="B16" s="11" t="s">
        <v>40</v>
      </c>
      <c r="C16" s="11" t="s">
        <v>41</v>
      </c>
      <c r="D16" s="11">
        <v>3</v>
      </c>
      <c r="E16" s="11">
        <v>4</v>
      </c>
      <c r="F16" s="11">
        <f>D16*E16</f>
        <v>12</v>
      </c>
      <c r="G16" s="11" t="str">
        <f>IF(F16&lt;=6,"Bajo",IF(F16&lt;=12,"Medio","Alto"))</f>
        <v>Medio</v>
      </c>
      <c r="H16" s="11"/>
    </row>
    <row r="17" spans="1:8" ht="15">
      <c r="A17" s="11">
        <v>15</v>
      </c>
      <c r="B17" s="11" t="s">
        <v>42</v>
      </c>
      <c r="C17" s="11" t="s">
        <v>43</v>
      </c>
      <c r="D17" s="11">
        <v>3</v>
      </c>
      <c r="E17" s="11">
        <v>4</v>
      </c>
      <c r="F17" s="11">
        <f>D17*E17</f>
        <v>12</v>
      </c>
      <c r="G17" s="11" t="str">
        <f>IF(F17&lt;=6,"Bajo",IF(F17&lt;=12,"Medio","Alto"))</f>
        <v>Medio</v>
      </c>
      <c r="H17" s="11"/>
    </row>
    <row r="18" spans="1:8" ht="15">
      <c r="A18" s="11">
        <v>16</v>
      </c>
      <c r="B18" s="11" t="s">
        <v>44</v>
      </c>
      <c r="C18" s="11" t="s">
        <v>45</v>
      </c>
      <c r="D18" s="11">
        <v>4</v>
      </c>
      <c r="E18" s="11">
        <v>3</v>
      </c>
      <c r="F18" s="11">
        <f>D18*E18</f>
        <v>12</v>
      </c>
      <c r="G18" s="11" t="str">
        <f>IF(F18&lt;=6,"Bajo",IF(F18&lt;=12,"Medio","Alto"))</f>
        <v>Medio</v>
      </c>
      <c r="H18" s="11"/>
    </row>
    <row r="19" spans="1:8" ht="15">
      <c r="A19" s="11">
        <v>17</v>
      </c>
      <c r="B19" s="11" t="s">
        <v>46</v>
      </c>
      <c r="C19" s="11" t="s">
        <v>47</v>
      </c>
      <c r="D19" s="11">
        <v>3</v>
      </c>
      <c r="E19" s="11">
        <v>4</v>
      </c>
      <c r="F19" s="11">
        <f>D19*E19</f>
        <v>12</v>
      </c>
      <c r="G19" s="11" t="str">
        <f>IF(F19&lt;=6,"Bajo",IF(F19&lt;=12,"Medio","Alto"))</f>
        <v>Medio</v>
      </c>
      <c r="H19" s="11"/>
    </row>
    <row r="20" spans="1:8" ht="15">
      <c r="A20" s="11">
        <v>18</v>
      </c>
      <c r="B20" s="11" t="s">
        <v>48</v>
      </c>
      <c r="C20" s="11" t="s">
        <v>49</v>
      </c>
      <c r="D20" s="11">
        <v>2</v>
      </c>
      <c r="E20" s="11">
        <v>4</v>
      </c>
      <c r="F20" s="11">
        <f>D20*E20</f>
        <v>8</v>
      </c>
      <c r="G20" s="11" t="str">
        <f>IF(F20&lt;=6,"Bajo",IF(F20&lt;=12,"Medio","Alto"))</f>
        <v>Medio</v>
      </c>
      <c r="H20" s="11"/>
    </row>
    <row r="21" spans="1:8" ht="15">
      <c r="A21" s="11">
        <v>19</v>
      </c>
      <c r="B21" s="11" t="s">
        <v>50</v>
      </c>
      <c r="C21" s="11" t="s">
        <v>51</v>
      </c>
      <c r="D21" s="11">
        <v>2</v>
      </c>
      <c r="E21" s="11">
        <v>4</v>
      </c>
      <c r="F21" s="11">
        <f>D21*E21</f>
        <v>8</v>
      </c>
      <c r="G21" s="11" t="str">
        <f>IF(F21&lt;=6,"Bajo",IF(F21&lt;=12,"Medio","Alto"))</f>
        <v>Medio</v>
      </c>
      <c r="H21" s="11"/>
    </row>
    <row r="22" spans="1:8" ht="15">
      <c r="A22" s="11">
        <v>20</v>
      </c>
      <c r="B22" s="11" t="s">
        <v>52</v>
      </c>
      <c r="C22" s="11" t="s">
        <v>53</v>
      </c>
      <c r="D22" s="11">
        <v>3</v>
      </c>
      <c r="E22" s="11">
        <v>3</v>
      </c>
      <c r="F22" s="11">
        <f>D22*E22</f>
        <v>9</v>
      </c>
      <c r="G22" s="11" t="str">
        <f>IF(F22&lt;=6,"Bajo",IF(F22&lt;=12,"Medio","Alto"))</f>
        <v>Medio</v>
      </c>
      <c r="H22" s="11"/>
    </row>
    <row r="23" ht="24" customHeight="1">
      <c r="A23" s="17" t="s">
        <v>54</v>
      </c>
    </row>
    <row r="24" ht="15"/>
    <row r="25" ht="15">
      <c r="A25" s="16" t="s">
        <v>55</v>
      </c>
    </row>
    <row r="26" spans="1:8" ht="15">
      <c r="A26" s="2" t="s">
        <v>56</v>
      </c>
      <c r="B26" s="2" t="s">
        <v>57</v>
      </c>
      <c r="C26" s="2" t="s">
        <v>58</v>
      </c>
      <c r="D26" s="2" t="s">
        <v>59</v>
      </c>
      <c r="E26" s="2" t="s">
        <v>60</v>
      </c>
      <c r="F26" s="2" t="s">
        <v>61</v>
      </c>
      <c r="G26" s="2" t="s">
        <v>62</v>
      </c>
      <c r="H26" s="2" t="s">
        <v>63</v>
      </c>
    </row>
    <row r="27" spans="1:8" ht="15">
      <c r="A27" s="11">
        <v>1</v>
      </c>
      <c r="B27" s="11" t="s">
        <v>64</v>
      </c>
      <c r="C27" s="11" t="s">
        <v>65</v>
      </c>
      <c r="D27" s="11" t="s">
        <v>66</v>
      </c>
      <c r="E27" s="11">
        <v>2</v>
      </c>
      <c r="F27" s="11">
        <v>3</v>
      </c>
      <c r="G27" s="11">
        <f>E27*F27</f>
        <v>6</v>
      </c>
      <c r="H27" s="11" t="str">
        <f>IF(G27&lt;=6,"Bajo",IF(G27&lt;=12,"Medio","Alto"))</f>
        <v>Bajo</v>
      </c>
    </row>
    <row r="28" spans="1:8" ht="15">
      <c r="A28" s="11">
        <v>6</v>
      </c>
      <c r="B28" s="11" t="s">
        <v>67</v>
      </c>
      <c r="C28" s="11" t="s">
        <v>68</v>
      </c>
      <c r="D28" s="11" t="s">
        <v>69</v>
      </c>
      <c r="E28" s="11">
        <v>2</v>
      </c>
      <c r="F28" s="11">
        <v>3</v>
      </c>
      <c r="G28" s="11">
        <f>E28*F28</f>
        <v>6</v>
      </c>
      <c r="H28" s="11" t="str">
        <f>IF(G28&lt;=6,"Bajo",IF(G28&lt;=12,"Medio","Alto"))</f>
        <v>Bajo</v>
      </c>
    </row>
    <row r="29" spans="1:8" ht="15">
      <c r="A29" s="11">
        <v>4</v>
      </c>
      <c r="B29" s="11" t="s">
        <v>70</v>
      </c>
      <c r="C29" s="11" t="s">
        <v>71</v>
      </c>
      <c r="D29" s="11" t="s">
        <v>72</v>
      </c>
      <c r="E29" s="11">
        <v>2</v>
      </c>
      <c r="F29" s="11">
        <v>3</v>
      </c>
      <c r="G29" s="11">
        <f>E29*F29</f>
        <v>6</v>
      </c>
      <c r="H29" s="11" t="str">
        <f>IF(G29&lt;=6,"Bajo",IF(G29&lt;=12,"Medio","Alto"))</f>
        <v>Bajo</v>
      </c>
    </row>
    <row r="30" spans="1:8" ht="15">
      <c r="A30" s="11">
        <v>8</v>
      </c>
      <c r="B30" s="11" t="s">
        <v>73</v>
      </c>
      <c r="C30" s="11" t="s">
        <v>74</v>
      </c>
      <c r="D30" s="11" t="s">
        <v>75</v>
      </c>
      <c r="E30" s="11">
        <v>2</v>
      </c>
      <c r="F30" s="11">
        <v>4</v>
      </c>
      <c r="G30" s="11">
        <f>E30*F30</f>
        <v>8</v>
      </c>
      <c r="H30" s="11" t="str">
        <f>IF(G30&lt;=6,"Bajo",IF(G30&lt;=12,"Medio","Alto"))</f>
        <v>Medio</v>
      </c>
    </row>
    <row r="31" spans="1:8" ht="15">
      <c r="A31" s="11">
        <v>9</v>
      </c>
      <c r="B31" s="11" t="s">
        <v>76</v>
      </c>
      <c r="C31" s="11" t="s">
        <v>77</v>
      </c>
      <c r="D31" s="11" t="s">
        <v>78</v>
      </c>
      <c r="E31" s="11">
        <v>2</v>
      </c>
      <c r="F31" s="11">
        <v>3</v>
      </c>
      <c r="G31" s="11">
        <f>E31*F31</f>
        <v>6</v>
      </c>
      <c r="H31" s="11" t="str">
        <f>IF(G31&lt;=6,"Bajo",IF(G31&lt;=12,"Medio","Alto"))</f>
        <v>Bajo</v>
      </c>
    </row>
    <row r="32" spans="1:8" ht="15">
      <c r="A32" s="11">
        <v>10</v>
      </c>
      <c r="B32" s="11" t="s">
        <v>79</v>
      </c>
      <c r="C32" s="11" t="s">
        <v>80</v>
      </c>
      <c r="D32" s="11" t="s">
        <v>81</v>
      </c>
      <c r="E32" s="11">
        <v>1</v>
      </c>
      <c r="F32" s="11">
        <v>3</v>
      </c>
      <c r="G32" s="11">
        <f>E32*F32</f>
        <v>3</v>
      </c>
      <c r="H32" s="11" t="str">
        <f>IF(G32&lt;=6,"Bajo",IF(G32&lt;=12,"Medio","Alto"))</f>
        <v>Bajo</v>
      </c>
    </row>
    <row r="33" spans="1:8" ht="15">
      <c r="A33" s="11">
        <v>11</v>
      </c>
      <c r="B33" s="11" t="s">
        <v>82</v>
      </c>
      <c r="C33" s="11" t="s">
        <v>83</v>
      </c>
      <c r="D33" s="11" t="s">
        <v>84</v>
      </c>
      <c r="E33" s="11">
        <v>1</v>
      </c>
      <c r="F33" s="11">
        <v>3</v>
      </c>
      <c r="G33" s="11">
        <f>E33*F33</f>
        <v>3</v>
      </c>
      <c r="H33" s="11" t="str">
        <f>IF(G33&lt;=6,"Bajo",IF(G33&lt;=12,"Medio","Alto"))</f>
        <v>Bajo</v>
      </c>
    </row>
    <row r="34" spans="1:8" ht="15">
      <c r="A34" s="11">
        <v>12</v>
      </c>
      <c r="B34" s="11" t="s">
        <v>85</v>
      </c>
      <c r="C34" s="11" t="s">
        <v>86</v>
      </c>
      <c r="D34" s="11" t="s">
        <v>87</v>
      </c>
      <c r="E34" s="11">
        <v>1</v>
      </c>
      <c r="F34" s="11">
        <v>2</v>
      </c>
      <c r="G34" s="11">
        <f>E34*F34</f>
        <v>2</v>
      </c>
      <c r="H34" s="11" t="str">
        <f>IF(G34&lt;=6,"Bajo",IF(G34&lt;=12,"Medio","Alto"))</f>
        <v>Bajo</v>
      </c>
    </row>
    <row r="35" spans="1:8" ht="15">
      <c r="A35" s="11">
        <v>16</v>
      </c>
      <c r="B35" s="11" t="s">
        <v>88</v>
      </c>
      <c r="C35" s="11" t="s">
        <v>89</v>
      </c>
      <c r="D35" s="11" t="s">
        <v>90</v>
      </c>
      <c r="E35" s="11">
        <v>2</v>
      </c>
      <c r="F35" s="11">
        <v>2</v>
      </c>
      <c r="G35" s="11">
        <f>E35*F35</f>
        <v>4</v>
      </c>
      <c r="H35" s="11" t="str">
        <f>IF(G35&lt;=6,"Bajo",IF(G35&lt;=12,"Medio","Alto"))</f>
        <v>Bajo</v>
      </c>
    </row>
    <row r="36" spans="1:8" ht="15">
      <c r="A36" s="11">
        <v>15</v>
      </c>
      <c r="B36" s="11" t="s">
        <v>91</v>
      </c>
      <c r="C36" s="11" t="s">
        <v>92</v>
      </c>
      <c r="D36" s="11" t="s">
        <v>93</v>
      </c>
      <c r="E36" s="11">
        <v>1</v>
      </c>
      <c r="F36" s="11">
        <v>4</v>
      </c>
      <c r="G36" s="11">
        <f>E36*F36</f>
        <v>4</v>
      </c>
      <c r="H36" s="11" t="str">
        <f>IF(G36&lt;=6,"Bajo",IF(G36&lt;=12,"Medio","Alto"))</f>
        <v>Bajo</v>
      </c>
    </row>
  </sheetData>
  <autoFilter ref="A2:H2"/>
  <mergeCells count="3">
    <mergeCell ref="A25:H25"/>
    <mergeCell ref="A23:H24"/>
    <mergeCell ref="A1:H1"/>
  </mergeCells>
  <printOptions/>
  <pageMargins left="0.75" right="0.75" top="1" bottom="1" header="0.5" footer="0.5"/>
  <pageSetup fitToHeight="0" fitToWidth="1" horizontalDpi="600" verticalDpi="600" orientation="landscape"/>
  <headerFooter>
    <oddFooter>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2026-07-20T18:21:23Z</dcterms:created>
  <dcterms:modified xsi:type="dcterms:W3CDTF">2026-07-20T18:31:02Z</dcterms:modified>
  <cp:category/>
  <cp:version/>
  <cp:contentType/>
  <cp:contentStatus/>
</cp:coreProperties>
</file>