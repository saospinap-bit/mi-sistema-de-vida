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6" autoFilterDateGrouping="1"/>
  </bookViews>
  <sheets>
    <sheet name="Diseno Caudal" sheetId="1" state="visible" r:id="rId1"/>
    <sheet name="Presupuesto" sheetId="2" state="visible" r:id="rId2"/>
    <sheet name="Financiacion" sheetId="3" state="visible" r:id="rId3"/>
    <sheet name="Amortizacion Deuda" sheetId="4" state="visible" r:id="rId4"/>
    <sheet name="Flujos de Caja" sheetId="5" state="visible" r:id="rId5"/>
    <sheet name="Indicadores" sheetId="6" state="visible" r:id="rId6"/>
    <sheet name="Riesgos" sheetId="7" state="visible" r:id="rId7"/>
  </sheets>
  <definedNames/>
  <calcPr calcId="0" calcMode="auto" fullCalcOnLoad="1" calcCompleted="1" calcOnSave="1" forceFullCalc="1"/>
</workbook>
</file>

<file path=xl/styles.xml><?xml version="1.0" encoding="utf-8"?>
<styleSheet xmlns="http://schemas.openxmlformats.org/spreadsheetml/2006/main">
  <numFmts count="4">
    <numFmt numFmtId="164" formatCode="0.0%"/>
    <numFmt numFmtId="165" formatCode="#,##0.0"/>
    <numFmt numFmtId="166" formatCode="#,##0.00;[Red]-#,##0.00"/>
    <numFmt numFmtId="167" formatCode="0.000"/>
  </numFmts>
  <fonts count="4">
    <font>
      <name val="Calibri"/>
      <family val="2"/>
      <color theme="1"/>
      <sz val="11"/>
      <scheme val="minor"/>
    </font>
    <font>
      <name val="Calibri"/>
      <b val="1"/>
      <color rgb="FFFFFFFF"/>
      <sz val="12"/>
    </font>
    <font>
      <name val="Calibri"/>
      <b val="1"/>
      <color rgb="FFFFFFFF"/>
      <sz val="10"/>
    </font>
    <font>
      <name val="Calibri"/>
      <b val="1"/>
      <sz val="11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D6E4F0"/>
      </patternFill>
    </fill>
    <fill>
      <patternFill patternType="solid">
        <fgColor rgb="FFF2F2F2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3" borderId="1" pivotButton="0" quotePrefix="0" xfId="0"/>
    <xf numFmtId="4" fontId="0" fillId="0" borderId="1" applyAlignment="1" pivotButton="0" quotePrefix="0" xfId="0">
      <alignment horizontal="right" vertical="center"/>
    </xf>
    <xf numFmtId="4" fontId="0" fillId="4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left" vertical="center" wrapText="1"/>
    </xf>
    <xf numFmtId="3" fontId="0" fillId="0" borderId="1" applyAlignment="1" pivotButton="0" quotePrefix="0" xfId="0">
      <alignment horizontal="right" vertical="center"/>
    </xf>
    <xf numFmtId="164" fontId="0" fillId="0" borderId="1" applyAlignment="1" pivotButton="0" quotePrefix="0" xfId="0">
      <alignment horizontal="right" vertical="center"/>
    </xf>
    <xf numFmtId="0" fontId="0" fillId="4" borderId="1" applyAlignment="1" pivotButton="0" quotePrefix="0" xfId="0">
      <alignment horizontal="left" vertical="center" wrapText="1"/>
    </xf>
    <xf numFmtId="3" fontId="0" fillId="4" borderId="1" applyAlignment="1" pivotButton="0" quotePrefix="0" xfId="0">
      <alignment horizontal="right" vertical="center"/>
    </xf>
    <xf numFmtId="164" fontId="0" fillId="4" borderId="1" applyAlignment="1" pivotButton="0" quotePrefix="0" xfId="0">
      <alignment horizontal="right" vertical="center"/>
    </xf>
    <xf numFmtId="0" fontId="3" fillId="3" borderId="1" applyAlignment="1" pivotButton="0" quotePrefix="0" xfId="0">
      <alignment horizontal="left" vertical="center" wrapText="1"/>
    </xf>
    <xf numFmtId="3" fontId="3" fillId="0" borderId="1" applyAlignment="1" pivotButton="0" quotePrefix="0" xfId="0">
      <alignment horizontal="right" vertical="center"/>
    </xf>
    <xf numFmtId="164" fontId="3" fillId="0" borderId="1" applyAlignment="1" pivotButton="0" quotePrefix="0" xfId="0">
      <alignment horizontal="right" vertical="center"/>
    </xf>
    <xf numFmtId="9" fontId="0" fillId="0" borderId="1" applyAlignment="1" pivotButton="0" quotePrefix="0" xfId="0">
      <alignment horizontal="center" vertical="center" wrapText="1"/>
    </xf>
    <xf numFmtId="165" fontId="0" fillId="0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center" vertical="center" wrapText="1"/>
    </xf>
    <xf numFmtId="9" fontId="3" fillId="0" borderId="1" applyAlignment="1" pivotButton="0" quotePrefix="0" xfId="0">
      <alignment horizontal="center" vertical="center" wrapText="1"/>
    </xf>
    <xf numFmtId="165" fontId="3" fillId="0" borderId="1" applyAlignment="1" pivotButton="0" quotePrefix="0" xfId="0">
      <alignment horizontal="right" vertical="center"/>
    </xf>
    <xf numFmtId="0" fontId="0" fillId="0" borderId="1" pivotButton="0" quotePrefix="0" xfId="0"/>
    <xf numFmtId="10" fontId="3" fillId="0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center" vertical="center" wrapText="1"/>
    </xf>
    <xf numFmtId="165" fontId="0" fillId="4" borderId="1" applyAlignment="1" pivotButton="0" quotePrefix="0" xfId="0">
      <alignment horizontal="right" vertical="center"/>
    </xf>
    <xf numFmtId="0" fontId="0" fillId="0" borderId="1" applyAlignment="1" pivotButton="0" quotePrefix="0" xfId="0">
      <alignment horizontal="right" vertical="center"/>
    </xf>
    <xf numFmtId="10" fontId="3" fillId="0" borderId="1" applyAlignment="1" pivotButton="0" quotePrefix="0" xfId="0">
      <alignment horizontal="right" vertical="center"/>
    </xf>
    <xf numFmtId="4" fontId="3" fillId="0" borderId="1" applyAlignment="1" pivotButton="0" quotePrefix="0" xfId="0">
      <alignment horizontal="right" vertical="center"/>
    </xf>
    <xf numFmtId="10" fontId="0" fillId="0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166" fontId="3" fillId="0" borderId="1" applyAlignment="1" pivotButton="0" quotePrefix="0" xfId="0">
      <alignment horizontal="right" vertical="center"/>
    </xf>
    <xf numFmtId="167" fontId="3" fillId="0" borderId="1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1"/>
  <sheetViews>
    <sheetView showGridLines="0" workbookViewId="0">
      <selection activeCell="A1" sqref="A1:B1"/>
    </sheetView>
  </sheetViews>
  <sheetFormatPr baseColWidth="10" defaultColWidth="9.140625" defaultRowHeight="15"/>
  <cols>
    <col width="40" customWidth="1" style="28" min="1" max="1"/>
    <col width="16" customWidth="1" style="28" min="2" max="2"/>
  </cols>
  <sheetData>
    <row r="1" ht="26.1" customHeight="1" s="28">
      <c r="A1" s="27" t="inlineStr">
        <is>
          <t>DISENO DE CAUDAL (Resolucion 0330 de 2017 - RAS)</t>
        </is>
      </c>
    </row>
    <row r="2">
      <c r="A2" s="1" t="inlineStr">
        <is>
          <t>Concepto</t>
        </is>
      </c>
      <c r="B2" s="1" t="inlineStr">
        <is>
          <t>Valor</t>
        </is>
      </c>
    </row>
    <row r="3">
      <c r="A3" s="2" t="inlineStr">
        <is>
          <t>Poblacion municipio CNPV 2018</t>
        </is>
      </c>
      <c r="B3" s="3" t="n">
        <v>17000</v>
      </c>
    </row>
    <row r="4">
      <c r="A4" s="2" t="inlineStr">
        <is>
          <t>Poblacion urbana base</t>
        </is>
      </c>
      <c r="B4" s="4" t="n">
        <v>10957</v>
      </c>
    </row>
    <row r="5">
      <c r="A5" s="2" t="inlineStr">
        <is>
          <t>Poblacion de diseno (+25 anios)</t>
        </is>
      </c>
      <c r="B5" s="3">
        <f>B4*(1+1.2%)^25</f>
        <v>14764.0148804563</v>
      </c>
    </row>
    <row r="6">
      <c r="A6" s="2" t="inlineStr">
        <is>
          <t>Dotacion neta (L/hab.dia)</t>
        </is>
      </c>
      <c r="B6" s="4" t="n">
        <v>140</v>
      </c>
    </row>
    <row r="7">
      <c r="A7" s="2" t="inlineStr">
        <is>
          <t>Dotacion bruta (L/hab.dia)</t>
        </is>
      </c>
      <c r="B7" s="3">
        <f>B6/(1-25%)</f>
        <v>186.66666666666666</v>
      </c>
    </row>
    <row r="8">
      <c r="A8" s="2" t="inlineStr">
        <is>
          <t>Qmd (L/s)</t>
        </is>
      </c>
      <c r="B8" s="4">
        <f>B5*B7/86400</f>
        <v>31.897563013331478</v>
      </c>
    </row>
    <row r="9">
      <c r="A9" s="2" t="inlineStr">
        <is>
          <t>QMD (L/s)</t>
        </is>
      </c>
      <c r="B9" s="3">
        <f>B8*1.30</f>
        <v>41.4668319173309</v>
      </c>
    </row>
    <row r="10">
      <c r="A10" s="2" t="inlineStr">
        <is>
          <t>QMH (L/s)</t>
        </is>
      </c>
      <c r="B10" s="4">
        <f>B9*1.60</f>
        <v>66.3469310677294</v>
      </c>
    </row>
    <row r="11">
      <c r="A11" s="2" t="inlineStr">
        <is>
          <t>Capacidad PTAP (L/s)</t>
        </is>
      </c>
      <c r="B11" s="3" t="n">
        <v>45</v>
      </c>
    </row>
  </sheetData>
  <mergeCells count="1"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9"/>
  <sheetViews>
    <sheetView showGridLines="0" workbookViewId="0">
      <selection activeCell="A1" sqref="A1:C1"/>
    </sheetView>
  </sheetViews>
  <sheetFormatPr baseColWidth="10" defaultColWidth="9.140625" defaultRowHeight="15"/>
  <cols>
    <col width="56" customWidth="1" style="28" min="1" max="1"/>
    <col width="12" customWidth="1" style="28" min="2" max="3"/>
  </cols>
  <sheetData>
    <row r="1" ht="26.1" customHeight="1" s="28">
      <c r="A1" s="27" t="inlineStr">
        <is>
          <t>PRESUPUESTO DE OBRA - CAPEX (COP MM; precios de referencia, validar con APU)</t>
        </is>
      </c>
    </row>
    <row r="2">
      <c r="A2" s="1" t="inlineStr">
        <is>
          <t>Capitulo</t>
        </is>
      </c>
      <c r="B2" s="1" t="inlineStr">
        <is>
          <t>COP MM</t>
        </is>
      </c>
      <c r="C2" s="1" t="inlineStr">
        <is>
          <t>% del total</t>
        </is>
      </c>
    </row>
    <row r="3">
      <c r="A3" s="5" t="inlineStr">
        <is>
          <t>Captacion (bocatoma) y linea de aduccion</t>
        </is>
      </c>
      <c r="B3" s="6" t="n">
        <v>2400</v>
      </c>
      <c r="C3" s="7">
        <f>B3/$B$9</f>
        <v>0.12017425266636624</v>
      </c>
    </row>
    <row r="4">
      <c r="A4" s="8" t="inlineStr">
        <is>
          <t>PTAP 45 L/s (obra civil + equipos)</t>
        </is>
      </c>
      <c r="B4" s="9" t="n">
        <v>6300</v>
      </c>
      <c r="C4" s="10">
        <f>B4/$B$9</f>
        <v>0.31545741324921134</v>
      </c>
    </row>
    <row r="5">
      <c r="A5" s="5" t="inlineStr">
        <is>
          <t>Almacenamiento (tanques) y estaciones de bombeo</t>
        </is>
      </c>
      <c r="B5" s="6" t="n">
        <v>2800</v>
      </c>
      <c r="C5" s="7">
        <f>B5/$B$9</f>
        <v>0.14020329477742727</v>
      </c>
    </row>
    <row r="6">
      <c r="A6" s="8" t="inlineStr">
        <is>
          <t>Redes de distribucion, conexiones y micromedicion</t>
        </is>
      </c>
      <c r="B6" s="9" t="n">
        <v>4200</v>
      </c>
      <c r="C6" s="10">
        <f>B6/$B$9</f>
        <v>0.2103049421661409</v>
      </c>
    </row>
    <row r="7">
      <c r="A7" s="5" t="inlineStr">
        <is>
          <t>Optimizacion del alcantarillado (componente asociado)</t>
        </is>
      </c>
      <c r="B7" s="6" t="n">
        <v>2471</v>
      </c>
      <c r="C7" s="7">
        <f>B7/$B$9</f>
        <v>0.12372940764107956</v>
      </c>
    </row>
    <row r="8">
      <c r="A8" s="8" t="inlineStr">
        <is>
          <t>Estudios, disenios, interventoria y gestion ambiental</t>
        </is>
      </c>
      <c r="B8" s="9" t="n">
        <v>1800</v>
      </c>
      <c r="C8" s="10">
        <f>B8/$B$9</f>
        <v>0.09013068949977468</v>
      </c>
    </row>
    <row r="9">
      <c r="A9" s="11" t="inlineStr">
        <is>
          <t>TOTAL CAPEX</t>
        </is>
      </c>
      <c r="B9" s="12">
        <f>SUM(B3:B8)</f>
        <v>19971</v>
      </c>
      <c r="C9" s="13">
        <f>SUM(C3:C8)</f>
        <v>1</v>
      </c>
    </row>
  </sheetData>
  <mergeCells count="1">
    <mergeCell ref="A1:C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8"/>
  <sheetViews>
    <sheetView showGridLines="0" workbookViewId="0">
      <selection activeCell="A1" sqref="A1:D1"/>
    </sheetView>
  </sheetViews>
  <sheetFormatPr baseColWidth="10" defaultColWidth="9.140625" defaultRowHeight="15"/>
  <cols>
    <col width="56" customWidth="1" style="28" min="1" max="1"/>
    <col width="14" customWidth="1" style="28" min="2" max="2"/>
    <col width="16" customWidth="1" style="28" min="3" max="3"/>
    <col width="18" customWidth="1" style="28" min="4" max="4"/>
  </cols>
  <sheetData>
    <row r="1" ht="26.1" customHeight="1" s="28">
      <c r="A1" s="27" t="inlineStr">
        <is>
          <t>ESTRUCTURA DE FINANCIACION Y WACC</t>
        </is>
      </c>
    </row>
    <row r="2">
      <c r="A2" s="1" t="inlineStr">
        <is>
          <t>Fuente</t>
        </is>
      </c>
      <c r="B2" s="1" t="inlineStr">
        <is>
          <t>Participacion</t>
        </is>
      </c>
      <c r="C2" s="1" t="inlineStr">
        <is>
          <t>Monto (COP MM)</t>
        </is>
      </c>
      <c r="D2" s="1" t="inlineStr">
        <is>
          <t>Costo</t>
        </is>
      </c>
    </row>
    <row r="3" ht="30" customHeight="1" s="28">
      <c r="A3" s="5" t="inlineStr">
        <is>
          <t>Aporte publico no reembolsable (SGR/PDA/MinVivienda/cooperacion)</t>
        </is>
      </c>
      <c r="B3" s="14" t="n">
        <v>0.8</v>
      </c>
      <c r="C3" s="15">
        <f>B3*Presupuesto!$B$9</f>
        <v>15976.799999999999</v>
      </c>
      <c r="D3" s="16" t="inlineStr">
        <is>
          <t>no exige retorno</t>
        </is>
      </c>
    </row>
    <row r="4">
      <c r="A4" s="5" t="inlineStr">
        <is>
          <t>Deuda (banca de desarrollo / FINDETER)</t>
        </is>
      </c>
      <c r="B4" s="14" t="n">
        <v>0.1</v>
      </c>
      <c r="C4" s="15">
        <f>B4*Presupuesto!$B$9</f>
        <v>1997.0999999999999</v>
      </c>
      <c r="D4" s="16" t="inlineStr">
        <is>
          <t>Kd = 11%</t>
        </is>
      </c>
    </row>
    <row r="5">
      <c r="A5" s="5" t="inlineStr">
        <is>
          <t>Equity (operador + municipio)</t>
        </is>
      </c>
      <c r="B5" s="14" t="n">
        <v>0.1</v>
      </c>
      <c r="C5" s="15">
        <f>B5*Presupuesto!$B$9</f>
        <v>1997.0999999999999</v>
      </c>
      <c r="D5" s="16" t="inlineStr">
        <is>
          <t>Ke = 14%</t>
        </is>
      </c>
    </row>
    <row r="6">
      <c r="A6" s="2" t="inlineStr">
        <is>
          <t>TOTAL</t>
        </is>
      </c>
      <c r="B6" s="17">
        <f>SUM(B3:B5)</f>
        <v>1</v>
      </c>
      <c r="C6" s="18">
        <f>SUM(C3:C5)</f>
        <v>19970.999999999996</v>
      </c>
      <c r="D6" s="19" t="n"/>
    </row>
    <row r="8" ht="45" customHeight="1" s="28">
      <c r="A8" s="2" t="inlineStr">
        <is>
          <t>WACC</t>
        </is>
      </c>
      <c r="B8" s="20">
        <f>ROUNDDOWN(B3*9%+B4*11%*(1-35%)+B5*14%,4)</f>
        <v>0.093100000000000002</v>
      </c>
      <c r="C8" s="5" t="inlineStr">
        <is>
          <t>Tasa de descuento del proyecto</t>
        </is>
      </c>
    </row>
  </sheetData>
  <mergeCells count="1">
    <mergeCell ref="A1:D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27"/>
  <sheetViews>
    <sheetView showGridLines="0" workbookViewId="0">
      <selection activeCell="A1" sqref="A1:F1"/>
    </sheetView>
  </sheetViews>
  <sheetFormatPr baseColWidth="10" defaultColWidth="9.140625" defaultRowHeight="15"/>
  <cols>
    <col width="8" customWidth="1" style="28" min="1" max="1"/>
    <col width="15" customWidth="1" style="28" min="2" max="2"/>
    <col width="13" customWidth="1" style="28" min="3" max="3"/>
    <col width="15" customWidth="1" style="28" min="4" max="4"/>
    <col width="13" customWidth="1" style="28" min="5" max="5"/>
    <col width="15" customWidth="1" style="28" min="6" max="6"/>
  </cols>
  <sheetData>
    <row r="1" ht="26.1" customHeight="1" s="28">
      <c r="A1" s="27" t="inlineStr">
        <is>
          <t>TABLA DE AMORTIZACION DE LA DEUDA (Sistema Frances - cuota fija)</t>
        </is>
      </c>
    </row>
    <row r="2">
      <c r="A2" s="1" t="inlineStr">
        <is>
          <t>Anio</t>
        </is>
      </c>
      <c r="B2" s="1" t="inlineStr">
        <is>
          <t>Saldo inicial</t>
        </is>
      </c>
      <c r="C2" s="1" t="inlineStr">
        <is>
          <t>Interes</t>
        </is>
      </c>
      <c r="D2" s="1" t="inlineStr">
        <is>
          <t>Abono capital</t>
        </is>
      </c>
      <c r="E2" s="1" t="inlineStr">
        <is>
          <t>Cuota</t>
        </is>
      </c>
      <c r="F2" s="1" t="inlineStr">
        <is>
          <t>Saldo final</t>
        </is>
      </c>
    </row>
    <row r="3">
      <c r="A3" s="16" t="n">
        <v>1</v>
      </c>
      <c r="B3" s="15">
        <f>Financiacion!$C$4</f>
        <v>1997.0999999999999</v>
      </c>
      <c r="C3" s="15">
        <f>IF(A3&lt;=10,B3*11%,0)</f>
        <v>219.68100000000001</v>
      </c>
      <c r="D3" s="15">
        <f>IF(A3&lt;=10,MIN(B3,E3-C3),0)</f>
        <v>119.42943005639776</v>
      </c>
      <c r="E3" s="15">
        <f>IF(A3&lt;=10,-PMT(11%,10,Financiacion!$C$4),0)</f>
        <v>339.11043005639777</v>
      </c>
      <c r="F3" s="15">
        <f>MAX(0,B3-D3)</f>
        <v>1877.6705699436022</v>
      </c>
    </row>
    <row r="4">
      <c r="A4" s="21">
        <f>A3+1</f>
        <v>2</v>
      </c>
      <c r="B4" s="22">
        <f>F3</f>
        <v>1877.6705699436022</v>
      </c>
      <c r="C4" s="22">
        <f>IF(A4&lt;=10,B4*11%,0)</f>
        <v>206.543762693796</v>
      </c>
      <c r="D4" s="22">
        <f>IF(A4&lt;=10,MIN(B4,E4-C4),0)</f>
        <v>132.56666736260178</v>
      </c>
      <c r="E4" s="22">
        <f>IF(A4&lt;=10,-PMT(11%,10,Financiacion!$C$4),0)</f>
        <v>339.11043005639777</v>
      </c>
      <c r="F4" s="22">
        <f>MAX(0,B4-D4)</f>
        <v>1745.1039025810005</v>
      </c>
    </row>
    <row r="5">
      <c r="A5" s="16">
        <f>A4+1</f>
        <v>3</v>
      </c>
      <c r="B5" s="15">
        <f>F4</f>
        <v>1745.1039025810005</v>
      </c>
      <c r="C5" s="15">
        <f>IF(A5&lt;=10,B5*11%,0)</f>
        <v>191.96142928391001</v>
      </c>
      <c r="D5" s="15">
        <f>IF(A5&lt;=10,MIN(B5,E5-C5),0)</f>
        <v>147.14900077248777</v>
      </c>
      <c r="E5" s="15">
        <f>IF(A5&lt;=10,-PMT(11%,10,Financiacion!$C$4),0)</f>
        <v>339.11043005639777</v>
      </c>
      <c r="F5" s="15">
        <f>MAX(0,B5-D5)</f>
        <v>1597.9549018085127</v>
      </c>
    </row>
    <row r="6">
      <c r="A6" s="21">
        <f>A5+1</f>
        <v>4</v>
      </c>
      <c r="B6" s="22">
        <f>F5</f>
        <v>1597.9549018085127</v>
      </c>
      <c r="C6" s="22">
        <f>IF(A6&lt;=10,B6*11%,0)</f>
        <v>175.77503919893601</v>
      </c>
      <c r="D6" s="22">
        <f>IF(A6&lt;=10,MIN(B6,E6-C6),0)</f>
        <v>163.33539085746176</v>
      </c>
      <c r="E6" s="22">
        <f>IF(A6&lt;=10,-PMT(11%,10,Financiacion!$C$4),0)</f>
        <v>339.11043005639777</v>
      </c>
      <c r="F6" s="22">
        <f>MAX(0,B6-D6)</f>
        <v>1434.6195109510509</v>
      </c>
    </row>
    <row r="7">
      <c r="A7" s="16">
        <f>A6+1</f>
        <v>5</v>
      </c>
      <c r="B7" s="15">
        <f>F6</f>
        <v>1434.6195109510509</v>
      </c>
      <c r="C7" s="15">
        <f>IF(A7&lt;=10,B7*11%,0)</f>
        <v>157.80814620461601</v>
      </c>
      <c r="D7" s="15">
        <f>IF(A7&lt;=10,MIN(B7,E7-C7),0)</f>
        <v>181.30228385178177</v>
      </c>
      <c r="E7" s="15">
        <f>IF(A7&lt;=10,-PMT(11%,10,Financiacion!$C$4),0)</f>
        <v>339.11043005639777</v>
      </c>
      <c r="F7" s="15">
        <f>MAX(0,B7-D7)</f>
        <v>1253.3172270992691</v>
      </c>
    </row>
    <row r="8">
      <c r="A8" s="21">
        <f>A7+1</f>
        <v>6</v>
      </c>
      <c r="B8" s="22">
        <f>F7</f>
        <v>1253.3172270992691</v>
      </c>
      <c r="C8" s="22">
        <f>IF(A8&lt;=10,B8*11%,0)</f>
        <v>137.86489498092001</v>
      </c>
      <c r="D8" s="22">
        <f>IF(A8&lt;=10,MIN(B8,E8-C8),0)</f>
        <v>201.24553507547776</v>
      </c>
      <c r="E8" s="22">
        <f>IF(A8&lt;=10,-PMT(11%,10,Financiacion!$C$4),0)</f>
        <v>339.11043005639777</v>
      </c>
      <c r="F8" s="22">
        <f>MAX(0,B8-D8)</f>
        <v>1052.0716920237912</v>
      </c>
    </row>
    <row r="9">
      <c r="A9" s="16">
        <f>A8+1</f>
        <v>7</v>
      </c>
      <c r="B9" s="15">
        <f>F8</f>
        <v>1052.0716920237912</v>
      </c>
      <c r="C9" s="15">
        <f>IF(A9&lt;=10,B9*11%,0)</f>
        <v>115.72788612261699</v>
      </c>
      <c r="D9" s="15">
        <f>IF(A9&lt;=10,MIN(B9,E9-C9),0)</f>
        <v>223.38254393378077</v>
      </c>
      <c r="E9" s="15">
        <f>IF(A9&lt;=10,-PMT(11%,10,Financiacion!$C$4),0)</f>
        <v>339.11043005639777</v>
      </c>
      <c r="F9" s="15">
        <f>MAX(0,B9-D9)</f>
        <v>828.68914809001046</v>
      </c>
    </row>
    <row r="10">
      <c r="A10" s="21">
        <f>A9+1</f>
        <v>8</v>
      </c>
      <c r="B10" s="22">
        <f>F9</f>
        <v>828.68914809001046</v>
      </c>
      <c r="C10" s="22">
        <f>IF(A10&lt;=10,B10*11%,0)</f>
        <v>91.155806289901193</v>
      </c>
      <c r="D10" s="22">
        <f>IF(A10&lt;=10,MIN(B10,E10-C10),0)</f>
        <v>247.95462376649658</v>
      </c>
      <c r="E10" s="22">
        <f>IF(A10&lt;=10,-PMT(11%,10,Financiacion!$C$4),0)</f>
        <v>339.11043005639777</v>
      </c>
      <c r="F10" s="22">
        <f>MAX(0,B10-D10)</f>
        <v>580.73452432351382</v>
      </c>
    </row>
    <row r="11">
      <c r="A11" s="16">
        <f>A10+1</f>
        <v>9</v>
      </c>
      <c r="B11" s="15">
        <f>F10</f>
        <v>580.73452432351382</v>
      </c>
      <c r="C11" s="15">
        <f>IF(A11&lt;=10,B11*11%,0)</f>
        <v>63.8807976755865</v>
      </c>
      <c r="D11" s="15">
        <f>IF(A11&lt;=10,MIN(B11,E11-C11),0)</f>
        <v>275.22963238081127</v>
      </c>
      <c r="E11" s="15">
        <f>IF(A11&lt;=10,-PMT(11%,10,Financiacion!$C$4),0)</f>
        <v>339.11043005639777</v>
      </c>
      <c r="F11" s="15">
        <f>MAX(0,B11-D11)</f>
        <v>305.50489194270256</v>
      </c>
    </row>
    <row r="12">
      <c r="A12" s="21">
        <f>A11+1</f>
        <v>10</v>
      </c>
      <c r="B12" s="22">
        <f>F11</f>
        <v>305.50489194270256</v>
      </c>
      <c r="C12" s="22">
        <f>IF(A12&lt;=10,B12*11%,0)</f>
        <v>33.6055381136973</v>
      </c>
      <c r="D12" s="22">
        <f>IF(A12&lt;=10,MIN(B12,E12-C12),0)</f>
        <v>305.50489194270045</v>
      </c>
      <c r="E12" s="22">
        <f>IF(A12&lt;=10,-PMT(11%,10,Financiacion!$C$4),0)</f>
        <v>339.11043005639777</v>
      </c>
      <c r="F12" s="22">
        <f>MAX(0,B12-D12)</f>
        <v>2.1032064978498966e-12</v>
      </c>
    </row>
    <row r="13">
      <c r="A13" s="16">
        <f>A12+1</f>
        <v>11</v>
      </c>
      <c r="B13" s="15">
        <f>F12</f>
        <v>2.1032064978498966e-12</v>
      </c>
      <c r="C13" s="15">
        <f>IF(A13&lt;=10,B13*11%,0)</f>
        <v>0</v>
      </c>
      <c r="D13" s="15">
        <f>IF(A13&lt;=10,MIN(B13,E13-C13),0)</f>
        <v>0</v>
      </c>
      <c r="E13" s="15">
        <f>IF(A13&lt;=10,-PMT(11%,10,Financiacion!$C$4),0)</f>
        <v>0</v>
      </c>
      <c r="F13" s="15">
        <f>MAX(0,B13-D13)</f>
        <v>2.1032064978498966e-12</v>
      </c>
    </row>
    <row r="14">
      <c r="A14" s="21">
        <f>A13+1</f>
        <v>12</v>
      </c>
      <c r="B14" s="22">
        <f>F13</f>
        <v>2.1032064978498966e-12</v>
      </c>
      <c r="C14" s="22">
        <f>IF(A14&lt;=10,B14*11%,0)</f>
        <v>0</v>
      </c>
      <c r="D14" s="22">
        <f>IF(A14&lt;=10,MIN(B14,E14-C14),0)</f>
        <v>0</v>
      </c>
      <c r="E14" s="22">
        <f>IF(A14&lt;=10,-PMT(11%,10,Financiacion!$C$4),0)</f>
        <v>0</v>
      </c>
      <c r="F14" s="22">
        <f>MAX(0,B14-D14)</f>
        <v>2.1032064978498966e-12</v>
      </c>
    </row>
    <row r="15">
      <c r="A15" s="16">
        <f>A14+1</f>
        <v>13</v>
      </c>
      <c r="B15" s="15">
        <f>F14</f>
        <v>2.1032064978498966e-12</v>
      </c>
      <c r="C15" s="15">
        <f>IF(A15&lt;=10,B15*11%,0)</f>
        <v>0</v>
      </c>
      <c r="D15" s="15">
        <f>IF(A15&lt;=10,MIN(B15,E15-C15),0)</f>
        <v>0</v>
      </c>
      <c r="E15" s="15">
        <f>IF(A15&lt;=10,-PMT(11%,10,Financiacion!$C$4),0)</f>
        <v>0</v>
      </c>
      <c r="F15" s="15">
        <f>MAX(0,B15-D15)</f>
        <v>2.1032064978498966e-12</v>
      </c>
    </row>
    <row r="16">
      <c r="A16" s="21">
        <f>A15+1</f>
        <v>14</v>
      </c>
      <c r="B16" s="22">
        <f>F15</f>
        <v>2.1032064978498966e-12</v>
      </c>
      <c r="C16" s="22">
        <f>IF(A16&lt;=10,B16*11%,0)</f>
        <v>0</v>
      </c>
      <c r="D16" s="22">
        <f>IF(A16&lt;=10,MIN(B16,E16-C16),0)</f>
        <v>0</v>
      </c>
      <c r="E16" s="22">
        <f>IF(A16&lt;=10,-PMT(11%,10,Financiacion!$C$4),0)</f>
        <v>0</v>
      </c>
      <c r="F16" s="22">
        <f>MAX(0,B16-D16)</f>
        <v>2.1032064978498966e-12</v>
      </c>
    </row>
    <row r="17">
      <c r="A17" s="16">
        <f>A16+1</f>
        <v>15</v>
      </c>
      <c r="B17" s="15">
        <f>F16</f>
        <v>2.1032064978498966e-12</v>
      </c>
      <c r="C17" s="15">
        <f>IF(A17&lt;=10,B17*11%,0)</f>
        <v>0</v>
      </c>
      <c r="D17" s="15">
        <f>IF(A17&lt;=10,MIN(B17,E17-C17),0)</f>
        <v>0</v>
      </c>
      <c r="E17" s="15">
        <f>IF(A17&lt;=10,-PMT(11%,10,Financiacion!$C$4),0)</f>
        <v>0</v>
      </c>
      <c r="F17" s="15">
        <f>MAX(0,B17-D17)</f>
        <v>2.1032064978498966e-12</v>
      </c>
    </row>
    <row r="18">
      <c r="A18" s="21">
        <f>A17+1</f>
        <v>16</v>
      </c>
      <c r="B18" s="22">
        <f>F17</f>
        <v>2.1032064978498966e-12</v>
      </c>
      <c r="C18" s="22">
        <f>IF(A18&lt;=10,B18*11%,0)</f>
        <v>0</v>
      </c>
      <c r="D18" s="22">
        <f>IF(A18&lt;=10,MIN(B18,E18-C18),0)</f>
        <v>0</v>
      </c>
      <c r="E18" s="22">
        <f>IF(A18&lt;=10,-PMT(11%,10,Financiacion!$C$4),0)</f>
        <v>0</v>
      </c>
      <c r="F18" s="22">
        <f>MAX(0,B18-D18)</f>
        <v>2.1032064978498966e-12</v>
      </c>
    </row>
    <row r="19">
      <c r="A19" s="16">
        <f>A18+1</f>
        <v>17</v>
      </c>
      <c r="B19" s="15">
        <f>F18</f>
        <v>2.1032064978498966e-12</v>
      </c>
      <c r="C19" s="15">
        <f>IF(A19&lt;=10,B19*11%,0)</f>
        <v>0</v>
      </c>
      <c r="D19" s="15">
        <f>IF(A19&lt;=10,MIN(B19,E19-C19),0)</f>
        <v>0</v>
      </c>
      <c r="E19" s="15">
        <f>IF(A19&lt;=10,-PMT(11%,10,Financiacion!$C$4),0)</f>
        <v>0</v>
      </c>
      <c r="F19" s="15">
        <f>MAX(0,B19-D19)</f>
        <v>2.1032064978498966e-12</v>
      </c>
    </row>
    <row r="20">
      <c r="A20" s="21">
        <f>A19+1</f>
        <v>18</v>
      </c>
      <c r="B20" s="22">
        <f>F19</f>
        <v>2.1032064978498966e-12</v>
      </c>
      <c r="C20" s="22">
        <f>IF(A20&lt;=10,B20*11%,0)</f>
        <v>0</v>
      </c>
      <c r="D20" s="22">
        <f>IF(A20&lt;=10,MIN(B20,E20-C20),0)</f>
        <v>0</v>
      </c>
      <c r="E20" s="22">
        <f>IF(A20&lt;=10,-PMT(11%,10,Financiacion!$C$4),0)</f>
        <v>0</v>
      </c>
      <c r="F20" s="22">
        <f>MAX(0,B20-D20)</f>
        <v>2.1032064978498966e-12</v>
      </c>
    </row>
    <row r="21">
      <c r="A21" s="16">
        <f>A20+1</f>
        <v>19</v>
      </c>
      <c r="B21" s="15">
        <f>F20</f>
        <v>2.1032064978498966e-12</v>
      </c>
      <c r="C21" s="15">
        <f>IF(A21&lt;=10,B21*11%,0)</f>
        <v>0</v>
      </c>
      <c r="D21" s="15">
        <f>IF(A21&lt;=10,MIN(B21,E21-C21),0)</f>
        <v>0</v>
      </c>
      <c r="E21" s="15">
        <f>IF(A21&lt;=10,-PMT(11%,10,Financiacion!$C$4),0)</f>
        <v>0</v>
      </c>
      <c r="F21" s="15">
        <f>MAX(0,B21-D21)</f>
        <v>2.1032064978498966e-12</v>
      </c>
    </row>
    <row r="22">
      <c r="A22" s="21">
        <f>A21+1</f>
        <v>20</v>
      </c>
      <c r="B22" s="22">
        <f>F21</f>
        <v>2.1032064978498966e-12</v>
      </c>
      <c r="C22" s="22">
        <f>IF(A22&lt;=10,B22*11%,0)</f>
        <v>0</v>
      </c>
      <c r="D22" s="22">
        <f>IF(A22&lt;=10,MIN(B22,E22-C22),0)</f>
        <v>0</v>
      </c>
      <c r="E22" s="22">
        <f>IF(A22&lt;=10,-PMT(11%,10,Financiacion!$C$4),0)</f>
        <v>0</v>
      </c>
      <c r="F22" s="22">
        <f>MAX(0,B22-D22)</f>
        <v>2.1032064978498966e-12</v>
      </c>
    </row>
    <row r="23">
      <c r="A23" s="16">
        <f>A22+1</f>
        <v>21</v>
      </c>
      <c r="B23" s="15">
        <f>F22</f>
        <v>2.1032064978498966e-12</v>
      </c>
      <c r="C23" s="15">
        <f>IF(A23&lt;=10,B23*11%,0)</f>
        <v>0</v>
      </c>
      <c r="D23" s="15">
        <f>IF(A23&lt;=10,MIN(B23,E23-C23),0)</f>
        <v>0</v>
      </c>
      <c r="E23" s="15">
        <f>IF(A23&lt;=10,-PMT(11%,10,Financiacion!$C$4),0)</f>
        <v>0</v>
      </c>
      <c r="F23" s="15">
        <f>MAX(0,B23-D23)</f>
        <v>2.1032064978498966e-12</v>
      </c>
    </row>
    <row r="24">
      <c r="A24" s="21">
        <f>A23+1</f>
        <v>22</v>
      </c>
      <c r="B24" s="22">
        <f>F23</f>
        <v>2.1032064978498966e-12</v>
      </c>
      <c r="C24" s="22">
        <f>IF(A24&lt;=10,B24*11%,0)</f>
        <v>0</v>
      </c>
      <c r="D24" s="22">
        <f>IF(A24&lt;=10,MIN(B24,E24-C24),0)</f>
        <v>0</v>
      </c>
      <c r="E24" s="22">
        <f>IF(A24&lt;=10,-PMT(11%,10,Financiacion!$C$4),0)</f>
        <v>0</v>
      </c>
      <c r="F24" s="22">
        <f>MAX(0,B24-D24)</f>
        <v>2.1032064978498966e-12</v>
      </c>
    </row>
    <row r="25">
      <c r="A25" s="16">
        <f>A24+1</f>
        <v>23</v>
      </c>
      <c r="B25" s="15">
        <f>F24</f>
        <v>2.1032064978498966e-12</v>
      </c>
      <c r="C25" s="15">
        <f>IF(A25&lt;=10,B25*11%,0)</f>
        <v>0</v>
      </c>
      <c r="D25" s="15">
        <f>IF(A25&lt;=10,MIN(B25,E25-C25),0)</f>
        <v>0</v>
      </c>
      <c r="E25" s="15">
        <f>IF(A25&lt;=10,-PMT(11%,10,Financiacion!$C$4),0)</f>
        <v>0</v>
      </c>
      <c r="F25" s="15">
        <f>MAX(0,B25-D25)</f>
        <v>2.1032064978498966e-12</v>
      </c>
    </row>
    <row r="26">
      <c r="A26" s="21">
        <f>A25+1</f>
        <v>24</v>
      </c>
      <c r="B26" s="22">
        <f>F25</f>
        <v>2.1032064978498966e-12</v>
      </c>
      <c r="C26" s="22">
        <f>IF(A26&lt;=10,B26*11%,0)</f>
        <v>0</v>
      </c>
      <c r="D26" s="22">
        <f>IF(A26&lt;=10,MIN(B26,E26-C26),0)</f>
        <v>0</v>
      </c>
      <c r="E26" s="22">
        <f>IF(A26&lt;=10,-PMT(11%,10,Financiacion!$C$4),0)</f>
        <v>0</v>
      </c>
      <c r="F26" s="22">
        <f>MAX(0,B26-D26)</f>
        <v>2.1032064978498966e-12</v>
      </c>
    </row>
    <row r="27">
      <c r="A27" s="16">
        <f>A26+1</f>
        <v>25</v>
      </c>
      <c r="B27" s="15">
        <f>F26</f>
        <v>2.1032064978498966e-12</v>
      </c>
      <c r="C27" s="15">
        <f>IF(A27&lt;=10,B27*11%,0)</f>
        <v>0</v>
      </c>
      <c r="D27" s="15">
        <f>IF(A27&lt;=10,MIN(B27,E27-C27),0)</f>
        <v>0</v>
      </c>
      <c r="E27" s="15">
        <f>IF(A27&lt;=10,-PMT(11%,10,Financiacion!$C$4),0)</f>
        <v>0</v>
      </c>
      <c r="F27" s="15">
        <f>MAX(0,B27-D27)</f>
        <v>2.1032064978498966e-12</v>
      </c>
    </row>
  </sheetData>
  <mergeCells count="1">
    <mergeCell ref="A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M28"/>
  <sheetViews>
    <sheetView showGridLines="0" workbookViewId="0">
      <selection activeCell="D12" sqref="D12"/>
    </sheetView>
  </sheetViews>
  <sheetFormatPr baseColWidth="10" defaultColWidth="9.140625" defaultRowHeight="15"/>
  <cols>
    <col width="6" customWidth="1" style="28" min="1" max="1"/>
    <col width="12" customWidth="1" style="28" min="2" max="13"/>
  </cols>
  <sheetData>
    <row r="1" ht="26.1" customHeight="1" s="28">
      <c r="A1" s="27" t="inlineStr">
        <is>
          <t>FLUJOS DE CAJA (COP MM) - PROYECTO, INVERSIONISTA, BANCO Y SOCIAL</t>
        </is>
      </c>
    </row>
    <row r="2" ht="25.5" customHeight="1" s="28">
      <c r="A2" s="1" t="inlineStr">
        <is>
          <t>Anio</t>
        </is>
      </c>
      <c r="B2" s="1" t="inlineStr">
        <is>
          <t>Ingresos</t>
        </is>
      </c>
      <c r="C2" s="1" t="inlineStr">
        <is>
          <t>OPEX</t>
        </is>
      </c>
      <c r="D2" s="1" t="inlineStr">
        <is>
          <t>EBITDA</t>
        </is>
      </c>
      <c r="E2" s="1" t="inlineStr">
        <is>
          <t>Depreciacion</t>
        </is>
      </c>
      <c r="F2" s="1" t="inlineStr">
        <is>
          <t>Intereses</t>
        </is>
      </c>
      <c r="G2" s="1" t="inlineStr">
        <is>
          <t>Amortizacion</t>
        </is>
      </c>
      <c r="H2" s="1" t="inlineStr">
        <is>
          <t>Saldo_deuda</t>
        </is>
      </c>
      <c r="I2" s="1" t="inlineStr">
        <is>
          <t>FC_Proyecto</t>
        </is>
      </c>
      <c r="J2" s="1" t="inlineStr">
        <is>
          <t>FC_Inversionista</t>
        </is>
      </c>
      <c r="K2" s="1" t="inlineStr">
        <is>
          <t>FC_Banco</t>
        </is>
      </c>
      <c r="L2" s="1" t="inlineStr">
        <is>
          <t>Beneficio_social</t>
        </is>
      </c>
      <c r="M2" s="1" t="inlineStr">
        <is>
          <t>FC_Social</t>
        </is>
      </c>
    </row>
    <row r="3">
      <c r="A3" s="16" t="n">
        <v>0</v>
      </c>
      <c r="B3" s="23" t="n"/>
      <c r="C3" s="23" t="n"/>
      <c r="D3" s="23" t="n"/>
      <c r="E3" s="23" t="n"/>
      <c r="F3" s="23" t="n"/>
      <c r="G3" s="23" t="n"/>
      <c r="H3" s="15">
        <f>Financiacion!$C$4</f>
        <v>1997.0999999999999</v>
      </c>
      <c r="I3" s="15">
        <f>-Presupuesto!$B$9</f>
        <v>-19971</v>
      </c>
      <c r="J3" s="15">
        <f>-Financiacion!$C$5</f>
        <v>-1997.0999999999999</v>
      </c>
      <c r="K3" s="15">
        <f>Financiacion!$C$4</f>
        <v>1997.0999999999999</v>
      </c>
      <c r="L3" s="23" t="n"/>
      <c r="M3" s="15">
        <f>-Presupuesto!$B$9</f>
        <v>-19971</v>
      </c>
    </row>
    <row r="4">
      <c r="A4" s="21" t="n">
        <v>1</v>
      </c>
      <c r="B4" s="22" t="n">
        <v>1500</v>
      </c>
      <c r="C4" s="22" t="n">
        <v>1150</v>
      </c>
      <c r="D4" s="22">
        <f>B4-C4</f>
        <v>350</v>
      </c>
      <c r="E4" s="22">
        <f>Presupuesto!$B$9/25</f>
        <v>798.84000000000003</v>
      </c>
      <c r="F4" s="22">
        <f>'Amortizacion Deuda'!C3</f>
        <v>219.68100000000001</v>
      </c>
      <c r="G4" s="22">
        <f>'Amortizacion Deuda'!D3</f>
        <v>119.42943005639776</v>
      </c>
      <c r="H4" s="22">
        <f>'Amortizacion Deuda'!F3</f>
        <v>1877.6705699436022</v>
      </c>
      <c r="I4" s="22">
        <f>D4</f>
        <v>350</v>
      </c>
      <c r="J4" s="22">
        <f>I4+K4</f>
        <v>10.889569943602201</v>
      </c>
      <c r="K4" s="22">
        <f>-'Amortizacion Deuda'!E3</f>
        <v>-339.11043005639777</v>
      </c>
      <c r="L4" s="22" t="n">
        <v>4150</v>
      </c>
      <c r="M4" s="22">
        <f>L4-C4</f>
        <v>3000</v>
      </c>
    </row>
    <row r="5">
      <c r="A5" s="16">
        <f>A4+1</f>
        <v>2</v>
      </c>
      <c r="B5" s="15">
        <f>B4*(1+3.5%)</f>
        <v>1552.5</v>
      </c>
      <c r="C5" s="15">
        <f>C4*(1+3.5%)</f>
        <v>1190.25</v>
      </c>
      <c r="D5" s="15">
        <f>B5-C5</f>
        <v>362.25</v>
      </c>
      <c r="E5" s="15">
        <f>Presupuesto!$B$9/25</f>
        <v>798.84000000000003</v>
      </c>
      <c r="F5" s="15">
        <f>'Amortizacion Deuda'!C4</f>
        <v>206.543762693796</v>
      </c>
      <c r="G5" s="15">
        <f>'Amortizacion Deuda'!D4</f>
        <v>132.56666736260178</v>
      </c>
      <c r="H5" s="15">
        <f>'Amortizacion Deuda'!F4</f>
        <v>1745.1039025810005</v>
      </c>
      <c r="I5" s="15">
        <f>D5</f>
        <v>362.25</v>
      </c>
      <c r="J5" s="15">
        <f>I5+K5</f>
        <v>23.139569943602201</v>
      </c>
      <c r="K5" s="15">
        <f>-'Amortizacion Deuda'!E4</f>
        <v>-339.11043005639777</v>
      </c>
      <c r="L5" s="15">
        <f>L4*(1+3.5%)</f>
        <v>4295.25</v>
      </c>
      <c r="M5" s="15">
        <f>L5-C5</f>
        <v>3105</v>
      </c>
    </row>
    <row r="6">
      <c r="A6" s="21">
        <f>A5+1</f>
        <v>3</v>
      </c>
      <c r="B6" s="22">
        <f>B5*(1+3.5%)</f>
        <v>1606.8375000000001</v>
      </c>
      <c r="C6" s="22">
        <f>C5*(1+3.5%)</f>
        <v>1231.9087500000001</v>
      </c>
      <c r="D6" s="22">
        <f>B6-C6</f>
        <v>374.92875000000004</v>
      </c>
      <c r="E6" s="22">
        <f>Presupuesto!$B$9/25</f>
        <v>798.84000000000003</v>
      </c>
      <c r="F6" s="22">
        <f>'Amortizacion Deuda'!C5</f>
        <v>191.96142928391001</v>
      </c>
      <c r="G6" s="22">
        <f>'Amortizacion Deuda'!D5</f>
        <v>147.14900077248777</v>
      </c>
      <c r="H6" s="22">
        <f>'Amortizacion Deuda'!F5</f>
        <v>1597.9549018085127</v>
      </c>
      <c r="I6" s="22">
        <f>D6</f>
        <v>374.92875000000004</v>
      </c>
      <c r="J6" s="22">
        <f>I6+K6</f>
        <v>35.818319943602297</v>
      </c>
      <c r="K6" s="22">
        <f>-'Amortizacion Deuda'!E5</f>
        <v>-339.11043005639777</v>
      </c>
      <c r="L6" s="22">
        <f>L5*(1+3.5%)</f>
        <v>4445.5837499999998</v>
      </c>
      <c r="M6" s="22">
        <f>L6-C6</f>
        <v>3213.6749999999997</v>
      </c>
    </row>
    <row r="7">
      <c r="A7" s="16">
        <f>A6+1</f>
        <v>4</v>
      </c>
      <c r="B7" s="15">
        <f>B6*(1+3.5%)</f>
        <v>1663.0768125</v>
      </c>
      <c r="C7" s="15">
        <f>C6*(1+3.5%)</f>
        <v>1275.0255562499999</v>
      </c>
      <c r="D7" s="15">
        <f>B7-C7</f>
        <v>388.05125625000005</v>
      </c>
      <c r="E7" s="15">
        <f>Presupuesto!$B$9/25</f>
        <v>798.84000000000003</v>
      </c>
      <c r="F7" s="15">
        <f>'Amortizacion Deuda'!C6</f>
        <v>175.77503919893601</v>
      </c>
      <c r="G7" s="15">
        <f>'Amortizacion Deuda'!D6</f>
        <v>163.33539085746176</v>
      </c>
      <c r="H7" s="15">
        <f>'Amortizacion Deuda'!F6</f>
        <v>1434.6195109510509</v>
      </c>
      <c r="I7" s="15">
        <f>D7</f>
        <v>388.05125625000005</v>
      </c>
      <c r="J7" s="15">
        <f>I7+K7</f>
        <v>48.940826193602298</v>
      </c>
      <c r="K7" s="15">
        <f>-'Amortizacion Deuda'!E6</f>
        <v>-339.11043005639777</v>
      </c>
      <c r="L7" s="15">
        <f>L6*(1+3.5%)</f>
        <v>4601.1791812499996</v>
      </c>
      <c r="M7" s="15">
        <f>L7-C7</f>
        <v>3326.1536249999999</v>
      </c>
    </row>
    <row r="8">
      <c r="A8" s="21">
        <f>A7+1</f>
        <v>5</v>
      </c>
      <c r="B8" s="22">
        <f>B7*(1+3.5%)</f>
        <v>1721.2845009375001</v>
      </c>
      <c r="C8" s="22">
        <f>C7*(1+3.5%)</f>
        <v>1319.6514507187501</v>
      </c>
      <c r="D8" s="22">
        <f>B8-C8</f>
        <v>401.63305021874999</v>
      </c>
      <c r="E8" s="22">
        <f>Presupuesto!$B$9/25</f>
        <v>798.84000000000003</v>
      </c>
      <c r="F8" s="22">
        <f>'Amortizacion Deuda'!C7</f>
        <v>157.80814620461601</v>
      </c>
      <c r="G8" s="22">
        <f>'Amortizacion Deuda'!D7</f>
        <v>181.30228385178177</v>
      </c>
      <c r="H8" s="22">
        <f>'Amortizacion Deuda'!F7</f>
        <v>1253.3172270992691</v>
      </c>
      <c r="I8" s="22">
        <f>D8</f>
        <v>401.63305021874999</v>
      </c>
      <c r="J8" s="22">
        <f>I8+K8</f>
        <v>62.522620162352197</v>
      </c>
      <c r="K8" s="22">
        <f>-'Amortizacion Deuda'!E7</f>
        <v>-339.11043005639777</v>
      </c>
      <c r="L8" s="22">
        <f>L7*(1+3.5%)</f>
        <v>4762.2204525937505</v>
      </c>
      <c r="M8" s="22">
        <f>L8-C8</f>
        <v>3442.5690018750001</v>
      </c>
    </row>
    <row r="9">
      <c r="A9" s="16">
        <f>A8+1</f>
        <v>6</v>
      </c>
      <c r="B9" s="15">
        <f>B8*(1+3.5%)</f>
        <v>1781.5294584703099</v>
      </c>
      <c r="C9" s="15">
        <f>C8*(1+3.5%)</f>
        <v>1365.8392514939101</v>
      </c>
      <c r="D9" s="15">
        <f>B9-C9</f>
        <v>415.69020697639985</v>
      </c>
      <c r="E9" s="15">
        <f>Presupuesto!$B$9/25</f>
        <v>798.84000000000003</v>
      </c>
      <c r="F9" s="15">
        <f>'Amortizacion Deuda'!C8</f>
        <v>137.86489498092001</v>
      </c>
      <c r="G9" s="15">
        <f>'Amortizacion Deuda'!D8</f>
        <v>201.24553507547776</v>
      </c>
      <c r="H9" s="15">
        <f>'Amortizacion Deuda'!F8</f>
        <v>1052.0716920237912</v>
      </c>
      <c r="I9" s="15">
        <f>D9</f>
        <v>415.69020697639985</v>
      </c>
      <c r="J9" s="15">
        <f>I9+K9</f>
        <v>76.579776920002104</v>
      </c>
      <c r="K9" s="15">
        <f>-'Amortizacion Deuda'!E8</f>
        <v>-339.11043005639777</v>
      </c>
      <c r="L9" s="15">
        <f>L8*(1+3.5%)</f>
        <v>4928.8981684345299</v>
      </c>
      <c r="M9" s="15">
        <f>L9-C9</f>
        <v>3563.0589169406198</v>
      </c>
    </row>
    <row r="10">
      <c r="A10" s="21">
        <f>A9+1</f>
        <v>7</v>
      </c>
      <c r="B10" s="22">
        <f>B9*(1+3.5%)</f>
        <v>1843.8829895167701</v>
      </c>
      <c r="C10" s="22">
        <f>C9*(1+3.5%)</f>
        <v>1413.6436252962001</v>
      </c>
      <c r="D10" s="22">
        <f>B10-C10</f>
        <v>430.23936422057</v>
      </c>
      <c r="E10" s="22">
        <f>Presupuesto!$B$9/25</f>
        <v>798.84000000000003</v>
      </c>
      <c r="F10" s="22">
        <f>'Amortizacion Deuda'!C9</f>
        <v>115.72788612261699</v>
      </c>
      <c r="G10" s="22">
        <f>'Amortizacion Deuda'!D9</f>
        <v>223.38254393378077</v>
      </c>
      <c r="H10" s="22">
        <f>'Amortizacion Deuda'!F9</f>
        <v>828.68914809001046</v>
      </c>
      <c r="I10" s="22">
        <f>D10</f>
        <v>430.23936422057</v>
      </c>
      <c r="J10" s="22">
        <f>I10+K10</f>
        <v>91.128934164172193</v>
      </c>
      <c r="K10" s="22">
        <f>-'Amortizacion Deuda'!E9</f>
        <v>-339.11043005639777</v>
      </c>
      <c r="L10" s="22">
        <f>L9*(1+3.5%)</f>
        <v>5101.4096043297404</v>
      </c>
      <c r="M10" s="22">
        <f>L10-C10</f>
        <v>3687.7659790335401</v>
      </c>
    </row>
    <row r="11">
      <c r="A11" s="16">
        <f>A10+1</f>
        <v>8</v>
      </c>
      <c r="B11" s="15">
        <f>B10*(1+3.5%)</f>
        <v>1908.4188941498601</v>
      </c>
      <c r="C11" s="15">
        <f>C10*(1+3.5%)</f>
        <v>1463.1211521815701</v>
      </c>
      <c r="D11" s="15">
        <f>B11-C11</f>
        <v>445.29774196828998</v>
      </c>
      <c r="E11" s="15">
        <f>Presupuesto!$B$9/25</f>
        <v>798.84000000000003</v>
      </c>
      <c r="F11" s="15">
        <f>'Amortizacion Deuda'!C10</f>
        <v>91.155806289901193</v>
      </c>
      <c r="G11" s="15">
        <f>'Amortizacion Deuda'!D10</f>
        <v>247.95462376649658</v>
      </c>
      <c r="H11" s="15">
        <f>'Amortizacion Deuda'!F10</f>
        <v>580.73452432351382</v>
      </c>
      <c r="I11" s="15">
        <f>D11</f>
        <v>445.29774196828998</v>
      </c>
      <c r="J11" s="15">
        <f>I11+K11</f>
        <v>106.18731191189219</v>
      </c>
      <c r="K11" s="15">
        <f>-'Amortizacion Deuda'!E10</f>
        <v>-339.11043005639777</v>
      </c>
      <c r="L11" s="15">
        <f>L10*(1+3.5%)</f>
        <v>5279.9589404812796</v>
      </c>
      <c r="M11" s="15">
        <f>L11-C11</f>
        <v>3816.8377882997092</v>
      </c>
    </row>
    <row r="12">
      <c r="A12" s="21">
        <f>A11+1</f>
        <v>9</v>
      </c>
      <c r="B12" s="22">
        <f>B11*(1+3.5%)</f>
        <v>1975.2135554450999</v>
      </c>
      <c r="C12" s="22">
        <f>C11*(1+3.5%)</f>
        <v>1514.3303925079199</v>
      </c>
      <c r="D12" s="22">
        <f>B12-C12</f>
        <v>460.88316293718003</v>
      </c>
      <c r="E12" s="22">
        <f>Presupuesto!$B$9/25</f>
        <v>798.84000000000003</v>
      </c>
      <c r="F12" s="22">
        <f>'Amortizacion Deuda'!C11</f>
        <v>63.8807976755865</v>
      </c>
      <c r="G12" s="22">
        <f>'Amortizacion Deuda'!D11</f>
        <v>275.22963238081127</v>
      </c>
      <c r="H12" s="22">
        <f>'Amortizacion Deuda'!F11</f>
        <v>305.50489194270256</v>
      </c>
      <c r="I12" s="22">
        <f>D12</f>
        <v>460.88316293718003</v>
      </c>
      <c r="J12" s="22">
        <f>I12+K12</f>
        <v>121.7727328807822</v>
      </c>
      <c r="K12" s="22">
        <f>-'Amortizacion Deuda'!E11</f>
        <v>-339.11043005639777</v>
      </c>
      <c r="L12" s="22">
        <f>L11*(1+3.5%)</f>
        <v>5464.7575033981202</v>
      </c>
      <c r="M12" s="22">
        <f>L12-C12</f>
        <v>3950.4271108902003</v>
      </c>
    </row>
    <row r="13">
      <c r="A13" s="16">
        <f>A12+1</f>
        <v>10</v>
      </c>
      <c r="B13" s="15">
        <f>B12*(1+3.5%)</f>
        <v>2044.3460298856801</v>
      </c>
      <c r="C13" s="15">
        <f>C12*(1+3.5%)</f>
        <v>1567.3319562457</v>
      </c>
      <c r="D13" s="15">
        <f>B13-C13</f>
        <v>477.0140736399801</v>
      </c>
      <c r="E13" s="15">
        <f>Presupuesto!$B$9/25</f>
        <v>798.84000000000003</v>
      </c>
      <c r="F13" s="15">
        <f>'Amortizacion Deuda'!C12</f>
        <v>33.6055381136973</v>
      </c>
      <c r="G13" s="15">
        <f>'Amortizacion Deuda'!D12</f>
        <v>305.50489194270045</v>
      </c>
      <c r="H13" s="15">
        <f>'Amortizacion Deuda'!F12</f>
        <v>2.1032064978498966e-12</v>
      </c>
      <c r="I13" s="15">
        <f>D13</f>
        <v>477.0140736399801</v>
      </c>
      <c r="J13" s="15">
        <f>I13+K13</f>
        <v>137.90364358358229</v>
      </c>
      <c r="K13" s="15">
        <f>-'Amortizacion Deuda'!E12</f>
        <v>-339.11043005639777</v>
      </c>
      <c r="L13" s="15">
        <f>L12*(1+3.5%)</f>
        <v>5656.0240160170497</v>
      </c>
      <c r="M13" s="15">
        <f>L13-C13</f>
        <v>4088.6920597713497</v>
      </c>
    </row>
    <row r="14">
      <c r="A14" s="21">
        <f>A13+1</f>
        <v>11</v>
      </c>
      <c r="B14" s="22">
        <f>B13*(1+3.5%)</f>
        <v>2115.8981409316798</v>
      </c>
      <c r="C14" s="22">
        <f>C13*(1+3.5%)</f>
        <v>1622.1885747143001</v>
      </c>
      <c r="D14" s="22">
        <f>B14-C14</f>
        <v>493.70956621737969</v>
      </c>
      <c r="E14" s="22">
        <f>Presupuesto!$B$9/25</f>
        <v>798.84000000000003</v>
      </c>
      <c r="F14" s="22">
        <f>'Amortizacion Deuda'!C13</f>
        <v>0</v>
      </c>
      <c r="G14" s="22">
        <f>'Amortizacion Deuda'!D13</f>
        <v>0</v>
      </c>
      <c r="H14" s="22">
        <f>'Amortizacion Deuda'!F13</f>
        <v>2.1032064978498966e-12</v>
      </c>
      <c r="I14" s="22">
        <f>D14</f>
        <v>493.70956621737969</v>
      </c>
      <c r="J14" s="22">
        <f>I14+K14</f>
        <v>493.70956621737969</v>
      </c>
      <c r="K14" s="22">
        <f>-'Amortizacion Deuda'!E13</f>
        <v>0</v>
      </c>
      <c r="L14" s="22">
        <f>L13*(1+3.5%)</f>
        <v>5853.9848565776401</v>
      </c>
      <c r="M14" s="22">
        <f>L14-C14</f>
        <v>4231.7962818633405</v>
      </c>
    </row>
    <row r="15">
      <c r="A15" s="16">
        <f>A14+1</f>
        <v>12</v>
      </c>
      <c r="B15" s="15">
        <f>B14*(1+3.5%)</f>
        <v>2189.9545758642898</v>
      </c>
      <c r="C15" s="15">
        <f>C14*(1+3.5%)</f>
        <v>1678.9651748292999</v>
      </c>
      <c r="D15" s="15">
        <f>B15-C15</f>
        <v>510.9894010349899</v>
      </c>
      <c r="E15" s="15">
        <f>Presupuesto!$B$9/25</f>
        <v>798.84000000000003</v>
      </c>
      <c r="F15" s="15">
        <f>'Amortizacion Deuda'!C14</f>
        <v>0</v>
      </c>
      <c r="G15" s="15">
        <f>'Amortizacion Deuda'!D14</f>
        <v>0</v>
      </c>
      <c r="H15" s="15">
        <f>'Amortizacion Deuda'!F14</f>
        <v>2.1032064978498966e-12</v>
      </c>
      <c r="I15" s="15">
        <f>D15</f>
        <v>510.9894010349899</v>
      </c>
      <c r="J15" s="15">
        <f>I15+K15</f>
        <v>510.9894010349899</v>
      </c>
      <c r="K15" s="15">
        <f>-'Amortizacion Deuda'!E14</f>
        <v>0</v>
      </c>
      <c r="L15" s="15">
        <f>L14*(1+3.5%)</f>
        <v>6058.8743265578596</v>
      </c>
      <c r="M15" s="15">
        <f>L15-C15</f>
        <v>4379.9091517285597</v>
      </c>
    </row>
    <row r="16">
      <c r="A16" s="21">
        <f>A15+1</f>
        <v>13</v>
      </c>
      <c r="B16" s="22">
        <f>B15*(1+3.5%)</f>
        <v>2266.6029860195399</v>
      </c>
      <c r="C16" s="22">
        <f>C15*(1+3.5%)</f>
        <v>1737.7289559483299</v>
      </c>
      <c r="D16" s="22">
        <f>B16-C16</f>
        <v>528.87403007120997</v>
      </c>
      <c r="E16" s="22">
        <f>Presupuesto!$B$9/25</f>
        <v>798.84000000000003</v>
      </c>
      <c r="F16" s="22">
        <f>'Amortizacion Deuda'!C15</f>
        <v>0</v>
      </c>
      <c r="G16" s="22">
        <f>'Amortizacion Deuda'!D15</f>
        <v>0</v>
      </c>
      <c r="H16" s="22">
        <f>'Amortizacion Deuda'!F15</f>
        <v>2.1032064978498966e-12</v>
      </c>
      <c r="I16" s="22">
        <f>D16</f>
        <v>528.87403007120997</v>
      </c>
      <c r="J16" s="22">
        <f>I16+K16</f>
        <v>528.87403007120997</v>
      </c>
      <c r="K16" s="22">
        <f>-'Amortizacion Deuda'!E15</f>
        <v>0</v>
      </c>
      <c r="L16" s="22">
        <f>L15*(1+3.5%)</f>
        <v>6270.9349279873804</v>
      </c>
      <c r="M16" s="22">
        <f>L16-C16</f>
        <v>4533.2059720390507</v>
      </c>
    </row>
    <row r="17">
      <c r="A17" s="16">
        <f>A16+1</f>
        <v>14</v>
      </c>
      <c r="B17" s="15">
        <f>B16*(1+3.5%)</f>
        <v>2345.9340905302201</v>
      </c>
      <c r="C17" s="15">
        <f>C16*(1+3.5%)</f>
        <v>1798.5494694065201</v>
      </c>
      <c r="D17" s="15">
        <f>B17-C17</f>
        <v>547.38462112370007</v>
      </c>
      <c r="E17" s="15">
        <f>Presupuesto!$B$9/25</f>
        <v>798.84000000000003</v>
      </c>
      <c r="F17" s="15">
        <f>'Amortizacion Deuda'!C16</f>
        <v>0</v>
      </c>
      <c r="G17" s="15">
        <f>'Amortizacion Deuda'!D16</f>
        <v>0</v>
      </c>
      <c r="H17" s="15">
        <f>'Amortizacion Deuda'!F16</f>
        <v>2.1032064978498966e-12</v>
      </c>
      <c r="I17" s="15">
        <f>D17</f>
        <v>547.38462112370007</v>
      </c>
      <c r="J17" s="15">
        <f>I17+K17</f>
        <v>547.38462112370007</v>
      </c>
      <c r="K17" s="15">
        <f>-'Amortizacion Deuda'!E16</f>
        <v>0</v>
      </c>
      <c r="L17" s="15">
        <f>L16*(1+3.5%)</f>
        <v>6490.4176504669404</v>
      </c>
      <c r="M17" s="15">
        <f>L17-C17</f>
        <v>4691.8681810604203</v>
      </c>
    </row>
    <row r="18">
      <c r="A18" s="21">
        <f>A17+1</f>
        <v>15</v>
      </c>
      <c r="B18" s="22">
        <f>B17*(1+3.5%)</f>
        <v>2428.0417836987799</v>
      </c>
      <c r="C18" s="22">
        <f>C17*(1+3.5%)</f>
        <v>1861.49870083575</v>
      </c>
      <c r="D18" s="22">
        <f>B18-C18</f>
        <v>566.54308286302989</v>
      </c>
      <c r="E18" s="22">
        <f>Presupuesto!$B$9/25</f>
        <v>798.84000000000003</v>
      </c>
      <c r="F18" s="22">
        <f>'Amortizacion Deuda'!C17</f>
        <v>0</v>
      </c>
      <c r="G18" s="22">
        <f>'Amortizacion Deuda'!D17</f>
        <v>0</v>
      </c>
      <c r="H18" s="22">
        <f>'Amortizacion Deuda'!F17</f>
        <v>2.1032064978498966e-12</v>
      </c>
      <c r="I18" s="22">
        <f>D18</f>
        <v>566.54308286302989</v>
      </c>
      <c r="J18" s="22">
        <f>I18+K18</f>
        <v>566.54308286302989</v>
      </c>
      <c r="K18" s="22">
        <f>-'Amortizacion Deuda'!E17</f>
        <v>0</v>
      </c>
      <c r="L18" s="22">
        <f>L17*(1+3.5%)</f>
        <v>6717.58226823328</v>
      </c>
      <c r="M18" s="22">
        <f>L18-C18</f>
        <v>4856.0835673975298</v>
      </c>
    </row>
    <row r="19">
      <c r="A19" s="16">
        <f>A18+1</f>
        <v>16</v>
      </c>
      <c r="B19" s="15">
        <f>B18*(1+3.5%)</f>
        <v>2513.0232461282399</v>
      </c>
      <c r="C19" s="15">
        <f>C18*(1+3.5%)</f>
        <v>1926.651155365</v>
      </c>
      <c r="D19" s="15">
        <f>B19-C19</f>
        <v>586.37209076323984</v>
      </c>
      <c r="E19" s="15">
        <f>Presupuesto!$B$9/25</f>
        <v>798.84000000000003</v>
      </c>
      <c r="F19" s="15">
        <f>'Amortizacion Deuda'!C18</f>
        <v>0</v>
      </c>
      <c r="G19" s="15">
        <f>'Amortizacion Deuda'!D18</f>
        <v>0</v>
      </c>
      <c r="H19" s="15">
        <f>'Amortizacion Deuda'!F18</f>
        <v>2.1032064978498966e-12</v>
      </c>
      <c r="I19" s="15">
        <f>D19</f>
        <v>586.37209076323984</v>
      </c>
      <c r="J19" s="15">
        <f>I19+K19</f>
        <v>586.37209076323984</v>
      </c>
      <c r="K19" s="15">
        <f>-'Amortizacion Deuda'!E18</f>
        <v>0</v>
      </c>
      <c r="L19" s="15">
        <f>L18*(1+3.5%)</f>
        <v>6952.6976476214404</v>
      </c>
      <c r="M19" s="15">
        <f>L19-C19</f>
        <v>5026.0464922564406</v>
      </c>
    </row>
    <row r="20">
      <c r="A20" s="21">
        <f>A19+1</f>
        <v>17</v>
      </c>
      <c r="B20" s="22">
        <f>B19*(1+3.5%)</f>
        <v>2600.97905974273</v>
      </c>
      <c r="C20" s="22">
        <f>C19*(1+3.5%)</f>
        <v>1994.0839458027799</v>
      </c>
      <c r="D20" s="22">
        <f>B20-C20</f>
        <v>606.89511393995008</v>
      </c>
      <c r="E20" s="22">
        <f>Presupuesto!$B$9/25</f>
        <v>798.84000000000003</v>
      </c>
      <c r="F20" s="22">
        <f>'Amortizacion Deuda'!C19</f>
        <v>0</v>
      </c>
      <c r="G20" s="22">
        <f>'Amortizacion Deuda'!D19</f>
        <v>0</v>
      </c>
      <c r="H20" s="22">
        <f>'Amortizacion Deuda'!F19</f>
        <v>2.1032064978498966e-12</v>
      </c>
      <c r="I20" s="22">
        <f>D20</f>
        <v>606.89511393995008</v>
      </c>
      <c r="J20" s="22">
        <f>I20+K20</f>
        <v>606.89511393995008</v>
      </c>
      <c r="K20" s="22">
        <f>-'Amortizacion Deuda'!E19</f>
        <v>0</v>
      </c>
      <c r="L20" s="22">
        <f>L19*(1+3.5%)</f>
        <v>7196.0420652881903</v>
      </c>
      <c r="M20" s="22">
        <f>L20-C20</f>
        <v>5201.9581194854109</v>
      </c>
    </row>
    <row r="21">
      <c r="A21" s="16">
        <f>A20+1</f>
        <v>18</v>
      </c>
      <c r="B21" s="15">
        <f>B20*(1+3.5%)</f>
        <v>2692.0133268337299</v>
      </c>
      <c r="C21" s="15">
        <f>C20*(1+3.5%)</f>
        <v>2063.8768839058798</v>
      </c>
      <c r="D21" s="15">
        <f>B21-C21</f>
        <v>628.13644292785011</v>
      </c>
      <c r="E21" s="15">
        <f>Presupuesto!$B$9/25</f>
        <v>798.84000000000003</v>
      </c>
      <c r="F21" s="15">
        <f>'Amortizacion Deuda'!C20</f>
        <v>0</v>
      </c>
      <c r="G21" s="15">
        <f>'Amortizacion Deuda'!D20</f>
        <v>0</v>
      </c>
      <c r="H21" s="15">
        <f>'Amortizacion Deuda'!F20</f>
        <v>2.1032064978498966e-12</v>
      </c>
      <c r="I21" s="15">
        <f>D21</f>
        <v>628.13644292785011</v>
      </c>
      <c r="J21" s="15">
        <f>I21+K21</f>
        <v>628.13644292785011</v>
      </c>
      <c r="K21" s="15">
        <f>-'Amortizacion Deuda'!E20</f>
        <v>0</v>
      </c>
      <c r="L21" s="15">
        <f>L20*(1+3.5%)</f>
        <v>7447.9035375732801</v>
      </c>
      <c r="M21" s="15">
        <f>L21-C21</f>
        <v>5384.0266536674008</v>
      </c>
    </row>
    <row r="22">
      <c r="A22" s="21">
        <f>A21+1</f>
        <v>19</v>
      </c>
      <c r="B22" s="22">
        <f>B21*(1+3.5%)</f>
        <v>2786.2337932729101</v>
      </c>
      <c r="C22" s="22">
        <f>C21*(1+3.5%)</f>
        <v>2136.1125748425902</v>
      </c>
      <c r="D22" s="22">
        <f>B22-C22</f>
        <v>650.12121843031991</v>
      </c>
      <c r="E22" s="22">
        <f>Presupuesto!$B$9/25</f>
        <v>798.84000000000003</v>
      </c>
      <c r="F22" s="22">
        <f>'Amortizacion Deuda'!C21</f>
        <v>0</v>
      </c>
      <c r="G22" s="22">
        <f>'Amortizacion Deuda'!D21</f>
        <v>0</v>
      </c>
      <c r="H22" s="22">
        <f>'Amortizacion Deuda'!F21</f>
        <v>2.1032064978498966e-12</v>
      </c>
      <c r="I22" s="22">
        <f>D22</f>
        <v>650.12121843031991</v>
      </c>
      <c r="J22" s="22">
        <f>I22+K22</f>
        <v>650.12121843031991</v>
      </c>
      <c r="K22" s="22">
        <f>-'Amortizacion Deuda'!E21</f>
        <v>0</v>
      </c>
      <c r="L22" s="22">
        <f>L21*(1+3.5%)</f>
        <v>7708.5801613883395</v>
      </c>
      <c r="M22" s="22">
        <f>L22-C22</f>
        <v>5572.4675865457493</v>
      </c>
    </row>
    <row r="23">
      <c r="A23" s="16">
        <f>A22+1</f>
        <v>20</v>
      </c>
      <c r="B23" s="15">
        <f>B22*(1+3.5%)</f>
        <v>2883.7519760374598</v>
      </c>
      <c r="C23" s="15">
        <f>C22*(1+3.5%)</f>
        <v>2210.8765149620799</v>
      </c>
      <c r="D23" s="15">
        <f>B23-C23</f>
        <v>672.87546107537992</v>
      </c>
      <c r="E23" s="15">
        <f>Presupuesto!$B$9/25</f>
        <v>798.84000000000003</v>
      </c>
      <c r="F23" s="15">
        <f>'Amortizacion Deuda'!C22</f>
        <v>0</v>
      </c>
      <c r="G23" s="15">
        <f>'Amortizacion Deuda'!D22</f>
        <v>0</v>
      </c>
      <c r="H23" s="15">
        <f>'Amortizacion Deuda'!F22</f>
        <v>2.1032064978498966e-12</v>
      </c>
      <c r="I23" s="15">
        <f>D23</f>
        <v>672.87546107537992</v>
      </c>
      <c r="J23" s="15">
        <f>I23+K23</f>
        <v>672.87546107537992</v>
      </c>
      <c r="K23" s="15">
        <f>-'Amortizacion Deuda'!E22</f>
        <v>0</v>
      </c>
      <c r="L23" s="15">
        <f>L22*(1+3.5%)</f>
        <v>7978.38046703693</v>
      </c>
      <c r="M23" s="15">
        <f>L23-C23</f>
        <v>5767.5039520748505</v>
      </c>
    </row>
    <row r="24">
      <c r="A24" s="21">
        <f>A23+1</f>
        <v>21</v>
      </c>
      <c r="B24" s="22">
        <f>B23*(1+3.5%)</f>
        <v>2984.6832951987699</v>
      </c>
      <c r="C24" s="22">
        <f>C23*(1+3.5%)</f>
        <v>2288.25719298575</v>
      </c>
      <c r="D24" s="22">
        <f>B24-C24</f>
        <v>696.42610221301993</v>
      </c>
      <c r="E24" s="22">
        <f>Presupuesto!$B$9/25</f>
        <v>798.84000000000003</v>
      </c>
      <c r="F24" s="22">
        <f>'Amortizacion Deuda'!C23</f>
        <v>0</v>
      </c>
      <c r="G24" s="22">
        <f>'Amortizacion Deuda'!D23</f>
        <v>0</v>
      </c>
      <c r="H24" s="22">
        <f>'Amortizacion Deuda'!F23</f>
        <v>2.1032064978498966e-12</v>
      </c>
      <c r="I24" s="22">
        <f>D24</f>
        <v>696.42610221301993</v>
      </c>
      <c r="J24" s="22">
        <f>I24+K24</f>
        <v>696.42610221301993</v>
      </c>
      <c r="K24" s="22">
        <f>-'Amortizacion Deuda'!E23</f>
        <v>0</v>
      </c>
      <c r="L24" s="22">
        <f>L23*(1+3.5%)</f>
        <v>8257.6237833832201</v>
      </c>
      <c r="M24" s="22">
        <f>L24-C24</f>
        <v>5969.3665903974706</v>
      </c>
    </row>
    <row r="25">
      <c r="A25" s="16">
        <f>A24+1</f>
        <v>22</v>
      </c>
      <c r="B25" s="15">
        <f>B24*(1+3.5%)</f>
        <v>3089.1472105307298</v>
      </c>
      <c r="C25" s="15">
        <f>C24*(1+3.5%)</f>
        <v>2368.3461947402502</v>
      </c>
      <c r="D25" s="15">
        <f>B25-C25</f>
        <v>720.8010157904796</v>
      </c>
      <c r="E25" s="15">
        <f>Presupuesto!$B$9/25</f>
        <v>798.84000000000003</v>
      </c>
      <c r="F25" s="15">
        <f>'Amortizacion Deuda'!C24</f>
        <v>0</v>
      </c>
      <c r="G25" s="15">
        <f>'Amortizacion Deuda'!D24</f>
        <v>0</v>
      </c>
      <c r="H25" s="15">
        <f>'Amortizacion Deuda'!F24</f>
        <v>2.1032064978498966e-12</v>
      </c>
      <c r="I25" s="15">
        <f>D25</f>
        <v>720.8010157904796</v>
      </c>
      <c r="J25" s="15">
        <f>I25+K25</f>
        <v>720.8010157904796</v>
      </c>
      <c r="K25" s="15">
        <f>-'Amortizacion Deuda'!E24</f>
        <v>0</v>
      </c>
      <c r="L25" s="15">
        <f>L24*(1+3.5%)</f>
        <v>8546.6406158016307</v>
      </c>
      <c r="M25" s="15">
        <f>L25-C25</f>
        <v>6178.2944210613805</v>
      </c>
    </row>
    <row r="26">
      <c r="A26" s="21">
        <f>A25+1</f>
        <v>23</v>
      </c>
      <c r="B26" s="22">
        <f>B25*(1+3.5%)</f>
        <v>3197.2673628993002</v>
      </c>
      <c r="C26" s="22">
        <f>C25*(1+3.5%)</f>
        <v>2451.2383115561602</v>
      </c>
      <c r="D26" s="22">
        <f>B26-C26</f>
        <v>746.02905134314005</v>
      </c>
      <c r="E26" s="22">
        <f>Presupuesto!$B$9/25</f>
        <v>798.84000000000003</v>
      </c>
      <c r="F26" s="22">
        <f>'Amortizacion Deuda'!C25</f>
        <v>0</v>
      </c>
      <c r="G26" s="22">
        <f>'Amortizacion Deuda'!D25</f>
        <v>0</v>
      </c>
      <c r="H26" s="22">
        <f>'Amortizacion Deuda'!F25</f>
        <v>2.1032064978498966e-12</v>
      </c>
      <c r="I26" s="22">
        <f>D26</f>
        <v>746.02905134314005</v>
      </c>
      <c r="J26" s="22">
        <f>I26+K26</f>
        <v>746.02905134314005</v>
      </c>
      <c r="K26" s="22">
        <f>-'Amortizacion Deuda'!E25</f>
        <v>0</v>
      </c>
      <c r="L26" s="22">
        <f>L25*(1+3.5%)</f>
        <v>8845.7730373546892</v>
      </c>
      <c r="M26" s="22">
        <f>L26-C26</f>
        <v>6394.5347257985286</v>
      </c>
    </row>
    <row r="27">
      <c r="A27" s="16">
        <f>A26+1</f>
        <v>24</v>
      </c>
      <c r="B27" s="15">
        <f>B26*(1+3.5%)</f>
        <v>3309.1717206007802</v>
      </c>
      <c r="C27" s="15">
        <f>C26*(1+3.5%)</f>
        <v>2537.0316524606301</v>
      </c>
      <c r="D27" s="15">
        <f>B27-C27</f>
        <v>772.14006814015011</v>
      </c>
      <c r="E27" s="15">
        <f>Presupuesto!$B$9/25</f>
        <v>798.84000000000003</v>
      </c>
      <c r="F27" s="15">
        <f>'Amortizacion Deuda'!C26</f>
        <v>0</v>
      </c>
      <c r="G27" s="15">
        <f>'Amortizacion Deuda'!D26</f>
        <v>0</v>
      </c>
      <c r="H27" s="15">
        <f>'Amortizacion Deuda'!F26</f>
        <v>2.1032064978498966e-12</v>
      </c>
      <c r="I27" s="15">
        <f>D27</f>
        <v>772.14006814015011</v>
      </c>
      <c r="J27" s="15">
        <f>I27+K27</f>
        <v>772.14006814015011</v>
      </c>
      <c r="K27" s="15">
        <f>-'Amortizacion Deuda'!E26</f>
        <v>0</v>
      </c>
      <c r="L27" s="15">
        <f>L26*(1+3.5%)</f>
        <v>9155.3750936621</v>
      </c>
      <c r="M27" s="15">
        <f>L27-C27</f>
        <v>6618.3434412014703</v>
      </c>
    </row>
    <row r="28">
      <c r="A28" s="21">
        <f>A27+1</f>
        <v>25</v>
      </c>
      <c r="B28" s="22">
        <f>B27*(1+3.5%)</f>
        <v>3424.9927308218098</v>
      </c>
      <c r="C28" s="22">
        <f>C27*(1+3.5%)</f>
        <v>2625.8277602967501</v>
      </c>
      <c r="D28" s="22">
        <f>B28-C28</f>
        <v>799.16497052505974</v>
      </c>
      <c r="E28" s="22">
        <f>Presupuesto!$B$9/25</f>
        <v>798.84000000000003</v>
      </c>
      <c r="F28" s="22">
        <f>'Amortizacion Deuda'!C27</f>
        <v>0</v>
      </c>
      <c r="G28" s="22">
        <f>'Amortizacion Deuda'!D27</f>
        <v>0</v>
      </c>
      <c r="H28" s="22">
        <f>'Amortizacion Deuda'!F27</f>
        <v>2.1032064978498966e-12</v>
      </c>
      <c r="I28" s="22">
        <f>D28</f>
        <v>799.16497052505974</v>
      </c>
      <c r="J28" s="22">
        <f>I28+K28</f>
        <v>799.16497052505974</v>
      </c>
      <c r="K28" s="22">
        <f>-'Amortizacion Deuda'!E27</f>
        <v>0</v>
      </c>
      <c r="L28" s="22">
        <f>L27*(1+3.5%)</f>
        <v>9475.8132219402705</v>
      </c>
      <c r="M28" s="22">
        <f>L28-C28</f>
        <v>6849.9854616435205</v>
      </c>
    </row>
  </sheetData>
  <mergeCells count="1">
    <mergeCell ref="A1:M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18"/>
  <sheetViews>
    <sheetView showGridLines="0" workbookViewId="0">
      <selection activeCell="A1" sqref="A1:C1"/>
    </sheetView>
  </sheetViews>
  <sheetFormatPr baseColWidth="10" defaultColWidth="9.140625" defaultRowHeight="15"/>
  <cols>
    <col width="30" customWidth="1" style="28" min="1" max="1"/>
    <col width="18" customWidth="1" style="28" min="2" max="2"/>
    <col width="40" customWidth="1" style="28" min="3" max="3"/>
    <col hidden="1" width="13" customWidth="1" style="28" min="4" max="4"/>
    <col hidden="1" width="13" customWidth="1" style="28" min="5" max="5"/>
    <col hidden="1" width="13" customWidth="1" style="28" min="6" max="6"/>
    <col hidden="1" width="13" customWidth="1" style="28" min="7" max="7"/>
    <col hidden="1" width="13" customWidth="1" style="28" min="8" max="8"/>
    <col hidden="1" width="13" customWidth="1" style="28" min="9" max="9"/>
    <col hidden="1" width="13" customWidth="1" style="28" min="10" max="10"/>
    <col hidden="1" width="13" customWidth="1" style="28" min="11" max="11"/>
    <col hidden="1" width="13" customWidth="1" style="28" min="12" max="12"/>
    <col hidden="1" width="13" customWidth="1" style="28" min="13" max="13"/>
    <col hidden="1" width="13" customWidth="1" style="28" min="14" max="14"/>
    <col hidden="1" width="13" customWidth="1" style="28" min="15" max="15"/>
    <col hidden="1" width="13" customWidth="1" style="28" min="16" max="16"/>
    <col hidden="1" width="13" customWidth="1" style="28" min="17" max="17"/>
    <col hidden="1" width="13" customWidth="1" style="28" min="18" max="18"/>
    <col hidden="1" width="13" customWidth="1" style="28" min="19" max="19"/>
    <col hidden="1" width="13" customWidth="1" style="28" min="20" max="20"/>
    <col hidden="1" width="13" customWidth="1" style="28" min="21" max="21"/>
    <col hidden="1" width="13" customWidth="1" style="28" min="22" max="22"/>
    <col hidden="1" width="13" customWidth="1" style="28" min="23" max="23"/>
    <col hidden="1" width="13" customWidth="1" style="28" min="24" max="24"/>
    <col hidden="1" width="13" customWidth="1" style="28" min="25" max="25"/>
    <col hidden="1" width="13" customWidth="1" style="28" min="26" max="26"/>
    <col hidden="1" width="13" customWidth="1" style="28" min="27" max="27"/>
    <col hidden="1" width="13" customWidth="1" style="28" min="28" max="28"/>
    <col hidden="1" width="13" customWidth="1" style="28" min="29" max="29"/>
    <col hidden="1" width="13" customWidth="1" style="28" min="30" max="30"/>
  </cols>
  <sheetData>
    <row r="1" ht="26.1" customHeight="1" s="28">
      <c r="A1" s="27" t="inlineStr">
        <is>
          <t>INDICADORES DE RENTABILIDAD Y EVALUACION</t>
        </is>
      </c>
    </row>
    <row r="2">
      <c r="A2" s="1" t="inlineStr">
        <is>
          <t>Indicador</t>
        </is>
      </c>
      <c r="B2" s="1" t="inlineStr">
        <is>
          <t>Valor</t>
        </is>
      </c>
      <c r="C2" s="1" t="inlineStr">
        <is>
          <t>Interpretacion</t>
        </is>
      </c>
    </row>
    <row r="3">
      <c r="A3" s="2" t="inlineStr">
        <is>
          <t>WACC</t>
        </is>
      </c>
      <c r="B3" s="24">
        <f>Financiacion!B8</f>
        <v>0.093100000000000002</v>
      </c>
      <c r="C3" s="5" t="inlineStr">
        <is>
          <t>Costo de capital (tasa de descuento)</t>
        </is>
      </c>
    </row>
    <row r="4">
      <c r="A4" s="2" t="inlineStr">
        <is>
          <t>VPN Proyecto</t>
        </is>
      </c>
      <c r="B4" s="29">
        <f>NPV(Financiacion!B3*9%+Financiacion!B4*11%*(1-35%)+Financiacion!B5*14%,'Flujos de Caja'!I4:I28)+'Flujos de Caja'!I3</f>
        <v>-15486.817326428236</v>
      </c>
      <c r="C4" s="5" t="inlineStr">
        <is>
          <t>&lt;0: no rentable solo con tarifas (tipico)</t>
        </is>
      </c>
    </row>
    <row r="5">
      <c r="A5" s="2" t="inlineStr">
        <is>
          <t>TIR Proyecto</t>
        </is>
      </c>
      <c r="B5" s="24">
        <f>IRR('Flujos de Caja'!I3:I28)</f>
        <v>-0.024525286761997628</v>
      </c>
      <c r="C5" s="5" t="inlineStr">
        <is>
          <t>&lt; WACC -&gt; no rentable por si solo</t>
        </is>
      </c>
    </row>
    <row r="6" ht="30" customHeight="1" s="28">
      <c r="A6" s="2" t="inlineStr">
        <is>
          <t>VPN Inversionista</t>
        </is>
      </c>
      <c r="B6" s="29">
        <f>NPV(14%,'Flujos de Caja'!J4:J28)+'Flujos de Caja'!J3</f>
        <v>-730.29723062591393</v>
      </c>
      <c r="C6" s="5" t="inlineStr">
        <is>
          <t>Valor para el inversionista (con cofinanciacion)</t>
        </is>
      </c>
    </row>
    <row r="7">
      <c r="A7" s="2" t="inlineStr">
        <is>
          <t>TIR Inversionista</t>
        </is>
      </c>
      <c r="B7" s="24">
        <f>IRR('Flujos de Caja'!J3:J28)</f>
        <v>0.10461124270398502</v>
      </c>
      <c r="C7" s="5" t="inlineStr">
        <is>
          <t>Comparar con Ke = 14%</t>
        </is>
      </c>
    </row>
    <row r="8">
      <c r="A8" s="2" t="inlineStr">
        <is>
          <t>VPN Social @9%</t>
        </is>
      </c>
      <c r="B8" s="29">
        <f>NPV(9%,'Flujos de Caja'!M4:M28)+'Flujos de Caja'!M3</f>
        <v>19625.705143047082</v>
      </c>
      <c r="C8" s="5" t="inlineStr">
        <is>
          <t>&gt;0: socialmente viable (tasa social DNP)</t>
        </is>
      </c>
    </row>
    <row r="9">
      <c r="A9" s="2" t="inlineStr">
        <is>
          <t>Relacion Beneficio Costo</t>
        </is>
      </c>
      <c r="B9" s="30">
        <f>NPV(9%,'Flujos de Caja'!L4:L28)/(Presupuesto!B9+NPV(9%,'Flujos de Caja'!C4:C28))</f>
        <v>1.558345718460399</v>
      </c>
      <c r="C9" s="5" t="inlineStr">
        <is>
          <t>&gt;1: socialmente viable (B/C)</t>
        </is>
      </c>
    </row>
    <row r="11">
      <c r="A11" s="27" t="inlineStr">
        <is>
          <t>SENSIBILIDAD: % de aporte publico -&gt; TIR del inversionista</t>
        </is>
      </c>
    </row>
    <row r="12">
      <c r="A12" s="1" t="inlineStr">
        <is>
          <t>Aporte publico</t>
        </is>
      </c>
      <c r="B12" s="1" t="inlineStr">
        <is>
          <t>TIR inversionista</t>
        </is>
      </c>
      <c r="C12" s="1" t="inlineStr">
        <is>
          <t>Criterio (Ke=14%)</t>
        </is>
      </c>
    </row>
    <row r="13">
      <c r="A13" s="14" t="n">
        <v>0</v>
      </c>
      <c r="B13" s="26">
        <f>IRR(E13:AD13)</f>
        <v>-0.053978422892472178</v>
      </c>
      <c r="C13" s="16" t="str">
        <f>IF(B13&gt;=14%,"Viable","No viable")</f>
        <v>No viable</v>
      </c>
      <c r="E13">
        <f>-(1-A13)/2*Presupuesto!$B$9</f>
        <v>-9985.5</v>
      </c>
      <c r="F13">
        <f>'Flujos de Caja'!I4-'Amortizacion Deuda'!E3*((1-$A13)/2/Financiacion!$B$4)</f>
        <v>-1345.55215028199</v>
      </c>
      <c r="G13">
        <f>'Flujos de Caja'!I5-'Amortizacion Deuda'!E4*((1-$A13)/2/Financiacion!$B$4)</f>
        <v>-1333.30215028199</v>
      </c>
      <c r="H13">
        <f>'Flujos de Caja'!I6-'Amortizacion Deuda'!E5*((1-$A13)/2/Financiacion!$B$4)</f>
        <v>-1320.6234002819899</v>
      </c>
      <c r="I13">
        <f>'Flujos de Caja'!I7-'Amortizacion Deuda'!E6*((1-$A13)/2/Financiacion!$B$4)</f>
        <v>-1307.5008940319899</v>
      </c>
      <c r="J13">
        <f>'Flujos de Caja'!I8-'Amortizacion Deuda'!E7*((1-$A13)/2/Financiacion!$B$4)</f>
        <v>-1293.91910006324</v>
      </c>
      <c r="K13">
        <f>'Flujos de Caja'!I9-'Amortizacion Deuda'!E8*((1-$A13)/2/Financiacion!$B$4)</f>
        <v>-1279.8619433055901</v>
      </c>
      <c r="L13">
        <f>'Flujos de Caja'!I10-'Amortizacion Deuda'!E9*((1-$A13)/2/Financiacion!$B$4)</f>
        <v>-1265.31278606142</v>
      </c>
      <c r="M13">
        <f>'Flujos de Caja'!I11-'Amortizacion Deuda'!E10*((1-$A13)/2/Financiacion!$B$4)</f>
        <v>-1250.2544083137</v>
      </c>
      <c r="N13">
        <f>'Flujos de Caja'!I12-'Amortizacion Deuda'!E11*((1-$A13)/2/Financiacion!$B$4)</f>
        <v>-1234.6689873448099</v>
      </c>
      <c r="O13">
        <f>'Flujos de Caja'!I13-'Amortizacion Deuda'!E12*((1-$A13)/2/Financiacion!$B$4)</f>
        <v>-1218.5380766420099</v>
      </c>
      <c r="P13">
        <f>'Flujos de Caja'!I14</f>
        <v>493.70956621737969</v>
      </c>
      <c r="Q13">
        <f>'Flujos de Caja'!I15</f>
        <v>510.9894010349899</v>
      </c>
      <c r="R13">
        <f>'Flujos de Caja'!I16</f>
        <v>528.87403007120997</v>
      </c>
      <c r="S13">
        <f>'Flujos de Caja'!I17</f>
        <v>547.38462112370007</v>
      </c>
      <c r="T13">
        <f>'Flujos de Caja'!I18</f>
        <v>566.54308286302989</v>
      </c>
      <c r="U13">
        <f>'Flujos de Caja'!I19</f>
        <v>586.37209076323984</v>
      </c>
      <c r="V13">
        <f>'Flujos de Caja'!I20</f>
        <v>606.89511393995008</v>
      </c>
      <c r="W13">
        <f>'Flujos de Caja'!I21</f>
        <v>628.13644292785011</v>
      </c>
      <c r="X13">
        <f>'Flujos de Caja'!I22</f>
        <v>650.12121843031991</v>
      </c>
      <c r="Y13">
        <f>'Flujos de Caja'!I23</f>
        <v>672.87546107537992</v>
      </c>
      <c r="Z13">
        <f>'Flujos de Caja'!I24</f>
        <v>696.42610221301993</v>
      </c>
      <c r="AA13">
        <f>'Flujos de Caja'!I25</f>
        <v>720.8010157904796</v>
      </c>
      <c r="AB13">
        <f>'Flujos de Caja'!I26</f>
        <v>746.02905134314005</v>
      </c>
      <c r="AC13">
        <f>'Flujos de Caja'!I27</f>
        <v>772.14006814015011</v>
      </c>
      <c r="AD13">
        <f>'Flujos de Caja'!I28</f>
        <v>799.16497052505974</v>
      </c>
    </row>
    <row r="14">
      <c r="A14" s="14" t="n">
        <v>0.4</v>
      </c>
      <c r="B14" s="26">
        <f>IRR(E14:AD14)</f>
        <v>-0.014605543499222122</v>
      </c>
      <c r="C14" s="16" t="str">
        <f>IF(B14&gt;=14%,"Viable","No viable")</f>
        <v>No viable</v>
      </c>
      <c r="E14">
        <f>-(1-A14)/2*Presupuesto!$B$9</f>
        <v>-5991.3000000000002</v>
      </c>
      <c r="F14">
        <f>'Flujos de Caja'!I4-'Amortizacion Deuda'!E3*((1-$A14)/2/Financiacion!$B$4)</f>
        <v>-667.33129016918997</v>
      </c>
      <c r="G14">
        <f>'Flujos de Caja'!I5-'Amortizacion Deuda'!E4*((1-$A14)/2/Financiacion!$B$4)</f>
        <v>-655.08129016918997</v>
      </c>
      <c r="H14">
        <f>'Flujos de Caja'!I6-'Amortizacion Deuda'!E5*((1-$A14)/2/Financiacion!$B$4)</f>
        <v>-642.40254016918993</v>
      </c>
      <c r="I14">
        <f>'Flujos de Caja'!I7-'Amortizacion Deuda'!E6*((1-$A14)/2/Financiacion!$B$4)</f>
        <v>-629.28003391918992</v>
      </c>
      <c r="J14">
        <f>'Flujos de Caja'!I8-'Amortizacion Deuda'!E7*((1-$A14)/2/Financiacion!$B$4)</f>
        <v>-615.69823995043998</v>
      </c>
      <c r="K14">
        <f>'Flujos de Caja'!I9-'Amortizacion Deuda'!E8*((1-$A14)/2/Financiacion!$B$4)</f>
        <v>-601.64108319279012</v>
      </c>
      <c r="L14">
        <f>'Flujos de Caja'!I10-'Amortizacion Deuda'!E9*((1-$A14)/2/Financiacion!$B$4)</f>
        <v>-587.09192594861997</v>
      </c>
      <c r="M14">
        <f>'Flujos de Caja'!I11-'Amortizacion Deuda'!E10*((1-$A14)/2/Financiacion!$B$4)</f>
        <v>-572.03354820089999</v>
      </c>
      <c r="N14">
        <f>'Flujos de Caja'!I12-'Amortizacion Deuda'!E11*((1-$A14)/2/Financiacion!$B$4)</f>
        <v>-556.44812723200994</v>
      </c>
      <c r="O14">
        <f>'Flujos de Caja'!I13-'Amortizacion Deuda'!E12*((1-$A14)/2/Financiacion!$B$4)</f>
        <v>-540.31721652920987</v>
      </c>
      <c r="P14">
        <f>'Flujos de Caja'!I14</f>
        <v>493.70956621737969</v>
      </c>
      <c r="Q14">
        <f>'Flujos de Caja'!I15</f>
        <v>510.9894010349899</v>
      </c>
      <c r="R14">
        <f>'Flujos de Caja'!I16</f>
        <v>528.87403007120997</v>
      </c>
      <c r="S14">
        <f>'Flujos de Caja'!I17</f>
        <v>547.38462112370007</v>
      </c>
      <c r="T14">
        <f>'Flujos de Caja'!I18</f>
        <v>566.54308286302989</v>
      </c>
      <c r="U14">
        <f>'Flujos de Caja'!I19</f>
        <v>586.37209076323984</v>
      </c>
      <c r="V14">
        <f>'Flujos de Caja'!I20</f>
        <v>606.89511393995008</v>
      </c>
      <c r="W14">
        <f>'Flujos de Caja'!I21</f>
        <v>628.13644292785011</v>
      </c>
      <c r="X14">
        <f>'Flujos de Caja'!I22</f>
        <v>650.12121843031991</v>
      </c>
      <c r="Y14">
        <f>'Flujos de Caja'!I23</f>
        <v>672.87546107537992</v>
      </c>
      <c r="Z14">
        <f>'Flujos de Caja'!I24</f>
        <v>696.42610221301993</v>
      </c>
      <c r="AA14">
        <f>'Flujos de Caja'!I25</f>
        <v>720.8010157904796</v>
      </c>
      <c r="AB14">
        <f>'Flujos de Caja'!I26</f>
        <v>746.02905134314005</v>
      </c>
      <c r="AC14">
        <f>'Flujos de Caja'!I27</f>
        <v>772.14006814015011</v>
      </c>
      <c r="AD14">
        <f>'Flujos de Caja'!I28</f>
        <v>799.16497052505974</v>
      </c>
    </row>
    <row r="15">
      <c r="A15" s="14" t="n">
        <v>0.6</v>
      </c>
      <c r="B15" s="26">
        <f>IRR(E15:AD15)</f>
        <v>0.021826856790040254</v>
      </c>
      <c r="C15" s="16" t="str">
        <f>IF(B15&gt;=14%,"Viable","No viable")</f>
        <v>No viable</v>
      </c>
      <c r="E15">
        <f>-(1-A15)/2*Presupuesto!$B$9</f>
        <v>-3994.2000000000003</v>
      </c>
      <c r="F15">
        <f>'Flujos de Caja'!I4-'Amortizacion Deuda'!E3*((1-$A15)/2/Financiacion!$B$4)</f>
        <v>-328.220860112796</v>
      </c>
      <c r="G15">
        <f>'Flujos de Caja'!I5-'Amortizacion Deuda'!E4*((1-$A15)/2/Financiacion!$B$4)</f>
        <v>-315.970860112796</v>
      </c>
      <c r="H15">
        <f>'Flujos de Caja'!I6-'Amortizacion Deuda'!E5*((1-$A15)/2/Financiacion!$B$4)</f>
        <v>-303.29211011279597</v>
      </c>
      <c r="I15">
        <f>'Flujos de Caja'!I7-'Amortizacion Deuda'!E6*((1-$A15)/2/Financiacion!$B$4)</f>
        <v>-290.16960386279595</v>
      </c>
      <c r="J15">
        <f>'Flujos de Caja'!I8-'Amortizacion Deuda'!E7*((1-$A15)/2/Financiacion!$B$4)</f>
        <v>-276.58780989404602</v>
      </c>
      <c r="K15">
        <f>'Flujos de Caja'!I9-'Amortizacion Deuda'!E8*((1-$A15)/2/Financiacion!$B$4)</f>
        <v>-262.53065313639615</v>
      </c>
      <c r="L15">
        <f>'Flujos de Caja'!I10-'Amortizacion Deuda'!E9*((1-$A15)/2/Financiacion!$B$4)</f>
        <v>-247.98149589222601</v>
      </c>
      <c r="M15">
        <f>'Flujos de Caja'!I11-'Amortizacion Deuda'!E10*((1-$A15)/2/Financiacion!$B$4)</f>
        <v>-232.92311814450602</v>
      </c>
      <c r="N15">
        <f>'Flujos de Caja'!I12-'Amortizacion Deuda'!E11*((1-$A15)/2/Financiacion!$B$4)</f>
        <v>-217.33769717561597</v>
      </c>
      <c r="O15">
        <f>'Flujos de Caja'!I13-'Amortizacion Deuda'!E12*((1-$A15)/2/Financiacion!$B$4)</f>
        <v>-201.20678647281591</v>
      </c>
      <c r="P15">
        <f>'Flujos de Caja'!I14</f>
        <v>493.70956621737969</v>
      </c>
      <c r="Q15">
        <f>'Flujos de Caja'!I15</f>
        <v>510.9894010349899</v>
      </c>
      <c r="R15">
        <f>'Flujos de Caja'!I16</f>
        <v>528.87403007120997</v>
      </c>
      <c r="S15">
        <f>'Flujos de Caja'!I17</f>
        <v>547.38462112370007</v>
      </c>
      <c r="T15">
        <f>'Flujos de Caja'!I18</f>
        <v>566.54308286302989</v>
      </c>
      <c r="U15">
        <f>'Flujos de Caja'!I19</f>
        <v>586.37209076323984</v>
      </c>
      <c r="V15">
        <f>'Flujos de Caja'!I20</f>
        <v>606.89511393995008</v>
      </c>
      <c r="W15">
        <f>'Flujos de Caja'!I21</f>
        <v>628.13644292785011</v>
      </c>
      <c r="X15">
        <f>'Flujos de Caja'!I22</f>
        <v>650.12121843031991</v>
      </c>
      <c r="Y15">
        <f>'Flujos de Caja'!I23</f>
        <v>672.87546107537992</v>
      </c>
      <c r="Z15">
        <f>'Flujos de Caja'!I24</f>
        <v>696.42610221301993</v>
      </c>
      <c r="AA15">
        <f>'Flujos de Caja'!I25</f>
        <v>720.8010157904796</v>
      </c>
      <c r="AB15">
        <f>'Flujos de Caja'!I26</f>
        <v>746.02905134314005</v>
      </c>
      <c r="AC15">
        <f>'Flujos de Caja'!I27</f>
        <v>772.14006814015011</v>
      </c>
      <c r="AD15">
        <f>'Flujos de Caja'!I28</f>
        <v>799.16497052505974</v>
      </c>
    </row>
    <row r="16">
      <c r="A16" s="14" t="n">
        <v>0.7</v>
      </c>
      <c r="B16" s="26">
        <f>IRR(E16:AD16)</f>
        <v>0.05203685119443574</v>
      </c>
      <c r="C16" s="16" t="str">
        <f>IF(B16&gt;=14%,"Viable","No viable")</f>
        <v>No viable</v>
      </c>
      <c r="E16">
        <f>-(1-A16)/2*Presupuesto!$B$9</f>
        <v>-2995.6500000000005</v>
      </c>
      <c r="F16">
        <f>'Flujos de Caja'!I4-'Amortizacion Deuda'!E3*((1-$A16)/2/Financiacion!$B$4)</f>
        <v>-158.66564508459697</v>
      </c>
      <c r="G16">
        <f>'Flujos de Caja'!I5-'Amortizacion Deuda'!E4*((1-$A16)/2/Financiacion!$B$4)</f>
        <v>-146.41564508459697</v>
      </c>
      <c r="H16">
        <f>'Flujos de Caja'!I6-'Amortizacion Deuda'!E5*((1-$A16)/2/Financiacion!$B$4)</f>
        <v>-133.73689508459694</v>
      </c>
      <c r="I16">
        <f>'Flujos de Caja'!I7-'Amortizacion Deuda'!E6*((1-$A16)/2/Financiacion!$B$4)</f>
        <v>-120.61438883459692</v>
      </c>
      <c r="J16">
        <f>'Flujos de Caja'!I8-'Amortizacion Deuda'!E7*((1-$A16)/2/Financiacion!$B$4)</f>
        <v>-107.03259486584699</v>
      </c>
      <c r="K16">
        <f>'Flujos de Caja'!I9-'Amortizacion Deuda'!E8*((1-$A16)/2/Financiacion!$B$4)</f>
        <v>-92.975438108197125</v>
      </c>
      <c r="L16">
        <f>'Flujos de Caja'!I10-'Amortizacion Deuda'!E9*((1-$A16)/2/Financiacion!$B$4)</f>
        <v>-78.426280864026978</v>
      </c>
      <c r="M16">
        <f>'Flujos de Caja'!I11-'Amortizacion Deuda'!E10*((1-$A16)/2/Financiacion!$B$4)</f>
        <v>-63.367903116306991</v>
      </c>
      <c r="N16">
        <f>'Flujos de Caja'!I12-'Amortizacion Deuda'!E11*((1-$A16)/2/Financiacion!$B$4)</f>
        <v>-47.782482147416943</v>
      </c>
      <c r="O16">
        <f>'Flujos de Caja'!I13-'Amortizacion Deuda'!E12*((1-$A16)/2/Financiacion!$B$4)</f>
        <v>-31.651571444616877</v>
      </c>
      <c r="P16">
        <f>'Flujos de Caja'!I14</f>
        <v>493.70956621737969</v>
      </c>
      <c r="Q16">
        <f>'Flujos de Caja'!I15</f>
        <v>510.9894010349899</v>
      </c>
      <c r="R16">
        <f>'Flujos de Caja'!I16</f>
        <v>528.87403007120997</v>
      </c>
      <c r="S16">
        <f>'Flujos de Caja'!I17</f>
        <v>547.38462112370007</v>
      </c>
      <c r="T16">
        <f>'Flujos de Caja'!I18</f>
        <v>566.54308286302989</v>
      </c>
      <c r="U16">
        <f>'Flujos de Caja'!I19</f>
        <v>586.37209076323984</v>
      </c>
      <c r="V16">
        <f>'Flujos de Caja'!I20</f>
        <v>606.89511393995008</v>
      </c>
      <c r="W16">
        <f>'Flujos de Caja'!I21</f>
        <v>628.13644292785011</v>
      </c>
      <c r="X16">
        <f>'Flujos de Caja'!I22</f>
        <v>650.12121843031991</v>
      </c>
      <c r="Y16">
        <f>'Flujos de Caja'!I23</f>
        <v>672.87546107537992</v>
      </c>
      <c r="Z16">
        <f>'Flujos de Caja'!I24</f>
        <v>696.42610221301993</v>
      </c>
      <c r="AA16">
        <f>'Flujos de Caja'!I25</f>
        <v>720.8010157904796</v>
      </c>
      <c r="AB16">
        <f>'Flujos de Caja'!I26</f>
        <v>746.02905134314005</v>
      </c>
      <c r="AC16">
        <f>'Flujos de Caja'!I27</f>
        <v>772.14006814015011</v>
      </c>
      <c r="AD16">
        <f>'Flujos de Caja'!I28</f>
        <v>799.16497052505974</v>
      </c>
    </row>
    <row r="17">
      <c r="A17" s="14" t="n">
        <v>0.8</v>
      </c>
      <c r="B17" s="26">
        <f>IRR(E17:AD17)</f>
        <v>0.10461124270398514</v>
      </c>
      <c r="C17" s="16" t="str">
        <f>IF(B17&gt;=14%,"Viable","No viable")</f>
        <v>No viable</v>
      </c>
      <c r="E17">
        <f>-(1-A17)/2*Presupuesto!$B$9</f>
        <v>-1997.0999999999995</v>
      </c>
      <c r="F17">
        <f>'Flujos de Caja'!I4-'Amortizacion Deuda'!E3*((1-$A17)/2/Financiacion!$B$4)</f>
        <v>10.889569943601998</v>
      </c>
      <c r="G17">
        <f>'Flujos de Caja'!I5-'Amortizacion Deuda'!E4*((1-$A17)/2/Financiacion!$B$4)</f>
        <v>23.139569943601998</v>
      </c>
      <c r="H17">
        <f>'Flujos de Caja'!I6-'Amortizacion Deuda'!E5*((1-$A17)/2/Financiacion!$B$4)</f>
        <v>35.818319943602035</v>
      </c>
      <c r="I17">
        <f>'Flujos de Caja'!I7-'Amortizacion Deuda'!E6*((1-$A17)/2/Financiacion!$B$4)</f>
        <v>48.940826193602049</v>
      </c>
      <c r="J17">
        <f>'Flujos de Caja'!I8-'Amortizacion Deuda'!E7*((1-$A17)/2/Financiacion!$B$4)</f>
        <v>62.522620162351984</v>
      </c>
      <c r="K17">
        <f>'Flujos de Caja'!I9-'Amortizacion Deuda'!E8*((1-$A17)/2/Financiacion!$B$4)</f>
        <v>76.579776920001848</v>
      </c>
      <c r="L17">
        <f>'Flujos de Caja'!I10-'Amortizacion Deuda'!E9*((1-$A17)/2/Financiacion!$B$4)</f>
        <v>91.128934164171994</v>
      </c>
      <c r="M17">
        <f>'Flujos de Caja'!I11-'Amortizacion Deuda'!E10*((1-$A17)/2/Financiacion!$B$4)</f>
        <v>106.18731191189198</v>
      </c>
      <c r="N17">
        <f>'Flujos de Caja'!I12-'Amortizacion Deuda'!E11*((1-$A17)/2/Financiacion!$B$4)</f>
        <v>121.77273288078203</v>
      </c>
      <c r="O17">
        <f>'Flujos de Caja'!I13-'Amortizacion Deuda'!E12*((1-$A17)/2/Financiacion!$B$4)</f>
        <v>137.9036435835821</v>
      </c>
      <c r="P17">
        <f>'Flujos de Caja'!I14</f>
        <v>493.70956621737969</v>
      </c>
      <c r="Q17">
        <f>'Flujos de Caja'!I15</f>
        <v>510.9894010349899</v>
      </c>
      <c r="R17">
        <f>'Flujos de Caja'!I16</f>
        <v>528.87403007120997</v>
      </c>
      <c r="S17">
        <f>'Flujos de Caja'!I17</f>
        <v>547.38462112370007</v>
      </c>
      <c r="T17">
        <f>'Flujos de Caja'!I18</f>
        <v>566.54308286302989</v>
      </c>
      <c r="U17">
        <f>'Flujos de Caja'!I19</f>
        <v>586.37209076323984</v>
      </c>
      <c r="V17">
        <f>'Flujos de Caja'!I20</f>
        <v>606.89511393995008</v>
      </c>
      <c r="W17">
        <f>'Flujos de Caja'!I21</f>
        <v>628.13644292785011</v>
      </c>
      <c r="X17">
        <f>'Flujos de Caja'!I22</f>
        <v>650.12121843031991</v>
      </c>
      <c r="Y17">
        <f>'Flujos de Caja'!I23</f>
        <v>672.87546107537992</v>
      </c>
      <c r="Z17">
        <f>'Flujos de Caja'!I24</f>
        <v>696.42610221301993</v>
      </c>
      <c r="AA17">
        <f>'Flujos de Caja'!I25</f>
        <v>720.8010157904796</v>
      </c>
      <c r="AB17">
        <f>'Flujos de Caja'!I26</f>
        <v>746.02905134314005</v>
      </c>
      <c r="AC17">
        <f>'Flujos de Caja'!I27</f>
        <v>772.14006814015011</v>
      </c>
      <c r="AD17">
        <f>'Flujos de Caja'!I28</f>
        <v>799.16497052505974</v>
      </c>
    </row>
    <row r="18">
      <c r="A18" s="14" t="n">
        <v>0.9</v>
      </c>
      <c r="B18" s="26">
        <f>IRR(E18:AD18)</f>
        <v>0.25176863937966415</v>
      </c>
      <c r="C18" s="16" t="str">
        <f>IF(B18&gt;=14%,"Viable","No viable")</f>
        <v>Viable</v>
      </c>
      <c r="E18">
        <f>-(1-A18)/2*Presupuesto!$B$9</f>
        <v>-998.54999999999973</v>
      </c>
      <c r="F18">
        <f>'Flujos de Caja'!I4-'Amortizacion Deuda'!E3*((1-$A18)/2/Financiacion!$B$4)</f>
        <v>180.444784971801</v>
      </c>
      <c r="G18">
        <f>'Flujos de Caja'!I5-'Amortizacion Deuda'!E4*((1-$A18)/2/Financiacion!$B$4)</f>
        <v>192.694784971801</v>
      </c>
      <c r="H18">
        <f>'Flujos de Caja'!I6-'Amortizacion Deuda'!E5*((1-$A18)/2/Financiacion!$B$4)</f>
        <v>205.37353497180104</v>
      </c>
      <c r="I18">
        <f>'Flujos de Caja'!I7-'Amortizacion Deuda'!E6*((1-$A18)/2/Financiacion!$B$4)</f>
        <v>218.49604122180105</v>
      </c>
      <c r="J18">
        <f>'Flujos de Caja'!I8-'Amortizacion Deuda'!E7*((1-$A18)/2/Financiacion!$B$4)</f>
        <v>232.07783519055099</v>
      </c>
      <c r="K18">
        <f>'Flujos de Caja'!I9-'Amortizacion Deuda'!E8*((1-$A18)/2/Financiacion!$B$4)</f>
        <v>246.13499194820085</v>
      </c>
      <c r="L18">
        <f>'Flujos de Caja'!I10-'Amortizacion Deuda'!E9*((1-$A18)/2/Financiacion!$B$4)</f>
        <v>260.68414919237102</v>
      </c>
      <c r="M18">
        <f>'Flujos de Caja'!I11-'Amortizacion Deuda'!E10*((1-$A18)/2/Financiacion!$B$4)</f>
        <v>275.74252694009101</v>
      </c>
      <c r="N18">
        <f>'Flujos de Caja'!I12-'Amortizacion Deuda'!E11*((1-$A18)/2/Financiacion!$B$4)</f>
        <v>291.32794790898106</v>
      </c>
      <c r="O18">
        <f>'Flujos de Caja'!I13-'Amortizacion Deuda'!E12*((1-$A18)/2/Financiacion!$B$4)</f>
        <v>307.45885861178112</v>
      </c>
      <c r="P18">
        <f>'Flujos de Caja'!I14</f>
        <v>493.70956621737969</v>
      </c>
      <c r="Q18">
        <f>'Flujos de Caja'!I15</f>
        <v>510.9894010349899</v>
      </c>
      <c r="R18">
        <f>'Flujos de Caja'!I16</f>
        <v>528.87403007120997</v>
      </c>
      <c r="S18">
        <f>'Flujos de Caja'!I17</f>
        <v>547.38462112370007</v>
      </c>
      <c r="T18">
        <f>'Flujos de Caja'!I18</f>
        <v>566.54308286302989</v>
      </c>
      <c r="U18">
        <f>'Flujos de Caja'!I19</f>
        <v>586.37209076323984</v>
      </c>
      <c r="V18">
        <f>'Flujos de Caja'!I20</f>
        <v>606.89511393995008</v>
      </c>
      <c r="W18">
        <f>'Flujos de Caja'!I21</f>
        <v>628.13644292785011</v>
      </c>
      <c r="X18">
        <f>'Flujos de Caja'!I22</f>
        <v>650.12121843031991</v>
      </c>
      <c r="Y18">
        <f>'Flujos de Caja'!I23</f>
        <v>672.87546107537992</v>
      </c>
      <c r="Z18">
        <f>'Flujos de Caja'!I24</f>
        <v>696.42610221301993</v>
      </c>
      <c r="AA18">
        <f>'Flujos de Caja'!I25</f>
        <v>720.8010157904796</v>
      </c>
      <c r="AB18">
        <f>'Flujos de Caja'!I26</f>
        <v>746.02905134314005</v>
      </c>
      <c r="AC18">
        <f>'Flujos de Caja'!I27</f>
        <v>772.14006814015011</v>
      </c>
      <c r="AD18">
        <f>'Flujos de Caja'!I28</f>
        <v>799.16497052505974</v>
      </c>
    </row>
  </sheetData>
  <mergeCells count="2">
    <mergeCell ref="A1:C1"/>
    <mergeCell ref="A11:C1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36"/>
  <sheetViews>
    <sheetView showGridLines="0" tabSelected="1" workbookViewId="0">
      <selection activeCell="A1" sqref="A1:G1"/>
    </sheetView>
  </sheetViews>
  <sheetFormatPr baseColWidth="10" defaultColWidth="9.140625" defaultRowHeight="15"/>
  <cols>
    <col width="5" customWidth="1" style="28" min="1" max="1"/>
    <col width="44" customWidth="1" style="28" min="2" max="2"/>
    <col width="14" customWidth="1" style="28" min="3" max="3"/>
    <col width="54" customWidth="1" style="28" min="4" max="4"/>
    <col width="5" customWidth="1" style="28" min="5" max="5"/>
    <col width="7" customWidth="1" style="28" min="6" max="6"/>
    <col width="9" customWidth="1" style="28" min="7" max="7"/>
    <col width="10" customWidth="1" style="28" min="8" max="8"/>
  </cols>
  <sheetData>
    <row r="1" ht="26.1" customHeight="1" s="28">
      <c r="A1" s="27" t="inlineStr">
        <is>
          <t>MATRIZ DE RIESGOS (20) - Nivel=PxI [Bajo 1-6 / Medio 8-12 / Alto 15-25]</t>
        </is>
      </c>
    </row>
    <row r="2">
      <c r="A2" s="1" t="inlineStr">
        <is>
          <t>#</t>
        </is>
      </c>
      <c r="B2" s="1" t="inlineStr">
        <is>
          <t>Riesgo</t>
        </is>
      </c>
      <c r="C2" s="1" t="inlineStr">
        <is>
          <t>Tipo</t>
        </is>
      </c>
      <c r="D2" s="1" t="inlineStr">
        <is>
          <t>P</t>
        </is>
      </c>
      <c r="E2" s="1" t="inlineStr">
        <is>
          <t>I</t>
        </is>
      </c>
      <c r="F2" s="1" t="inlineStr">
        <is>
          <t>PxI</t>
        </is>
      </c>
      <c r="G2" s="1" t="inlineStr">
        <is>
          <t>Nivel</t>
        </is>
      </c>
    </row>
    <row r="3">
      <c r="A3" s="16" t="n">
        <v>1</v>
      </c>
      <c r="B3" s="5" t="inlineStr">
        <is>
          <t>Crecientes/turbiedad extrema del río San Juan</t>
        </is>
      </c>
      <c r="C3" s="16" t="inlineStr">
        <is>
          <t>Ambiental</t>
        </is>
      </c>
      <c r="D3" s="16" t="n">
        <v>4</v>
      </c>
      <c r="E3" s="16" t="n">
        <v>5</v>
      </c>
      <c r="F3" s="16">
        <f>D3*E3</f>
        <v>20</v>
      </c>
      <c r="G3" s="16" t="str">
        <f>IF(F3&lt;=6,"Bajo",IF(F3&lt;=12,"Medio","Alto"))</f>
        <v>Alto</v>
      </c>
    </row>
    <row r="4">
      <c r="A4" s="16" t="n">
        <v>2</v>
      </c>
      <c r="B4" s="5" t="inlineStr">
        <is>
          <t>Contaminación por minería ilegal (mercurio)</t>
        </is>
      </c>
      <c r="C4" s="16" t="inlineStr">
        <is>
          <t>Ambiental</t>
        </is>
      </c>
      <c r="D4" s="16" t="n">
        <v>4</v>
      </c>
      <c r="E4" s="16" t="n">
        <v>5</v>
      </c>
      <c r="F4" s="16">
        <f>D4*E4</f>
        <v>20</v>
      </c>
      <c r="G4" s="16" t="str">
        <f>IF(F4&lt;=6,"Bajo",IF(F4&lt;=12,"Medio","Alto"))</f>
        <v>Alto</v>
      </c>
    </row>
    <row r="5">
      <c r="A5" s="16" t="n">
        <v>3</v>
      </c>
      <c r="B5" s="5" t="inlineStr">
        <is>
          <t>Inundaciones que dañan captación/redes</t>
        </is>
      </c>
      <c r="C5" s="16" t="inlineStr">
        <is>
          <t>Ambiental</t>
        </is>
      </c>
      <c r="D5" s="16" t="n">
        <v>4</v>
      </c>
      <c r="E5" s="16" t="n">
        <v>4</v>
      </c>
      <c r="F5" s="16">
        <f>D5*E5</f>
        <v>16</v>
      </c>
      <c r="G5" s="16" t="str">
        <f>IF(F5&lt;=6,"Bajo",IF(F5&lt;=12,"Medio","Alto"))</f>
        <v>Alto</v>
      </c>
    </row>
    <row r="6" ht="30" customHeight="1" s="28">
      <c r="A6" s="16" t="n">
        <v>4</v>
      </c>
      <c r="B6" s="5" t="inlineStr">
        <is>
          <t>Deforestación de la cuenca</t>
        </is>
      </c>
      <c r="C6" s="16" t="inlineStr">
        <is>
          <t>Ambiental</t>
        </is>
      </c>
      <c r="D6" s="16" t="n">
        <v>3</v>
      </c>
      <c r="E6" s="16" t="n">
        <v>3</v>
      </c>
      <c r="F6" s="16">
        <f>D6*E6</f>
        <v>9</v>
      </c>
      <c r="G6" s="16" t="str">
        <f>IF(F6&lt;=6,"Bajo",IF(F6&lt;=12,"Medio","Alto"))</f>
        <v>Medio</v>
      </c>
    </row>
    <row r="7">
      <c r="A7" s="16" t="n">
        <v>5</v>
      </c>
      <c r="B7" s="5" t="inlineStr">
        <is>
          <t>Vertimientos de aguas residuales a la fuente</t>
        </is>
      </c>
      <c r="C7" s="16" t="inlineStr">
        <is>
          <t>Ambiental</t>
        </is>
      </c>
      <c r="D7" s="16" t="n">
        <v>3</v>
      </c>
      <c r="E7" s="16" t="n">
        <v>4</v>
      </c>
      <c r="F7" s="16">
        <f>D7*E7</f>
        <v>12</v>
      </c>
      <c r="G7" s="16" t="str">
        <f>IF(F7&lt;=6,"Bajo",IF(F7&lt;=12,"Medio","Alto"))</f>
        <v>Medio</v>
      </c>
    </row>
    <row r="8">
      <c r="A8" s="16" t="n">
        <v>6</v>
      </c>
      <c r="B8" s="5" t="inlineStr">
        <is>
          <t>Resistencia comunitaria a micromedición/tarifa</t>
        </is>
      </c>
      <c r="C8" s="16" t="inlineStr">
        <is>
          <t>Social</t>
        </is>
      </c>
      <c r="D8" s="16" t="n">
        <v>3</v>
      </c>
      <c r="E8" s="16" t="n">
        <v>3</v>
      </c>
      <c r="F8" s="16">
        <f>D8*E8</f>
        <v>9</v>
      </c>
      <c r="G8" s="16" t="str">
        <f>IF(F8&lt;=6,"Bajo",IF(F8&lt;=12,"Medio","Alto"))</f>
        <v>Medio</v>
      </c>
    </row>
    <row r="9">
      <c r="A9" s="16" t="n">
        <v>7</v>
      </c>
      <c r="B9" s="5" t="inlineStr">
        <is>
          <t>Baja cultura de pago y cartera morosa</t>
        </is>
      </c>
      <c r="C9" s="16" t="inlineStr">
        <is>
          <t>Social</t>
        </is>
      </c>
      <c r="D9" s="16" t="n">
        <v>4</v>
      </c>
      <c r="E9" s="16" t="n">
        <v>3</v>
      </c>
      <c r="F9" s="16">
        <f>D9*E9</f>
        <v>12</v>
      </c>
      <c r="G9" s="16" t="str">
        <f>IF(F9&lt;=6,"Bajo",IF(F9&lt;=12,"Medio","Alto"))</f>
        <v>Medio</v>
      </c>
    </row>
    <row r="10" ht="30" customHeight="1" s="28">
      <c r="A10" s="16" t="n">
        <v>8</v>
      </c>
      <c r="B10" s="5" t="inlineStr">
        <is>
          <t>Presencia de grupos armados (extorsión/retrasos)</t>
        </is>
      </c>
      <c r="C10" s="16" t="inlineStr">
        <is>
          <t>Seguridad</t>
        </is>
      </c>
      <c r="D10" s="16" t="n">
        <v>4</v>
      </c>
      <c r="E10" s="16" t="n">
        <v>4</v>
      </c>
      <c r="F10" s="16">
        <f>D10*E10</f>
        <v>16</v>
      </c>
      <c r="G10" s="16" t="str">
        <f>IF(F10&lt;=6,"Bajo",IF(F10&lt;=12,"Medio","Alto"))</f>
        <v>Alto</v>
      </c>
    </row>
    <row r="11">
      <c r="A11" s="16" t="n">
        <v>9</v>
      </c>
      <c r="B11" s="5" t="inlineStr">
        <is>
          <t>Demora en desembolsos de cofinanciación</t>
        </is>
      </c>
      <c r="C11" s="16" t="inlineStr">
        <is>
          <t>Institucional</t>
        </is>
      </c>
      <c r="D11" s="16" t="n">
        <v>4</v>
      </c>
      <c r="E11" s="16" t="n">
        <v>4</v>
      </c>
      <c r="F11" s="16">
        <f>D11*E11</f>
        <v>16</v>
      </c>
      <c r="G11" s="16" t="str">
        <f>IF(F11&lt;=6,"Bajo",IF(F11&lt;=12,"Medio","Alto"))</f>
        <v>Alto</v>
      </c>
    </row>
    <row r="12">
      <c r="A12" s="16" t="n">
        <v>10</v>
      </c>
      <c r="B12" s="5" t="inlineStr">
        <is>
          <t>Debilidad del operador municipal</t>
        </is>
      </c>
      <c r="C12" s="16" t="inlineStr">
        <is>
          <t>Institucional</t>
        </is>
      </c>
      <c r="D12" s="16" t="n">
        <v>3</v>
      </c>
      <c r="E12" s="16" t="n">
        <v>4</v>
      </c>
      <c r="F12" s="16">
        <f>D12*E12</f>
        <v>12</v>
      </c>
      <c r="G12" s="16" t="str">
        <f>IF(F12&lt;=6,"Bajo",IF(F12&lt;=12,"Medio","Alto"))</f>
        <v>Medio</v>
      </c>
    </row>
    <row r="13">
      <c r="A13" s="16" t="n">
        <v>11</v>
      </c>
      <c r="B13" s="5" t="inlineStr">
        <is>
          <t>Sobrecostos por inflación de insumos/transporte</t>
        </is>
      </c>
      <c r="C13" s="16" t="inlineStr">
        <is>
          <t>Financiero</t>
        </is>
      </c>
      <c r="D13" s="16" t="n">
        <v>3</v>
      </c>
      <c r="E13" s="16" t="n">
        <v>3</v>
      </c>
      <c r="F13" s="16">
        <f>D13*E13</f>
        <v>9</v>
      </c>
      <c r="G13" s="16" t="str">
        <f>IF(F13&lt;=6,"Bajo",IF(F13&lt;=12,"Medio","Alto"))</f>
        <v>Medio</v>
      </c>
    </row>
    <row r="14">
      <c r="A14" s="16" t="n">
        <v>12</v>
      </c>
      <c r="B14" s="5" t="inlineStr">
        <is>
          <t>Tarifa insuficiente para cubrir OPEX</t>
        </is>
      </c>
      <c r="C14" s="16" t="inlineStr">
        <is>
          <t>Financiero</t>
        </is>
      </c>
      <c r="D14" s="16" t="n">
        <v>4</v>
      </c>
      <c r="E14" s="16" t="n">
        <v>3</v>
      </c>
      <c r="F14" s="16">
        <f>D14*E14</f>
        <v>12</v>
      </c>
      <c r="G14" s="16" t="str">
        <f>IF(F14&lt;=6,"Bajo",IF(F14&lt;=12,"Medio","Alto"))</f>
        <v>Medio</v>
      </c>
    </row>
    <row r="15">
      <c r="A15" s="16" t="n">
        <v>13</v>
      </c>
      <c r="B15" s="5" t="inlineStr">
        <is>
          <t>Diseño hidráulico subdimensionado</t>
        </is>
      </c>
      <c r="C15" s="16" t="inlineStr">
        <is>
          <t>Técnico</t>
        </is>
      </c>
      <c r="D15" s="16" t="n">
        <v>2</v>
      </c>
      <c r="E15" s="16" t="n">
        <v>4</v>
      </c>
      <c r="F15" s="16">
        <f>D15*E15</f>
        <v>8</v>
      </c>
      <c r="G15" s="16" t="str">
        <f>IF(F15&lt;=6,"Bajo",IF(F15&lt;=12,"Medio","Alto"))</f>
        <v>Medio</v>
      </c>
    </row>
    <row r="16">
      <c r="A16" s="16" t="n">
        <v>14</v>
      </c>
      <c r="B16" s="5" t="inlineStr">
        <is>
          <t>Fallas de equipos de bombeo</t>
        </is>
      </c>
      <c r="C16" s="16" t="inlineStr">
        <is>
          <t>Técnico</t>
        </is>
      </c>
      <c r="D16" s="16" t="n">
        <v>3</v>
      </c>
      <c r="E16" s="16" t="n">
        <v>3</v>
      </c>
      <c r="F16" s="16">
        <f>D16*E16</f>
        <v>9</v>
      </c>
      <c r="G16" s="16" t="str">
        <f>IF(F16&lt;=6,"Bajo",IF(F16&lt;=12,"Medio","Alto"))</f>
        <v>Medio</v>
      </c>
    </row>
    <row r="17">
      <c r="A17" s="16" t="n">
        <v>15</v>
      </c>
      <c r="B17" s="5" t="inlineStr">
        <is>
          <t>Suministro eléctrico inestable</t>
        </is>
      </c>
      <c r="C17" s="16" t="inlineStr">
        <is>
          <t>Técnico</t>
        </is>
      </c>
      <c r="D17" s="16" t="n">
        <v>3</v>
      </c>
      <c r="E17" s="16" t="n">
        <v>4</v>
      </c>
      <c r="F17" s="16">
        <f>D17*E17</f>
        <v>12</v>
      </c>
      <c r="G17" s="16" t="str">
        <f>IF(F17&lt;=6,"Bajo",IF(F17&lt;=12,"Medio","Alto"))</f>
        <v>Medio</v>
      </c>
    </row>
    <row r="18">
      <c r="A18" s="16" t="n">
        <v>16</v>
      </c>
      <c r="B18" s="5" t="inlineStr">
        <is>
          <t>Alto IANC por fugas no detectadas</t>
        </is>
      </c>
      <c r="C18" s="16" t="inlineStr">
        <is>
          <t>Operativo</t>
        </is>
      </c>
      <c r="D18" s="16" t="n">
        <v>3</v>
      </c>
      <c r="E18" s="16" t="n">
        <v>3</v>
      </c>
      <c r="F18" s="16">
        <f>D18*E18</f>
        <v>9</v>
      </c>
      <c r="G18" s="16" t="str">
        <f>IF(F18&lt;=6,"Bajo",IF(F18&lt;=12,"Medio","Alto"))</f>
        <v>Medio</v>
      </c>
    </row>
    <row r="19">
      <c r="A19" s="16" t="n">
        <v>17</v>
      </c>
      <c r="B19" s="5" t="inlineStr">
        <is>
          <t>Dificultad de acceso por mal estado de vías</t>
        </is>
      </c>
      <c r="C19" s="16" t="inlineStr">
        <is>
          <t>Logístico</t>
        </is>
      </c>
      <c r="D19" s="16" t="n">
        <v>4</v>
      </c>
      <c r="E19" s="16" t="n">
        <v>3</v>
      </c>
      <c r="F19" s="16">
        <f>D19*E19</f>
        <v>12</v>
      </c>
      <c r="G19" s="16" t="str">
        <f>IF(F19&lt;=6,"Bajo",IF(F19&lt;=12,"Medio","Alto"))</f>
        <v>Medio</v>
      </c>
    </row>
    <row r="20">
      <c r="A20" s="16" t="n">
        <v>18</v>
      </c>
      <c r="B20" s="5" t="inlineStr">
        <is>
          <t>Escasez de insumos químicos (coagulantes)</t>
        </is>
      </c>
      <c r="C20" s="16" t="inlineStr">
        <is>
          <t>Ambiental</t>
        </is>
      </c>
      <c r="D20" s="16" t="n">
        <v>2</v>
      </c>
      <c r="E20" s="16" t="n">
        <v>3</v>
      </c>
      <c r="F20" s="16">
        <f>D20*E20</f>
        <v>6</v>
      </c>
      <c r="G20" s="16" t="str">
        <f>IF(F20&lt;=6,"Bajo",IF(F20&lt;=12,"Medio","Alto"))</f>
        <v>Bajo</v>
      </c>
    </row>
    <row r="21">
      <c r="A21" s="16" t="n">
        <v>19</v>
      </c>
      <c r="B21" s="5" t="inlineStr">
        <is>
          <t>Demoras en predios/servidumbres</t>
        </is>
      </c>
      <c r="C21" s="16" t="inlineStr">
        <is>
          <t>Legal</t>
        </is>
      </c>
      <c r="D21" s="16" t="n">
        <v>3</v>
      </c>
      <c r="E21" s="16" t="n">
        <v>3</v>
      </c>
      <c r="F21" s="16">
        <f>D21*E21</f>
        <v>9</v>
      </c>
      <c r="G21" s="16" t="str">
        <f>IF(F21&lt;=6,"Bajo",IF(F21&lt;=12,"Medio","Alto"))</f>
        <v>Medio</v>
      </c>
    </row>
    <row r="22">
      <c r="A22" s="16" t="n">
        <v>20</v>
      </c>
      <c r="B22" s="5" t="inlineStr">
        <is>
          <t>Brote de EDA durante la transición de obra</t>
        </is>
      </c>
      <c r="C22" s="16" t="inlineStr">
        <is>
          <t>Salud pública</t>
        </is>
      </c>
      <c r="D22" s="16" t="n">
        <v>2</v>
      </c>
      <c r="E22" s="16" t="n">
        <v>4</v>
      </c>
      <c r="F22" s="16">
        <f>D22*E22</f>
        <v>8</v>
      </c>
      <c r="G22" s="16" t="str">
        <f>IF(F22&lt;=6,"Bajo",IF(F22&lt;=12,"Medio","Alto"))</f>
        <v>Medio</v>
      </c>
    </row>
    <row r="25">
      <c r="A25" s="27" t="inlineStr">
        <is>
          <t>INTERVENCION DE 10 RIESGOS (5 ambientales) Y RECALIFICACION</t>
        </is>
      </c>
    </row>
    <row r="26">
      <c r="A26" s="1" t="inlineStr">
        <is>
          <t>#</t>
        </is>
      </c>
      <c r="B26" s="1" t="inlineStr">
        <is>
          <t>Riesgo</t>
        </is>
      </c>
      <c r="C26" s="1" t="inlineStr">
        <is>
          <t>Tipo</t>
        </is>
      </c>
      <c r="D26" s="1" t="inlineStr">
        <is>
          <t>Intervencion</t>
        </is>
      </c>
      <c r="E26" s="1" t="inlineStr">
        <is>
          <t>P res</t>
        </is>
      </c>
      <c r="F26" s="1" t="inlineStr">
        <is>
          <t>I res</t>
        </is>
      </c>
      <c r="G26" s="1" t="inlineStr">
        <is>
          <t>PxI res</t>
        </is>
      </c>
      <c r="H26" s="1" t="inlineStr">
        <is>
          <t>Nivel res</t>
        </is>
      </c>
    </row>
    <row r="27" ht="30" customHeight="1" s="28">
      <c r="A27" s="16" t="n">
        <v>1</v>
      </c>
      <c r="B27" s="5" t="inlineStr">
        <is>
          <t>Turbiedad extrema del río San Juan</t>
        </is>
      </c>
      <c r="C27" s="16" t="inlineStr">
        <is>
          <t>Ambiental</t>
        </is>
      </c>
      <c r="D27" s="5" t="inlineStr">
        <is>
          <t>Pretratamiento robusto + sedimentadores de alta tasa + dosificación automática + tanque de regulación.</t>
        </is>
      </c>
      <c r="E27" s="16" t="n">
        <v>2</v>
      </c>
      <c r="F27" s="16" t="n">
        <v>4</v>
      </c>
      <c r="G27" s="16">
        <f>E27*F27</f>
        <v>8</v>
      </c>
      <c r="H27" s="16" t="str">
        <f>IF(G27&lt;=6,"Bajo",IF(G27&lt;=12,"Medio","Alto"))</f>
        <v>Medio</v>
      </c>
    </row>
    <row r="28" ht="30" customHeight="1" s="28">
      <c r="A28" s="16" t="n">
        <v>2</v>
      </c>
      <c r="B28" s="5" t="inlineStr">
        <is>
          <t>Contaminación por minería ilegal</t>
        </is>
      </c>
      <c r="C28" s="16" t="inlineStr">
        <is>
          <t>Ambiental</t>
        </is>
      </c>
      <c r="D28" s="5" t="inlineStr">
        <is>
          <t>Monitoreo de fuente + carbón activado + articulación con CODECHOCÓ y control de minería.</t>
        </is>
      </c>
      <c r="E28" s="16" t="n">
        <v>3</v>
      </c>
      <c r="F28" s="16" t="n">
        <v>3</v>
      </c>
      <c r="G28" s="16">
        <f>E28*F28</f>
        <v>9</v>
      </c>
      <c r="H28" s="16" t="str">
        <f>IF(G28&lt;=6,"Bajo",IF(G28&lt;=12,"Medio","Alto"))</f>
        <v>Medio</v>
      </c>
    </row>
    <row r="29" ht="30" customHeight="1" s="28">
      <c r="A29" s="16" t="n">
        <v>3</v>
      </c>
      <c r="B29" s="5" t="inlineStr">
        <is>
          <t>Inundaciones que dañan infraestructura</t>
        </is>
      </c>
      <c r="C29" s="16" t="inlineStr">
        <is>
          <t>Ambiental</t>
        </is>
      </c>
      <c r="D29" s="5" t="inlineStr">
        <is>
          <t>Captación elevada/protegida + protección de orillas + redes en cotas seguras.</t>
        </is>
      </c>
      <c r="E29" s="16" t="n">
        <v>2</v>
      </c>
      <c r="F29" s="16" t="n">
        <v>4</v>
      </c>
      <c r="G29" s="16">
        <f>E29*F29</f>
        <v>8</v>
      </c>
      <c r="H29" s="16" t="str">
        <f>IF(G29&lt;=6,"Bajo",IF(G29&lt;=12,"Medio","Alto"))</f>
        <v>Medio</v>
      </c>
    </row>
    <row r="30" ht="30" customHeight="1" s="28">
      <c r="A30" s="16" t="n">
        <v>5</v>
      </c>
      <c r="B30" s="5" t="inlineStr">
        <is>
          <t>Vertimientos a la fuente</t>
        </is>
      </c>
      <c r="C30" s="16" t="inlineStr">
        <is>
          <t>Ambiental</t>
        </is>
      </c>
      <c r="D30" s="5" t="inlineStr">
        <is>
          <t>Optimización de alcantarillado + campañas + coordinación municipal.</t>
        </is>
      </c>
      <c r="E30" s="16" t="n">
        <v>2</v>
      </c>
      <c r="F30" s="16" t="n">
        <v>3</v>
      </c>
      <c r="G30" s="16">
        <f>E30*F30</f>
        <v>6</v>
      </c>
      <c r="H30" s="16" t="str">
        <f>IF(G30&lt;=6,"Bajo",IF(G30&lt;=12,"Medio","Alto"))</f>
        <v>Bajo</v>
      </c>
    </row>
    <row r="31" ht="30" customHeight="1" s="28">
      <c r="A31" s="16" t="n">
        <v>4</v>
      </c>
      <c r="B31" s="5" t="inlineStr">
        <is>
          <t>Deforestación de la cuenca</t>
        </is>
      </c>
      <c r="C31" s="16" t="inlineStr">
        <is>
          <t>Ambiental</t>
        </is>
      </c>
      <c r="D31" s="5" t="inlineStr">
        <is>
          <t>Pago por servicios ambientales + reforestación de microcuenca con la comunidad.</t>
        </is>
      </c>
      <c r="E31" s="16" t="n">
        <v>2</v>
      </c>
      <c r="F31" s="16" t="n">
        <v>2</v>
      </c>
      <c r="G31" s="16">
        <f>E31*F31</f>
        <v>4</v>
      </c>
      <c r="H31" s="16" t="str">
        <f>IF(G31&lt;=6,"Bajo",IF(G31&lt;=12,"Medio","Alto"))</f>
        <v>Bajo</v>
      </c>
    </row>
    <row r="32" ht="30" customHeight="1" s="28">
      <c r="A32" s="16" t="n">
        <v>8</v>
      </c>
      <c r="B32" s="5" t="inlineStr">
        <is>
          <t>Grupos armados / inseguridad</t>
        </is>
      </c>
      <c r="C32" s="16" t="inlineStr">
        <is>
          <t>Seguridad</t>
        </is>
      </c>
      <c r="D32" s="5" t="inlineStr">
        <is>
          <t>Plan de seguridad de obra + articulación con autoridades + contratación local.</t>
        </is>
      </c>
      <c r="E32" s="16" t="n">
        <v>2</v>
      </c>
      <c r="F32" s="16" t="n">
        <v>4</v>
      </c>
      <c r="G32" s="16">
        <f>E32*F32</f>
        <v>8</v>
      </c>
      <c r="H32" s="16" t="str">
        <f>IF(G32&lt;=6,"Bajo",IF(G32&lt;=12,"Medio","Alto"))</f>
        <v>Medio</v>
      </c>
    </row>
    <row r="33" ht="30" customHeight="1" s="28">
      <c r="A33" s="16" t="n">
        <v>9</v>
      </c>
      <c r="B33" s="5" t="inlineStr">
        <is>
          <t>Demora en desembolsos</t>
        </is>
      </c>
      <c r="C33" s="16" t="inlineStr">
        <is>
          <t>Institucional</t>
        </is>
      </c>
      <c r="D33" s="5" t="inlineStr">
        <is>
          <t>Convenio con desembolsos por hitos + anticipo + fiducia.</t>
        </is>
      </c>
      <c r="E33" s="16" t="n">
        <v>2</v>
      </c>
      <c r="F33" s="16" t="n">
        <v>4</v>
      </c>
      <c r="G33" s="16">
        <f>E33*F33</f>
        <v>8</v>
      </c>
      <c r="H33" s="16" t="str">
        <f>IF(G33&lt;=6,"Bajo",IF(G33&lt;=12,"Medio","Alto"))</f>
        <v>Medio</v>
      </c>
    </row>
    <row r="34">
      <c r="A34" s="16" t="n">
        <v>7</v>
      </c>
      <c r="B34" s="5" t="inlineStr">
        <is>
          <t>Baja cultura de pago</t>
        </is>
      </c>
      <c r="C34" s="16" t="inlineStr">
        <is>
          <t>Social</t>
        </is>
      </c>
      <c r="D34" s="5" t="inlineStr">
        <is>
          <t>Subsidios focalizados + educación + tarifa social + facturación clara.</t>
        </is>
      </c>
      <c r="E34" s="16" t="n">
        <v>2</v>
      </c>
      <c r="F34" s="16" t="n">
        <v>3</v>
      </c>
      <c r="G34" s="16">
        <f>E34*F34</f>
        <v>6</v>
      </c>
      <c r="H34" s="16" t="str">
        <f>IF(G34&lt;=6,"Bajo",IF(G34&lt;=12,"Medio","Alto"))</f>
        <v>Bajo</v>
      </c>
    </row>
    <row r="35" ht="30" customHeight="1" s="28">
      <c r="A35" s="16" t="n">
        <v>12</v>
      </c>
      <c r="B35" s="5" t="inlineStr">
        <is>
          <t>Tarifa insuficiente</t>
        </is>
      </c>
      <c r="C35" s="16" t="inlineStr">
        <is>
          <t>Financiero</t>
        </is>
      </c>
      <c r="D35" s="5" t="inlineStr">
        <is>
          <t>Estudio tarifario CRA + subsidios cruzados + aporte SGP.</t>
        </is>
      </c>
      <c r="E35" s="16" t="n">
        <v>2</v>
      </c>
      <c r="F35" s="16" t="n">
        <v>3</v>
      </c>
      <c r="G35" s="16">
        <f>E35*F35</f>
        <v>6</v>
      </c>
      <c r="H35" s="16" t="str">
        <f>IF(G35&lt;=6,"Bajo",IF(G35&lt;=12,"Medio","Alto"))</f>
        <v>Bajo</v>
      </c>
    </row>
    <row r="36">
      <c r="A36" s="16" t="n">
        <v>15</v>
      </c>
      <c r="B36" s="5" t="inlineStr">
        <is>
          <t>Suministro eléctrico inestable</t>
        </is>
      </c>
      <c r="C36" s="16" t="inlineStr">
        <is>
          <t>Técnico</t>
        </is>
      </c>
      <c r="D36" s="5" t="inlineStr">
        <is>
          <t>Planta eléctrica de respaldo + almacenamiento con autonomía.</t>
        </is>
      </c>
      <c r="E36" s="16" t="n">
        <v>2</v>
      </c>
      <c r="F36" s="16" t="n">
        <v>3</v>
      </c>
      <c r="G36" s="16">
        <f>E36*F36</f>
        <v>6</v>
      </c>
      <c r="H36" s="16" t="str">
        <f>IF(G36&lt;=6,"Bajo",IF(G36&lt;=12,"Medio","Alto"))</f>
        <v>Bajo</v>
      </c>
    </row>
  </sheetData>
  <mergeCells count="2">
    <mergeCell ref="A25:H25"/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2026-06-23T23:09:32Z</dcterms:created>
  <dcterms:modified xsi:type="dcterms:W3CDTF">2026-07-20T19:25:33Z</dcterms:modified>
  <cp:lastModifiedBy>Santiago Ospina Porras</cp:lastModifiedBy>
</cp:coreProperties>
</file>