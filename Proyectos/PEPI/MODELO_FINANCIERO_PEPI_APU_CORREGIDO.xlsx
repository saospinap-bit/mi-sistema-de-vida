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12" autoFilterDateGrouping="1"/>
  </bookViews>
  <sheets>
    <sheet name="Control" sheetId="1" state="visible" r:id="rId1"/>
    <sheet name="Supuestos" sheetId="2" state="visible" r:id="rId2"/>
    <sheet name="Diseno Caudal" sheetId="3" state="visible" r:id="rId3"/>
    <sheet name="APU Referencial" sheetId="4" state="visible" r:id="rId4"/>
    <sheet name="Fuentes" sheetId="5" state="visible" r:id="rId5"/>
    <sheet name="Presupuesto" sheetId="6" state="visible" r:id="rId6"/>
    <sheet name="Financiacion" sheetId="7" state="visible" r:id="rId7"/>
    <sheet name="Amortizacion Deuda" sheetId="8" state="visible" r:id="rId8"/>
    <sheet name="Flujos de Caja" sheetId="9" state="visible" r:id="rId9"/>
    <sheet name="Sensibilidad" sheetId="10" state="visible" r:id="rId10"/>
    <sheet name="Indicadores" sheetId="11" state="visible" r:id="rId11"/>
    <sheet name="Riesgos" sheetId="12" state="visible" r:id="rId12"/>
  </sheets>
  <definedNames>
    <definedName name="_xlnm._FilterDatabase" localSheetId="1" hidden="1">'Supuestos'!$A$2:$D$2</definedName>
    <definedName name="_xlnm._FilterDatabase" localSheetId="2" hidden="1">'Diseno Caudal'!$A$2:$C$2</definedName>
    <definedName name="_xlnm._FilterDatabase" localSheetId="3" hidden="1">'APU Referencial'!$A$2:$N$44</definedName>
    <definedName name="_xlnm._FilterDatabase" localSheetId="4" hidden="1">'Fuentes'!$A$2:$E$26</definedName>
    <definedName name="_xlnm._FilterDatabase" localSheetId="5" hidden="1">'Presupuesto'!$A$2:$C$2</definedName>
    <definedName name="_xlnm._FilterDatabase" localSheetId="6" hidden="1">'Financiacion'!$A$2:$E$2</definedName>
    <definedName name="_xlnm._FilterDatabase" localSheetId="7" hidden="1">'Amortizacion Deuda'!$A$2:$F$2</definedName>
    <definedName name="_xlnm._FilterDatabase" localSheetId="8" hidden="1">'Flujos de Caja'!$A$2:$P$2</definedName>
    <definedName name="_xlnm._FilterDatabase" localSheetId="9" hidden="1">'Sensibilidad'!$A$2:$AF$2</definedName>
    <definedName name="_xlnm._FilterDatabase" localSheetId="10" hidden="1">'Indicadores'!$A$2:$D$2</definedName>
    <definedName name="_xlnm._FilterDatabase" localSheetId="11" hidden="1">'Riesgos'!$A$2:$H$2</definedName>
  </definedNames>
  <calcPr calcId="124519" calcMode="auto" fullCalcOnLoad="1" calcCompleted="1" calcOnSave="1" forceFullCalc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#,##0.00;[Red]-#,##0.00;–"/>
    <numFmt numFmtId="166" formatCode="#,##0.000000;[Red]-#,##0.000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ptos"/>
      <family val="2"/>
      <b val="1"/>
      <color rgb="FFFFFFFF"/>
      <sz val="14"/>
    </font>
    <font>
      <name val="Aptos"/>
      <family val="2"/>
      <b val="1"/>
      <color rgb="FFFFFFFF"/>
      <sz val="11"/>
    </font>
    <font>
      <name val="Aptos"/>
      <family val="2"/>
      <sz val="9"/>
    </font>
    <font>
      <name val="Aptos"/>
      <family val="2"/>
      <sz val="8"/>
    </font>
    <font>
      <name val="Aptos"/>
      <family val="2"/>
      <sz val="7"/>
    </font>
    <font>
      <name val="Arial"/>
      <family val="2"/>
      <b val="1"/>
      <color rgb="FFFFFFFF"/>
      <sz val="10"/>
    </font>
    <font>
      <name val="Calibri"/>
      <family val="2"/>
      <b val="1"/>
      <color rgb="FFFFFFFF"/>
      <sz val="14"/>
    </font>
    <font>
      <name val="Aptos"/>
      <family val="2"/>
      <i val="1"/>
      <color rgb="FF555555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Aptos"/>
      <family val="2"/>
      <b val="1"/>
      <color rgb="FFFFFFFF"/>
      <sz val="13"/>
    </font>
    <font>
      <name val="Aptos"/>
      <family val="2"/>
      <b val="1"/>
      <color rgb="FFFFFFFF"/>
      <sz val="8"/>
    </font>
    <font>
      <name val="Aptos"/>
      <family val="2"/>
      <sz val="7.5"/>
    </font>
  </fonts>
  <fills count="7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</border>
    <border>
      <left/>
      <right/>
      <top/>
      <bottom style="hair">
        <color rgb="FFE7E6E6"/>
      </bottom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11" fillId="0" borderId="0"/>
  </cellStyleXfs>
  <cellXfs count="49">
    <xf numFmtId="0" fontId="0" fillId="0" borderId="0" pivotButton="0" quotePrefix="0" xfId="0"/>
    <xf numFmtId="0" fontId="8" fillId="2" borderId="0" pivotButton="0" quotePrefix="0" xfId="0"/>
    <xf numFmtId="0" fontId="7" fillId="3" borderId="0" pivotButton="0" quotePrefix="0" xfId="0"/>
    <xf numFmtId="0" fontId="4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wrapText="1"/>
    </xf>
    <xf numFmtId="0" fontId="4" fillId="4" borderId="1" applyAlignment="1" pivotButton="0" quotePrefix="0" xfId="0">
      <alignment vertical="center" wrapText="1"/>
    </xf>
    <xf numFmtId="10" fontId="4" fillId="4" borderId="1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1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0" fontId="6" fillId="0" borderId="1" applyAlignment="1" pivotButton="0" quotePrefix="0" xfId="0">
      <alignment vertical="center" wrapText="1"/>
    </xf>
    <xf numFmtId="0" fontId="7" fillId="2" borderId="0" pivotButton="0" quotePrefix="0" xfId="0"/>
    <xf numFmtId="0" fontId="9" fillId="0" borderId="0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pivotButton="0" quotePrefix="0" xfId="0"/>
    <xf numFmtId="0" fontId="11" fillId="0" borderId="0" pivotButton="0" quotePrefix="0" xfId="0"/>
    <xf numFmtId="0" fontId="4" fillId="0" borderId="1" applyAlignment="1" pivotButton="0" quotePrefix="0" xfId="0">
      <alignment vertical="center" wrapText="1"/>
    </xf>
    <xf numFmtId="0" fontId="12" fillId="2" borderId="0" applyAlignment="1" pivotButton="0" quotePrefix="0" xfId="0">
      <alignment horizontal="center"/>
    </xf>
    <xf numFmtId="0" fontId="13" fillId="3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vertical="center" wrapText="1"/>
    </xf>
    <xf numFmtId="166" fontId="14" fillId="4" borderId="2" applyAlignment="1" pivotButton="0" quotePrefix="0" xfId="0">
      <alignment vertical="center" wrapText="1"/>
    </xf>
    <xf numFmtId="166" fontId="14" fillId="0" borderId="2" applyAlignment="1" pivotButton="0" quotePrefix="0" xfId="0">
      <alignment vertical="center" wrapText="1"/>
    </xf>
    <xf numFmtId="10" fontId="14" fillId="4" borderId="2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4" fontId="3" fillId="2" borderId="0" applyAlignment="1" pivotButton="0" quotePrefix="0" xfId="0">
      <alignment wrapText="1"/>
    </xf>
    <xf numFmtId="0" fontId="7" fillId="2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3" fillId="3" borderId="0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1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1" fillId="0" borderId="0" pivotButton="0" quotePrefix="0" xfId="20"/>
    <xf numFmtId="0" fontId="11" fillId="0" borderId="0" pivotButton="0" quotePrefix="0" xfId="0"/>
  </cellXfs>
  <cellStyles count="7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dxfs count="2">
    <dxf>
      <fill>
        <patternFill patternType="solid">
          <fgColor rgb="FFE2F0D9"/>
        </patternFill>
      </fill>
      <border/>
    </dxf>
    <dxf>
      <fill>
        <patternFill patternType="solid">
          <fgColor rgb="FFFCE4D6"/>
        </patternFill>
      </fill>
      <border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35.00390625" customWidth="1" min="1" max="1"/>
    <col width="20.00390625" customWidth="1" min="2" max="2"/>
    <col width="15.00390625" customWidth="1" min="3" max="3"/>
    <col width="16.00390625" customWidth="1" min="4" max="4"/>
  </cols>
  <sheetData>
    <row r="1" ht="15" customHeight="1">
      <c r="A1" s="1" t="inlineStr">
        <is>
          <t>CONTROL AUTOMÁTICO</t>
        </is>
      </c>
    </row>
    <row r="2" ht="15" customHeight="1">
      <c r="A2" s="2" t="inlineStr">
        <is>
          <t>Control</t>
        </is>
      </c>
      <c r="B2" s="2" t="inlineStr">
        <is>
          <t>Resultado</t>
        </is>
      </c>
      <c r="C2" s="2" t="inlineStr">
        <is>
          <t>Criterio</t>
        </is>
      </c>
      <c r="D2" s="2" t="inlineStr">
        <is>
          <t>Estado</t>
        </is>
      </c>
    </row>
    <row r="3" ht="15" customHeight="1">
      <c r="A3" s="21" t="inlineStr">
        <is>
          <t>CAPEX</t>
        </is>
      </c>
      <c r="B3" s="21">
        <f>Presupuesto!B9-SUM(Presupuesto!B3:B8)</f>
        <v/>
      </c>
      <c r="C3" s="21">
        <f>0</f>
        <v/>
      </c>
      <c r="D3" s="21">
        <f>IF(ABS(B3)&lt;0.01,"OK","REVISAR")</f>
        <v/>
      </c>
    </row>
    <row r="4" ht="15" customHeight="1">
      <c r="A4" s="21" t="inlineStr">
        <is>
          <t>Participaciones</t>
        </is>
      </c>
      <c r="B4" s="21">
        <f>SUM(Financiacion!B3:B5)-1</f>
        <v/>
      </c>
      <c r="C4" s="21">
        <f>0</f>
        <v/>
      </c>
      <c r="D4" s="21">
        <f>IF(ABS(B4)&lt;0.000001,"OK","REVISAR")</f>
        <v/>
      </c>
    </row>
    <row r="5" ht="15" customHeight="1">
      <c r="A5" s="21" t="inlineStr">
        <is>
          <t>Financiación</t>
        </is>
      </c>
      <c r="B5" s="21">
        <f>SUM(Financiacion!C3:C5)-Presupuesto!B9</f>
        <v/>
      </c>
      <c r="C5" s="21">
        <f>0</f>
        <v/>
      </c>
      <c r="D5" s="21">
        <f>IF(ABS(B5)&lt;0.01,"OK","REVISAR")</f>
        <v/>
      </c>
    </row>
    <row r="6" ht="15" customHeight="1">
      <c r="A6" s="21" t="inlineStr">
        <is>
          <t>Saldo deuda</t>
        </is>
      </c>
      <c r="B6" s="21">
        <f>'Amortizacion Deuda'!F27</f>
        <v/>
      </c>
      <c r="C6" s="21" t="inlineStr">
        <is>
          <t>≈0</t>
        </is>
      </c>
      <c r="D6" s="21">
        <f>IF(ABS(B6)&lt;0.01,"OK","REVISAR")</f>
        <v/>
      </c>
    </row>
    <row r="7" ht="15" customHeight="1">
      <c r="A7" s="21" t="inlineStr">
        <is>
          <t>Años</t>
        </is>
      </c>
      <c r="B7" s="21">
        <f>COUNT('Flujos de Caja'!A4:A28)</f>
        <v/>
      </c>
      <c r="C7" s="21">
        <f>25</f>
        <v/>
      </c>
      <c r="D7" s="21">
        <f>IF(B7=25,"OK","REVISAR")</f>
        <v/>
      </c>
    </row>
    <row r="8" ht="15" customHeight="1">
      <c r="A8" s="21" t="inlineStr">
        <is>
          <t>Riesgos</t>
        </is>
      </c>
      <c r="B8" s="21">
        <f>COUNT(Riesgos!A3:A22)</f>
        <v/>
      </c>
      <c r="C8" s="21">
        <f>20</f>
        <v/>
      </c>
      <c r="D8" s="21">
        <f>IF(B8=20,"OK","REVISAR")</f>
        <v/>
      </c>
    </row>
    <row r="9" ht="15" customHeight="1">
      <c r="A9" s="21" t="inlineStr">
        <is>
          <t>Intervenciones</t>
        </is>
      </c>
      <c r="B9" s="21">
        <f>COUNT(Riesgos!A27:A36)</f>
        <v/>
      </c>
      <c r="C9" s="21">
        <f>10</f>
        <v/>
      </c>
      <c r="D9" s="21">
        <f>IF(B9=10,"OK","REVISAR")</f>
        <v/>
      </c>
    </row>
    <row r="10" ht="15" customHeight="1">
      <c r="A10" s="21" t="inlineStr">
        <is>
          <t>Ambientales</t>
        </is>
      </c>
      <c r="B10" s="21">
        <f>COUNTIF(Riesgos!C27:C36,"Ambiental")</f>
        <v/>
      </c>
      <c r="C10" s="21">
        <f>5</f>
        <v/>
      </c>
      <c r="D10" s="21">
        <f>IF(B10=5,"OK","REVISAR")</f>
        <v/>
      </c>
    </row>
    <row r="11" ht="15" customHeight="1">
      <c r="A11" s="21" t="inlineStr">
        <is>
          <t>PTAP-QMD</t>
        </is>
      </c>
      <c r="B11" s="21">
        <f>'Diseno Caudal'!B11-'Diseno Caudal'!B9</f>
        <v/>
      </c>
      <c r="C11" s="21" t="inlineStr">
        <is>
          <t>&gt;=0</t>
        </is>
      </c>
      <c r="D11" s="21">
        <f>IF(B11&gt;=0,"OK","REVISAR")</f>
        <v/>
      </c>
    </row>
    <row r="12" ht="15" customHeight="1">
      <c r="A12" s="21" t="inlineStr">
        <is>
          <t>TIR banco-Kd</t>
        </is>
      </c>
      <c r="B12" s="21">
        <f>Indicadores!B10-Supuestos!B21</f>
        <v/>
      </c>
      <c r="C12" s="21" t="inlineStr">
        <is>
          <t>≈0</t>
        </is>
      </c>
      <c r="D12" s="21">
        <f>IF(ABS(B12)&lt;0.000001,"OK","REVISAR")</f>
        <v/>
      </c>
    </row>
    <row r="13" ht="15" customHeight="1">
      <c r="A13" s="21" t="inlineStr">
        <is>
          <t>B/C</t>
        </is>
      </c>
      <c r="B13" s="21">
        <f>Indicadores!B9</f>
        <v/>
      </c>
      <c r="C13" s="21" t="inlineStr">
        <is>
          <t>&gt;1</t>
        </is>
      </c>
      <c r="D13" s="21">
        <f>IF(B13&gt;1,"OK","REVISAR")</f>
        <v/>
      </c>
    </row>
    <row r="14" ht="15" customHeight="1">
      <c r="A14" s="21" t="inlineStr">
        <is>
          <t>APU vs. CAPEX</t>
        </is>
      </c>
      <c r="B14" s="21">
        <f>'APU Referencial'!M46-Presupuesto!B9</f>
        <v/>
      </c>
      <c r="C14" s="21">
        <f>0</f>
        <v/>
      </c>
      <c r="D14" s="21">
        <f>IF(ABS(B14)&lt;0.01,"OK","REVISAR")</f>
        <v/>
      </c>
    </row>
    <row r="15" ht="15" customHeight="1">
      <c r="A15" s="21" t="inlineStr">
        <is>
          <t>Actividades APU</t>
        </is>
      </c>
      <c r="B15" s="21">
        <f>COUNTA('APU Referencial'!A3:A44)</f>
        <v/>
      </c>
      <c r="C15" s="21">
        <f>42</f>
        <v/>
      </c>
      <c r="D15" s="21">
        <f>IF(B15=42,"OK","REVISAR")</f>
        <v/>
      </c>
    </row>
    <row r="16" ht="15" customHeight="1">
      <c r="A16" s="21" t="inlineStr">
        <is>
          <t>Registros de trazabilidad</t>
        </is>
      </c>
      <c r="B16" s="21">
        <f>COUNTA(Fuentes!A3:A26)</f>
        <v/>
      </c>
      <c r="C16" s="21">
        <f>24</f>
        <v/>
      </c>
      <c r="D16" s="21">
        <f>IF(B16=24,"OK","REVISAR")</f>
        <v/>
      </c>
    </row>
  </sheetData>
  <mergeCells count="1">
    <mergeCell ref="A1:D1"/>
  </mergeCells>
  <conditionalFormatting sqref="D14:D16">
    <cfRule type="expression" priority="1" dxfId="0">
      <formula>D14="OK"</formula>
    </cfRule>
    <cfRule type="expression" priority="2" dxfId="1">
      <formula>D14="REVISAR"</formula>
    </cfRule>
  </conditionalFormatting>
  <pageMargins left="0.75" right="0.75" top="1" bottom="1" header="0.5" footer="0.5"/>
  <pageSetup orientation="portrait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40.00390625" customWidth="1" min="1" max="1"/>
    <col width="16.00390625" customWidth="1" min="2" max="3"/>
    <col width="55.00390625" customWidth="1" min="4" max="4"/>
  </cols>
  <sheetData>
    <row r="1" ht="15" customHeight="1">
      <c r="A1" s="4" t="inlineStr">
        <is>
          <t>SUPUESTOS — AMARILLO = ENTRADA EDITABLE</t>
        </is>
      </c>
    </row>
    <row r="2" ht="15" customHeight="1">
      <c r="A2" s="33" t="inlineStr">
        <is>
          <t>Parámetro</t>
        </is>
      </c>
      <c r="B2" s="33" t="inlineStr">
        <is>
          <t>Valor</t>
        </is>
      </c>
      <c r="C2" s="33" t="inlineStr">
        <is>
          <t>Unidad</t>
        </is>
      </c>
      <c r="D2" s="33" t="inlineStr">
        <is>
          <t>Criterio</t>
        </is>
      </c>
    </row>
    <row r="3" ht="15" customHeight="1">
      <c r="A3" s="21" t="inlineStr">
        <is>
          <t>Población municipal</t>
        </is>
      </c>
      <c r="B3" s="6" t="n">
        <v>17000</v>
      </c>
      <c r="C3" s="21" t="inlineStr">
        <is>
          <t>hab</t>
        </is>
      </c>
      <c r="D3" s="21" t="inlineStr">
        <is>
          <t>Contexto</t>
        </is>
      </c>
    </row>
    <row r="4" ht="15" customHeight="1">
      <c r="A4" s="21" t="inlineStr">
        <is>
          <t>Población urbana base</t>
        </is>
      </c>
      <c r="B4" s="6" t="n">
        <v>10957</v>
      </c>
      <c r="C4" s="21" t="inlineStr">
        <is>
          <t>hab</t>
        </is>
      </c>
      <c r="D4" s="21" t="inlineStr">
        <is>
          <t>Base adoptada; no equivale a 60 %</t>
        </is>
      </c>
    </row>
    <row r="5" ht="15" customHeight="1">
      <c r="A5" s="21" t="inlineStr">
        <is>
          <t>Crecimiento población</t>
        </is>
      </c>
      <c r="B5" s="7" t="n">
        <v>0.012</v>
      </c>
      <c r="C5" s="21" t="inlineStr">
        <is>
          <t>% anual</t>
        </is>
      </c>
      <c r="D5" s="21" t="inlineStr">
        <is>
          <t>Supuesto</t>
        </is>
      </c>
    </row>
    <row r="6" ht="15" customHeight="1">
      <c r="A6" s="21" t="inlineStr">
        <is>
          <t>Horizonte diseño</t>
        </is>
      </c>
      <c r="B6" s="6" t="n">
        <v>25</v>
      </c>
      <c r="C6" s="21" t="inlineStr">
        <is>
          <t>años</t>
        </is>
      </c>
      <c r="D6" s="21" t="inlineStr">
        <is>
          <t>Diseño hidráulico</t>
        </is>
      </c>
    </row>
    <row r="7" ht="15" customHeight="1">
      <c r="A7" s="21" t="inlineStr">
        <is>
          <t>Dotación neta</t>
        </is>
      </c>
      <c r="B7" s="6" t="n">
        <v>140</v>
      </c>
      <c r="C7" s="21" t="inlineStr">
        <is>
          <t>L/hab·día</t>
        </is>
      </c>
      <c r="D7" s="21" t="inlineStr">
        <is>
          <t>RAS adoptado</t>
        </is>
      </c>
    </row>
    <row r="8" ht="15" customHeight="1">
      <c r="A8" s="21" t="inlineStr">
        <is>
          <t>Pérdidas</t>
        </is>
      </c>
      <c r="B8" s="7" t="n">
        <v>0.25</v>
      </c>
      <c r="C8" s="21" t="inlineStr">
        <is>
          <t>%</t>
        </is>
      </c>
      <c r="D8" s="21" t="inlineStr">
        <is>
          <t>Supuesto</t>
        </is>
      </c>
    </row>
    <row r="9" ht="15" customHeight="1">
      <c r="A9" s="21" t="inlineStr">
        <is>
          <t>k1</t>
        </is>
      </c>
      <c r="B9" s="6" t="n">
        <v>1.3</v>
      </c>
      <c r="C9" s="21" t="inlineStr">
        <is>
          <t>factor</t>
        </is>
      </c>
      <c r="D9" s="21" t="inlineStr">
        <is>
          <t>Máximo diario</t>
        </is>
      </c>
    </row>
    <row r="10" ht="15" customHeight="1">
      <c r="A10" s="21" t="inlineStr">
        <is>
          <t>k2</t>
        </is>
      </c>
      <c r="B10" s="6" t="n">
        <v>1.6</v>
      </c>
      <c r="C10" s="21" t="inlineStr">
        <is>
          <t>factor</t>
        </is>
      </c>
      <c r="D10" s="21" t="inlineStr">
        <is>
          <t>Máximo horario</t>
        </is>
      </c>
    </row>
    <row r="11" ht="15" customHeight="1">
      <c r="A11" s="21" t="inlineStr">
        <is>
          <t>PTAP</t>
        </is>
      </c>
      <c r="B11" s="6" t="n">
        <v>45</v>
      </c>
      <c r="C11" s="21" t="inlineStr">
        <is>
          <t>L/s</t>
        </is>
      </c>
      <c r="D11" s="21" t="inlineStr">
        <is>
          <t>Debe cubrir QMD</t>
        </is>
      </c>
    </row>
    <row r="12" ht="15" customHeight="1">
      <c r="A12" s="21" t="inlineStr">
        <is>
          <t>Horizonte evaluación</t>
        </is>
      </c>
      <c r="B12" s="6" t="n">
        <v>25</v>
      </c>
      <c r="C12" s="21" t="inlineStr">
        <is>
          <t>años</t>
        </is>
      </c>
      <c r="D12" s="21" t="inlineStr">
        <is>
          <t>Flujos</t>
        </is>
      </c>
    </row>
    <row r="13" ht="15" customHeight="1">
      <c r="A13" s="21" t="inlineStr">
        <is>
          <t>Ingresos año 1</t>
        </is>
      </c>
      <c r="B13" s="6" t="n">
        <v>1500</v>
      </c>
      <c r="C13" s="21" t="inlineStr">
        <is>
          <t>COP MM</t>
        </is>
      </c>
      <c r="D13" s="21" t="inlineStr">
        <is>
          <t>Validar tarifa/demanda</t>
        </is>
      </c>
    </row>
    <row r="14" ht="15" customHeight="1">
      <c r="A14" s="21" t="inlineStr">
        <is>
          <t>OPEX año 1</t>
        </is>
      </c>
      <c r="B14" s="6" t="n">
        <v>1150</v>
      </c>
      <c r="C14" s="21" t="inlineStr">
        <is>
          <t>COP MM</t>
        </is>
      </c>
      <c r="D14" s="21" t="inlineStr">
        <is>
          <t>Validar operación</t>
        </is>
      </c>
    </row>
    <row r="15" ht="15" customHeight="1">
      <c r="A15" s="21" t="inlineStr">
        <is>
          <t>Crecimiento nominal de ingresos, OPEX y beneficios</t>
        </is>
      </c>
      <c r="B15" s="7" t="n">
        <v>0.035</v>
      </c>
      <c r="C15" s="21" t="inlineStr">
        <is>
          <t>% anual</t>
        </is>
      </c>
      <c r="D15" s="21" t="inlineStr">
        <is>
          <t>Ingresos/OPEX/beneficios</t>
        </is>
      </c>
    </row>
    <row r="16" ht="15" customHeight="1">
      <c r="A16" s="21" t="inlineStr">
        <is>
          <t>Beneficio social año 1</t>
        </is>
      </c>
      <c r="B16" s="6" t="n">
        <v>4150</v>
      </c>
      <c r="C16" s="21" t="inlineStr">
        <is>
          <t>COP MM</t>
        </is>
      </c>
      <c r="D16" s="21" t="inlineStr">
        <is>
          <t>Validar monetización</t>
        </is>
      </c>
    </row>
    <row r="17" ht="15" customHeight="1">
      <c r="A17" s="21" t="inlineStr">
        <is>
          <t>Aporte público</t>
        </is>
      </c>
      <c r="B17" s="7" t="n">
        <v>0.8</v>
      </c>
      <c r="C17" s="21" t="inlineStr">
        <is>
          <t>%</t>
        </is>
      </c>
      <c r="D17" s="21" t="inlineStr">
        <is>
          <t>No reembolsable</t>
        </is>
      </c>
    </row>
    <row r="18" ht="15" customHeight="1">
      <c r="A18" s="21" t="inlineStr">
        <is>
          <t>Deuda</t>
        </is>
      </c>
      <c r="B18" s="7" t="n">
        <v>0.1</v>
      </c>
      <c r="C18" s="21" t="inlineStr">
        <is>
          <t>%</t>
        </is>
      </c>
      <c r="D18" s="21" t="inlineStr">
        <is>
          <t>FINDETER/banca</t>
        </is>
      </c>
    </row>
    <row r="19" ht="15" customHeight="1">
      <c r="A19" s="21" t="inlineStr">
        <is>
          <t>Equity</t>
        </is>
      </c>
      <c r="B19" s="7" t="n">
        <v>0.1</v>
      </c>
      <c r="C19" s="21" t="inlineStr">
        <is>
          <t>%</t>
        </is>
      </c>
      <c r="D19" s="21" t="inlineStr">
        <is>
          <t>Operador/municipio</t>
        </is>
      </c>
    </row>
    <row r="20" ht="15" customHeight="1">
      <c r="A20" s="21" t="inlineStr">
        <is>
          <t>Costo aporte público</t>
        </is>
      </c>
      <c r="B20" s="7" t="n">
        <v>0.09</v>
      </c>
      <c r="C20" s="21" t="inlineStr">
        <is>
          <t>% nominal anual</t>
        </is>
      </c>
      <c r="D20" s="21" t="inlineStr">
        <is>
          <t>Oportunidad social</t>
        </is>
      </c>
    </row>
    <row r="21" ht="15" customHeight="1">
      <c r="A21" s="21" t="inlineStr">
        <is>
          <t>Kd</t>
        </is>
      </c>
      <c r="B21" s="7" t="n">
        <v>0.11</v>
      </c>
      <c r="C21" s="21" t="inlineStr">
        <is>
          <t>% nominal anual</t>
        </is>
      </c>
      <c r="D21" s="21" t="inlineStr">
        <is>
          <t>Deuda</t>
        </is>
      </c>
    </row>
    <row r="22" ht="15" customHeight="1">
      <c r="A22" s="21" t="inlineStr">
        <is>
          <t>Ke</t>
        </is>
      </c>
      <c r="B22" s="7" t="n">
        <v>0.14</v>
      </c>
      <c r="C22" s="21" t="inlineStr">
        <is>
          <t>% nominal anual</t>
        </is>
      </c>
      <c r="D22" s="21" t="inlineStr">
        <is>
          <t>Equity</t>
        </is>
      </c>
    </row>
    <row r="23" ht="15" customHeight="1">
      <c r="A23" s="21" t="inlineStr">
        <is>
          <t>Impuesto</t>
        </is>
      </c>
      <c r="B23" s="7" t="n">
        <v>0.35</v>
      </c>
      <c r="C23" s="21" t="inlineStr">
        <is>
          <t>%</t>
        </is>
      </c>
      <c r="D23" s="21" t="inlineStr">
        <is>
          <t>Escudo y flujos</t>
        </is>
      </c>
    </row>
    <row r="24" ht="15" customHeight="1">
      <c r="A24" s="21" t="inlineStr">
        <is>
          <t>Plazo deuda</t>
        </is>
      </c>
      <c r="B24" s="6" t="n">
        <v>10</v>
      </c>
      <c r="C24" s="21" t="inlineStr">
        <is>
          <t>años</t>
        </is>
      </c>
      <c r="D24" s="21" t="inlineStr">
        <is>
          <t>Cuota fija</t>
        </is>
      </c>
    </row>
    <row r="25" ht="15" customHeight="1">
      <c r="A25" s="21" t="inlineStr">
        <is>
          <t>Tasa social</t>
        </is>
      </c>
      <c r="B25" s="7" t="n">
        <v>0.09</v>
      </c>
      <c r="C25" s="21" t="inlineStr">
        <is>
          <t>% nominal anual adoptada</t>
        </is>
      </c>
      <c r="D25" s="21" t="inlineStr">
        <is>
          <t>Evaluación social</t>
        </is>
      </c>
    </row>
    <row r="26" ht="15" customHeight="1">
      <c r="A26" s="21" t="inlineStr">
        <is>
          <t>Vida útil</t>
        </is>
      </c>
      <c r="B26" s="6" t="n">
        <v>25</v>
      </c>
      <c r="C26" s="21" t="inlineStr">
        <is>
          <t>años</t>
        </is>
      </c>
      <c r="D26" s="21" t="inlineStr">
        <is>
          <t>Depreciación lineal</t>
        </is>
      </c>
    </row>
  </sheetData>
  <autoFilter ref="A2:D2"/>
  <mergeCells count="1">
    <mergeCell ref="A1:D1"/>
  </mergeCells>
  <pageMargins left="0.75" right="0.75" top="1" bottom="1" header="0.5" footer="0.5"/>
  <pageSetup orientation="landscape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43.00390625" customWidth="1" min="1" max="1"/>
    <col width="18.00390625" customWidth="1" min="2" max="2"/>
    <col width="40.00390625" customWidth="1" min="3" max="3"/>
  </cols>
  <sheetData>
    <row r="1" ht="15" customHeight="1">
      <c r="A1" s="4" t="inlineStr">
        <is>
          <t>DISEÑO DE CAUDAL — RAS</t>
        </is>
      </c>
    </row>
    <row r="2" ht="15" customHeight="1">
      <c r="A2" s="33" t="inlineStr">
        <is>
          <t>Concepto</t>
        </is>
      </c>
      <c r="B2" s="33" t="inlineStr">
        <is>
          <t>Valor</t>
        </is>
      </c>
      <c r="C2" s="33" t="inlineStr">
        <is>
          <t>Fórmula/criterio</t>
        </is>
      </c>
    </row>
    <row r="3" ht="15" customHeight="1">
      <c r="A3" s="21" t="inlineStr">
        <is>
          <t>Población municipal</t>
        </is>
      </c>
      <c r="B3" s="8">
        <f>Supuestos!B3</f>
        <v/>
      </c>
      <c r="C3" s="21" t="inlineStr">
        <is>
          <t>Contexto</t>
        </is>
      </c>
    </row>
    <row r="4" ht="15" customHeight="1">
      <c r="A4" s="21" t="inlineStr">
        <is>
          <t>Población urbana</t>
        </is>
      </c>
      <c r="B4" s="8">
        <f>Supuestos!B4</f>
        <v/>
      </c>
      <c r="C4" s="21" t="inlineStr">
        <is>
          <t>Entrada</t>
        </is>
      </c>
    </row>
    <row r="5" ht="15" customHeight="1">
      <c r="A5" s="21" t="inlineStr">
        <is>
          <t>Población diseño</t>
        </is>
      </c>
      <c r="B5" s="8">
        <f>B4*(1+Supuestos!$B$5)^Supuestos!$B$6</f>
        <v/>
      </c>
      <c r="C5" s="21" t="inlineStr">
        <is>
          <t>P(1+g)^n</t>
        </is>
      </c>
    </row>
    <row r="6" ht="15" customHeight="1">
      <c r="A6" s="21" t="inlineStr">
        <is>
          <t>Dotación neta</t>
        </is>
      </c>
      <c r="B6" s="8">
        <f>Supuestos!B7</f>
        <v/>
      </c>
      <c r="C6" s="21" t="inlineStr">
        <is>
          <t>Entrada</t>
        </is>
      </c>
    </row>
    <row r="7" ht="15" customHeight="1">
      <c r="A7" s="21" t="inlineStr">
        <is>
          <t>Dotación bruta</t>
        </is>
      </c>
      <c r="B7" s="8">
        <f>B6/(1-Supuestos!$B$8)</f>
        <v/>
      </c>
      <c r="C7" s="21" t="inlineStr">
        <is>
          <t>Dn/(1-pérdidas)</t>
        </is>
      </c>
    </row>
    <row r="8" ht="15" customHeight="1">
      <c r="A8" s="21" t="inlineStr">
        <is>
          <t>Qmd</t>
        </is>
      </c>
      <c r="B8" s="8">
        <f>B5*B7/86400</f>
        <v/>
      </c>
      <c r="C8" s="21" t="inlineStr">
        <is>
          <t>P×Db/86400</t>
        </is>
      </c>
    </row>
    <row r="9" ht="15" customHeight="1">
      <c r="A9" s="21" t="inlineStr">
        <is>
          <t>QMD</t>
        </is>
      </c>
      <c r="B9" s="8">
        <f>B8*Supuestos!$B$9</f>
        <v/>
      </c>
      <c r="C9" s="21" t="inlineStr">
        <is>
          <t>Qmd×k1</t>
        </is>
      </c>
    </row>
    <row r="10" ht="15" customHeight="1">
      <c r="A10" s="21" t="inlineStr">
        <is>
          <t>QMH</t>
        </is>
      </c>
      <c r="B10" s="8">
        <f>B9*Supuestos!$B$10</f>
        <v/>
      </c>
      <c r="C10" s="21" t="inlineStr">
        <is>
          <t>QMD×k2</t>
        </is>
      </c>
    </row>
    <row r="11" ht="15" customHeight="1">
      <c r="A11" s="21" t="inlineStr">
        <is>
          <t>PTAP</t>
        </is>
      </c>
      <c r="B11" s="8">
        <f>Supuestos!B11</f>
        <v/>
      </c>
      <c r="C11" s="21" t="inlineStr">
        <is>
          <t>PTAP≥QMD</t>
        </is>
      </c>
    </row>
  </sheetData>
  <autoFilter ref="A2:C2"/>
  <mergeCells count="1">
    <mergeCell ref="A1:C1"/>
  </mergeCells>
  <pageMargins left="0.75" right="0.75" top="1" bottom="1" header="0.5" footer="0.5"/>
  <pageSetup orientation="portrait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10.00390625" customWidth="1" min="1" max="1"/>
    <col width="43.00390625" customWidth="1" min="2" max="2"/>
    <col width="48.00390625" customWidth="1" min="3" max="3"/>
    <col width="10.00390625" customWidth="1" min="4" max="4"/>
    <col width="12.00390625" customWidth="1" min="5" max="5"/>
    <col width="15.00390625" customWidth="1" min="6" max="7"/>
    <col width="13.00390625" customWidth="1" min="8" max="8"/>
    <col width="15.00390625" customWidth="1" min="9" max="9"/>
    <col width="16.00390625" customWidth="1" min="10" max="10"/>
    <col width="10.00390625" customWidth="1" min="11" max="11"/>
    <col width="16.00390625" customWidth="1" min="12" max="12"/>
    <col width="17.00390625" customWidth="1" min="13" max="13"/>
    <col width="45.00390625" customWidth="1" min="14" max="14"/>
  </cols>
  <sheetData>
    <row r="1" ht="15" customHeight="1">
      <c r="A1" s="22" t="inlineStr">
        <is>
          <t>APU ACADÉMICO REFERENCIAL — COP MILLONES — NO ES APU OFICIAL NI APTO PARA CONTRATACIÓN</t>
        </is>
      </c>
    </row>
    <row r="2" ht="15" customHeight="1">
      <c r="A2" s="23" t="inlineStr">
        <is>
          <t>Código</t>
        </is>
      </c>
      <c r="B2" s="23" t="inlineStr">
        <is>
          <t>Capítulo</t>
        </is>
      </c>
      <c r="C2" s="23" t="inlineStr">
        <is>
          <t>Actividad</t>
        </is>
      </c>
      <c r="D2" s="23" t="inlineStr">
        <is>
          <t>Unidad</t>
        </is>
      </c>
      <c r="E2" s="23" t="inlineStr">
        <is>
          <t>Cantidad</t>
        </is>
      </c>
      <c r="F2" s="23" t="inlineStr">
        <is>
          <t>Materiales/U</t>
        </is>
      </c>
      <c r="G2" s="23" t="inlineStr">
        <is>
          <t>Mano de obra/U</t>
        </is>
      </c>
      <c r="H2" s="23" t="inlineStr">
        <is>
          <t>Equipo/U</t>
        </is>
      </c>
      <c r="I2" s="23" t="inlineStr">
        <is>
          <t>Transporte/U</t>
        </is>
      </c>
      <c r="J2" s="23" t="inlineStr">
        <is>
          <t>Costo directo/U</t>
        </is>
      </c>
      <c r="K2" s="23" t="inlineStr">
        <is>
          <t>AIU</t>
        </is>
      </c>
      <c r="L2" s="23" t="inlineStr">
        <is>
          <t>Precio unitario</t>
        </is>
      </c>
      <c r="M2" s="23" t="inlineStr">
        <is>
          <t>Costo parcial</t>
        </is>
      </c>
      <c r="N2" s="23" t="inlineStr">
        <is>
          <t>Base / advertencia</t>
        </is>
      </c>
    </row>
    <row r="3" ht="15" customHeight="1">
      <c r="A3" s="24" t="inlineStr">
        <is>
          <t>1.01</t>
        </is>
      </c>
      <c r="B3" s="24" t="inlineStr">
        <is>
          <t>Captación (bocatoma) y línea de aducción</t>
        </is>
      </c>
      <c r="C3" s="24" t="inlineStr">
        <is>
          <t>Replanteo, campamento y obras provisionales</t>
        </is>
      </c>
      <c r="D3" s="24" t="inlineStr">
        <is>
          <t>GLB</t>
        </is>
      </c>
      <c r="E3" s="25" t="n">
        <v>1</v>
      </c>
      <c r="F3" s="25" t="n">
        <v>64.8</v>
      </c>
      <c r="G3" s="25" t="n">
        <v>36</v>
      </c>
      <c r="H3" s="25" t="n">
        <v>28.8</v>
      </c>
      <c r="I3" s="25" t="n">
        <v>14.4</v>
      </c>
      <c r="J3" s="26">
        <f>SUM(F3:I3)</f>
        <v/>
      </c>
      <c r="K3" s="27" t="n">
        <v>0.25</v>
      </c>
      <c r="L3" s="26">
        <f>J3*(1+K3)</f>
        <v/>
      </c>
      <c r="M3" s="26">
        <f>E3*L3</f>
        <v/>
      </c>
      <c r="N3" s="24" t="inlineStr">
        <is>
          <t>Alcance preliminar referencial</t>
        </is>
      </c>
    </row>
    <row r="4" ht="15" customHeight="1">
      <c r="A4" s="24" t="inlineStr">
        <is>
          <t>1.02</t>
        </is>
      </c>
      <c r="B4" s="24" t="inlineStr">
        <is>
          <t>Captación (bocatoma) y línea de aducción</t>
        </is>
      </c>
      <c r="C4" s="24" t="inlineStr">
        <is>
          <t>Bocatoma: excavación, concreto y protección estructural</t>
        </is>
      </c>
      <c r="D4" s="24" t="inlineStr">
        <is>
          <t>m³</t>
        </is>
      </c>
      <c r="E4" s="25" t="n">
        <v>300</v>
      </c>
      <c r="F4" s="25" t="n">
        <v>1.08</v>
      </c>
      <c r="G4" s="25" t="n">
        <v>0.6</v>
      </c>
      <c r="H4" s="25" t="n">
        <v>0.48</v>
      </c>
      <c r="I4" s="25" t="n">
        <v>0.24</v>
      </c>
      <c r="J4" s="26">
        <f>SUM(F4:I4)</f>
        <v/>
      </c>
      <c r="K4" s="27" t="n">
        <v>0.25</v>
      </c>
      <c r="L4" s="26">
        <f>J4*(1+K4)</f>
        <v/>
      </c>
      <c r="M4" s="26">
        <f>E4*L4</f>
        <v/>
      </c>
      <c r="N4" s="24" t="inlineStr">
        <is>
          <t>Cantidad conceptual, sin planos definitivos</t>
        </is>
      </c>
    </row>
    <row r="5" ht="15" customHeight="1">
      <c r="A5" s="24" t="inlineStr">
        <is>
          <t>1.03</t>
        </is>
      </c>
      <c r="B5" s="24" t="inlineStr">
        <is>
          <t>Captación (bocatoma) y línea de aducción</t>
        </is>
      </c>
      <c r="C5" s="24" t="inlineStr">
        <is>
          <t>Rejillas, compuertas y elementos metálicos</t>
        </is>
      </c>
      <c r="D5" s="24" t="inlineStr">
        <is>
          <t>und</t>
        </is>
      </c>
      <c r="E5" s="25" t="n">
        <v>2</v>
      </c>
      <c r="F5" s="25" t="n">
        <v>62.4</v>
      </c>
      <c r="G5" s="25" t="n">
        <v>14.4</v>
      </c>
      <c r="H5" s="25" t="n">
        <v>14.4</v>
      </c>
      <c r="I5" s="25" t="n">
        <v>4.8</v>
      </c>
      <c r="J5" s="26">
        <f>SUM(F5:I5)</f>
        <v/>
      </c>
      <c r="K5" s="27" t="n">
        <v>0.25</v>
      </c>
      <c r="L5" s="26">
        <f>J5*(1+K5)</f>
        <v/>
      </c>
      <c r="M5" s="26">
        <f>E5*L5</f>
        <v/>
      </c>
      <c r="N5" s="24" t="inlineStr">
        <is>
          <t>Dos líneas operativas referenciales</t>
        </is>
      </c>
    </row>
    <row r="6" ht="15" customHeight="1">
      <c r="A6" s="24" t="inlineStr">
        <is>
          <t>1.04</t>
        </is>
      </c>
      <c r="B6" s="24" t="inlineStr">
        <is>
          <t>Captación (bocatoma) y línea de aducción</t>
        </is>
      </c>
      <c r="C6" s="24" t="inlineStr">
        <is>
          <t>Desarenador y canal de entrada</t>
        </is>
      </c>
      <c r="D6" s="24" t="inlineStr">
        <is>
          <t>GLB</t>
        </is>
      </c>
      <c r="E6" s="25" t="n">
        <v>1</v>
      </c>
      <c r="F6" s="25" t="n">
        <v>126</v>
      </c>
      <c r="G6" s="25" t="n">
        <v>70</v>
      </c>
      <c r="H6" s="25" t="n">
        <v>56</v>
      </c>
      <c r="I6" s="25" t="n">
        <v>28</v>
      </c>
      <c r="J6" s="26">
        <f>SUM(F6:I6)</f>
        <v/>
      </c>
      <c r="K6" s="27" t="n">
        <v>0.25</v>
      </c>
      <c r="L6" s="26">
        <f>J6*(1+K6)</f>
        <v/>
      </c>
      <c r="M6" s="26">
        <f>E6*L6</f>
        <v/>
      </c>
      <c r="N6" s="24" t="inlineStr">
        <is>
          <t>Configuración conceptual</t>
        </is>
      </c>
    </row>
    <row r="7" ht="15" customHeight="1">
      <c r="A7" s="24" t="inlineStr">
        <is>
          <t>1.05</t>
        </is>
      </c>
      <c r="B7" s="24" t="inlineStr">
        <is>
          <t>Captación (bocatoma) y línea de aducción</t>
        </is>
      </c>
      <c r="C7" s="24" t="inlineStr">
        <is>
          <t>Tubería de aducción instalada</t>
        </is>
      </c>
      <c r="D7" s="24" t="inlineStr">
        <is>
          <t>m</t>
        </is>
      </c>
      <c r="E7" s="25" t="n">
        <v>3000</v>
      </c>
      <c r="F7" s="25" t="n">
        <v>0.07920000000000001</v>
      </c>
      <c r="G7" s="25" t="n">
        <v>0.0288</v>
      </c>
      <c r="H7" s="25" t="n">
        <v>0.0216</v>
      </c>
      <c r="I7" s="25" t="n">
        <v>0.0144</v>
      </c>
      <c r="J7" s="26">
        <f>SUM(F7:I7)</f>
        <v/>
      </c>
      <c r="K7" s="27" t="n">
        <v>0.25</v>
      </c>
      <c r="L7" s="26">
        <f>J7*(1+K7)</f>
        <v/>
      </c>
      <c r="M7" s="26">
        <f>E7*L7</f>
        <v/>
      </c>
      <c r="N7" s="24" t="inlineStr">
        <is>
          <t>Longitud y diámetro por validar</t>
        </is>
      </c>
    </row>
    <row r="8" ht="15" customHeight="1">
      <c r="A8" s="24" t="inlineStr">
        <is>
          <t>1.06</t>
        </is>
      </c>
      <c r="B8" s="24" t="inlineStr">
        <is>
          <t>Captación (bocatoma) y línea de aducción</t>
        </is>
      </c>
      <c r="C8" s="24" t="inlineStr">
        <is>
          <t>Protección de orillas y control de erosión</t>
        </is>
      </c>
      <c r="D8" s="24" t="inlineStr">
        <is>
          <t>m</t>
        </is>
      </c>
      <c r="E8" s="25" t="n">
        <v>500</v>
      </c>
      <c r="F8" s="25" t="n">
        <v>0.0864</v>
      </c>
      <c r="G8" s="25" t="n">
        <v>0.048</v>
      </c>
      <c r="H8" s="25" t="n">
        <v>0.0384</v>
      </c>
      <c r="I8" s="25" t="n">
        <v>0.0192</v>
      </c>
      <c r="J8" s="26">
        <f>SUM(F8:I8)</f>
        <v/>
      </c>
      <c r="K8" s="27" t="n">
        <v>0.25</v>
      </c>
      <c r="L8" s="26">
        <f>J8*(1+K8)</f>
        <v/>
      </c>
      <c r="M8" s="26">
        <f>E8*L8</f>
        <v/>
      </c>
      <c r="N8" s="24" t="inlineStr">
        <is>
          <t>Longitud conceptual</t>
        </is>
      </c>
    </row>
    <row r="9" ht="15" customHeight="1">
      <c r="A9" s="24" t="inlineStr">
        <is>
          <t>1.07</t>
        </is>
      </c>
      <c r="B9" s="24" t="inlineStr">
        <is>
          <t>Captación (bocatoma) y línea de aducción</t>
        </is>
      </c>
      <c r="C9" s="24" t="inlineStr">
        <is>
          <t>Pruebas, desinfección y puesta en servicio</t>
        </is>
      </c>
      <c r="D9" s="24" t="inlineStr">
        <is>
          <t>GLB</t>
        </is>
      </c>
      <c r="E9" s="25" t="n">
        <v>1</v>
      </c>
      <c r="F9" s="25" t="n">
        <v>8.4</v>
      </c>
      <c r="G9" s="25" t="n">
        <v>30.8</v>
      </c>
      <c r="H9" s="25" t="n">
        <v>11.2</v>
      </c>
      <c r="I9" s="25" t="n">
        <v>5.6</v>
      </c>
      <c r="J9" s="26">
        <f>SUM(F9:I9)</f>
        <v/>
      </c>
      <c r="K9" s="27" t="n">
        <v>0.25</v>
      </c>
      <c r="L9" s="26">
        <f>J9*(1+K9)</f>
        <v/>
      </c>
      <c r="M9" s="26">
        <f>E9*L9</f>
        <v/>
      </c>
      <c r="N9" s="24" t="inlineStr">
        <is>
          <t>Actividad global referencial</t>
        </is>
      </c>
    </row>
    <row r="10" ht="15" customHeight="1">
      <c r="A10" s="24" t="inlineStr">
        <is>
          <t>2.01</t>
        </is>
      </c>
      <c r="B10" s="24" t="inlineStr">
        <is>
          <t>PTAP 45 L/s (obra civil + equipos)</t>
        </is>
      </c>
      <c r="C10" s="24" t="inlineStr">
        <is>
          <t>Preparación del lote, excavaciones y drenajes</t>
        </is>
      </c>
      <c r="D10" s="24" t="inlineStr">
        <is>
          <t>GLB</t>
        </is>
      </c>
      <c r="E10" s="25" t="n">
        <v>1</v>
      </c>
      <c r="F10" s="25" t="n">
        <v>126</v>
      </c>
      <c r="G10" s="25" t="n">
        <v>70</v>
      </c>
      <c r="H10" s="25" t="n">
        <v>56</v>
      </c>
      <c r="I10" s="25" t="n">
        <v>28</v>
      </c>
      <c r="J10" s="26">
        <f>SUM(F10:I10)</f>
        <v/>
      </c>
      <c r="K10" s="27" t="n">
        <v>0.25</v>
      </c>
      <c r="L10" s="26">
        <f>J10*(1+K10)</f>
        <v/>
      </c>
      <c r="M10" s="26">
        <f>E10*L10</f>
        <v/>
      </c>
      <c r="N10" s="24" t="inlineStr">
        <is>
          <t>Sin levantamiento topográfico definitivo</t>
        </is>
      </c>
    </row>
    <row r="11" ht="15" customHeight="1">
      <c r="A11" s="24" t="inlineStr">
        <is>
          <t>2.02</t>
        </is>
      </c>
      <c r="B11" s="24" t="inlineStr">
        <is>
          <t>PTAP 45 L/s (obra civil + equipos)</t>
        </is>
      </c>
      <c r="C11" s="24" t="inlineStr">
        <is>
          <t>Estructuras hidráulicas y edificios de proceso</t>
        </is>
      </c>
      <c r="D11" s="24" t="inlineStr">
        <is>
          <t>GLB</t>
        </is>
      </c>
      <c r="E11" s="25" t="n">
        <v>1</v>
      </c>
      <c r="F11" s="25" t="n">
        <v>504</v>
      </c>
      <c r="G11" s="25" t="n">
        <v>280</v>
      </c>
      <c r="H11" s="25" t="n">
        <v>224</v>
      </c>
      <c r="I11" s="25" t="n">
        <v>112</v>
      </c>
      <c r="J11" s="26">
        <f>SUM(F11:I11)</f>
        <v/>
      </c>
      <c r="K11" s="27" t="n">
        <v>0.25</v>
      </c>
      <c r="L11" s="26">
        <f>J11*(1+K11)</f>
        <v/>
      </c>
      <c r="M11" s="26">
        <f>E11*L11</f>
        <v/>
      </c>
      <c r="N11" s="24" t="inlineStr">
        <is>
          <t>Dimensionamiento conceptual 45 L/s</t>
        </is>
      </c>
    </row>
    <row r="12" ht="15" customHeight="1">
      <c r="A12" s="24" t="inlineStr">
        <is>
          <t>2.03</t>
        </is>
      </c>
      <c r="B12" s="24" t="inlineStr">
        <is>
          <t>PTAP 45 L/s (obra civil + equipos)</t>
        </is>
      </c>
      <c r="C12" s="24" t="inlineStr">
        <is>
          <t>Trenes de coagulación, floculación y sedimentación</t>
        </is>
      </c>
      <c r="D12" s="24" t="inlineStr">
        <is>
          <t>und</t>
        </is>
      </c>
      <c r="E12" s="25" t="n">
        <v>2</v>
      </c>
      <c r="F12" s="25" t="n">
        <v>286</v>
      </c>
      <c r="G12" s="25" t="n">
        <v>66</v>
      </c>
      <c r="H12" s="25" t="n">
        <v>66</v>
      </c>
      <c r="I12" s="25" t="n">
        <v>22</v>
      </c>
      <c r="J12" s="26">
        <f>SUM(F12:I12)</f>
        <v/>
      </c>
      <c r="K12" s="27" t="n">
        <v>0.25</v>
      </c>
      <c r="L12" s="26">
        <f>J12*(1+K12)</f>
        <v/>
      </c>
      <c r="M12" s="26">
        <f>E12*L12</f>
        <v/>
      </c>
      <c r="N12" s="24" t="inlineStr">
        <is>
          <t>Dos trenes para flexibilidad operativa</t>
        </is>
      </c>
    </row>
    <row r="13" ht="15" customHeight="1">
      <c r="A13" s="24" t="inlineStr">
        <is>
          <t>2.04</t>
        </is>
      </c>
      <c r="B13" s="24" t="inlineStr">
        <is>
          <t>PTAP 45 L/s (obra civil + equipos)</t>
        </is>
      </c>
      <c r="C13" s="24" t="inlineStr">
        <is>
          <t>Filtros rápidos, medios filtrantes y accesorios</t>
        </is>
      </c>
      <c r="D13" s="24" t="inlineStr">
        <is>
          <t>und</t>
        </is>
      </c>
      <c r="E13" s="25" t="n">
        <v>4</v>
      </c>
      <c r="F13" s="25" t="n">
        <v>110.5</v>
      </c>
      <c r="G13" s="25" t="n">
        <v>25.5</v>
      </c>
      <c r="H13" s="25" t="n">
        <v>25.5</v>
      </c>
      <c r="I13" s="25" t="n">
        <v>8.5</v>
      </c>
      <c r="J13" s="26">
        <f>SUM(F13:I13)</f>
        <v/>
      </c>
      <c r="K13" s="27" t="n">
        <v>0.25</v>
      </c>
      <c r="L13" s="26">
        <f>J13*(1+K13)</f>
        <v/>
      </c>
      <c r="M13" s="26">
        <f>E13*L13</f>
        <v/>
      </c>
      <c r="N13" s="24" t="inlineStr">
        <is>
          <t>Número referencial de filtros</t>
        </is>
      </c>
    </row>
    <row r="14" ht="15" customHeight="1">
      <c r="A14" s="24" t="inlineStr">
        <is>
          <t>2.05</t>
        </is>
      </c>
      <c r="B14" s="24" t="inlineStr">
        <is>
          <t>PTAP 45 L/s (obra civil + equipos)</t>
        </is>
      </c>
      <c r="C14" s="24" t="inlineStr">
        <is>
          <t>Preparación y dosificación de químicos</t>
        </is>
      </c>
      <c r="D14" s="24" t="inlineStr">
        <is>
          <t>GLB</t>
        </is>
      </c>
      <c r="E14" s="25" t="n">
        <v>1</v>
      </c>
      <c r="F14" s="25" t="n">
        <v>338</v>
      </c>
      <c r="G14" s="25" t="n">
        <v>78</v>
      </c>
      <c r="H14" s="25" t="n">
        <v>78</v>
      </c>
      <c r="I14" s="25" t="n">
        <v>26</v>
      </c>
      <c r="J14" s="26">
        <f>SUM(F14:I14)</f>
        <v/>
      </c>
      <c r="K14" s="27" t="n">
        <v>0.25</v>
      </c>
      <c r="L14" s="26">
        <f>J14*(1+K14)</f>
        <v/>
      </c>
      <c r="M14" s="26">
        <f>E14*L14</f>
        <v/>
      </c>
      <c r="N14" s="24" t="inlineStr">
        <is>
          <t>Incluye almacenamiento y dosificación</t>
        </is>
      </c>
    </row>
    <row r="15" ht="15" customHeight="1">
      <c r="A15" s="24" t="inlineStr">
        <is>
          <t>2.06</t>
        </is>
      </c>
      <c r="B15" s="24" t="inlineStr">
        <is>
          <t>PTAP 45 L/s (obra civil + equipos)</t>
        </is>
      </c>
      <c r="C15" s="24" t="inlineStr">
        <is>
          <t>Sistema de desinfección y seguridad química</t>
        </is>
      </c>
      <c r="D15" s="24" t="inlineStr">
        <is>
          <t>GLB</t>
        </is>
      </c>
      <c r="E15" s="25" t="n">
        <v>1</v>
      </c>
      <c r="F15" s="25" t="n">
        <v>156</v>
      </c>
      <c r="G15" s="25" t="n">
        <v>36</v>
      </c>
      <c r="H15" s="25" t="n">
        <v>36</v>
      </c>
      <c r="I15" s="25" t="n">
        <v>12</v>
      </c>
      <c r="J15" s="26">
        <f>SUM(F15:I15)</f>
        <v/>
      </c>
      <c r="K15" s="27" t="n">
        <v>0.25</v>
      </c>
      <c r="L15" s="26">
        <f>J15*(1+K15)</f>
        <v/>
      </c>
      <c r="M15" s="26">
        <f>E15*L15</f>
        <v/>
      </c>
      <c r="N15" s="24" t="inlineStr">
        <is>
          <t>Tecnología por definir en diseño</t>
        </is>
      </c>
    </row>
    <row r="16" ht="15" customHeight="1">
      <c r="A16" s="24" t="inlineStr">
        <is>
          <t>2.07</t>
        </is>
      </c>
      <c r="B16" s="24" t="inlineStr">
        <is>
          <t>PTAP 45 L/s (obra civil + equipos)</t>
        </is>
      </c>
      <c r="C16" s="24" t="inlineStr">
        <is>
          <t>Instalaciones eléctricas, control y automatización</t>
        </is>
      </c>
      <c r="D16" s="24" t="inlineStr">
        <is>
          <t>GLB</t>
        </is>
      </c>
      <c r="E16" s="25" t="n">
        <v>1</v>
      </c>
      <c r="F16" s="25" t="n">
        <v>338</v>
      </c>
      <c r="G16" s="25" t="n">
        <v>78</v>
      </c>
      <c r="H16" s="25" t="n">
        <v>78</v>
      </c>
      <c r="I16" s="25" t="n">
        <v>26</v>
      </c>
      <c r="J16" s="26">
        <f>SUM(F16:I16)</f>
        <v/>
      </c>
      <c r="K16" s="27" t="n">
        <v>0.25</v>
      </c>
      <c r="L16" s="26">
        <f>J16*(1+K16)</f>
        <v/>
      </c>
      <c r="M16" s="26">
        <f>E16*L16</f>
        <v/>
      </c>
      <c r="N16" s="24" t="inlineStr">
        <is>
          <t>Instrumentación conceptual</t>
        </is>
      </c>
    </row>
    <row r="17" ht="15" customHeight="1">
      <c r="A17" s="24" t="inlineStr">
        <is>
          <t>2.08</t>
        </is>
      </c>
      <c r="B17" s="24" t="inlineStr">
        <is>
          <t>PTAP 45 L/s (obra civil + equipos)</t>
        </is>
      </c>
      <c r="C17" s="24" t="inlineStr">
        <is>
          <t>Laboratorio e instrumentación de calidad</t>
        </is>
      </c>
      <c r="D17" s="24" t="inlineStr">
        <is>
          <t>GLB</t>
        </is>
      </c>
      <c r="E17" s="25" t="n">
        <v>1</v>
      </c>
      <c r="F17" s="25" t="n">
        <v>156</v>
      </c>
      <c r="G17" s="25" t="n">
        <v>36</v>
      </c>
      <c r="H17" s="25" t="n">
        <v>36</v>
      </c>
      <c r="I17" s="25" t="n">
        <v>12</v>
      </c>
      <c r="J17" s="26">
        <f>SUM(F17:I17)</f>
        <v/>
      </c>
      <c r="K17" s="27" t="n">
        <v>0.25</v>
      </c>
      <c r="L17" s="26">
        <f>J17*(1+K17)</f>
        <v/>
      </c>
      <c r="M17" s="26">
        <f>E17*L17</f>
        <v/>
      </c>
      <c r="N17" s="24" t="inlineStr">
        <is>
          <t>Equipamiento básico de operación</t>
        </is>
      </c>
    </row>
    <row r="18" ht="15" customHeight="1">
      <c r="A18" s="24" t="inlineStr">
        <is>
          <t>2.09</t>
        </is>
      </c>
      <c r="B18" s="24" t="inlineStr">
        <is>
          <t>PTAP 45 L/s (obra civil + equipos)</t>
        </is>
      </c>
      <c r="C18" s="24" t="inlineStr">
        <is>
          <t>Manejo de lodos y aguas de lavado</t>
        </is>
      </c>
      <c r="D18" s="24" t="inlineStr">
        <is>
          <t>GLB</t>
        </is>
      </c>
      <c r="E18" s="25" t="n">
        <v>1</v>
      </c>
      <c r="F18" s="25" t="n">
        <v>162</v>
      </c>
      <c r="G18" s="25" t="n">
        <v>90</v>
      </c>
      <c r="H18" s="25" t="n">
        <v>72</v>
      </c>
      <c r="I18" s="25" t="n">
        <v>36</v>
      </c>
      <c r="J18" s="26">
        <f>SUM(F18:I18)</f>
        <v/>
      </c>
      <c r="K18" s="27" t="n">
        <v>0.25</v>
      </c>
      <c r="L18" s="26">
        <f>J18*(1+K18)</f>
        <v/>
      </c>
      <c r="M18" s="26">
        <f>E18*L18</f>
        <v/>
      </c>
      <c r="N18" s="24" t="inlineStr">
        <is>
          <t>Solución conceptual ambiental</t>
        </is>
      </c>
    </row>
    <row r="19" ht="15" customHeight="1">
      <c r="A19" s="24" t="inlineStr">
        <is>
          <t>2.10</t>
        </is>
      </c>
      <c r="B19" s="24" t="inlineStr">
        <is>
          <t>PTAP 45 L/s (obra civil + equipos)</t>
        </is>
      </c>
      <c r="C19" s="24" t="inlineStr">
        <is>
          <t>Pruebas de proceso, capacitación y arranque</t>
        </is>
      </c>
      <c r="D19" s="24" t="inlineStr">
        <is>
          <t>GLB</t>
        </is>
      </c>
      <c r="E19" s="25" t="n">
        <v>1</v>
      </c>
      <c r="F19" s="25" t="n">
        <v>30</v>
      </c>
      <c r="G19" s="25" t="n">
        <v>110</v>
      </c>
      <c r="H19" s="25" t="n">
        <v>40</v>
      </c>
      <c r="I19" s="25" t="n">
        <v>20</v>
      </c>
      <c r="J19" s="26">
        <f>SUM(F19:I19)</f>
        <v/>
      </c>
      <c r="K19" s="27" t="n">
        <v>0.25</v>
      </c>
      <c r="L19" s="26">
        <f>J19*(1+K19)</f>
        <v/>
      </c>
      <c r="M19" s="26">
        <f>E19*L19</f>
        <v/>
      </c>
      <c r="N19" s="24" t="inlineStr">
        <is>
          <t>Actividad global referencial</t>
        </is>
      </c>
    </row>
    <row r="20" ht="15" customHeight="1">
      <c r="A20" s="24" t="inlineStr">
        <is>
          <t>3.01</t>
        </is>
      </c>
      <c r="B20" s="24" t="inlineStr">
        <is>
          <t>Almacenamiento (tanques) y estaciones de bombeo</t>
        </is>
      </c>
      <c r="C20" s="24" t="inlineStr">
        <is>
          <t>Tanque de almacenamiento y regulación</t>
        </is>
      </c>
      <c r="D20" s="24" t="inlineStr">
        <is>
          <t>m³</t>
        </is>
      </c>
      <c r="E20" s="25" t="n">
        <v>1000</v>
      </c>
      <c r="F20" s="25" t="n">
        <v>0.396</v>
      </c>
      <c r="G20" s="25" t="n">
        <v>0.22</v>
      </c>
      <c r="H20" s="25" t="n">
        <v>0.176</v>
      </c>
      <c r="I20" s="25" t="n">
        <v>0.08799999999999999</v>
      </c>
      <c r="J20" s="26">
        <f>SUM(F20:I20)</f>
        <v/>
      </c>
      <c r="K20" s="27" t="n">
        <v>0.25</v>
      </c>
      <c r="L20" s="26">
        <f>J20*(1+K20)</f>
        <v/>
      </c>
      <c r="M20" s="26">
        <f>E20*L20</f>
        <v/>
      </c>
      <c r="N20" s="24" t="inlineStr">
        <is>
          <t>Volumen preliminar; requiere balance horario</t>
        </is>
      </c>
    </row>
    <row r="21" ht="15" customHeight="1">
      <c r="A21" s="24" t="inlineStr">
        <is>
          <t>3.02</t>
        </is>
      </c>
      <c r="B21" s="24" t="inlineStr">
        <is>
          <t>Almacenamiento (tanques) y estaciones de bombeo</t>
        </is>
      </c>
      <c r="C21" s="24" t="inlineStr">
        <is>
          <t>Edificio y obras civiles de estación de bombeo</t>
        </is>
      </c>
      <c r="D21" s="24" t="inlineStr">
        <is>
          <t>GLB</t>
        </is>
      </c>
      <c r="E21" s="25" t="n">
        <v>1</v>
      </c>
      <c r="F21" s="25" t="n">
        <v>162</v>
      </c>
      <c r="G21" s="25" t="n">
        <v>90</v>
      </c>
      <c r="H21" s="25" t="n">
        <v>72</v>
      </c>
      <c r="I21" s="25" t="n">
        <v>36</v>
      </c>
      <c r="J21" s="26">
        <f>SUM(F21:I21)</f>
        <v/>
      </c>
      <c r="K21" s="27" t="n">
        <v>0.25</v>
      </c>
      <c r="L21" s="26">
        <f>J21*(1+K21)</f>
        <v/>
      </c>
      <c r="M21" s="26">
        <f>E21*L21</f>
        <v/>
      </c>
      <c r="N21" s="24" t="inlineStr">
        <is>
          <t>Configuración conceptual</t>
        </is>
      </c>
    </row>
    <row r="22" ht="15" customHeight="1">
      <c r="A22" s="24" t="inlineStr">
        <is>
          <t>3.03</t>
        </is>
      </c>
      <c r="B22" s="24" t="inlineStr">
        <is>
          <t>Almacenamiento (tanques) y estaciones de bombeo</t>
        </is>
      </c>
      <c r="C22" s="24" t="inlineStr">
        <is>
          <t>Bombas, motores, tableros y accesorios</t>
        </is>
      </c>
      <c r="D22" s="24" t="inlineStr">
        <is>
          <t>und</t>
        </is>
      </c>
      <c r="E22" s="25" t="n">
        <v>3</v>
      </c>
      <c r="F22" s="25" t="n">
        <v>104</v>
      </c>
      <c r="G22" s="25" t="n">
        <v>24</v>
      </c>
      <c r="H22" s="25" t="n">
        <v>24</v>
      </c>
      <c r="I22" s="25" t="n">
        <v>8</v>
      </c>
      <c r="J22" s="26">
        <f>SUM(F22:I22)</f>
        <v/>
      </c>
      <c r="K22" s="27" t="n">
        <v>0.25</v>
      </c>
      <c r="L22" s="26">
        <f>J22*(1+K22)</f>
        <v/>
      </c>
      <c r="M22" s="26">
        <f>E22*L22</f>
        <v/>
      </c>
      <c r="N22" s="24" t="inlineStr">
        <is>
          <t>Dos operativas y una de respaldo</t>
        </is>
      </c>
    </row>
    <row r="23" ht="15" customHeight="1">
      <c r="A23" s="24" t="inlineStr">
        <is>
          <t>3.04</t>
        </is>
      </c>
      <c r="B23" s="24" t="inlineStr">
        <is>
          <t>Almacenamiento (tanques) y estaciones de bombeo</t>
        </is>
      </c>
      <c r="C23" s="24" t="inlineStr">
        <is>
          <t>Respaldo eléctrico y transferencia automática</t>
        </is>
      </c>
      <c r="D23" s="24" t="inlineStr">
        <is>
          <t>GLB</t>
        </is>
      </c>
      <c r="E23" s="25" t="n">
        <v>1</v>
      </c>
      <c r="F23" s="25" t="n">
        <v>156</v>
      </c>
      <c r="G23" s="25" t="n">
        <v>36</v>
      </c>
      <c r="H23" s="25" t="n">
        <v>36</v>
      </c>
      <c r="I23" s="25" t="n">
        <v>12</v>
      </c>
      <c r="J23" s="26">
        <f>SUM(F23:I23)</f>
        <v/>
      </c>
      <c r="K23" s="27" t="n">
        <v>0.25</v>
      </c>
      <c r="L23" s="26">
        <f>J23*(1+K23)</f>
        <v/>
      </c>
      <c r="M23" s="26">
        <f>E23*L23</f>
        <v/>
      </c>
      <c r="N23" s="24" t="inlineStr">
        <is>
          <t>Potencia por definir</t>
        </is>
      </c>
    </row>
    <row r="24" ht="15" customHeight="1">
      <c r="A24" s="24" t="inlineStr">
        <is>
          <t>3.05</t>
        </is>
      </c>
      <c r="B24" s="24" t="inlineStr">
        <is>
          <t>Almacenamiento (tanques) y estaciones de bombeo</t>
        </is>
      </c>
      <c r="C24" s="24" t="inlineStr">
        <is>
          <t>Tuberías de impulsión, válvulas y control de golpe</t>
        </is>
      </c>
      <c r="D24" s="24" t="inlineStr">
        <is>
          <t>GLB</t>
        </is>
      </c>
      <c r="E24" s="25" t="n">
        <v>1</v>
      </c>
      <c r="F24" s="25" t="n">
        <v>110</v>
      </c>
      <c r="G24" s="25" t="n">
        <v>40</v>
      </c>
      <c r="H24" s="25" t="n">
        <v>30</v>
      </c>
      <c r="I24" s="25" t="n">
        <v>20</v>
      </c>
      <c r="J24" s="26">
        <f>SUM(F24:I24)</f>
        <v/>
      </c>
      <c r="K24" s="27" t="n">
        <v>0.25</v>
      </c>
      <c r="L24" s="26">
        <f>J24*(1+K24)</f>
        <v/>
      </c>
      <c r="M24" s="26">
        <f>E24*L24</f>
        <v/>
      </c>
      <c r="N24" s="24" t="inlineStr">
        <is>
          <t>Diámetros y longitudes por validar</t>
        </is>
      </c>
    </row>
    <row r="25" ht="15" customHeight="1">
      <c r="A25" s="24" t="inlineStr">
        <is>
          <t>3.06</t>
        </is>
      </c>
      <c r="B25" s="24" t="inlineStr">
        <is>
          <t>Almacenamiento (tanques) y estaciones de bombeo</t>
        </is>
      </c>
      <c r="C25" s="24" t="inlineStr">
        <is>
          <t>Pruebas hidráulicas y puesta en marcha</t>
        </is>
      </c>
      <c r="D25" s="24" t="inlineStr">
        <is>
          <t>GLB</t>
        </is>
      </c>
      <c r="E25" s="25" t="n">
        <v>1</v>
      </c>
      <c r="F25" s="25" t="n">
        <v>12</v>
      </c>
      <c r="G25" s="25" t="n">
        <v>44</v>
      </c>
      <c r="H25" s="25" t="n">
        <v>16</v>
      </c>
      <c r="I25" s="25" t="n">
        <v>8</v>
      </c>
      <c r="J25" s="26">
        <f>SUM(F25:I25)</f>
        <v/>
      </c>
      <c r="K25" s="27" t="n">
        <v>0.25</v>
      </c>
      <c r="L25" s="26">
        <f>J25*(1+K25)</f>
        <v/>
      </c>
      <c r="M25" s="26">
        <f>E25*L25</f>
        <v/>
      </c>
      <c r="N25" s="24" t="inlineStr">
        <is>
          <t>Actividad global referencial</t>
        </is>
      </c>
    </row>
    <row r="26" ht="15" customHeight="1">
      <c r="A26" s="24" t="inlineStr">
        <is>
          <t>4.01</t>
        </is>
      </c>
      <c r="B26" s="24" t="inlineStr">
        <is>
          <t>Redes de distribución, conexiones y micromedición</t>
        </is>
      </c>
      <c r="C26" s="24" t="inlineStr">
        <is>
          <t>Red PVC aproximada Ø110 mm instalada</t>
        </is>
      </c>
      <c r="D26" s="24" t="inlineStr">
        <is>
          <t>m</t>
        </is>
      </c>
      <c r="E26" s="25" t="n">
        <v>12000</v>
      </c>
      <c r="F26" s="25" t="n">
        <v>0.0528</v>
      </c>
      <c r="G26" s="25" t="n">
        <v>0.0192</v>
      </c>
      <c r="H26" s="25" t="n">
        <v>0.0144</v>
      </c>
      <c r="I26" s="25" t="n">
        <v>0.009599999999999999</v>
      </c>
      <c r="J26" s="26">
        <f>SUM(F26:I26)</f>
        <v/>
      </c>
      <c r="K26" s="27" t="n">
        <v>0.25</v>
      </c>
      <c r="L26" s="26">
        <f>J26*(1+K26)</f>
        <v/>
      </c>
      <c r="M26" s="26">
        <f>E26*L26</f>
        <v/>
      </c>
      <c r="N26" s="24" t="inlineStr">
        <is>
          <t>Longitud/diámetro conceptual</t>
        </is>
      </c>
    </row>
    <row r="27" ht="15" customHeight="1">
      <c r="A27" s="24" t="inlineStr">
        <is>
          <t>4.02</t>
        </is>
      </c>
      <c r="B27" s="24" t="inlineStr">
        <is>
          <t>Redes de distribución, conexiones y micromedición</t>
        </is>
      </c>
      <c r="C27" s="24" t="inlineStr">
        <is>
          <t>Red PVC aproximada Ø160 mm instalada</t>
        </is>
      </c>
      <c r="D27" s="24" t="inlineStr">
        <is>
          <t>m</t>
        </is>
      </c>
      <c r="E27" s="25" t="n">
        <v>6000</v>
      </c>
      <c r="F27" s="25" t="n">
        <v>0.07920000000000001</v>
      </c>
      <c r="G27" s="25" t="n">
        <v>0.0288</v>
      </c>
      <c r="H27" s="25" t="n">
        <v>0.0216</v>
      </c>
      <c r="I27" s="25" t="n">
        <v>0.0144</v>
      </c>
      <c r="J27" s="26">
        <f>SUM(F27:I27)</f>
        <v/>
      </c>
      <c r="K27" s="27" t="n">
        <v>0.25</v>
      </c>
      <c r="L27" s="26">
        <f>J27*(1+K27)</f>
        <v/>
      </c>
      <c r="M27" s="26">
        <f>E27*L27</f>
        <v/>
      </c>
      <c r="N27" s="24" t="inlineStr">
        <is>
          <t>Longitud/diámetro conceptual</t>
        </is>
      </c>
    </row>
    <row r="28" ht="15" customHeight="1">
      <c r="A28" s="24" t="inlineStr">
        <is>
          <t>4.03</t>
        </is>
      </c>
      <c r="B28" s="24" t="inlineStr">
        <is>
          <t>Redes de distribución, conexiones y micromedición</t>
        </is>
      </c>
      <c r="C28" s="24" t="inlineStr">
        <is>
          <t>Válvulas, hidrantes y accesorios de sectorización</t>
        </is>
      </c>
      <c r="D28" s="24" t="inlineStr">
        <is>
          <t>und</t>
        </is>
      </c>
      <c r="E28" s="25" t="n">
        <v>60</v>
      </c>
      <c r="F28" s="25" t="n">
        <v>2.6</v>
      </c>
      <c r="G28" s="25" t="n">
        <v>0.6</v>
      </c>
      <c r="H28" s="25" t="n">
        <v>0.6</v>
      </c>
      <c r="I28" s="25" t="n">
        <v>0.2</v>
      </c>
      <c r="J28" s="26">
        <f>SUM(F28:I28)</f>
        <v/>
      </c>
      <c r="K28" s="27" t="n">
        <v>0.25</v>
      </c>
      <c r="L28" s="26">
        <f>J28*(1+K28)</f>
        <v/>
      </c>
      <c r="M28" s="26">
        <f>E28*L28</f>
        <v/>
      </c>
      <c r="N28" s="24" t="inlineStr">
        <is>
          <t>Cantidad conceptual</t>
        </is>
      </c>
    </row>
    <row r="29" ht="15" customHeight="1">
      <c r="A29" s="24" t="inlineStr">
        <is>
          <t>4.04</t>
        </is>
      </c>
      <c r="B29" s="24" t="inlineStr">
        <is>
          <t>Redes de distribución, conexiones y micromedición</t>
        </is>
      </c>
      <c r="C29" s="24" t="inlineStr">
        <is>
          <t>Conexiones domiciliarias completas</t>
        </is>
      </c>
      <c r="D29" s="24" t="inlineStr">
        <is>
          <t>und</t>
        </is>
      </c>
      <c r="E29" s="25" t="n">
        <v>2500</v>
      </c>
      <c r="F29" s="25" t="n">
        <v>0.1408</v>
      </c>
      <c r="G29" s="25" t="n">
        <v>0.0512</v>
      </c>
      <c r="H29" s="25" t="n">
        <v>0.0384</v>
      </c>
      <c r="I29" s="25" t="n">
        <v>0.0256</v>
      </c>
      <c r="J29" s="26">
        <f>SUM(F29:I29)</f>
        <v/>
      </c>
      <c r="K29" s="27" t="n">
        <v>0.25</v>
      </c>
      <c r="L29" s="26">
        <f>J29*(1+K29)</f>
        <v/>
      </c>
      <c r="M29" s="26">
        <f>E29*L29</f>
        <v/>
      </c>
      <c r="N29" s="24" t="inlineStr">
        <is>
          <t>Número de usuarios por validar</t>
        </is>
      </c>
    </row>
    <row r="30" ht="15" customHeight="1">
      <c r="A30" s="24" t="inlineStr">
        <is>
          <t>4.05</t>
        </is>
      </c>
      <c r="B30" s="24" t="inlineStr">
        <is>
          <t>Redes de distribución, conexiones y micromedición</t>
        </is>
      </c>
      <c r="C30" s="24" t="inlineStr">
        <is>
          <t>Micromedidores instalados</t>
        </is>
      </c>
      <c r="D30" s="24" t="inlineStr">
        <is>
          <t>und</t>
        </is>
      </c>
      <c r="E30" s="25" t="n">
        <v>2500</v>
      </c>
      <c r="F30" s="25" t="n">
        <v>0.0832</v>
      </c>
      <c r="G30" s="25" t="n">
        <v>0.0192</v>
      </c>
      <c r="H30" s="25" t="n">
        <v>0.0192</v>
      </c>
      <c r="I30" s="25" t="n">
        <v>0.0064</v>
      </c>
      <c r="J30" s="26">
        <f>SUM(F30:I30)</f>
        <v/>
      </c>
      <c r="K30" s="27" t="n">
        <v>0.25</v>
      </c>
      <c r="L30" s="26">
        <f>J30*(1+K30)</f>
        <v/>
      </c>
      <c r="M30" s="26">
        <f>E30*L30</f>
        <v/>
      </c>
      <c r="N30" s="24" t="inlineStr">
        <is>
          <t>Número de usuarios por validar</t>
        </is>
      </c>
    </row>
    <row r="31" ht="15" customHeight="1">
      <c r="A31" s="24" t="inlineStr">
        <is>
          <t>4.06</t>
        </is>
      </c>
      <c r="B31" s="24" t="inlineStr">
        <is>
          <t>Redes de distribución, conexiones y micromedición</t>
        </is>
      </c>
      <c r="C31" s="24" t="inlineStr">
        <is>
          <t>Cámaras y puntos de macromedición por sector</t>
        </is>
      </c>
      <c r="D31" s="24" t="inlineStr">
        <is>
          <t>und</t>
        </is>
      </c>
      <c r="E31" s="25" t="n">
        <v>10</v>
      </c>
      <c r="F31" s="25" t="n">
        <v>6.48</v>
      </c>
      <c r="G31" s="25" t="n">
        <v>3.6</v>
      </c>
      <c r="H31" s="25" t="n">
        <v>2.88</v>
      </c>
      <c r="I31" s="25" t="n">
        <v>1.44</v>
      </c>
      <c r="J31" s="26">
        <f>SUM(F31:I31)</f>
        <v/>
      </c>
      <c r="K31" s="27" t="n">
        <v>0.25</v>
      </c>
      <c r="L31" s="26">
        <f>J31*(1+K31)</f>
        <v/>
      </c>
      <c r="M31" s="26">
        <f>E31*L31</f>
        <v/>
      </c>
      <c r="N31" s="24" t="inlineStr">
        <is>
          <t>Número de sectores por modelar</t>
        </is>
      </c>
    </row>
    <row r="32" ht="15" customHeight="1">
      <c r="A32" s="24" t="inlineStr">
        <is>
          <t>5.01</t>
        </is>
      </c>
      <c r="B32" s="24" t="inlineStr">
        <is>
          <t>Optimización del alcantarillado (componente asociado)</t>
        </is>
      </c>
      <c r="C32" s="24" t="inlineStr">
        <is>
          <t>Rehabilitación de redes de alcantarillado</t>
        </is>
      </c>
      <c r="D32" s="24" t="inlineStr">
        <is>
          <t>m</t>
        </is>
      </c>
      <c r="E32" s="25" t="n">
        <v>8000</v>
      </c>
      <c r="F32" s="25" t="n">
        <v>0.066</v>
      </c>
      <c r="G32" s="25" t="n">
        <v>0.024</v>
      </c>
      <c r="H32" s="25" t="n">
        <v>0.018</v>
      </c>
      <c r="I32" s="25" t="n">
        <v>0.012</v>
      </c>
      <c r="J32" s="26">
        <f>SUM(F32:I32)</f>
        <v/>
      </c>
      <c r="K32" s="27" t="n">
        <v>0.25</v>
      </c>
      <c r="L32" s="26">
        <f>J32*(1+K32)</f>
        <v/>
      </c>
      <c r="M32" s="26">
        <f>E32*L32</f>
        <v/>
      </c>
      <c r="N32" s="24" t="inlineStr">
        <is>
          <t>Longitud conceptual</t>
        </is>
      </c>
    </row>
    <row r="33" ht="15" customHeight="1">
      <c r="A33" s="24" t="inlineStr">
        <is>
          <t>5.02</t>
        </is>
      </c>
      <c r="B33" s="24" t="inlineStr">
        <is>
          <t>Optimización del alcantarillado (componente asociado)</t>
        </is>
      </c>
      <c r="C33" s="24" t="inlineStr">
        <is>
          <t>Pozos de inspección y cámaras</t>
        </is>
      </c>
      <c r="D33" s="24" t="inlineStr">
        <is>
          <t>und</t>
        </is>
      </c>
      <c r="E33" s="25" t="n">
        <v>80</v>
      </c>
      <c r="F33" s="25" t="n">
        <v>1.44</v>
      </c>
      <c r="G33" s="25" t="n">
        <v>0.8</v>
      </c>
      <c r="H33" s="25" t="n">
        <v>0.64</v>
      </c>
      <c r="I33" s="25" t="n">
        <v>0.32</v>
      </c>
      <c r="J33" s="26">
        <f>SUM(F33:I33)</f>
        <v/>
      </c>
      <c r="K33" s="27" t="n">
        <v>0.25</v>
      </c>
      <c r="L33" s="26">
        <f>J33*(1+K33)</f>
        <v/>
      </c>
      <c r="M33" s="26">
        <f>E33*L33</f>
        <v/>
      </c>
      <c r="N33" s="24" t="inlineStr">
        <is>
          <t>Cantidad conceptual</t>
        </is>
      </c>
    </row>
    <row r="34" ht="15" customHeight="1">
      <c r="A34" s="24" t="inlineStr">
        <is>
          <t>5.03</t>
        </is>
      </c>
      <c r="B34" s="24" t="inlineStr">
        <is>
          <t>Optimización del alcantarillado (componente asociado)</t>
        </is>
      </c>
      <c r="C34" s="24" t="inlineStr">
        <is>
          <t>Colectores, descargas y obras complementarias</t>
        </is>
      </c>
      <c r="D34" s="24" t="inlineStr">
        <is>
          <t>GLB</t>
        </is>
      </c>
      <c r="E34" s="25" t="n">
        <v>1</v>
      </c>
      <c r="F34" s="25" t="n">
        <v>180</v>
      </c>
      <c r="G34" s="25" t="n">
        <v>100</v>
      </c>
      <c r="H34" s="25" t="n">
        <v>80</v>
      </c>
      <c r="I34" s="25" t="n">
        <v>40</v>
      </c>
      <c r="J34" s="26">
        <f>SUM(F34:I34)</f>
        <v/>
      </c>
      <c r="K34" s="27" t="n">
        <v>0.25</v>
      </c>
      <c r="L34" s="26">
        <f>J34*(1+K34)</f>
        <v/>
      </c>
      <c r="M34" s="26">
        <f>E34*L34</f>
        <v/>
      </c>
      <c r="N34" s="24" t="inlineStr">
        <is>
          <t>Alcance preliminar</t>
        </is>
      </c>
    </row>
    <row r="35" ht="15" customHeight="1">
      <c r="A35" s="24" t="inlineStr">
        <is>
          <t>5.04</t>
        </is>
      </c>
      <c r="B35" s="24" t="inlineStr">
        <is>
          <t>Optimización del alcantarillado (componente asociado)</t>
        </is>
      </c>
      <c r="C35" s="24" t="inlineStr">
        <is>
          <t>Estructuras especiales y cruces</t>
        </is>
      </c>
      <c r="D35" s="24" t="inlineStr">
        <is>
          <t>GLB</t>
        </is>
      </c>
      <c r="E35" s="25" t="n">
        <v>1</v>
      </c>
      <c r="F35" s="25" t="n">
        <v>90</v>
      </c>
      <c r="G35" s="25" t="n">
        <v>50</v>
      </c>
      <c r="H35" s="25" t="n">
        <v>40</v>
      </c>
      <c r="I35" s="25" t="n">
        <v>20</v>
      </c>
      <c r="J35" s="26">
        <f>SUM(F35:I35)</f>
        <v/>
      </c>
      <c r="K35" s="27" t="n">
        <v>0.25</v>
      </c>
      <c r="L35" s="26">
        <f>J35*(1+K35)</f>
        <v/>
      </c>
      <c r="M35" s="26">
        <f>E35*L35</f>
        <v/>
      </c>
      <c r="N35" s="24" t="inlineStr">
        <is>
          <t>Alcance preliminar</t>
        </is>
      </c>
    </row>
    <row r="36" ht="15" customHeight="1">
      <c r="A36" s="24" t="inlineStr">
        <is>
          <t>5.05</t>
        </is>
      </c>
      <c r="B36" s="24" t="inlineStr">
        <is>
          <t>Optimización del alcantarillado (componente asociado)</t>
        </is>
      </c>
      <c r="C36" s="24" t="inlineStr">
        <is>
          <t>Recuperación ambiental de zonas intervenidas</t>
        </is>
      </c>
      <c r="D36" s="24" t="inlineStr">
        <is>
          <t>GLB</t>
        </is>
      </c>
      <c r="E36" s="25" t="n">
        <v>1</v>
      </c>
      <c r="F36" s="25" t="n">
        <v>12.12</v>
      </c>
      <c r="G36" s="25" t="n">
        <v>44.44</v>
      </c>
      <c r="H36" s="25" t="n">
        <v>16.16</v>
      </c>
      <c r="I36" s="25" t="n">
        <v>8.08</v>
      </c>
      <c r="J36" s="26">
        <f>SUM(F36:I36)</f>
        <v/>
      </c>
      <c r="K36" s="27" t="n">
        <v>0.25</v>
      </c>
      <c r="L36" s="26">
        <f>J36*(1+K36)</f>
        <v/>
      </c>
      <c r="M36" s="26">
        <f>E36*L36</f>
        <v/>
      </c>
      <c r="N36" s="24" t="inlineStr">
        <is>
          <t>Partida de cierre ajustada al presupuesto</t>
        </is>
      </c>
    </row>
    <row r="37" ht="15" customHeight="1">
      <c r="A37" s="24" t="inlineStr">
        <is>
          <t>5.06</t>
        </is>
      </c>
      <c r="B37" s="24" t="inlineStr">
        <is>
          <t>Optimización del alcantarillado (componente asociado)</t>
        </is>
      </c>
      <c r="C37" s="24" t="inlineStr">
        <is>
          <t>Pruebas, limpieza y entrega</t>
        </is>
      </c>
      <c r="D37" s="24" t="inlineStr">
        <is>
          <t>GLB</t>
        </is>
      </c>
      <c r="E37" s="25" t="n">
        <v>1</v>
      </c>
      <c r="F37" s="25" t="n">
        <v>12</v>
      </c>
      <c r="G37" s="25" t="n">
        <v>44</v>
      </c>
      <c r="H37" s="25" t="n">
        <v>16</v>
      </c>
      <c r="I37" s="25" t="n">
        <v>8</v>
      </c>
      <c r="J37" s="26">
        <f>SUM(F37:I37)</f>
        <v/>
      </c>
      <c r="K37" s="27" t="n">
        <v>0.25</v>
      </c>
      <c r="L37" s="26">
        <f>J37*(1+K37)</f>
        <v/>
      </c>
      <c r="M37" s="26">
        <f>E37*L37</f>
        <v/>
      </c>
      <c r="N37" s="24" t="inlineStr">
        <is>
          <t>Actividad global referencial</t>
        </is>
      </c>
    </row>
    <row r="38" ht="15" customHeight="1">
      <c r="A38" s="24" t="inlineStr">
        <is>
          <t>6.01</t>
        </is>
      </c>
      <c r="B38" s="24" t="inlineStr">
        <is>
          <t>Estudios, diseños, interventoría y gestión ambiental/social</t>
        </is>
      </c>
      <c r="C38" s="24" t="inlineStr">
        <is>
          <t>Estudios básicos y diseños de detalle</t>
        </is>
      </c>
      <c r="D38" s="24" t="inlineStr">
        <is>
          <t>GLB</t>
        </is>
      </c>
      <c r="E38" s="25" t="n">
        <v>1</v>
      </c>
      <c r="F38" s="25" t="n">
        <v>48</v>
      </c>
      <c r="G38" s="25" t="n">
        <v>176</v>
      </c>
      <c r="H38" s="25" t="n">
        <v>64</v>
      </c>
      <c r="I38" s="25" t="n">
        <v>32</v>
      </c>
      <c r="J38" s="26">
        <f>SUM(F38:I38)</f>
        <v/>
      </c>
      <c r="K38" s="27" t="n">
        <v>0.25</v>
      </c>
      <c r="L38" s="26">
        <f>J38*(1+K38)</f>
        <v/>
      </c>
      <c r="M38" s="26">
        <f>E38*L38</f>
        <v/>
      </c>
      <c r="N38" s="24" t="inlineStr">
        <is>
          <t>Debe contratarse antes de obra</t>
        </is>
      </c>
    </row>
    <row r="39" ht="15" customHeight="1">
      <c r="A39" s="24" t="inlineStr">
        <is>
          <t>6.02</t>
        </is>
      </c>
      <c r="B39" s="24" t="inlineStr">
        <is>
          <t>Estudios, diseños, interventoría y gestión ambiental/social</t>
        </is>
      </c>
      <c r="C39" s="24" t="inlineStr">
        <is>
          <t>Interventoría integral</t>
        </is>
      </c>
      <c r="D39" s="24" t="inlineStr">
        <is>
          <t>mes</t>
        </is>
      </c>
      <c r="E39" s="25" t="n">
        <v>25</v>
      </c>
      <c r="F39" s="25" t="n">
        <v>3.12</v>
      </c>
      <c r="G39" s="25" t="n">
        <v>11.44</v>
      </c>
      <c r="H39" s="25" t="n">
        <v>4.16</v>
      </c>
      <c r="I39" s="25" t="n">
        <v>2.08</v>
      </c>
      <c r="J39" s="26">
        <f>SUM(F39:I39)</f>
        <v/>
      </c>
      <c r="K39" s="27" t="n">
        <v>0.25</v>
      </c>
      <c r="L39" s="26">
        <f>J39*(1+K39)</f>
        <v/>
      </c>
      <c r="M39" s="26">
        <f>E39*L39</f>
        <v/>
      </c>
      <c r="N39" s="24" t="inlineStr">
        <is>
          <t>Duración igual al horizonte de ejecución supuesto</t>
        </is>
      </c>
    </row>
    <row r="40" ht="15" customHeight="1">
      <c r="A40" s="24" t="inlineStr">
        <is>
          <t>6.03</t>
        </is>
      </c>
      <c r="B40" s="24" t="inlineStr">
        <is>
          <t>Estudios, diseños, interventoría y gestión ambiental/social</t>
        </is>
      </c>
      <c r="C40" s="24" t="inlineStr">
        <is>
          <t>Gestión ambiental, permisos y seguimiento</t>
        </is>
      </c>
      <c r="D40" s="24" t="inlineStr">
        <is>
          <t>GLB</t>
        </is>
      </c>
      <c r="E40" s="25" t="n">
        <v>1</v>
      </c>
      <c r="F40" s="25" t="n">
        <v>24</v>
      </c>
      <c r="G40" s="25" t="n">
        <v>88</v>
      </c>
      <c r="H40" s="25" t="n">
        <v>32</v>
      </c>
      <c r="I40" s="25" t="n">
        <v>16</v>
      </c>
      <c r="J40" s="26">
        <f>SUM(F40:I40)</f>
        <v/>
      </c>
      <c r="K40" s="27" t="n">
        <v>0.25</v>
      </c>
      <c r="L40" s="26">
        <f>J40*(1+K40)</f>
        <v/>
      </c>
      <c r="M40" s="26">
        <f>E40*L40</f>
        <v/>
      </c>
      <c r="N40" s="24" t="inlineStr">
        <is>
          <t>Alcance académico</t>
        </is>
      </c>
    </row>
    <row r="41" ht="15" customHeight="1">
      <c r="A41" s="24" t="inlineStr">
        <is>
          <t>6.04</t>
        </is>
      </c>
      <c r="B41" s="24" t="inlineStr">
        <is>
          <t>Estudios, diseños, interventoría y gestión ambiental/social</t>
        </is>
      </c>
      <c r="C41" s="24" t="inlineStr">
        <is>
          <t>Gestión social y comunicaciones</t>
        </is>
      </c>
      <c r="D41" s="24" t="inlineStr">
        <is>
          <t>GLB</t>
        </is>
      </c>
      <c r="E41" s="25" t="n">
        <v>1</v>
      </c>
      <c r="F41" s="25" t="n">
        <v>12</v>
      </c>
      <c r="G41" s="25" t="n">
        <v>84</v>
      </c>
      <c r="H41" s="25" t="n">
        <v>12</v>
      </c>
      <c r="I41" s="25" t="n">
        <v>12</v>
      </c>
      <c r="J41" s="26">
        <f>SUM(F41:I41)</f>
        <v/>
      </c>
      <c r="K41" s="27" t="n">
        <v>0.25</v>
      </c>
      <c r="L41" s="26">
        <f>J41*(1+K41)</f>
        <v/>
      </c>
      <c r="M41" s="26">
        <f>E41*L41</f>
        <v/>
      </c>
      <c r="N41" s="24" t="inlineStr">
        <is>
          <t>Alcance académico</t>
        </is>
      </c>
    </row>
    <row r="42" ht="15" customHeight="1">
      <c r="A42" s="24" t="inlineStr">
        <is>
          <t>6.05</t>
        </is>
      </c>
      <c r="B42" s="24" t="inlineStr">
        <is>
          <t>Estudios, diseños, interventoría y gestión ambiental/social</t>
        </is>
      </c>
      <c r="C42" s="24" t="inlineStr">
        <is>
          <t>Gestión predial, servidumbres y legal</t>
        </is>
      </c>
      <c r="D42" s="24" t="inlineStr">
        <is>
          <t>GLB</t>
        </is>
      </c>
      <c r="E42" s="25" t="n">
        <v>1</v>
      </c>
      <c r="F42" s="25" t="n">
        <v>12</v>
      </c>
      <c r="G42" s="25" t="n">
        <v>44</v>
      </c>
      <c r="H42" s="25" t="n">
        <v>16</v>
      </c>
      <c r="I42" s="25" t="n">
        <v>8</v>
      </c>
      <c r="J42" s="26">
        <f>SUM(F42:I42)</f>
        <v/>
      </c>
      <c r="K42" s="27" t="n">
        <v>0.25</v>
      </c>
      <c r="L42" s="26">
        <f>J42*(1+K42)</f>
        <v/>
      </c>
      <c r="M42" s="26">
        <f>E42*L42</f>
        <v/>
      </c>
      <c r="N42" s="24" t="inlineStr">
        <is>
          <t>Alcance académico</t>
        </is>
      </c>
    </row>
    <row r="43" ht="15" customHeight="1">
      <c r="A43" s="24" t="inlineStr">
        <is>
          <t>6.06</t>
        </is>
      </c>
      <c r="B43" s="24" t="inlineStr">
        <is>
          <t>Estudios, diseños, interventoría y gestión ambiental/social</t>
        </is>
      </c>
      <c r="C43" s="24" t="inlineStr">
        <is>
          <t>Reserva técnica y ajustes de ingeniería</t>
        </is>
      </c>
      <c r="D43" s="24" t="inlineStr">
        <is>
          <t>GLB</t>
        </is>
      </c>
      <c r="E43" s="25" t="n">
        <v>1</v>
      </c>
      <c r="F43" s="25" t="n">
        <v>24</v>
      </c>
      <c r="G43" s="25" t="n">
        <v>88</v>
      </c>
      <c r="H43" s="25" t="n">
        <v>32</v>
      </c>
      <c r="I43" s="25" t="n">
        <v>16</v>
      </c>
      <c r="J43" s="26">
        <f>SUM(F43:I43)</f>
        <v/>
      </c>
      <c r="K43" s="27" t="n">
        <v>0.25</v>
      </c>
      <c r="L43" s="26">
        <f>J43*(1+K43)</f>
        <v/>
      </c>
      <c r="M43" s="26">
        <f>E43*L43</f>
        <v/>
      </c>
      <c r="N43" s="24" t="inlineStr">
        <is>
          <t>No equivale a contingencia contractual oficial</t>
        </is>
      </c>
    </row>
    <row r="44" ht="15" customHeight="1">
      <c r="A44" s="24" t="inlineStr">
        <is>
          <t>6.07</t>
        </is>
      </c>
      <c r="B44" s="24" t="inlineStr">
        <is>
          <t>Estudios, diseños, interventoría y gestión ambiental/social</t>
        </is>
      </c>
      <c r="C44" s="24" t="inlineStr">
        <is>
          <t>Capacitación institucional y cierre</t>
        </is>
      </c>
      <c r="D44" s="24" t="inlineStr">
        <is>
          <t>GLB</t>
        </is>
      </c>
      <c r="E44" s="25" t="n">
        <v>1</v>
      </c>
      <c r="F44" s="25" t="n">
        <v>8</v>
      </c>
      <c r="G44" s="25" t="n">
        <v>56</v>
      </c>
      <c r="H44" s="25" t="n">
        <v>8</v>
      </c>
      <c r="I44" s="25" t="n">
        <v>8</v>
      </c>
      <c r="J44" s="26">
        <f>SUM(F44:I44)</f>
        <v/>
      </c>
      <c r="K44" s="27" t="n">
        <v>0.25</v>
      </c>
      <c r="L44" s="26">
        <f>J44*(1+K44)</f>
        <v/>
      </c>
      <c r="M44" s="26">
        <f>E44*L44</f>
        <v/>
      </c>
      <c r="N44" s="24" t="inlineStr">
        <is>
          <t>Fortalecimiento del operador</t>
        </is>
      </c>
    </row>
    <row r="46" ht="15" customHeight="1">
      <c r="A46" s="28" t="inlineStr">
        <is>
          <t>TOTAL APU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9">
        <f>SUM(M3:M44)</f>
        <v/>
      </c>
      <c r="N46" s="28" t="inlineStr">
        <is>
          <t>Debe conciliar exactamente con Presupuesto!B9</t>
        </is>
      </c>
    </row>
    <row r="48" ht="15" customHeight="1">
      <c r="A48" s="30" t="inlineStr">
        <is>
          <t>RESUMEN POR CAPÍTULO</t>
        </is>
      </c>
    </row>
    <row r="49" ht="15" customHeight="1">
      <c r="A49" t="inlineStr">
        <is>
          <t>Captación (bocatoma) y línea de aducción</t>
        </is>
      </c>
      <c r="B49" s="31">
        <f>SUMIF($B$3:$B$44,A49,$M$3:$M$44)</f>
        <v/>
      </c>
      <c r="C49" s="32">
        <f>B49/$M$46</f>
        <v/>
      </c>
      <c r="D49" t="inlineStr">
        <is>
          <t>Referencial</t>
        </is>
      </c>
    </row>
    <row r="50" ht="15" customHeight="1">
      <c r="A50" t="inlineStr">
        <is>
          <t>PTAP 45 L/s (obra civil + equipos)</t>
        </is>
      </c>
      <c r="B50" s="31">
        <f>SUMIF($B$3:$B$44,A50,$M$3:$M$44)</f>
        <v/>
      </c>
      <c r="C50" s="32">
        <f>B50/$M$46</f>
        <v/>
      </c>
      <c r="D50" t="inlineStr">
        <is>
          <t>Referencial</t>
        </is>
      </c>
    </row>
    <row r="51" ht="15" customHeight="1">
      <c r="A51" t="inlineStr">
        <is>
          <t>Almacenamiento (tanques) y estaciones de bombeo</t>
        </is>
      </c>
      <c r="B51" s="31">
        <f>SUMIF($B$3:$B$44,A51,$M$3:$M$44)</f>
        <v/>
      </c>
      <c r="C51" s="32">
        <f>B51/$M$46</f>
        <v/>
      </c>
      <c r="D51" t="inlineStr">
        <is>
          <t>Referencial</t>
        </is>
      </c>
    </row>
    <row r="52" ht="15" customHeight="1">
      <c r="A52" t="inlineStr">
        <is>
          <t>Redes de distribución, conexiones y micromedición</t>
        </is>
      </c>
      <c r="B52" s="31">
        <f>SUMIF($B$3:$B$44,A52,$M$3:$M$44)</f>
        <v/>
      </c>
      <c r="C52" s="32">
        <f>B52/$M$46</f>
        <v/>
      </c>
      <c r="D52" t="inlineStr">
        <is>
          <t>Referencial</t>
        </is>
      </c>
    </row>
    <row r="53" ht="15" customHeight="1">
      <c r="A53" t="inlineStr">
        <is>
          <t>Optimización del alcantarillado (componente asociado)</t>
        </is>
      </c>
      <c r="B53" s="31">
        <f>SUMIF($B$3:$B$44,A53,$M$3:$M$44)</f>
        <v/>
      </c>
      <c r="C53" s="32">
        <f>B53/$M$46</f>
        <v/>
      </c>
      <c r="D53" t="inlineStr">
        <is>
          <t>Referencial</t>
        </is>
      </c>
    </row>
    <row r="54" ht="15" customHeight="1">
      <c r="A54" t="inlineStr">
        <is>
          <t>Estudios, diseños, interventoría y gestión ambiental/social</t>
        </is>
      </c>
      <c r="B54" s="31">
        <f>SUMIF($B$3:$B$44,A54,$M$3:$M$44)</f>
        <v/>
      </c>
      <c r="C54" s="32">
        <f>B54/$M$46</f>
        <v/>
      </c>
      <c r="D54" t="inlineStr">
        <is>
          <t>Referencial</t>
        </is>
      </c>
    </row>
  </sheetData>
  <autoFilter ref="A2:N44"/>
  <mergeCells count="2">
    <mergeCell ref="A48:D48"/>
    <mergeCell ref="A1:N1"/>
  </mergeCells>
  <pageMargins left="0.75" right="0.75" top="1" bottom="1" header="0.5" footer="0.5"/>
  <pageSetup orientation="landscape" fitToHeight="0" fitToWidth="1" horizontalDpi="600" verticalDpi="600"/>
  <headerFooter>
    <oddHeader/>
    <oddFooter>&amp;CAPU referencial académico — no contractual&amp;RPágina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28.00390625" customWidth="1" min="1" max="1"/>
    <col width="39.00390625" customWidth="1" min="2" max="2"/>
    <col width="54.00390625" customWidth="1" min="3" max="4"/>
    <col width="23.00390625" customWidth="1" min="5" max="5"/>
  </cols>
  <sheetData>
    <row r="1" ht="15" customHeight="1">
      <c r="A1" s="22" t="inlineStr">
        <is>
          <t>TRAZABILIDAD DE DATOS, FUENTES Y SUPUESTOS</t>
        </is>
      </c>
    </row>
    <row r="2" ht="15" customHeight="1">
      <c r="A2" s="33" t="inlineStr">
        <is>
          <t>Elemento</t>
        </is>
      </c>
      <c r="B2" s="33" t="inlineStr">
        <is>
          <t>Dato usado</t>
        </is>
      </c>
      <c r="C2" s="33" t="inlineStr">
        <is>
          <t>Procedencia declarada</t>
        </is>
      </c>
      <c r="D2" s="33" t="inlineStr">
        <is>
          <t>Nivel de soporte / observación</t>
        </is>
      </c>
      <c r="E2" s="33" t="inlineStr">
        <is>
          <t>¿Fuente verificable adjunta?</t>
        </is>
      </c>
    </row>
    <row r="3" ht="15" customHeight="1">
      <c r="A3" s="40" t="inlineStr">
        <is>
          <t>Enunciado y entregables</t>
        </is>
      </c>
      <c r="B3" s="40" t="inlineStr">
        <is>
          <t>Estructura, matrices y límite de 10 páginas</t>
        </is>
      </c>
      <c r="C3" s="40" t="inlineStr">
        <is>
          <t>PROYECTO PEPI.pdf suministrado en el repositorio</t>
        </is>
      </c>
      <c r="D3" s="40" t="inlineStr">
        <is>
          <t>Fuente primaria del encargo</t>
        </is>
      </c>
      <c r="E3" s="41" t="inlineStr">
        <is>
          <t>Sí — archivo adjunto</t>
        </is>
      </c>
    </row>
    <row r="4" ht="15" customHeight="1">
      <c r="A4" s="40" t="inlineStr">
        <is>
          <t>Caso de estudio</t>
        </is>
      </c>
      <c r="B4" s="40" t="inlineStr">
        <is>
          <t>Optimización/ampliación del acueducto de Tadó, Chocó</t>
        </is>
      </c>
      <c r="C4" s="40" t="inlineStr">
        <is>
          <t>Informe previo suministrado; atribuía el caso a MinVivienda, cooperación española y una nota de Agencia Anadolu sin título, fecha ni URL</t>
        </is>
      </c>
      <c r="D4" s="40" t="inlineStr">
        <is>
          <t>Caso académico inspirado en una referencia secundaria no verificada</t>
        </is>
      </c>
      <c r="E4" s="42" t="inlineStr">
        <is>
          <t>No</t>
        </is>
      </c>
    </row>
    <row r="5" ht="15" customHeight="1">
      <c r="A5" s="40" t="inlineStr">
        <is>
          <t>Inversión ancla</t>
        </is>
      </c>
      <c r="B5" s="40" t="inlineStr">
        <is>
          <t>COP 19.971 MM</t>
        </is>
      </c>
      <c r="C5" s="40" t="inlineStr">
        <is>
          <t>Informe y modelo anteriores; atribuían el dato a la misma referencia secundaria no recuperable</t>
        </is>
      </c>
      <c r="D5" s="40" t="inlineStr">
        <is>
          <t>No es presupuesto contractual ni APU oficial</t>
        </is>
      </c>
      <c r="E5" s="42" t="inlineStr">
        <is>
          <t>No</t>
        </is>
      </c>
    </row>
    <row r="6" ht="15" customHeight="1">
      <c r="A6" s="40" t="inlineStr">
        <is>
          <t>Población municipal</t>
        </is>
      </c>
      <c r="B6" s="40" t="inlineStr">
        <is>
          <t>≈17.000 habitantes</t>
        </is>
      </c>
      <c r="C6" s="40" t="inlineStr">
        <is>
          <t>Atribuida en el informe previo a DANE, CNPV 2018, consulta municipal de Tadó</t>
        </is>
      </c>
      <c r="D6" s="40" t="inlineStr">
        <is>
          <t>Referencia identificada pero no adjunta; validar cifra exacta</t>
        </is>
      </c>
      <c r="E6" s="42" t="inlineStr">
        <is>
          <t>No — referencia no adjunta</t>
        </is>
      </c>
    </row>
    <row r="7" ht="15" customHeight="1">
      <c r="A7" s="40" t="inlineStr">
        <is>
          <t>Población urbana base</t>
        </is>
      </c>
      <c r="B7" s="40" t="inlineStr">
        <is>
          <t>10.957 habitantes</t>
        </is>
      </c>
      <c r="C7" s="40" t="inlineStr">
        <is>
          <t>Entrada heredada del modelo anterior</t>
        </is>
      </c>
      <c r="D7" s="40" t="inlineStr">
        <is>
          <t>No había soporte adjunto en el repositorio</t>
        </is>
      </c>
      <c r="E7" s="42" t="inlineStr">
        <is>
          <t>No</t>
        </is>
      </c>
    </row>
    <row r="8" ht="15" customHeight="1">
      <c r="A8" s="40" t="inlineStr">
        <is>
          <t>Crecimiento poblacional</t>
        </is>
      </c>
      <c r="B8" s="40" t="inlineStr">
        <is>
          <t>1,2 % anual</t>
        </is>
      </c>
      <c r="C8" s="40" t="inlineStr">
        <is>
          <t>Supuesto del modelo</t>
        </is>
      </c>
      <c r="D8" s="40" t="inlineStr">
        <is>
          <t>Debe reemplazarse con proyección oficial</t>
        </is>
      </c>
      <c r="E8" s="42" t="inlineStr">
        <is>
          <t>No</t>
        </is>
      </c>
    </row>
    <row r="9" ht="15" customHeight="1">
      <c r="A9" s="40" t="inlineStr">
        <is>
          <t>Horizonte de diseño</t>
        </is>
      </c>
      <c r="B9" s="40" t="inlineStr">
        <is>
          <t>25 años</t>
        </is>
      </c>
      <c r="C9" s="40" t="inlineStr">
        <is>
          <t>Supuesto del modelo</t>
        </is>
      </c>
      <c r="D9" s="40" t="inlineStr">
        <is>
          <t>No había memoria de selección adjunta</t>
        </is>
      </c>
      <c r="E9" s="42" t="inlineStr">
        <is>
          <t>No</t>
        </is>
      </c>
    </row>
    <row r="10" ht="15" customHeight="1">
      <c r="A10" s="40" t="inlineStr">
        <is>
          <t>Criterios hidráulicos</t>
        </is>
      </c>
      <c r="B10" s="40" t="inlineStr">
        <is>
          <t>Dotación 140; pérdidas 25 %; k1=1,30; k2=1,60</t>
        </is>
      </c>
      <c r="C10" s="40" t="inlineStr">
        <is>
          <t>Parámetros adoptados con referencia general a Resolución 0330 de 2017 — RAS</t>
        </is>
      </c>
      <c r="D10" s="40" t="inlineStr">
        <is>
          <t>La norma no está adjunta; confirmar valores y aplicabilidad</t>
        </is>
      </c>
      <c r="E10" s="42" t="inlineStr">
        <is>
          <t>No — referencia no adjunta</t>
        </is>
      </c>
    </row>
    <row r="11" ht="15" customHeight="1">
      <c r="A11" s="40" t="inlineStr">
        <is>
          <t>Capacidad PTAP</t>
        </is>
      </c>
      <c r="B11" s="40" t="inlineStr">
        <is>
          <t>45 L/s</t>
        </is>
      </c>
      <c r="C11" s="40" t="inlineStr">
        <is>
          <t>Alcance heredado del informe/modelo anterior</t>
        </is>
      </c>
      <c r="D11" s="40" t="inlineStr">
        <is>
          <t>No hay diseño, balance horario ni ficha técnica adjunta</t>
        </is>
      </c>
      <c r="E11" s="42" t="inlineStr">
        <is>
          <t>No</t>
        </is>
      </c>
    </row>
    <row r="12" ht="15" customHeight="1">
      <c r="A12" s="40" t="inlineStr">
        <is>
          <t>Calidad de agua</t>
        </is>
      </c>
      <c r="B12" s="40" t="inlineStr">
        <is>
          <t>IRCA y criterios de potabilidad</t>
        </is>
      </c>
      <c r="C12" s="40" t="inlineStr">
        <is>
          <t>Resolución 2115 de 2007</t>
        </is>
      </c>
      <c r="D12" s="40" t="inlineStr">
        <is>
          <t>Referencia normativa identificada pero no adjunta</t>
        </is>
      </c>
      <c r="E12" s="42" t="inlineStr">
        <is>
          <t>No — referencia no adjunta</t>
        </is>
      </c>
    </row>
    <row r="13" ht="15" customHeight="1">
      <c r="A13" s="40" t="inlineStr">
        <is>
          <t>Marco tarifario</t>
        </is>
      </c>
      <c r="B13" s="40" t="inlineStr">
        <is>
          <t>Estructura tarifaria del servicio</t>
        </is>
      </c>
      <c r="C13" s="40" t="inlineStr">
        <is>
          <t>Resolución CRA 943 de 2021</t>
        </is>
      </c>
      <c r="D13" s="40" t="inlineStr">
        <is>
          <t>Referencia normativa identificada pero no adjunta</t>
        </is>
      </c>
      <c r="E13" s="42" t="inlineStr">
        <is>
          <t>No — referencia no adjunta</t>
        </is>
      </c>
    </row>
    <row r="14" ht="15" customHeight="1">
      <c r="A14" s="40" t="inlineStr">
        <is>
          <t>Horizonte de evaluación</t>
        </is>
      </c>
      <c r="B14" s="40" t="inlineStr">
        <is>
          <t>25 años</t>
        </is>
      </c>
      <c r="C14" s="40" t="inlineStr">
        <is>
          <t>Supuesto del modelo</t>
        </is>
      </c>
      <c r="D14" s="40" t="inlineStr">
        <is>
          <t>No había estudio de vida económica adjunto</t>
        </is>
      </c>
      <c r="E14" s="42" t="inlineStr">
        <is>
          <t>No</t>
        </is>
      </c>
    </row>
    <row r="15" ht="15" customHeight="1">
      <c r="A15" s="40" t="inlineStr">
        <is>
          <t>Ingresos año 1</t>
        </is>
      </c>
      <c r="B15" s="40" t="inlineStr">
        <is>
          <t>COP 1.500 MM</t>
        </is>
      </c>
      <c r="C15" s="40" t="inlineStr">
        <is>
          <t>Supuesto agregado del modelo</t>
        </is>
      </c>
      <c r="D15" s="40" t="inlineStr">
        <is>
          <t>Sin catastro, consumo ni tarifa adjuntos</t>
        </is>
      </c>
      <c r="E15" s="42" t="inlineStr">
        <is>
          <t>No</t>
        </is>
      </c>
    </row>
    <row r="16" ht="15" customHeight="1">
      <c r="A16" s="40" t="inlineStr">
        <is>
          <t>OPEX año 1</t>
        </is>
      </c>
      <c r="B16" s="40" t="inlineStr">
        <is>
          <t>COP 1.150 MM</t>
        </is>
      </c>
      <c r="C16" s="40" t="inlineStr">
        <is>
          <t>Supuesto agregado del modelo</t>
        </is>
      </c>
      <c r="D16" s="40" t="inlineStr">
        <is>
          <t>Sin cotizaciones ni desglose operativo oficial</t>
        </is>
      </c>
      <c r="E16" s="42" t="inlineStr">
        <is>
          <t>No</t>
        </is>
      </c>
    </row>
    <row r="17" ht="15" customHeight="1">
      <c r="A17" s="40" t="inlineStr">
        <is>
          <t>Crecimiento nominal</t>
        </is>
      </c>
      <c r="B17" s="40" t="inlineStr">
        <is>
          <t>3,5 % anual</t>
        </is>
      </c>
      <c r="C17" s="40" t="inlineStr">
        <is>
          <t>Supuesto común del modelo para ingresos, OPEX y beneficios</t>
        </is>
      </c>
      <c r="D17" s="40" t="inlineStr">
        <is>
          <t>No hay estudio macroeconómico o contractual adjunto</t>
        </is>
      </c>
      <c r="E17" s="42" t="inlineStr">
        <is>
          <t>No</t>
        </is>
      </c>
    </row>
    <row r="18" ht="15" customHeight="1">
      <c r="A18" s="40" t="inlineStr">
        <is>
          <t>Beneficio social año 1</t>
        </is>
      </c>
      <c r="B18" s="40" t="inlineStr">
        <is>
          <t>COP 4.150 MM</t>
        </is>
      </c>
      <c r="C18" s="40" t="inlineStr">
        <is>
          <t>Supuesto agregado del modelo</t>
        </is>
      </c>
      <c r="D18" s="40" t="inlineStr">
        <is>
          <t>Sin estudio de salud, tiempo ni disposición a pagar</t>
        </is>
      </c>
      <c r="E18" s="42" t="inlineStr">
        <is>
          <t>No</t>
        </is>
      </c>
    </row>
    <row r="19" ht="15" customHeight="1">
      <c r="A19" s="40" t="inlineStr">
        <is>
          <t>Estructura financiera</t>
        </is>
      </c>
      <c r="B19" s="40" t="inlineStr">
        <is>
          <t>80 % público / 10 % deuda / 10 % equity</t>
        </is>
      </c>
      <c r="C19" s="40" t="inlineStr">
        <is>
          <t>Supuesto del modelo</t>
        </is>
      </c>
      <c r="D19" s="40" t="inlineStr">
        <is>
          <t>No corresponde a cierre financiero ni convenio real</t>
        </is>
      </c>
      <c r="E19" s="42" t="inlineStr">
        <is>
          <t>No</t>
        </is>
      </c>
    </row>
    <row r="20" ht="15" customHeight="1">
      <c r="A20" s="40" t="inlineStr">
        <is>
          <t>Costo aporte público</t>
        </is>
      </c>
      <c r="B20" s="40" t="inlineStr">
        <is>
          <t>9 % nominal</t>
        </is>
      </c>
      <c r="C20" s="40" t="inlineStr">
        <is>
          <t>Supuesto del modelo, igualado a la tasa social adoptada</t>
        </is>
      </c>
      <c r="D20" s="40" t="inlineStr">
        <is>
          <t>No es costo contractual observado</t>
        </is>
      </c>
      <c r="E20" s="42" t="inlineStr">
        <is>
          <t>No</t>
        </is>
      </c>
    </row>
    <row r="21" ht="15" customHeight="1">
      <c r="A21" s="40" t="inlineStr">
        <is>
          <t>Costos de capital</t>
        </is>
      </c>
      <c r="B21" s="40" t="inlineStr">
        <is>
          <t>Kd 11 %, Ke 14 %, impuesto 35 %</t>
        </is>
      </c>
      <c r="C21" s="40" t="inlineStr">
        <is>
          <t>Supuestos financieros del modelo</t>
        </is>
      </c>
      <c r="D21" s="40" t="inlineStr">
        <is>
          <t>No corresponden a ofertas vinculantes</t>
        </is>
      </c>
      <c r="E21" s="42" t="inlineStr">
        <is>
          <t>No</t>
        </is>
      </c>
    </row>
    <row r="22" ht="15" customHeight="1">
      <c r="A22" s="40" t="inlineStr">
        <is>
          <t>Plazo de deuda</t>
        </is>
      </c>
      <c r="B22" s="40" t="inlineStr">
        <is>
          <t>10 años, cuota fija</t>
        </is>
      </c>
      <c r="C22" s="40" t="inlineStr">
        <is>
          <t>Supuesto del modelo</t>
        </is>
      </c>
      <c r="D22" s="40" t="inlineStr">
        <is>
          <t>No existe term sheet ni contrato de crédito adjunto</t>
        </is>
      </c>
      <c r="E22" s="42" t="inlineStr">
        <is>
          <t>No</t>
        </is>
      </c>
    </row>
    <row r="23" ht="15" customHeight="1">
      <c r="A23" s="40" t="inlineStr">
        <is>
          <t>Tasa social</t>
        </is>
      </c>
      <c r="B23" s="40" t="inlineStr">
        <is>
          <t>9 %</t>
        </is>
      </c>
      <c r="C23" s="40" t="inlineStr">
        <is>
          <t>Atribuida a metodología DNP en el caso académico</t>
        </is>
      </c>
      <c r="D23" s="40" t="inlineStr">
        <is>
          <t>Referencia identificada pero no adjunta; confirmar vigencia</t>
        </is>
      </c>
      <c r="E23" s="42" t="inlineStr">
        <is>
          <t>No — referencia no adjunta</t>
        </is>
      </c>
    </row>
    <row r="24" ht="15" customHeight="1">
      <c r="A24" s="40" t="inlineStr">
        <is>
          <t>Vida útil/depreciación</t>
        </is>
      </c>
      <c r="B24" s="40" t="inlineStr">
        <is>
          <t>25 años, lineal y sin valor residual</t>
        </is>
      </c>
      <c r="C24" s="40" t="inlineStr">
        <is>
          <t>Supuesto contable del modelo</t>
        </is>
      </c>
      <c r="D24" s="40" t="inlineStr">
        <is>
          <t>No hay estudio de activos adjunto</t>
        </is>
      </c>
      <c r="E24" s="42" t="inlineStr">
        <is>
          <t>No</t>
        </is>
      </c>
    </row>
    <row r="25" ht="15" customHeight="1">
      <c r="A25" s="40" t="inlineStr">
        <is>
          <t>APU y cantidades</t>
        </is>
      </c>
      <c r="B25" s="40" t="inlineStr">
        <is>
          <t>42 actividades; AIU 25 %</t>
        </is>
      </c>
      <c r="C25" s="40" t="inlineStr">
        <is>
          <t>Elaboración académica nueva, calibrada para conciliar COP 19.971 MM</t>
        </is>
      </c>
      <c r="D25" s="40" t="inlineStr">
        <is>
          <t>No proviene de SECOP, diseños, APU oficiales ni cotizaciones</t>
        </is>
      </c>
      <c r="E25" s="42" t="inlineStr">
        <is>
          <t>No — referencial</t>
        </is>
      </c>
    </row>
    <row r="26" ht="15" customHeight="1">
      <c r="A26" s="40" t="inlineStr">
        <is>
          <t>Riesgos</t>
        </is>
      </c>
      <c r="B26" s="40" t="inlineStr">
        <is>
          <t>20 riesgos y 10 intervenciones</t>
        </is>
      </c>
      <c r="C26" s="40" t="inlineStr">
        <is>
          <t>Análisis académico del equipo a partir del alcance</t>
        </is>
      </c>
      <c r="D26" s="40" t="inlineStr">
        <is>
          <t>No es matriz contractual ni estudio ambiental</t>
        </is>
      </c>
      <c r="E26" s="42" t="inlineStr">
        <is>
          <t>No — referencial</t>
        </is>
      </c>
    </row>
  </sheetData>
  <autoFilter ref="A2:E26"/>
  <mergeCells count="1">
    <mergeCell ref="A1:E1"/>
  </mergeCells>
  <pageMargins left="0.75" right="0.75" top="1" bottom="1" header="0.5" footer="0.5"/>
  <pageSetup orientation="landscape" fitToHeight="0" fitToWidth="1" horizontalDpi="600" verticalDpi="6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62.00390625" customWidth="1" min="1" max="1"/>
    <col width="18.00390625" customWidth="1" min="2" max="2"/>
    <col width="15.00390625" customWidth="1" min="3" max="3"/>
  </cols>
  <sheetData>
    <row r="1" ht="15" customHeight="1">
      <c r="A1" s="4" t="inlineStr">
        <is>
          <t>CAPEX — COP MM</t>
        </is>
      </c>
    </row>
    <row r="2" ht="15" customHeight="1">
      <c r="A2" s="33" t="inlineStr">
        <is>
          <t>Capítulo</t>
        </is>
      </c>
      <c r="B2" s="33" t="inlineStr">
        <is>
          <t>COP MM</t>
        </is>
      </c>
      <c r="C2" s="33" t="inlineStr">
        <is>
          <t>% total</t>
        </is>
      </c>
    </row>
    <row r="3" ht="15" customHeight="1">
      <c r="A3" s="21" t="inlineStr">
        <is>
          <t>Captación (bocatoma) y línea de aducción</t>
        </is>
      </c>
      <c r="B3" s="6">
        <f>SUMIF('APU Referencial'!$B$3:$B$44,A3,'APU Referencial'!$M$3:$M$44)</f>
        <v/>
      </c>
      <c r="C3" s="9">
        <f>B3/$B$9</f>
        <v/>
      </c>
    </row>
    <row r="4" ht="15" customHeight="1">
      <c r="A4" s="21" t="inlineStr">
        <is>
          <t>PTAP 45 L/s (obra civil + equipos)</t>
        </is>
      </c>
      <c r="B4" s="6">
        <f>SUMIF('APU Referencial'!$B$3:$B$44,A4,'APU Referencial'!$M$3:$M$44)</f>
        <v/>
      </c>
      <c r="C4" s="9">
        <f>B4/$B$9</f>
        <v/>
      </c>
    </row>
    <row r="5" ht="15" customHeight="1">
      <c r="A5" s="21" t="inlineStr">
        <is>
          <t>Almacenamiento (tanques) y estaciones de bombeo</t>
        </is>
      </c>
      <c r="B5" s="6">
        <f>SUMIF('APU Referencial'!$B$3:$B$44,A5,'APU Referencial'!$M$3:$M$44)</f>
        <v/>
      </c>
      <c r="C5" s="9">
        <f>B5/$B$9</f>
        <v/>
      </c>
    </row>
    <row r="6" ht="15" customHeight="1">
      <c r="A6" s="21" t="inlineStr">
        <is>
          <t>Redes de distribución, conexiones y micromedición</t>
        </is>
      </c>
      <c r="B6" s="6">
        <f>SUMIF('APU Referencial'!$B$3:$B$44,A6,'APU Referencial'!$M$3:$M$44)</f>
        <v/>
      </c>
      <c r="C6" s="9">
        <f>B6/$B$9</f>
        <v/>
      </c>
    </row>
    <row r="7" ht="15" customHeight="1">
      <c r="A7" s="21" t="inlineStr">
        <is>
          <t>Optimización del alcantarillado (componente asociado)</t>
        </is>
      </c>
      <c r="B7" s="6">
        <f>SUMIF('APU Referencial'!$B$3:$B$44,A7,'APU Referencial'!$M$3:$M$44)</f>
        <v/>
      </c>
      <c r="C7" s="9">
        <f>B7/$B$9</f>
        <v/>
      </c>
    </row>
    <row r="8" ht="15" customHeight="1">
      <c r="A8" s="21" t="inlineStr">
        <is>
          <t>Estudios, diseños, interventoría y gestión ambiental/social</t>
        </is>
      </c>
      <c r="B8" s="6">
        <f>SUMIF('APU Referencial'!$B$3:$B$44,A8,'APU Referencial'!$M$3:$M$44)</f>
        <v/>
      </c>
      <c r="C8" s="9">
        <f>B8/$B$9</f>
        <v/>
      </c>
    </row>
    <row r="9" ht="15" customHeight="1">
      <c r="A9" s="21" t="inlineStr">
        <is>
          <t>TOTAL</t>
        </is>
      </c>
      <c r="B9" s="21">
        <f>SUM(B3:B8)</f>
        <v/>
      </c>
      <c r="C9" s="21">
        <f>SUM(C3:C8)</f>
        <v/>
      </c>
    </row>
    <row r="11" ht="15" customHeight="1">
      <c r="A11" t="inlineStr">
        <is>
          <t>Nota: el CAPEX ahora se obtiene del APU referencial. Las cantidades, rendimientos, componentes y AIU no proceden de diseños, SECOP ni cotizaciones; deben reemplazarse antes de cualquier uso contractual.</t>
        </is>
      </c>
    </row>
  </sheetData>
  <autoFilter ref="A2:C2"/>
  <mergeCells count="1">
    <mergeCell ref="A1:C1"/>
  </mergeCells>
  <pageMargins left="0.75" right="0.75" top="1" bottom="1" header="0.5" footer="0.5"/>
  <pageSetup orientation="portrait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35.00390625" customWidth="1" min="1" max="1"/>
    <col width="16.00390625" customWidth="1" min="2" max="2"/>
    <col width="18.00390625" customWidth="1" min="3" max="3"/>
    <col width="16.00390625" customWidth="1" min="4" max="4"/>
    <col width="28.00390625" customWidth="1" min="5" max="5"/>
  </cols>
  <sheetData>
    <row r="1" ht="15" customHeight="1">
      <c r="A1" s="4" t="inlineStr">
        <is>
          <t>FINANCIACIÓN Y WACC AJUSTADO</t>
        </is>
      </c>
    </row>
    <row r="2" ht="15" customHeight="1">
      <c r="A2" s="33" t="inlineStr">
        <is>
          <t>Fuente</t>
        </is>
      </c>
      <c r="B2" s="33" t="inlineStr">
        <is>
          <t>Participación</t>
        </is>
      </c>
      <c r="C2" s="33" t="inlineStr">
        <is>
          <t>Monto</t>
        </is>
      </c>
      <c r="D2" s="33" t="inlineStr">
        <is>
          <t>Costo</t>
        </is>
      </c>
      <c r="E2" s="33" t="inlineStr">
        <is>
          <t>Tratamiento</t>
        </is>
      </c>
    </row>
    <row r="3" ht="15" customHeight="1">
      <c r="A3" s="21" t="inlineStr">
        <is>
          <t>Aporte público</t>
        </is>
      </c>
      <c r="B3" s="10">
        <f>Supuestos!B17</f>
        <v/>
      </c>
      <c r="C3" s="8">
        <f>B3*Presupuesto!$B$9</f>
        <v/>
      </c>
      <c r="D3" s="9">
        <f>Supuestos!B20</f>
        <v/>
      </c>
      <c r="E3" s="21" t="inlineStr">
        <is>
          <t>Oportunidad social</t>
        </is>
      </c>
    </row>
    <row r="4" ht="15" customHeight="1">
      <c r="A4" s="21" t="inlineStr">
        <is>
          <t>Deuda</t>
        </is>
      </c>
      <c r="B4" s="10">
        <f>Supuestos!B18</f>
        <v/>
      </c>
      <c r="C4" s="8">
        <f>B4*Presupuesto!$B$9</f>
        <v/>
      </c>
      <c r="D4" s="9">
        <f>Supuestos!B21</f>
        <v/>
      </c>
      <c r="E4" s="21" t="inlineStr">
        <is>
          <t>Kd posimpuesto</t>
        </is>
      </c>
    </row>
    <row r="5" ht="15" customHeight="1">
      <c r="A5" s="21" t="inlineStr">
        <is>
          <t>Equity</t>
        </is>
      </c>
      <c r="B5" s="10">
        <f>Supuestos!B19</f>
        <v/>
      </c>
      <c r="C5" s="8">
        <f>B5*Presupuesto!$B$9</f>
        <v/>
      </c>
      <c r="D5" s="9">
        <f>Supuestos!B22</f>
        <v/>
      </c>
      <c r="E5" s="21" t="inlineStr">
        <is>
          <t>Ke</t>
        </is>
      </c>
    </row>
    <row r="6" ht="15" customHeight="1">
      <c r="A6" s="21" t="inlineStr">
        <is>
          <t>TOTAL</t>
        </is>
      </c>
      <c r="B6" s="10">
        <f>SUM(B3:B5)</f>
        <v/>
      </c>
      <c r="C6" s="8">
        <f>SUM(C3:C5)</f>
        <v/>
      </c>
      <c r="D6" s="9" t="n"/>
      <c r="E6" s="21" t="inlineStr">
        <is>
          <t>Concilia CAPEX</t>
        </is>
      </c>
    </row>
    <row r="7" ht="15" customHeight="1">
      <c r="A7" s="21" t="n"/>
      <c r="B7" s="10" t="n"/>
      <c r="C7" s="8" t="n"/>
      <c r="D7" s="9" t="n"/>
      <c r="E7" s="21" t="n"/>
    </row>
    <row r="8" ht="15" customHeight="1">
      <c r="A8" s="21" t="inlineStr">
        <is>
          <t>WACC ajustado</t>
        </is>
      </c>
      <c r="B8" s="10">
        <f>B3*D3+B4*D4*(1-Supuestos!$B$23)+B5*D5</f>
        <v/>
      </c>
      <c r="C8" s="8" t="inlineStr">
        <is>
          <t>Proyecto</t>
        </is>
      </c>
      <c r="D8" s="9" t="n"/>
      <c r="E8" s="21" t="n"/>
    </row>
  </sheetData>
  <autoFilter ref="A2:E2"/>
  <mergeCells count="1">
    <mergeCell ref="A1:E1"/>
  </mergeCells>
  <pageMargins left="0.75" right="0.75" top="1" bottom="1" header="0.5" footer="0.5"/>
  <pageSetup orientation="portrait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9.00390625" customWidth="1" min="1" max="1"/>
    <col width="18.00390625" customWidth="1" min="2" max="2"/>
    <col width="17.00390625" customWidth="1" min="3" max="5"/>
    <col width="18.00390625" customWidth="1" min="6" max="6"/>
  </cols>
  <sheetData>
    <row r="1" ht="15" customHeight="1">
      <c r="A1" s="4" t="inlineStr">
        <is>
          <t>AMORTIZACIÓN — SISTEMA FRANCÉS</t>
        </is>
      </c>
    </row>
    <row r="2" ht="15" customHeight="1">
      <c r="A2" s="33" t="inlineStr">
        <is>
          <t>Año</t>
        </is>
      </c>
      <c r="B2" s="33" t="inlineStr">
        <is>
          <t>Saldo inicial</t>
        </is>
      </c>
      <c r="C2" s="33" t="inlineStr">
        <is>
          <t>Interés</t>
        </is>
      </c>
      <c r="D2" s="33" t="inlineStr">
        <is>
          <t>Capital</t>
        </is>
      </c>
      <c r="E2" s="33" t="inlineStr">
        <is>
          <t>Cuota</t>
        </is>
      </c>
      <c r="F2" s="33" t="inlineStr">
        <is>
          <t>Saldo final</t>
        </is>
      </c>
    </row>
    <row r="3" ht="15" customHeight="1">
      <c r="A3" s="21" t="n">
        <v>1</v>
      </c>
      <c r="B3" s="8">
        <f>Financiacion!$C$4</f>
        <v/>
      </c>
      <c r="C3" s="8">
        <f>IF(A3&lt;=Supuestos!$B$24,B3*Supuestos!$B$21,0)</f>
        <v/>
      </c>
      <c r="D3" s="8">
        <f>IF(A3&lt;=Supuestos!$B$24,MIN(B3,E3-C3),0)</f>
        <v/>
      </c>
      <c r="E3" s="8">
        <f>IF(A3&lt;=Supuestos!$B$24,-PMT(Supuestos!$B$21,Supuestos!$B$24,Financiacion!$C$4),0)</f>
        <v/>
      </c>
      <c r="F3" s="8">
        <f>MAX(0,B3-D3)</f>
        <v/>
      </c>
    </row>
    <row r="4" ht="15" customHeight="1">
      <c r="A4" s="21">
        <f>A3+1</f>
        <v/>
      </c>
      <c r="B4" s="8">
        <f>F3</f>
        <v/>
      </c>
      <c r="C4" s="8">
        <f>IF(A4&lt;=Supuestos!$B$24,B4*Supuestos!$B$21,0)</f>
        <v/>
      </c>
      <c r="D4" s="8">
        <f>IF(A4&lt;=Supuestos!$B$24,MIN(B4,E4-C4),0)</f>
        <v/>
      </c>
      <c r="E4" s="8">
        <f>IF(A4&lt;=Supuestos!$B$24,-PMT(Supuestos!$B$21,Supuestos!$B$24,Financiacion!$C$4),0)</f>
        <v/>
      </c>
      <c r="F4" s="8">
        <f>MAX(0,B4-D4)</f>
        <v/>
      </c>
    </row>
    <row r="5" ht="15" customHeight="1">
      <c r="A5" s="21">
        <f>A4+1</f>
        <v/>
      </c>
      <c r="B5" s="8">
        <f>F4</f>
        <v/>
      </c>
      <c r="C5" s="8">
        <f>IF(A5&lt;=Supuestos!$B$24,B5*Supuestos!$B$21,0)</f>
        <v/>
      </c>
      <c r="D5" s="8">
        <f>IF(A5&lt;=Supuestos!$B$24,MIN(B5,E5-C5),0)</f>
        <v/>
      </c>
      <c r="E5" s="8">
        <f>IF(A5&lt;=Supuestos!$B$24,-PMT(Supuestos!$B$21,Supuestos!$B$24,Financiacion!$C$4),0)</f>
        <v/>
      </c>
      <c r="F5" s="8">
        <f>MAX(0,B5-D5)</f>
        <v/>
      </c>
    </row>
    <row r="6" ht="15" customHeight="1">
      <c r="A6" s="21">
        <f>A5+1</f>
        <v/>
      </c>
      <c r="B6" s="8">
        <f>F5</f>
        <v/>
      </c>
      <c r="C6" s="8">
        <f>IF(A6&lt;=Supuestos!$B$24,B6*Supuestos!$B$21,0)</f>
        <v/>
      </c>
      <c r="D6" s="8">
        <f>IF(A6&lt;=Supuestos!$B$24,MIN(B6,E6-C6),0)</f>
        <v/>
      </c>
      <c r="E6" s="8">
        <f>IF(A6&lt;=Supuestos!$B$24,-PMT(Supuestos!$B$21,Supuestos!$B$24,Financiacion!$C$4),0)</f>
        <v/>
      </c>
      <c r="F6" s="8">
        <f>MAX(0,B6-D6)</f>
        <v/>
      </c>
    </row>
    <row r="7" ht="15" customHeight="1">
      <c r="A7" s="21">
        <f>A6+1</f>
        <v/>
      </c>
      <c r="B7" s="8">
        <f>F6</f>
        <v/>
      </c>
      <c r="C7" s="8">
        <f>IF(A7&lt;=Supuestos!$B$24,B7*Supuestos!$B$21,0)</f>
        <v/>
      </c>
      <c r="D7" s="8">
        <f>IF(A7&lt;=Supuestos!$B$24,MIN(B7,E7-C7),0)</f>
        <v/>
      </c>
      <c r="E7" s="8">
        <f>IF(A7&lt;=Supuestos!$B$24,-PMT(Supuestos!$B$21,Supuestos!$B$24,Financiacion!$C$4),0)</f>
        <v/>
      </c>
      <c r="F7" s="8">
        <f>MAX(0,B7-D7)</f>
        <v/>
      </c>
    </row>
    <row r="8" ht="15" customHeight="1">
      <c r="A8" s="21">
        <f>A7+1</f>
        <v/>
      </c>
      <c r="B8" s="8">
        <f>F7</f>
        <v/>
      </c>
      <c r="C8" s="8">
        <f>IF(A8&lt;=Supuestos!$B$24,B8*Supuestos!$B$21,0)</f>
        <v/>
      </c>
      <c r="D8" s="8">
        <f>IF(A8&lt;=Supuestos!$B$24,MIN(B8,E8-C8),0)</f>
        <v/>
      </c>
      <c r="E8" s="8">
        <f>IF(A8&lt;=Supuestos!$B$24,-PMT(Supuestos!$B$21,Supuestos!$B$24,Financiacion!$C$4),0)</f>
        <v/>
      </c>
      <c r="F8" s="8">
        <f>MAX(0,B8-D8)</f>
        <v/>
      </c>
    </row>
    <row r="9" ht="15" customHeight="1">
      <c r="A9" s="21">
        <f>A8+1</f>
        <v/>
      </c>
      <c r="B9" s="8">
        <f>F8</f>
        <v/>
      </c>
      <c r="C9" s="8">
        <f>IF(A9&lt;=Supuestos!$B$24,B9*Supuestos!$B$21,0)</f>
        <v/>
      </c>
      <c r="D9" s="8">
        <f>IF(A9&lt;=Supuestos!$B$24,MIN(B9,E9-C9),0)</f>
        <v/>
      </c>
      <c r="E9" s="8">
        <f>IF(A9&lt;=Supuestos!$B$24,-PMT(Supuestos!$B$21,Supuestos!$B$24,Financiacion!$C$4),0)</f>
        <v/>
      </c>
      <c r="F9" s="8">
        <f>MAX(0,B9-D9)</f>
        <v/>
      </c>
    </row>
    <row r="10" ht="15" customHeight="1">
      <c r="A10" s="21">
        <f>A9+1</f>
        <v/>
      </c>
      <c r="B10" s="8">
        <f>F9</f>
        <v/>
      </c>
      <c r="C10" s="8">
        <f>IF(A10&lt;=Supuestos!$B$24,B10*Supuestos!$B$21,0)</f>
        <v/>
      </c>
      <c r="D10" s="8">
        <f>IF(A10&lt;=Supuestos!$B$24,MIN(B10,E10-C10),0)</f>
        <v/>
      </c>
      <c r="E10" s="8">
        <f>IF(A10&lt;=Supuestos!$B$24,-PMT(Supuestos!$B$21,Supuestos!$B$24,Financiacion!$C$4),0)</f>
        <v/>
      </c>
      <c r="F10" s="8">
        <f>MAX(0,B10-D10)</f>
        <v/>
      </c>
    </row>
    <row r="11" ht="15" customHeight="1">
      <c r="A11" s="21">
        <f>A10+1</f>
        <v/>
      </c>
      <c r="B11" s="8">
        <f>F10</f>
        <v/>
      </c>
      <c r="C11" s="8">
        <f>IF(A11&lt;=Supuestos!$B$24,B11*Supuestos!$B$21,0)</f>
        <v/>
      </c>
      <c r="D11" s="8">
        <f>IF(A11&lt;=Supuestos!$B$24,MIN(B11,E11-C11),0)</f>
        <v/>
      </c>
      <c r="E11" s="8">
        <f>IF(A11&lt;=Supuestos!$B$24,-PMT(Supuestos!$B$21,Supuestos!$B$24,Financiacion!$C$4),0)</f>
        <v/>
      </c>
      <c r="F11" s="8">
        <f>MAX(0,B11-D11)</f>
        <v/>
      </c>
    </row>
    <row r="12" ht="15" customHeight="1">
      <c r="A12" s="21">
        <f>A11+1</f>
        <v/>
      </c>
      <c r="B12" s="8">
        <f>F11</f>
        <v/>
      </c>
      <c r="C12" s="8">
        <f>IF(A12&lt;=Supuestos!$B$24,B12*Supuestos!$B$21,0)</f>
        <v/>
      </c>
      <c r="D12" s="8">
        <f>IF(A12&lt;=Supuestos!$B$24,MIN(B12,E12-C12),0)</f>
        <v/>
      </c>
      <c r="E12" s="8">
        <f>IF(A12&lt;=Supuestos!$B$24,-PMT(Supuestos!$B$21,Supuestos!$B$24,Financiacion!$C$4),0)</f>
        <v/>
      </c>
      <c r="F12" s="8">
        <f>MAX(0,B12-D12)</f>
        <v/>
      </c>
    </row>
    <row r="13" ht="15" customHeight="1">
      <c r="A13" s="21">
        <f>A12+1</f>
        <v/>
      </c>
      <c r="B13" s="8">
        <f>F12</f>
        <v/>
      </c>
      <c r="C13" s="8">
        <f>IF(A13&lt;=Supuestos!$B$24,B13*Supuestos!$B$21,0)</f>
        <v/>
      </c>
      <c r="D13" s="8">
        <f>IF(A13&lt;=Supuestos!$B$24,MIN(B13,E13-C13),0)</f>
        <v/>
      </c>
      <c r="E13" s="8">
        <f>IF(A13&lt;=Supuestos!$B$24,-PMT(Supuestos!$B$21,Supuestos!$B$24,Financiacion!$C$4),0)</f>
        <v/>
      </c>
      <c r="F13" s="8">
        <f>MAX(0,B13-D13)</f>
        <v/>
      </c>
    </row>
    <row r="14" ht="15" customHeight="1">
      <c r="A14" s="21">
        <f>A13+1</f>
        <v/>
      </c>
      <c r="B14" s="8">
        <f>F13</f>
        <v/>
      </c>
      <c r="C14" s="8">
        <f>IF(A14&lt;=Supuestos!$B$24,B14*Supuestos!$B$21,0)</f>
        <v/>
      </c>
      <c r="D14" s="8">
        <f>IF(A14&lt;=Supuestos!$B$24,MIN(B14,E14-C14),0)</f>
        <v/>
      </c>
      <c r="E14" s="8">
        <f>IF(A14&lt;=Supuestos!$B$24,-PMT(Supuestos!$B$21,Supuestos!$B$24,Financiacion!$C$4),0)</f>
        <v/>
      </c>
      <c r="F14" s="8">
        <f>MAX(0,B14-D14)</f>
        <v/>
      </c>
    </row>
    <row r="15" ht="15" customHeight="1">
      <c r="A15" s="21">
        <f>A14+1</f>
        <v/>
      </c>
      <c r="B15" s="8">
        <f>F14</f>
        <v/>
      </c>
      <c r="C15" s="8">
        <f>IF(A15&lt;=Supuestos!$B$24,B15*Supuestos!$B$21,0)</f>
        <v/>
      </c>
      <c r="D15" s="8">
        <f>IF(A15&lt;=Supuestos!$B$24,MIN(B15,E15-C15),0)</f>
        <v/>
      </c>
      <c r="E15" s="8">
        <f>IF(A15&lt;=Supuestos!$B$24,-PMT(Supuestos!$B$21,Supuestos!$B$24,Financiacion!$C$4),0)</f>
        <v/>
      </c>
      <c r="F15" s="8">
        <f>MAX(0,B15-D15)</f>
        <v/>
      </c>
    </row>
    <row r="16" ht="15" customHeight="1">
      <c r="A16" s="21">
        <f>A15+1</f>
        <v/>
      </c>
      <c r="B16" s="8">
        <f>F15</f>
        <v/>
      </c>
      <c r="C16" s="8">
        <f>IF(A16&lt;=Supuestos!$B$24,B16*Supuestos!$B$21,0)</f>
        <v/>
      </c>
      <c r="D16" s="8">
        <f>IF(A16&lt;=Supuestos!$B$24,MIN(B16,E16-C16),0)</f>
        <v/>
      </c>
      <c r="E16" s="8">
        <f>IF(A16&lt;=Supuestos!$B$24,-PMT(Supuestos!$B$21,Supuestos!$B$24,Financiacion!$C$4),0)</f>
        <v/>
      </c>
      <c r="F16" s="8">
        <f>MAX(0,B16-D16)</f>
        <v/>
      </c>
    </row>
    <row r="17" ht="15" customHeight="1">
      <c r="A17" s="21">
        <f>A16+1</f>
        <v/>
      </c>
      <c r="B17" s="8">
        <f>F16</f>
        <v/>
      </c>
      <c r="C17" s="8">
        <f>IF(A17&lt;=Supuestos!$B$24,B17*Supuestos!$B$21,0)</f>
        <v/>
      </c>
      <c r="D17" s="8">
        <f>IF(A17&lt;=Supuestos!$B$24,MIN(B17,E17-C17),0)</f>
        <v/>
      </c>
      <c r="E17" s="8">
        <f>IF(A17&lt;=Supuestos!$B$24,-PMT(Supuestos!$B$21,Supuestos!$B$24,Financiacion!$C$4),0)</f>
        <v/>
      </c>
      <c r="F17" s="8">
        <f>MAX(0,B17-D17)</f>
        <v/>
      </c>
    </row>
    <row r="18" ht="15" customHeight="1">
      <c r="A18" s="21">
        <f>A17+1</f>
        <v/>
      </c>
      <c r="B18" s="8">
        <f>F17</f>
        <v/>
      </c>
      <c r="C18" s="8">
        <f>IF(A18&lt;=Supuestos!$B$24,B18*Supuestos!$B$21,0)</f>
        <v/>
      </c>
      <c r="D18" s="8">
        <f>IF(A18&lt;=Supuestos!$B$24,MIN(B18,E18-C18),0)</f>
        <v/>
      </c>
      <c r="E18" s="8">
        <f>IF(A18&lt;=Supuestos!$B$24,-PMT(Supuestos!$B$21,Supuestos!$B$24,Financiacion!$C$4),0)</f>
        <v/>
      </c>
      <c r="F18" s="8">
        <f>MAX(0,B18-D18)</f>
        <v/>
      </c>
    </row>
    <row r="19" ht="15" customHeight="1">
      <c r="A19" s="21">
        <f>A18+1</f>
        <v/>
      </c>
      <c r="B19" s="8">
        <f>F18</f>
        <v/>
      </c>
      <c r="C19" s="8">
        <f>IF(A19&lt;=Supuestos!$B$24,B19*Supuestos!$B$21,0)</f>
        <v/>
      </c>
      <c r="D19" s="8">
        <f>IF(A19&lt;=Supuestos!$B$24,MIN(B19,E19-C19),0)</f>
        <v/>
      </c>
      <c r="E19" s="8">
        <f>IF(A19&lt;=Supuestos!$B$24,-PMT(Supuestos!$B$21,Supuestos!$B$24,Financiacion!$C$4),0)</f>
        <v/>
      </c>
      <c r="F19" s="8">
        <f>MAX(0,B19-D19)</f>
        <v/>
      </c>
    </row>
    <row r="20" ht="15" customHeight="1">
      <c r="A20" s="21">
        <f>A19+1</f>
        <v/>
      </c>
      <c r="B20" s="8">
        <f>F19</f>
        <v/>
      </c>
      <c r="C20" s="8">
        <f>IF(A20&lt;=Supuestos!$B$24,B20*Supuestos!$B$21,0)</f>
        <v/>
      </c>
      <c r="D20" s="8">
        <f>IF(A20&lt;=Supuestos!$B$24,MIN(B20,E20-C20),0)</f>
        <v/>
      </c>
      <c r="E20" s="8">
        <f>IF(A20&lt;=Supuestos!$B$24,-PMT(Supuestos!$B$21,Supuestos!$B$24,Financiacion!$C$4),0)</f>
        <v/>
      </c>
      <c r="F20" s="8">
        <f>MAX(0,B20-D20)</f>
        <v/>
      </c>
    </row>
    <row r="21" ht="15" customHeight="1">
      <c r="A21" s="21">
        <f>A20+1</f>
        <v/>
      </c>
      <c r="B21" s="8">
        <f>F20</f>
        <v/>
      </c>
      <c r="C21" s="8">
        <f>IF(A21&lt;=Supuestos!$B$24,B21*Supuestos!$B$21,0)</f>
        <v/>
      </c>
      <c r="D21" s="8">
        <f>IF(A21&lt;=Supuestos!$B$24,MIN(B21,E21-C21),0)</f>
        <v/>
      </c>
      <c r="E21" s="8">
        <f>IF(A21&lt;=Supuestos!$B$24,-PMT(Supuestos!$B$21,Supuestos!$B$24,Financiacion!$C$4),0)</f>
        <v/>
      </c>
      <c r="F21" s="8">
        <f>MAX(0,B21-D21)</f>
        <v/>
      </c>
    </row>
    <row r="22" ht="15" customHeight="1">
      <c r="A22" s="21">
        <f>A21+1</f>
        <v/>
      </c>
      <c r="B22" s="8">
        <f>F21</f>
        <v/>
      </c>
      <c r="C22" s="8">
        <f>IF(A22&lt;=Supuestos!$B$24,B22*Supuestos!$B$21,0)</f>
        <v/>
      </c>
      <c r="D22" s="8">
        <f>IF(A22&lt;=Supuestos!$B$24,MIN(B22,E22-C22),0)</f>
        <v/>
      </c>
      <c r="E22" s="8">
        <f>IF(A22&lt;=Supuestos!$B$24,-PMT(Supuestos!$B$21,Supuestos!$B$24,Financiacion!$C$4),0)</f>
        <v/>
      </c>
      <c r="F22" s="8">
        <f>MAX(0,B22-D22)</f>
        <v/>
      </c>
    </row>
    <row r="23" ht="15" customHeight="1">
      <c r="A23" s="21">
        <f>A22+1</f>
        <v/>
      </c>
      <c r="B23" s="8">
        <f>F22</f>
        <v/>
      </c>
      <c r="C23" s="8">
        <f>IF(A23&lt;=Supuestos!$B$24,B23*Supuestos!$B$21,0)</f>
        <v/>
      </c>
      <c r="D23" s="8">
        <f>IF(A23&lt;=Supuestos!$B$24,MIN(B23,E23-C23),0)</f>
        <v/>
      </c>
      <c r="E23" s="8">
        <f>IF(A23&lt;=Supuestos!$B$24,-PMT(Supuestos!$B$21,Supuestos!$B$24,Financiacion!$C$4),0)</f>
        <v/>
      </c>
      <c r="F23" s="8">
        <f>MAX(0,B23-D23)</f>
        <v/>
      </c>
    </row>
    <row r="24" ht="15" customHeight="1">
      <c r="A24" s="21">
        <f>A23+1</f>
        <v/>
      </c>
      <c r="B24" s="8">
        <f>F23</f>
        <v/>
      </c>
      <c r="C24" s="8">
        <f>IF(A24&lt;=Supuestos!$B$24,B24*Supuestos!$B$21,0)</f>
        <v/>
      </c>
      <c r="D24" s="8">
        <f>IF(A24&lt;=Supuestos!$B$24,MIN(B24,E24-C24),0)</f>
        <v/>
      </c>
      <c r="E24" s="8">
        <f>IF(A24&lt;=Supuestos!$B$24,-PMT(Supuestos!$B$21,Supuestos!$B$24,Financiacion!$C$4),0)</f>
        <v/>
      </c>
      <c r="F24" s="8">
        <f>MAX(0,B24-D24)</f>
        <v/>
      </c>
    </row>
    <row r="25" ht="15" customHeight="1">
      <c r="A25" s="21">
        <f>A24+1</f>
        <v/>
      </c>
      <c r="B25" s="8">
        <f>F24</f>
        <v/>
      </c>
      <c r="C25" s="8">
        <f>IF(A25&lt;=Supuestos!$B$24,B25*Supuestos!$B$21,0)</f>
        <v/>
      </c>
      <c r="D25" s="8">
        <f>IF(A25&lt;=Supuestos!$B$24,MIN(B25,E25-C25),0)</f>
        <v/>
      </c>
      <c r="E25" s="8">
        <f>IF(A25&lt;=Supuestos!$B$24,-PMT(Supuestos!$B$21,Supuestos!$B$24,Financiacion!$C$4),0)</f>
        <v/>
      </c>
      <c r="F25" s="8">
        <f>MAX(0,B25-D25)</f>
        <v/>
      </c>
    </row>
    <row r="26" ht="15" customHeight="1">
      <c r="A26" s="21">
        <f>A25+1</f>
        <v/>
      </c>
      <c r="B26" s="8">
        <f>F25</f>
        <v/>
      </c>
      <c r="C26" s="8">
        <f>IF(A26&lt;=Supuestos!$B$24,B26*Supuestos!$B$21,0)</f>
        <v/>
      </c>
      <c r="D26" s="8">
        <f>IF(A26&lt;=Supuestos!$B$24,MIN(B26,E26-C26),0)</f>
        <v/>
      </c>
      <c r="E26" s="8">
        <f>IF(A26&lt;=Supuestos!$B$24,-PMT(Supuestos!$B$21,Supuestos!$B$24,Financiacion!$C$4),0)</f>
        <v/>
      </c>
      <c r="F26" s="8">
        <f>MAX(0,B26-D26)</f>
        <v/>
      </c>
    </row>
    <row r="27" ht="15" customHeight="1">
      <c r="A27" s="21">
        <f>A26+1</f>
        <v/>
      </c>
      <c r="B27" s="8">
        <f>F26</f>
        <v/>
      </c>
      <c r="C27" s="8">
        <f>IF(A27&lt;=Supuestos!$B$24,B27*Supuestos!$B$21,0)</f>
        <v/>
      </c>
      <c r="D27" s="8">
        <f>IF(A27&lt;=Supuestos!$B$24,MIN(B27,E27-C27),0)</f>
        <v/>
      </c>
      <c r="E27" s="8">
        <f>IF(A27&lt;=Supuestos!$B$24,-PMT(Supuestos!$B$21,Supuestos!$B$24,Financiacion!$C$4),0)</f>
        <v/>
      </c>
      <c r="F27" s="8">
        <f>MAX(0,B27-D27)</f>
        <v/>
      </c>
    </row>
  </sheetData>
  <autoFilter ref="A2:F2"/>
  <mergeCells count="1">
    <mergeCell ref="A1:F1"/>
  </mergeCells>
  <pageMargins left="0.75" right="0.75" top="1" bottom="1" header="0.5" footer="0.5"/>
  <pageSetup orientation="portrait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8.00390625" customWidth="1" min="1" max="1"/>
    <col width="13.00390625" customWidth="1" min="2" max="16"/>
  </cols>
  <sheetData>
    <row r="1" ht="15" customHeight="1">
      <c r="A1" s="4" t="inlineStr">
        <is>
          <t>FLUJOS — COP MM</t>
        </is>
      </c>
    </row>
    <row r="2" ht="15" customHeight="1">
      <c r="A2" s="33" t="inlineStr">
        <is>
          <t>Año</t>
        </is>
      </c>
      <c r="B2" s="33" t="inlineStr">
        <is>
          <t>Ingresos</t>
        </is>
      </c>
      <c r="C2" s="33" t="inlineStr">
        <is>
          <t>OPEX</t>
        </is>
      </c>
      <c r="D2" s="33" t="inlineStr">
        <is>
          <t>EBITDA</t>
        </is>
      </c>
      <c r="E2" s="33" t="inlineStr">
        <is>
          <t>Deprec.</t>
        </is>
      </c>
      <c r="F2" s="33" t="inlineStr">
        <is>
          <t>EBIT</t>
        </is>
      </c>
      <c r="G2" s="33" t="inlineStr">
        <is>
          <t>Interés</t>
        </is>
      </c>
      <c r="H2" s="33" t="inlineStr">
        <is>
          <t>Imp. proyecto</t>
        </is>
      </c>
      <c r="I2" s="33" t="inlineStr">
        <is>
          <t>Imp. equity</t>
        </is>
      </c>
      <c r="J2" s="33" t="inlineStr">
        <is>
          <t>Capital</t>
        </is>
      </c>
      <c r="K2" s="33" t="inlineStr">
        <is>
          <t>Saldo deuda</t>
        </is>
      </c>
      <c r="L2" s="33" t="inlineStr">
        <is>
          <t>FC Proyecto</t>
        </is>
      </c>
      <c r="M2" s="33" t="inlineStr">
        <is>
          <t>FC Inversionista</t>
        </is>
      </c>
      <c r="N2" s="33" t="inlineStr">
        <is>
          <t>FC Banco</t>
        </is>
      </c>
      <c r="O2" s="33" t="inlineStr">
        <is>
          <t>Beneficio social</t>
        </is>
      </c>
      <c r="P2" s="33" t="inlineStr">
        <is>
          <t>FC Social</t>
        </is>
      </c>
    </row>
    <row r="3" ht="15" customHeight="1">
      <c r="A3" s="11" t="n">
        <v>0</v>
      </c>
      <c r="B3" s="12" t="n">
        <v>0</v>
      </c>
      <c r="C3" s="12" t="n">
        <v>0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>
        <f>Financiacion!$C$4</f>
        <v/>
      </c>
      <c r="L3" s="12">
        <f>-Presupuesto!$B$9</f>
        <v/>
      </c>
      <c r="M3" s="12">
        <f>-Financiacion!$C$5</f>
        <v/>
      </c>
      <c r="N3" s="12">
        <f>-Financiacion!$C$4</f>
        <v/>
      </c>
      <c r="O3" s="12" t="n">
        <v>0</v>
      </c>
      <c r="P3" s="12">
        <f>-Presupuesto!$B$9</f>
        <v/>
      </c>
    </row>
    <row r="4" ht="15" customHeight="1">
      <c r="A4" s="11" t="n">
        <v>1</v>
      </c>
      <c r="B4" s="12">
        <f>Supuestos!$B$13*(1+Supuestos!$B$15)^(A4-1)</f>
        <v/>
      </c>
      <c r="C4" s="12">
        <f>Supuestos!$B$14*(1+Supuestos!$B$15)^(A4-1)</f>
        <v/>
      </c>
      <c r="D4" s="12">
        <f>B4-C4</f>
        <v/>
      </c>
      <c r="E4" s="12">
        <f>Presupuesto!$B$9/Supuestos!$B$26</f>
        <v/>
      </c>
      <c r="F4" s="12">
        <f>D4-E4</f>
        <v/>
      </c>
      <c r="G4" s="12">
        <f>'Amortizacion Deuda'!C3</f>
        <v/>
      </c>
      <c r="H4" s="12">
        <f>MAX(0,F4)*Supuestos!$B$23</f>
        <v/>
      </c>
      <c r="I4" s="12">
        <f>MAX(0,F4-G4)*Supuestos!$B$23</f>
        <v/>
      </c>
      <c r="J4" s="12">
        <f>'Amortizacion Deuda'!D3</f>
        <v/>
      </c>
      <c r="K4" s="12">
        <f>'Amortizacion Deuda'!F3</f>
        <v/>
      </c>
      <c r="L4" s="12">
        <f>D4-H4</f>
        <v/>
      </c>
      <c r="M4" s="12">
        <f>D4-G4-I4-J4</f>
        <v/>
      </c>
      <c r="N4" s="12">
        <f>G4+J4</f>
        <v/>
      </c>
      <c r="O4" s="12">
        <f>Supuestos!$B$16*(1+Supuestos!$B$15)^(A4-1)</f>
        <v/>
      </c>
      <c r="P4" s="12">
        <f>O4-C4</f>
        <v/>
      </c>
    </row>
    <row r="5" ht="15" customHeight="1">
      <c r="A5" s="11">
        <f>A4+1</f>
        <v/>
      </c>
      <c r="B5" s="12">
        <f>Supuestos!$B$13*(1+Supuestos!$B$15)^(A5-1)</f>
        <v/>
      </c>
      <c r="C5" s="12">
        <f>Supuestos!$B$14*(1+Supuestos!$B$15)^(A5-1)</f>
        <v/>
      </c>
      <c r="D5" s="12">
        <f>B5-C5</f>
        <v/>
      </c>
      <c r="E5" s="12">
        <f>Presupuesto!$B$9/Supuestos!$B$26</f>
        <v/>
      </c>
      <c r="F5" s="12">
        <f>D5-E5</f>
        <v/>
      </c>
      <c r="G5" s="12">
        <f>'Amortizacion Deuda'!C4</f>
        <v/>
      </c>
      <c r="H5" s="12">
        <f>MAX(0,F5)*Supuestos!$B$23</f>
        <v/>
      </c>
      <c r="I5" s="12">
        <f>MAX(0,F5-G5)*Supuestos!$B$23</f>
        <v/>
      </c>
      <c r="J5" s="12">
        <f>'Amortizacion Deuda'!D4</f>
        <v/>
      </c>
      <c r="K5" s="12">
        <f>'Amortizacion Deuda'!F4</f>
        <v/>
      </c>
      <c r="L5" s="12">
        <f>D5-H5</f>
        <v/>
      </c>
      <c r="M5" s="12">
        <f>D5-G5-I5-J5</f>
        <v/>
      </c>
      <c r="N5" s="12">
        <f>G5+J5</f>
        <v/>
      </c>
      <c r="O5" s="12">
        <f>Supuestos!$B$16*(1+Supuestos!$B$15)^(A5-1)</f>
        <v/>
      </c>
      <c r="P5" s="12">
        <f>O5-C5</f>
        <v/>
      </c>
    </row>
    <row r="6" ht="15" customHeight="1">
      <c r="A6" s="11">
        <f>A5+1</f>
        <v/>
      </c>
      <c r="B6" s="12">
        <f>Supuestos!$B$13*(1+Supuestos!$B$15)^(A6-1)</f>
        <v/>
      </c>
      <c r="C6" s="12">
        <f>Supuestos!$B$14*(1+Supuestos!$B$15)^(A6-1)</f>
        <v/>
      </c>
      <c r="D6" s="12">
        <f>B6-C6</f>
        <v/>
      </c>
      <c r="E6" s="12">
        <f>Presupuesto!$B$9/Supuestos!$B$26</f>
        <v/>
      </c>
      <c r="F6" s="12">
        <f>D6-E6</f>
        <v/>
      </c>
      <c r="G6" s="12">
        <f>'Amortizacion Deuda'!C5</f>
        <v/>
      </c>
      <c r="H6" s="12">
        <f>MAX(0,F6)*Supuestos!$B$23</f>
        <v/>
      </c>
      <c r="I6" s="12">
        <f>MAX(0,F6-G6)*Supuestos!$B$23</f>
        <v/>
      </c>
      <c r="J6" s="12">
        <f>'Amortizacion Deuda'!D5</f>
        <v/>
      </c>
      <c r="K6" s="12">
        <f>'Amortizacion Deuda'!F5</f>
        <v/>
      </c>
      <c r="L6" s="12">
        <f>D6-H6</f>
        <v/>
      </c>
      <c r="M6" s="12">
        <f>D6-G6-I6-J6</f>
        <v/>
      </c>
      <c r="N6" s="12">
        <f>G6+J6</f>
        <v/>
      </c>
      <c r="O6" s="12">
        <f>Supuestos!$B$16*(1+Supuestos!$B$15)^(A6-1)</f>
        <v/>
      </c>
      <c r="P6" s="12">
        <f>O6-C6</f>
        <v/>
      </c>
    </row>
    <row r="7" ht="15" customHeight="1">
      <c r="A7" s="11">
        <f>A6+1</f>
        <v/>
      </c>
      <c r="B7" s="12">
        <f>Supuestos!$B$13*(1+Supuestos!$B$15)^(A7-1)</f>
        <v/>
      </c>
      <c r="C7" s="12">
        <f>Supuestos!$B$14*(1+Supuestos!$B$15)^(A7-1)</f>
        <v/>
      </c>
      <c r="D7" s="12">
        <f>B7-C7</f>
        <v/>
      </c>
      <c r="E7" s="12">
        <f>Presupuesto!$B$9/Supuestos!$B$26</f>
        <v/>
      </c>
      <c r="F7" s="12">
        <f>D7-E7</f>
        <v/>
      </c>
      <c r="G7" s="12">
        <f>'Amortizacion Deuda'!C6</f>
        <v/>
      </c>
      <c r="H7" s="12">
        <f>MAX(0,F7)*Supuestos!$B$23</f>
        <v/>
      </c>
      <c r="I7" s="12">
        <f>MAX(0,F7-G7)*Supuestos!$B$23</f>
        <v/>
      </c>
      <c r="J7" s="12">
        <f>'Amortizacion Deuda'!D6</f>
        <v/>
      </c>
      <c r="K7" s="12">
        <f>'Amortizacion Deuda'!F6</f>
        <v/>
      </c>
      <c r="L7" s="12">
        <f>D7-H7</f>
        <v/>
      </c>
      <c r="M7" s="12">
        <f>D7-G7-I7-J7</f>
        <v/>
      </c>
      <c r="N7" s="12">
        <f>G7+J7</f>
        <v/>
      </c>
      <c r="O7" s="12">
        <f>Supuestos!$B$16*(1+Supuestos!$B$15)^(A7-1)</f>
        <v/>
      </c>
      <c r="P7" s="12">
        <f>O7-C7</f>
        <v/>
      </c>
    </row>
    <row r="8" ht="15" customHeight="1">
      <c r="A8" s="11">
        <f>A7+1</f>
        <v/>
      </c>
      <c r="B8" s="12">
        <f>Supuestos!$B$13*(1+Supuestos!$B$15)^(A8-1)</f>
        <v/>
      </c>
      <c r="C8" s="12">
        <f>Supuestos!$B$14*(1+Supuestos!$B$15)^(A8-1)</f>
        <v/>
      </c>
      <c r="D8" s="12">
        <f>B8-C8</f>
        <v/>
      </c>
      <c r="E8" s="12">
        <f>Presupuesto!$B$9/Supuestos!$B$26</f>
        <v/>
      </c>
      <c r="F8" s="12">
        <f>D8-E8</f>
        <v/>
      </c>
      <c r="G8" s="12">
        <f>'Amortizacion Deuda'!C7</f>
        <v/>
      </c>
      <c r="H8" s="12">
        <f>MAX(0,F8)*Supuestos!$B$23</f>
        <v/>
      </c>
      <c r="I8" s="12">
        <f>MAX(0,F8-G8)*Supuestos!$B$23</f>
        <v/>
      </c>
      <c r="J8" s="12">
        <f>'Amortizacion Deuda'!D7</f>
        <v/>
      </c>
      <c r="K8" s="12">
        <f>'Amortizacion Deuda'!F7</f>
        <v/>
      </c>
      <c r="L8" s="12">
        <f>D8-H8</f>
        <v/>
      </c>
      <c r="M8" s="12">
        <f>D8-G8-I8-J8</f>
        <v/>
      </c>
      <c r="N8" s="12">
        <f>G8+J8</f>
        <v/>
      </c>
      <c r="O8" s="12">
        <f>Supuestos!$B$16*(1+Supuestos!$B$15)^(A8-1)</f>
        <v/>
      </c>
      <c r="P8" s="12">
        <f>O8-C8</f>
        <v/>
      </c>
    </row>
    <row r="9" ht="15" customHeight="1">
      <c r="A9" s="11">
        <f>A8+1</f>
        <v/>
      </c>
      <c r="B9" s="12">
        <f>Supuestos!$B$13*(1+Supuestos!$B$15)^(A9-1)</f>
        <v/>
      </c>
      <c r="C9" s="12">
        <f>Supuestos!$B$14*(1+Supuestos!$B$15)^(A9-1)</f>
        <v/>
      </c>
      <c r="D9" s="12">
        <f>B9-C9</f>
        <v/>
      </c>
      <c r="E9" s="12">
        <f>Presupuesto!$B$9/Supuestos!$B$26</f>
        <v/>
      </c>
      <c r="F9" s="12">
        <f>D9-E9</f>
        <v/>
      </c>
      <c r="G9" s="12">
        <f>'Amortizacion Deuda'!C8</f>
        <v/>
      </c>
      <c r="H9" s="12">
        <f>MAX(0,F9)*Supuestos!$B$23</f>
        <v/>
      </c>
      <c r="I9" s="12">
        <f>MAX(0,F9-G9)*Supuestos!$B$23</f>
        <v/>
      </c>
      <c r="J9" s="12">
        <f>'Amortizacion Deuda'!D8</f>
        <v/>
      </c>
      <c r="K9" s="12">
        <f>'Amortizacion Deuda'!F8</f>
        <v/>
      </c>
      <c r="L9" s="12">
        <f>D9-H9</f>
        <v/>
      </c>
      <c r="M9" s="12">
        <f>D9-G9-I9-J9</f>
        <v/>
      </c>
      <c r="N9" s="12">
        <f>G9+J9</f>
        <v/>
      </c>
      <c r="O9" s="12">
        <f>Supuestos!$B$16*(1+Supuestos!$B$15)^(A9-1)</f>
        <v/>
      </c>
      <c r="P9" s="12">
        <f>O9-C9</f>
        <v/>
      </c>
    </row>
    <row r="10" ht="15" customHeight="1">
      <c r="A10" s="11">
        <f>A9+1</f>
        <v/>
      </c>
      <c r="B10" s="12">
        <f>Supuestos!$B$13*(1+Supuestos!$B$15)^(A10-1)</f>
        <v/>
      </c>
      <c r="C10" s="12">
        <f>Supuestos!$B$14*(1+Supuestos!$B$15)^(A10-1)</f>
        <v/>
      </c>
      <c r="D10" s="12">
        <f>B10-C10</f>
        <v/>
      </c>
      <c r="E10" s="12">
        <f>Presupuesto!$B$9/Supuestos!$B$26</f>
        <v/>
      </c>
      <c r="F10" s="12">
        <f>D10-E10</f>
        <v/>
      </c>
      <c r="G10" s="12">
        <f>'Amortizacion Deuda'!C9</f>
        <v/>
      </c>
      <c r="H10" s="12">
        <f>MAX(0,F10)*Supuestos!$B$23</f>
        <v/>
      </c>
      <c r="I10" s="12">
        <f>MAX(0,F10-G10)*Supuestos!$B$23</f>
        <v/>
      </c>
      <c r="J10" s="12">
        <f>'Amortizacion Deuda'!D9</f>
        <v/>
      </c>
      <c r="K10" s="12">
        <f>'Amortizacion Deuda'!F9</f>
        <v/>
      </c>
      <c r="L10" s="12">
        <f>D10-H10</f>
        <v/>
      </c>
      <c r="M10" s="12">
        <f>D10-G10-I10-J10</f>
        <v/>
      </c>
      <c r="N10" s="12">
        <f>G10+J10</f>
        <v/>
      </c>
      <c r="O10" s="12">
        <f>Supuestos!$B$16*(1+Supuestos!$B$15)^(A10-1)</f>
        <v/>
      </c>
      <c r="P10" s="12">
        <f>O10-C10</f>
        <v/>
      </c>
    </row>
    <row r="11" ht="15" customHeight="1">
      <c r="A11" s="11">
        <f>A10+1</f>
        <v/>
      </c>
      <c r="B11" s="12">
        <f>Supuestos!$B$13*(1+Supuestos!$B$15)^(A11-1)</f>
        <v/>
      </c>
      <c r="C11" s="12">
        <f>Supuestos!$B$14*(1+Supuestos!$B$15)^(A11-1)</f>
        <v/>
      </c>
      <c r="D11" s="12">
        <f>B11-C11</f>
        <v/>
      </c>
      <c r="E11" s="12">
        <f>Presupuesto!$B$9/Supuestos!$B$26</f>
        <v/>
      </c>
      <c r="F11" s="12">
        <f>D11-E11</f>
        <v/>
      </c>
      <c r="G11" s="12">
        <f>'Amortizacion Deuda'!C10</f>
        <v/>
      </c>
      <c r="H11" s="12">
        <f>MAX(0,F11)*Supuestos!$B$23</f>
        <v/>
      </c>
      <c r="I11" s="12">
        <f>MAX(0,F11-G11)*Supuestos!$B$23</f>
        <v/>
      </c>
      <c r="J11" s="12">
        <f>'Amortizacion Deuda'!D10</f>
        <v/>
      </c>
      <c r="K11" s="12">
        <f>'Amortizacion Deuda'!F10</f>
        <v/>
      </c>
      <c r="L11" s="12">
        <f>D11-H11</f>
        <v/>
      </c>
      <c r="M11" s="12">
        <f>D11-G11-I11-J11</f>
        <v/>
      </c>
      <c r="N11" s="12">
        <f>G11+J11</f>
        <v/>
      </c>
      <c r="O11" s="12">
        <f>Supuestos!$B$16*(1+Supuestos!$B$15)^(A11-1)</f>
        <v/>
      </c>
      <c r="P11" s="12">
        <f>O11-C11</f>
        <v/>
      </c>
    </row>
    <row r="12" ht="15" customHeight="1">
      <c r="A12" s="11">
        <f>A11+1</f>
        <v/>
      </c>
      <c r="B12" s="12">
        <f>Supuestos!$B$13*(1+Supuestos!$B$15)^(A12-1)</f>
        <v/>
      </c>
      <c r="C12" s="12">
        <f>Supuestos!$B$14*(1+Supuestos!$B$15)^(A12-1)</f>
        <v/>
      </c>
      <c r="D12" s="12">
        <f>B12-C12</f>
        <v/>
      </c>
      <c r="E12" s="12">
        <f>Presupuesto!$B$9/Supuestos!$B$26</f>
        <v/>
      </c>
      <c r="F12" s="12">
        <f>D12-E12</f>
        <v/>
      </c>
      <c r="G12" s="12">
        <f>'Amortizacion Deuda'!C11</f>
        <v/>
      </c>
      <c r="H12" s="12">
        <f>MAX(0,F12)*Supuestos!$B$23</f>
        <v/>
      </c>
      <c r="I12" s="12">
        <f>MAX(0,F12-G12)*Supuestos!$B$23</f>
        <v/>
      </c>
      <c r="J12" s="12">
        <f>'Amortizacion Deuda'!D11</f>
        <v/>
      </c>
      <c r="K12" s="12">
        <f>'Amortizacion Deuda'!F11</f>
        <v/>
      </c>
      <c r="L12" s="12">
        <f>D12-H12</f>
        <v/>
      </c>
      <c r="M12" s="12">
        <f>D12-G12-I12-J12</f>
        <v/>
      </c>
      <c r="N12" s="12">
        <f>G12+J12</f>
        <v/>
      </c>
      <c r="O12" s="12">
        <f>Supuestos!$B$16*(1+Supuestos!$B$15)^(A12-1)</f>
        <v/>
      </c>
      <c r="P12" s="12">
        <f>O12-C12</f>
        <v/>
      </c>
    </row>
    <row r="13" ht="15" customHeight="1">
      <c r="A13" s="11">
        <f>A12+1</f>
        <v/>
      </c>
      <c r="B13" s="12">
        <f>Supuestos!$B$13*(1+Supuestos!$B$15)^(A13-1)</f>
        <v/>
      </c>
      <c r="C13" s="12">
        <f>Supuestos!$B$14*(1+Supuestos!$B$15)^(A13-1)</f>
        <v/>
      </c>
      <c r="D13" s="12">
        <f>B13-C13</f>
        <v/>
      </c>
      <c r="E13" s="12">
        <f>Presupuesto!$B$9/Supuestos!$B$26</f>
        <v/>
      </c>
      <c r="F13" s="12">
        <f>D13-E13</f>
        <v/>
      </c>
      <c r="G13" s="12">
        <f>'Amortizacion Deuda'!C12</f>
        <v/>
      </c>
      <c r="H13" s="12">
        <f>MAX(0,F13)*Supuestos!$B$23</f>
        <v/>
      </c>
      <c r="I13" s="12">
        <f>MAX(0,F13-G13)*Supuestos!$B$23</f>
        <v/>
      </c>
      <c r="J13" s="12">
        <f>'Amortizacion Deuda'!D12</f>
        <v/>
      </c>
      <c r="K13" s="12">
        <f>'Amortizacion Deuda'!F12</f>
        <v/>
      </c>
      <c r="L13" s="12">
        <f>D13-H13</f>
        <v/>
      </c>
      <c r="M13" s="12">
        <f>D13-G13-I13-J13</f>
        <v/>
      </c>
      <c r="N13" s="12">
        <f>G13+J13</f>
        <v/>
      </c>
      <c r="O13" s="12">
        <f>Supuestos!$B$16*(1+Supuestos!$B$15)^(A13-1)</f>
        <v/>
      </c>
      <c r="P13" s="12">
        <f>O13-C13</f>
        <v/>
      </c>
    </row>
    <row r="14" ht="15" customHeight="1">
      <c r="A14" s="11">
        <f>A13+1</f>
        <v/>
      </c>
      <c r="B14" s="12">
        <f>Supuestos!$B$13*(1+Supuestos!$B$15)^(A14-1)</f>
        <v/>
      </c>
      <c r="C14" s="12">
        <f>Supuestos!$B$14*(1+Supuestos!$B$15)^(A14-1)</f>
        <v/>
      </c>
      <c r="D14" s="12">
        <f>B14-C14</f>
        <v/>
      </c>
      <c r="E14" s="12">
        <f>Presupuesto!$B$9/Supuestos!$B$26</f>
        <v/>
      </c>
      <c r="F14" s="12">
        <f>D14-E14</f>
        <v/>
      </c>
      <c r="G14" s="12">
        <f>'Amortizacion Deuda'!C13</f>
        <v/>
      </c>
      <c r="H14" s="12">
        <f>MAX(0,F14)*Supuestos!$B$23</f>
        <v/>
      </c>
      <c r="I14" s="12">
        <f>MAX(0,F14-G14)*Supuestos!$B$23</f>
        <v/>
      </c>
      <c r="J14" s="12">
        <f>'Amortizacion Deuda'!D13</f>
        <v/>
      </c>
      <c r="K14" s="12">
        <f>'Amortizacion Deuda'!F13</f>
        <v/>
      </c>
      <c r="L14" s="12">
        <f>D14-H14</f>
        <v/>
      </c>
      <c r="M14" s="12">
        <f>D14-G14-I14-J14</f>
        <v/>
      </c>
      <c r="N14" s="12">
        <f>G14+J14</f>
        <v/>
      </c>
      <c r="O14" s="12">
        <f>Supuestos!$B$16*(1+Supuestos!$B$15)^(A14-1)</f>
        <v/>
      </c>
      <c r="P14" s="12">
        <f>O14-C14</f>
        <v/>
      </c>
    </row>
    <row r="15" ht="15" customHeight="1">
      <c r="A15" s="11">
        <f>A14+1</f>
        <v/>
      </c>
      <c r="B15" s="12">
        <f>Supuestos!$B$13*(1+Supuestos!$B$15)^(A15-1)</f>
        <v/>
      </c>
      <c r="C15" s="12">
        <f>Supuestos!$B$14*(1+Supuestos!$B$15)^(A15-1)</f>
        <v/>
      </c>
      <c r="D15" s="12">
        <f>B15-C15</f>
        <v/>
      </c>
      <c r="E15" s="12">
        <f>Presupuesto!$B$9/Supuestos!$B$26</f>
        <v/>
      </c>
      <c r="F15" s="12">
        <f>D15-E15</f>
        <v/>
      </c>
      <c r="G15" s="12">
        <f>'Amortizacion Deuda'!C14</f>
        <v/>
      </c>
      <c r="H15" s="12">
        <f>MAX(0,F15)*Supuestos!$B$23</f>
        <v/>
      </c>
      <c r="I15" s="12">
        <f>MAX(0,F15-G15)*Supuestos!$B$23</f>
        <v/>
      </c>
      <c r="J15" s="12">
        <f>'Amortizacion Deuda'!D14</f>
        <v/>
      </c>
      <c r="K15" s="12">
        <f>'Amortizacion Deuda'!F14</f>
        <v/>
      </c>
      <c r="L15" s="12">
        <f>D15-H15</f>
        <v/>
      </c>
      <c r="M15" s="12">
        <f>D15-G15-I15-J15</f>
        <v/>
      </c>
      <c r="N15" s="12">
        <f>G15+J15</f>
        <v/>
      </c>
      <c r="O15" s="12">
        <f>Supuestos!$B$16*(1+Supuestos!$B$15)^(A15-1)</f>
        <v/>
      </c>
      <c r="P15" s="12">
        <f>O15-C15</f>
        <v/>
      </c>
    </row>
    <row r="16" ht="15" customHeight="1">
      <c r="A16" s="11">
        <f>A15+1</f>
        <v/>
      </c>
      <c r="B16" s="12">
        <f>Supuestos!$B$13*(1+Supuestos!$B$15)^(A16-1)</f>
        <v/>
      </c>
      <c r="C16" s="12">
        <f>Supuestos!$B$14*(1+Supuestos!$B$15)^(A16-1)</f>
        <v/>
      </c>
      <c r="D16" s="12">
        <f>B16-C16</f>
        <v/>
      </c>
      <c r="E16" s="12">
        <f>Presupuesto!$B$9/Supuestos!$B$26</f>
        <v/>
      </c>
      <c r="F16" s="12">
        <f>D16-E16</f>
        <v/>
      </c>
      <c r="G16" s="12">
        <f>'Amortizacion Deuda'!C15</f>
        <v/>
      </c>
      <c r="H16" s="12">
        <f>MAX(0,F16)*Supuestos!$B$23</f>
        <v/>
      </c>
      <c r="I16" s="12">
        <f>MAX(0,F16-G16)*Supuestos!$B$23</f>
        <v/>
      </c>
      <c r="J16" s="12">
        <f>'Amortizacion Deuda'!D15</f>
        <v/>
      </c>
      <c r="K16" s="12">
        <f>'Amortizacion Deuda'!F15</f>
        <v/>
      </c>
      <c r="L16" s="12">
        <f>D16-H16</f>
        <v/>
      </c>
      <c r="M16" s="12">
        <f>D16-G16-I16-J16</f>
        <v/>
      </c>
      <c r="N16" s="12">
        <f>G16+J16</f>
        <v/>
      </c>
      <c r="O16" s="12">
        <f>Supuestos!$B$16*(1+Supuestos!$B$15)^(A16-1)</f>
        <v/>
      </c>
      <c r="P16" s="12">
        <f>O16-C16</f>
        <v/>
      </c>
    </row>
    <row r="17" ht="15" customHeight="1">
      <c r="A17" s="11">
        <f>A16+1</f>
        <v/>
      </c>
      <c r="B17" s="12">
        <f>Supuestos!$B$13*(1+Supuestos!$B$15)^(A17-1)</f>
        <v/>
      </c>
      <c r="C17" s="12">
        <f>Supuestos!$B$14*(1+Supuestos!$B$15)^(A17-1)</f>
        <v/>
      </c>
      <c r="D17" s="12">
        <f>B17-C17</f>
        <v/>
      </c>
      <c r="E17" s="12">
        <f>Presupuesto!$B$9/Supuestos!$B$26</f>
        <v/>
      </c>
      <c r="F17" s="12">
        <f>D17-E17</f>
        <v/>
      </c>
      <c r="G17" s="12">
        <f>'Amortizacion Deuda'!C16</f>
        <v/>
      </c>
      <c r="H17" s="12">
        <f>MAX(0,F17)*Supuestos!$B$23</f>
        <v/>
      </c>
      <c r="I17" s="12">
        <f>MAX(0,F17-G17)*Supuestos!$B$23</f>
        <v/>
      </c>
      <c r="J17" s="12">
        <f>'Amortizacion Deuda'!D16</f>
        <v/>
      </c>
      <c r="K17" s="12">
        <f>'Amortizacion Deuda'!F16</f>
        <v/>
      </c>
      <c r="L17" s="12">
        <f>D17-H17</f>
        <v/>
      </c>
      <c r="M17" s="12">
        <f>D17-G17-I17-J17</f>
        <v/>
      </c>
      <c r="N17" s="12">
        <f>G17+J17</f>
        <v/>
      </c>
      <c r="O17" s="12">
        <f>Supuestos!$B$16*(1+Supuestos!$B$15)^(A17-1)</f>
        <v/>
      </c>
      <c r="P17" s="12">
        <f>O17-C17</f>
        <v/>
      </c>
    </row>
    <row r="18" ht="15" customHeight="1">
      <c r="A18" s="11">
        <f>A17+1</f>
        <v/>
      </c>
      <c r="B18" s="12">
        <f>Supuestos!$B$13*(1+Supuestos!$B$15)^(A18-1)</f>
        <v/>
      </c>
      <c r="C18" s="12">
        <f>Supuestos!$B$14*(1+Supuestos!$B$15)^(A18-1)</f>
        <v/>
      </c>
      <c r="D18" s="12">
        <f>B18-C18</f>
        <v/>
      </c>
      <c r="E18" s="12">
        <f>Presupuesto!$B$9/Supuestos!$B$26</f>
        <v/>
      </c>
      <c r="F18" s="12">
        <f>D18-E18</f>
        <v/>
      </c>
      <c r="G18" s="12">
        <f>'Amortizacion Deuda'!C17</f>
        <v/>
      </c>
      <c r="H18" s="12">
        <f>MAX(0,F18)*Supuestos!$B$23</f>
        <v/>
      </c>
      <c r="I18" s="12">
        <f>MAX(0,F18-G18)*Supuestos!$B$23</f>
        <v/>
      </c>
      <c r="J18" s="12">
        <f>'Amortizacion Deuda'!D17</f>
        <v/>
      </c>
      <c r="K18" s="12">
        <f>'Amortizacion Deuda'!F17</f>
        <v/>
      </c>
      <c r="L18" s="12">
        <f>D18-H18</f>
        <v/>
      </c>
      <c r="M18" s="12">
        <f>D18-G18-I18-J18</f>
        <v/>
      </c>
      <c r="N18" s="12">
        <f>G18+J18</f>
        <v/>
      </c>
      <c r="O18" s="12">
        <f>Supuestos!$B$16*(1+Supuestos!$B$15)^(A18-1)</f>
        <v/>
      </c>
      <c r="P18" s="12">
        <f>O18-C18</f>
        <v/>
      </c>
    </row>
    <row r="19" ht="15" customHeight="1">
      <c r="A19" s="11">
        <f>A18+1</f>
        <v/>
      </c>
      <c r="B19" s="12">
        <f>Supuestos!$B$13*(1+Supuestos!$B$15)^(A19-1)</f>
        <v/>
      </c>
      <c r="C19" s="12">
        <f>Supuestos!$B$14*(1+Supuestos!$B$15)^(A19-1)</f>
        <v/>
      </c>
      <c r="D19" s="12">
        <f>B19-C19</f>
        <v/>
      </c>
      <c r="E19" s="12">
        <f>Presupuesto!$B$9/Supuestos!$B$26</f>
        <v/>
      </c>
      <c r="F19" s="12">
        <f>D19-E19</f>
        <v/>
      </c>
      <c r="G19" s="12">
        <f>'Amortizacion Deuda'!C18</f>
        <v/>
      </c>
      <c r="H19" s="12">
        <f>MAX(0,F19)*Supuestos!$B$23</f>
        <v/>
      </c>
      <c r="I19" s="12">
        <f>MAX(0,F19-G19)*Supuestos!$B$23</f>
        <v/>
      </c>
      <c r="J19" s="12">
        <f>'Amortizacion Deuda'!D18</f>
        <v/>
      </c>
      <c r="K19" s="12">
        <f>'Amortizacion Deuda'!F18</f>
        <v/>
      </c>
      <c r="L19" s="12">
        <f>D19-H19</f>
        <v/>
      </c>
      <c r="M19" s="12">
        <f>D19-G19-I19-J19</f>
        <v/>
      </c>
      <c r="N19" s="12">
        <f>G19+J19</f>
        <v/>
      </c>
      <c r="O19" s="12">
        <f>Supuestos!$B$16*(1+Supuestos!$B$15)^(A19-1)</f>
        <v/>
      </c>
      <c r="P19" s="12">
        <f>O19-C19</f>
        <v/>
      </c>
    </row>
    <row r="20" ht="15" customHeight="1">
      <c r="A20" s="11">
        <f>A19+1</f>
        <v/>
      </c>
      <c r="B20" s="12">
        <f>Supuestos!$B$13*(1+Supuestos!$B$15)^(A20-1)</f>
        <v/>
      </c>
      <c r="C20" s="12">
        <f>Supuestos!$B$14*(1+Supuestos!$B$15)^(A20-1)</f>
        <v/>
      </c>
      <c r="D20" s="12">
        <f>B20-C20</f>
        <v/>
      </c>
      <c r="E20" s="12">
        <f>Presupuesto!$B$9/Supuestos!$B$26</f>
        <v/>
      </c>
      <c r="F20" s="12">
        <f>D20-E20</f>
        <v/>
      </c>
      <c r="G20" s="12">
        <f>'Amortizacion Deuda'!C19</f>
        <v/>
      </c>
      <c r="H20" s="12">
        <f>MAX(0,F20)*Supuestos!$B$23</f>
        <v/>
      </c>
      <c r="I20" s="12">
        <f>MAX(0,F20-G20)*Supuestos!$B$23</f>
        <v/>
      </c>
      <c r="J20" s="12">
        <f>'Amortizacion Deuda'!D19</f>
        <v/>
      </c>
      <c r="K20" s="12">
        <f>'Amortizacion Deuda'!F19</f>
        <v/>
      </c>
      <c r="L20" s="12">
        <f>D20-H20</f>
        <v/>
      </c>
      <c r="M20" s="12">
        <f>D20-G20-I20-J20</f>
        <v/>
      </c>
      <c r="N20" s="12">
        <f>G20+J20</f>
        <v/>
      </c>
      <c r="O20" s="12">
        <f>Supuestos!$B$16*(1+Supuestos!$B$15)^(A20-1)</f>
        <v/>
      </c>
      <c r="P20" s="12">
        <f>O20-C20</f>
        <v/>
      </c>
    </row>
    <row r="21" ht="15" customHeight="1">
      <c r="A21" s="11">
        <f>A20+1</f>
        <v/>
      </c>
      <c r="B21" s="12">
        <f>Supuestos!$B$13*(1+Supuestos!$B$15)^(A21-1)</f>
        <v/>
      </c>
      <c r="C21" s="12">
        <f>Supuestos!$B$14*(1+Supuestos!$B$15)^(A21-1)</f>
        <v/>
      </c>
      <c r="D21" s="12">
        <f>B21-C21</f>
        <v/>
      </c>
      <c r="E21" s="12">
        <f>Presupuesto!$B$9/Supuestos!$B$26</f>
        <v/>
      </c>
      <c r="F21" s="12">
        <f>D21-E21</f>
        <v/>
      </c>
      <c r="G21" s="12">
        <f>'Amortizacion Deuda'!C20</f>
        <v/>
      </c>
      <c r="H21" s="12">
        <f>MAX(0,F21)*Supuestos!$B$23</f>
        <v/>
      </c>
      <c r="I21" s="12">
        <f>MAX(0,F21-G21)*Supuestos!$B$23</f>
        <v/>
      </c>
      <c r="J21" s="12">
        <f>'Amortizacion Deuda'!D20</f>
        <v/>
      </c>
      <c r="K21" s="12">
        <f>'Amortizacion Deuda'!F20</f>
        <v/>
      </c>
      <c r="L21" s="12">
        <f>D21-H21</f>
        <v/>
      </c>
      <c r="M21" s="12">
        <f>D21-G21-I21-J21</f>
        <v/>
      </c>
      <c r="N21" s="12">
        <f>G21+J21</f>
        <v/>
      </c>
      <c r="O21" s="12">
        <f>Supuestos!$B$16*(1+Supuestos!$B$15)^(A21-1)</f>
        <v/>
      </c>
      <c r="P21" s="12">
        <f>O21-C21</f>
        <v/>
      </c>
    </row>
    <row r="22" ht="15" customHeight="1">
      <c r="A22" s="11">
        <f>A21+1</f>
        <v/>
      </c>
      <c r="B22" s="12">
        <f>Supuestos!$B$13*(1+Supuestos!$B$15)^(A22-1)</f>
        <v/>
      </c>
      <c r="C22" s="12">
        <f>Supuestos!$B$14*(1+Supuestos!$B$15)^(A22-1)</f>
        <v/>
      </c>
      <c r="D22" s="12">
        <f>B22-C22</f>
        <v/>
      </c>
      <c r="E22" s="12">
        <f>Presupuesto!$B$9/Supuestos!$B$26</f>
        <v/>
      </c>
      <c r="F22" s="12">
        <f>D22-E22</f>
        <v/>
      </c>
      <c r="G22" s="12">
        <f>'Amortizacion Deuda'!C21</f>
        <v/>
      </c>
      <c r="H22" s="12">
        <f>MAX(0,F22)*Supuestos!$B$23</f>
        <v/>
      </c>
      <c r="I22" s="12">
        <f>MAX(0,F22-G22)*Supuestos!$B$23</f>
        <v/>
      </c>
      <c r="J22" s="12">
        <f>'Amortizacion Deuda'!D21</f>
        <v/>
      </c>
      <c r="K22" s="12">
        <f>'Amortizacion Deuda'!F21</f>
        <v/>
      </c>
      <c r="L22" s="12">
        <f>D22-H22</f>
        <v/>
      </c>
      <c r="M22" s="12">
        <f>D22-G22-I22-J22</f>
        <v/>
      </c>
      <c r="N22" s="12">
        <f>G22+J22</f>
        <v/>
      </c>
      <c r="O22" s="12">
        <f>Supuestos!$B$16*(1+Supuestos!$B$15)^(A22-1)</f>
        <v/>
      </c>
      <c r="P22" s="12">
        <f>O22-C22</f>
        <v/>
      </c>
    </row>
    <row r="23" ht="15" customHeight="1">
      <c r="A23" s="11">
        <f>A22+1</f>
        <v/>
      </c>
      <c r="B23" s="12">
        <f>Supuestos!$B$13*(1+Supuestos!$B$15)^(A23-1)</f>
        <v/>
      </c>
      <c r="C23" s="12">
        <f>Supuestos!$B$14*(1+Supuestos!$B$15)^(A23-1)</f>
        <v/>
      </c>
      <c r="D23" s="12">
        <f>B23-C23</f>
        <v/>
      </c>
      <c r="E23" s="12">
        <f>Presupuesto!$B$9/Supuestos!$B$26</f>
        <v/>
      </c>
      <c r="F23" s="12">
        <f>D23-E23</f>
        <v/>
      </c>
      <c r="G23" s="12">
        <f>'Amortizacion Deuda'!C22</f>
        <v/>
      </c>
      <c r="H23" s="12">
        <f>MAX(0,F23)*Supuestos!$B$23</f>
        <v/>
      </c>
      <c r="I23" s="12">
        <f>MAX(0,F23-G23)*Supuestos!$B$23</f>
        <v/>
      </c>
      <c r="J23" s="12">
        <f>'Amortizacion Deuda'!D22</f>
        <v/>
      </c>
      <c r="K23" s="12">
        <f>'Amortizacion Deuda'!F22</f>
        <v/>
      </c>
      <c r="L23" s="12">
        <f>D23-H23</f>
        <v/>
      </c>
      <c r="M23" s="12">
        <f>D23-G23-I23-J23</f>
        <v/>
      </c>
      <c r="N23" s="12">
        <f>G23+J23</f>
        <v/>
      </c>
      <c r="O23" s="12">
        <f>Supuestos!$B$16*(1+Supuestos!$B$15)^(A23-1)</f>
        <v/>
      </c>
      <c r="P23" s="12">
        <f>O23-C23</f>
        <v/>
      </c>
    </row>
    <row r="24" ht="15" customHeight="1">
      <c r="A24" s="11">
        <f>A23+1</f>
        <v/>
      </c>
      <c r="B24" s="12">
        <f>Supuestos!$B$13*(1+Supuestos!$B$15)^(A24-1)</f>
        <v/>
      </c>
      <c r="C24" s="12">
        <f>Supuestos!$B$14*(1+Supuestos!$B$15)^(A24-1)</f>
        <v/>
      </c>
      <c r="D24" s="12">
        <f>B24-C24</f>
        <v/>
      </c>
      <c r="E24" s="12">
        <f>Presupuesto!$B$9/Supuestos!$B$26</f>
        <v/>
      </c>
      <c r="F24" s="12">
        <f>D24-E24</f>
        <v/>
      </c>
      <c r="G24" s="12">
        <f>'Amortizacion Deuda'!C23</f>
        <v/>
      </c>
      <c r="H24" s="12">
        <f>MAX(0,F24)*Supuestos!$B$23</f>
        <v/>
      </c>
      <c r="I24" s="12">
        <f>MAX(0,F24-G24)*Supuestos!$B$23</f>
        <v/>
      </c>
      <c r="J24" s="12">
        <f>'Amortizacion Deuda'!D23</f>
        <v/>
      </c>
      <c r="K24" s="12">
        <f>'Amortizacion Deuda'!F23</f>
        <v/>
      </c>
      <c r="L24" s="12">
        <f>D24-H24</f>
        <v/>
      </c>
      <c r="M24" s="12">
        <f>D24-G24-I24-J24</f>
        <v/>
      </c>
      <c r="N24" s="12">
        <f>G24+J24</f>
        <v/>
      </c>
      <c r="O24" s="12">
        <f>Supuestos!$B$16*(1+Supuestos!$B$15)^(A24-1)</f>
        <v/>
      </c>
      <c r="P24" s="12">
        <f>O24-C24</f>
        <v/>
      </c>
    </row>
    <row r="25" ht="15" customHeight="1">
      <c r="A25" s="11">
        <f>A24+1</f>
        <v/>
      </c>
      <c r="B25" s="12">
        <f>Supuestos!$B$13*(1+Supuestos!$B$15)^(A25-1)</f>
        <v/>
      </c>
      <c r="C25" s="12">
        <f>Supuestos!$B$14*(1+Supuestos!$B$15)^(A25-1)</f>
        <v/>
      </c>
      <c r="D25" s="12">
        <f>B25-C25</f>
        <v/>
      </c>
      <c r="E25" s="12">
        <f>Presupuesto!$B$9/Supuestos!$B$26</f>
        <v/>
      </c>
      <c r="F25" s="12">
        <f>D25-E25</f>
        <v/>
      </c>
      <c r="G25" s="12">
        <f>'Amortizacion Deuda'!C24</f>
        <v/>
      </c>
      <c r="H25" s="12">
        <f>MAX(0,F25)*Supuestos!$B$23</f>
        <v/>
      </c>
      <c r="I25" s="12">
        <f>MAX(0,F25-G25)*Supuestos!$B$23</f>
        <v/>
      </c>
      <c r="J25" s="12">
        <f>'Amortizacion Deuda'!D24</f>
        <v/>
      </c>
      <c r="K25" s="12">
        <f>'Amortizacion Deuda'!F24</f>
        <v/>
      </c>
      <c r="L25" s="12">
        <f>D25-H25</f>
        <v/>
      </c>
      <c r="M25" s="12">
        <f>D25-G25-I25-J25</f>
        <v/>
      </c>
      <c r="N25" s="12">
        <f>G25+J25</f>
        <v/>
      </c>
      <c r="O25" s="12">
        <f>Supuestos!$B$16*(1+Supuestos!$B$15)^(A25-1)</f>
        <v/>
      </c>
      <c r="P25" s="12">
        <f>O25-C25</f>
        <v/>
      </c>
    </row>
    <row r="26" ht="15" customHeight="1">
      <c r="A26" s="11">
        <f>A25+1</f>
        <v/>
      </c>
      <c r="B26" s="12">
        <f>Supuestos!$B$13*(1+Supuestos!$B$15)^(A26-1)</f>
        <v/>
      </c>
      <c r="C26" s="12">
        <f>Supuestos!$B$14*(1+Supuestos!$B$15)^(A26-1)</f>
        <v/>
      </c>
      <c r="D26" s="12">
        <f>B26-C26</f>
        <v/>
      </c>
      <c r="E26" s="12">
        <f>Presupuesto!$B$9/Supuestos!$B$26</f>
        <v/>
      </c>
      <c r="F26" s="12">
        <f>D26-E26</f>
        <v/>
      </c>
      <c r="G26" s="12">
        <f>'Amortizacion Deuda'!C25</f>
        <v/>
      </c>
      <c r="H26" s="12">
        <f>MAX(0,F26)*Supuestos!$B$23</f>
        <v/>
      </c>
      <c r="I26" s="12">
        <f>MAX(0,F26-G26)*Supuestos!$B$23</f>
        <v/>
      </c>
      <c r="J26" s="12">
        <f>'Amortizacion Deuda'!D25</f>
        <v/>
      </c>
      <c r="K26" s="12">
        <f>'Amortizacion Deuda'!F25</f>
        <v/>
      </c>
      <c r="L26" s="12">
        <f>D26-H26</f>
        <v/>
      </c>
      <c r="M26" s="12">
        <f>D26-G26-I26-J26</f>
        <v/>
      </c>
      <c r="N26" s="12">
        <f>G26+J26</f>
        <v/>
      </c>
      <c r="O26" s="12">
        <f>Supuestos!$B$16*(1+Supuestos!$B$15)^(A26-1)</f>
        <v/>
      </c>
      <c r="P26" s="12">
        <f>O26-C26</f>
        <v/>
      </c>
    </row>
    <row r="27" ht="15" customHeight="1">
      <c r="A27" s="11">
        <f>A26+1</f>
        <v/>
      </c>
      <c r="B27" s="12">
        <f>Supuestos!$B$13*(1+Supuestos!$B$15)^(A27-1)</f>
        <v/>
      </c>
      <c r="C27" s="12">
        <f>Supuestos!$B$14*(1+Supuestos!$B$15)^(A27-1)</f>
        <v/>
      </c>
      <c r="D27" s="12">
        <f>B27-C27</f>
        <v/>
      </c>
      <c r="E27" s="12">
        <f>Presupuesto!$B$9/Supuestos!$B$26</f>
        <v/>
      </c>
      <c r="F27" s="12">
        <f>D27-E27</f>
        <v/>
      </c>
      <c r="G27" s="12">
        <f>'Amortizacion Deuda'!C26</f>
        <v/>
      </c>
      <c r="H27" s="12">
        <f>MAX(0,F27)*Supuestos!$B$23</f>
        <v/>
      </c>
      <c r="I27" s="12">
        <f>MAX(0,F27-G27)*Supuestos!$B$23</f>
        <v/>
      </c>
      <c r="J27" s="12">
        <f>'Amortizacion Deuda'!D26</f>
        <v/>
      </c>
      <c r="K27" s="12">
        <f>'Amortizacion Deuda'!F26</f>
        <v/>
      </c>
      <c r="L27" s="12">
        <f>D27-H27</f>
        <v/>
      </c>
      <c r="M27" s="12">
        <f>D27-G27-I27-J27</f>
        <v/>
      </c>
      <c r="N27" s="12">
        <f>G27+J27</f>
        <v/>
      </c>
      <c r="O27" s="12">
        <f>Supuestos!$B$16*(1+Supuestos!$B$15)^(A27-1)</f>
        <v/>
      </c>
      <c r="P27" s="12">
        <f>O27-C27</f>
        <v/>
      </c>
    </row>
    <row r="28" ht="15" customHeight="1">
      <c r="A28" s="11">
        <f>A27+1</f>
        <v/>
      </c>
      <c r="B28" s="12">
        <f>Supuestos!$B$13*(1+Supuestos!$B$15)^(A28-1)</f>
        <v/>
      </c>
      <c r="C28" s="12">
        <f>Supuestos!$B$14*(1+Supuestos!$B$15)^(A28-1)</f>
        <v/>
      </c>
      <c r="D28" s="12">
        <f>B28-C28</f>
        <v/>
      </c>
      <c r="E28" s="12">
        <f>Presupuesto!$B$9/Supuestos!$B$26</f>
        <v/>
      </c>
      <c r="F28" s="12">
        <f>D28-E28</f>
        <v/>
      </c>
      <c r="G28" s="12">
        <f>'Amortizacion Deuda'!C27</f>
        <v/>
      </c>
      <c r="H28" s="12">
        <f>MAX(0,F28)*Supuestos!$B$23</f>
        <v/>
      </c>
      <c r="I28" s="12">
        <f>MAX(0,F28-G28)*Supuestos!$B$23</f>
        <v/>
      </c>
      <c r="J28" s="12">
        <f>'Amortizacion Deuda'!D27</f>
        <v/>
      </c>
      <c r="K28" s="12">
        <f>'Amortizacion Deuda'!F27</f>
        <v/>
      </c>
      <c r="L28" s="12">
        <f>D28-H28</f>
        <v/>
      </c>
      <c r="M28" s="12">
        <f>D28-G28-I28-J28</f>
        <v/>
      </c>
      <c r="N28" s="12">
        <f>G28+J28</f>
        <v/>
      </c>
      <c r="O28" s="12">
        <f>Supuestos!$B$16*(1+Supuestos!$B$15)^(A28-1)</f>
        <v/>
      </c>
      <c r="P28" s="12">
        <f>O28-C28</f>
        <v/>
      </c>
    </row>
  </sheetData>
  <autoFilter ref="A2:P2"/>
  <mergeCells count="1">
    <mergeCell ref="A1:P1"/>
  </mergeCells>
  <pageMargins left="0.75" right="0.75" top="1" bottom="1" header="0.5" footer="0.5"/>
  <pageSetup orientation="landscape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F8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13.00390625" customWidth="1" min="1" max="32"/>
  </cols>
  <sheetData>
    <row r="1" ht="15" customHeight="1">
      <c r="A1" s="4" t="inlineStr">
        <is>
          <t>APORTE PÚBLICO VS TIR INVERSIONISTA</t>
        </is>
      </c>
    </row>
    <row r="2" ht="15" customHeight="1">
      <c r="A2" s="33" t="inlineStr">
        <is>
          <t>Aporte</t>
        </is>
      </c>
      <c r="B2" s="33" t="inlineStr">
        <is>
          <t>Deuda</t>
        </is>
      </c>
      <c r="C2" s="33" t="inlineStr">
        <is>
          <t>Equity</t>
        </is>
      </c>
      <c r="D2" s="33" t="inlineStr">
        <is>
          <t>TIR</t>
        </is>
      </c>
      <c r="E2" s="33" t="inlineStr">
        <is>
          <t>VPN @ Ke</t>
        </is>
      </c>
      <c r="F2" s="33" t="inlineStr">
        <is>
          <t>Criterio</t>
        </is>
      </c>
      <c r="G2" s="33" t="n">
        <v>0</v>
      </c>
      <c r="H2" s="33" t="n">
        <v>1</v>
      </c>
      <c r="I2" s="33" t="n">
        <v>2</v>
      </c>
      <c r="J2" s="33" t="n">
        <v>3</v>
      </c>
      <c r="K2" s="33" t="n">
        <v>4</v>
      </c>
      <c r="L2" s="33" t="n">
        <v>5</v>
      </c>
      <c r="M2" s="33" t="n">
        <v>6</v>
      </c>
      <c r="N2" s="33" t="n">
        <v>7</v>
      </c>
      <c r="O2" s="33" t="n">
        <v>8</v>
      </c>
      <c r="P2" s="33" t="n">
        <v>9</v>
      </c>
      <c r="Q2" s="33" t="n">
        <v>10</v>
      </c>
      <c r="R2" s="33" t="n">
        <v>11</v>
      </c>
      <c r="S2" s="33" t="n">
        <v>12</v>
      </c>
      <c r="T2" s="33" t="n">
        <v>13</v>
      </c>
      <c r="U2" s="33" t="n">
        <v>14</v>
      </c>
      <c r="V2" s="33" t="n">
        <v>15</v>
      </c>
      <c r="W2" s="33" t="n">
        <v>16</v>
      </c>
      <c r="X2" s="33" t="n">
        <v>17</v>
      </c>
      <c r="Y2" s="33" t="n">
        <v>18</v>
      </c>
      <c r="Z2" s="33" t="n">
        <v>19</v>
      </c>
      <c r="AA2" s="33" t="n">
        <v>20</v>
      </c>
      <c r="AB2" s="33" t="n">
        <v>21</v>
      </c>
      <c r="AC2" s="33" t="n">
        <v>22</v>
      </c>
      <c r="AD2" s="33" t="n">
        <v>23</v>
      </c>
      <c r="AE2" s="33" t="n">
        <v>24</v>
      </c>
      <c r="AF2" s="33" t="n">
        <v>25</v>
      </c>
    </row>
    <row r="3" ht="15" customHeight="1">
      <c r="A3" s="13" t="n">
        <v>0</v>
      </c>
      <c r="B3" s="14">
        <f>(1-A3)/2*Presupuesto!$B$9</f>
        <v/>
      </c>
      <c r="C3" s="14">
        <f>(1-A3)/2*Presupuesto!$B$9</f>
        <v/>
      </c>
      <c r="D3" s="15">
        <f>IRR(G3:AF3)</f>
        <v/>
      </c>
      <c r="E3" s="14">
        <f>NPV(Supuestos!$B$22,H3:AF3)+G3</f>
        <v/>
      </c>
      <c r="F3" s="14">
        <f>IF(D3&gt;=Supuestos!$B$22,"Viable","No viable")</f>
        <v/>
      </c>
      <c r="G3" s="14">
        <f>-C3</f>
        <v/>
      </c>
      <c r="H3" s="14">
        <f>'Flujos de Caja'!D4-('Amortizacion Deuda'!C3*B3/Financiacion!$C$4)-('Amortizacion Deuda'!D3*B3/Financiacion!$C$4)-MAX(0,'Flujos de Caja'!F4-('Amortizacion Deuda'!C3*B3/Financiacion!$C$4))*Supuestos!$B$23</f>
        <v/>
      </c>
      <c r="I3" s="14">
        <f>'Flujos de Caja'!D5-('Amortizacion Deuda'!C4*B3/Financiacion!$C$4)-('Amortizacion Deuda'!D4*B3/Financiacion!$C$4)-MAX(0,'Flujos de Caja'!F5-('Amortizacion Deuda'!C4*B3/Financiacion!$C$4))*Supuestos!$B$23</f>
        <v/>
      </c>
      <c r="J3" s="14">
        <f>'Flujos de Caja'!D6-('Amortizacion Deuda'!C5*B3/Financiacion!$C$4)-('Amortizacion Deuda'!D5*B3/Financiacion!$C$4)-MAX(0,'Flujos de Caja'!F6-('Amortizacion Deuda'!C5*B3/Financiacion!$C$4))*Supuestos!$B$23</f>
        <v/>
      </c>
      <c r="K3" s="14">
        <f>'Flujos de Caja'!D7-('Amortizacion Deuda'!C6*B3/Financiacion!$C$4)-('Amortizacion Deuda'!D6*B3/Financiacion!$C$4)-MAX(0,'Flujos de Caja'!F7-('Amortizacion Deuda'!C6*B3/Financiacion!$C$4))*Supuestos!$B$23</f>
        <v/>
      </c>
      <c r="L3" s="14">
        <f>'Flujos de Caja'!D8-('Amortizacion Deuda'!C7*B3/Financiacion!$C$4)-('Amortizacion Deuda'!D7*B3/Financiacion!$C$4)-MAX(0,'Flujos de Caja'!F8-('Amortizacion Deuda'!C7*B3/Financiacion!$C$4))*Supuestos!$B$23</f>
        <v/>
      </c>
      <c r="M3" s="14">
        <f>'Flujos de Caja'!D9-('Amortizacion Deuda'!C8*B3/Financiacion!$C$4)-('Amortizacion Deuda'!D8*B3/Financiacion!$C$4)-MAX(0,'Flujos de Caja'!F9-('Amortizacion Deuda'!C8*B3/Financiacion!$C$4))*Supuestos!$B$23</f>
        <v/>
      </c>
      <c r="N3" s="14">
        <f>'Flujos de Caja'!D10-('Amortizacion Deuda'!C9*B3/Financiacion!$C$4)-('Amortizacion Deuda'!D9*B3/Financiacion!$C$4)-MAX(0,'Flujos de Caja'!F10-('Amortizacion Deuda'!C9*B3/Financiacion!$C$4))*Supuestos!$B$23</f>
        <v/>
      </c>
      <c r="O3" s="14">
        <f>'Flujos de Caja'!D11-('Amortizacion Deuda'!C10*B3/Financiacion!$C$4)-('Amortizacion Deuda'!D10*B3/Financiacion!$C$4)-MAX(0,'Flujos de Caja'!F11-('Amortizacion Deuda'!C10*B3/Financiacion!$C$4))*Supuestos!$B$23</f>
        <v/>
      </c>
      <c r="P3" s="14">
        <f>'Flujos de Caja'!D12-('Amortizacion Deuda'!C11*B3/Financiacion!$C$4)-('Amortizacion Deuda'!D11*B3/Financiacion!$C$4)-MAX(0,'Flujos de Caja'!F12-('Amortizacion Deuda'!C11*B3/Financiacion!$C$4))*Supuestos!$B$23</f>
        <v/>
      </c>
      <c r="Q3" s="14">
        <f>'Flujos de Caja'!D13-('Amortizacion Deuda'!C12*B3/Financiacion!$C$4)-('Amortizacion Deuda'!D12*B3/Financiacion!$C$4)-MAX(0,'Flujos de Caja'!F13-('Amortizacion Deuda'!C12*B3/Financiacion!$C$4))*Supuestos!$B$23</f>
        <v/>
      </c>
      <c r="R3" s="14">
        <f>'Flujos de Caja'!D14-('Amortizacion Deuda'!C13*B3/Financiacion!$C$4)-('Amortizacion Deuda'!D13*B3/Financiacion!$C$4)-MAX(0,'Flujos de Caja'!F14-('Amortizacion Deuda'!C13*B3/Financiacion!$C$4))*Supuestos!$B$23</f>
        <v/>
      </c>
      <c r="S3" s="14">
        <f>'Flujos de Caja'!D15-('Amortizacion Deuda'!C14*B3/Financiacion!$C$4)-('Amortizacion Deuda'!D14*B3/Financiacion!$C$4)-MAX(0,'Flujos de Caja'!F15-('Amortizacion Deuda'!C14*B3/Financiacion!$C$4))*Supuestos!$B$23</f>
        <v/>
      </c>
      <c r="T3" s="14">
        <f>'Flujos de Caja'!D16-('Amortizacion Deuda'!C15*B3/Financiacion!$C$4)-('Amortizacion Deuda'!D15*B3/Financiacion!$C$4)-MAX(0,'Flujos de Caja'!F16-('Amortizacion Deuda'!C15*B3/Financiacion!$C$4))*Supuestos!$B$23</f>
        <v/>
      </c>
      <c r="U3" s="14">
        <f>'Flujos de Caja'!D17-('Amortizacion Deuda'!C16*B3/Financiacion!$C$4)-('Amortizacion Deuda'!D16*B3/Financiacion!$C$4)-MAX(0,'Flujos de Caja'!F17-('Amortizacion Deuda'!C16*B3/Financiacion!$C$4))*Supuestos!$B$23</f>
        <v/>
      </c>
      <c r="V3" s="14">
        <f>'Flujos de Caja'!D18-('Amortizacion Deuda'!C17*B3/Financiacion!$C$4)-('Amortizacion Deuda'!D17*B3/Financiacion!$C$4)-MAX(0,'Flujos de Caja'!F18-('Amortizacion Deuda'!C17*B3/Financiacion!$C$4))*Supuestos!$B$23</f>
        <v/>
      </c>
      <c r="W3" s="14">
        <f>'Flujos de Caja'!D19-('Amortizacion Deuda'!C18*B3/Financiacion!$C$4)-('Amortizacion Deuda'!D18*B3/Financiacion!$C$4)-MAX(0,'Flujos de Caja'!F19-('Amortizacion Deuda'!C18*B3/Financiacion!$C$4))*Supuestos!$B$23</f>
        <v/>
      </c>
      <c r="X3" s="14">
        <f>'Flujos de Caja'!D20-('Amortizacion Deuda'!C19*B3/Financiacion!$C$4)-('Amortizacion Deuda'!D19*B3/Financiacion!$C$4)-MAX(0,'Flujos de Caja'!F20-('Amortizacion Deuda'!C19*B3/Financiacion!$C$4))*Supuestos!$B$23</f>
        <v/>
      </c>
      <c r="Y3" s="14">
        <f>'Flujos de Caja'!D21-('Amortizacion Deuda'!C20*B3/Financiacion!$C$4)-('Amortizacion Deuda'!D20*B3/Financiacion!$C$4)-MAX(0,'Flujos de Caja'!F21-('Amortizacion Deuda'!C20*B3/Financiacion!$C$4))*Supuestos!$B$23</f>
        <v/>
      </c>
      <c r="Z3" s="14">
        <f>'Flujos de Caja'!D22-('Amortizacion Deuda'!C21*B3/Financiacion!$C$4)-('Amortizacion Deuda'!D21*B3/Financiacion!$C$4)-MAX(0,'Flujos de Caja'!F22-('Amortizacion Deuda'!C21*B3/Financiacion!$C$4))*Supuestos!$B$23</f>
        <v/>
      </c>
      <c r="AA3" s="14">
        <f>'Flujos de Caja'!D23-('Amortizacion Deuda'!C22*B3/Financiacion!$C$4)-('Amortizacion Deuda'!D22*B3/Financiacion!$C$4)-MAX(0,'Flujos de Caja'!F23-('Amortizacion Deuda'!C22*B3/Financiacion!$C$4))*Supuestos!$B$23</f>
        <v/>
      </c>
      <c r="AB3" s="14">
        <f>'Flujos de Caja'!D24-('Amortizacion Deuda'!C23*B3/Financiacion!$C$4)-('Amortizacion Deuda'!D23*B3/Financiacion!$C$4)-MAX(0,'Flujos de Caja'!F24-('Amortizacion Deuda'!C23*B3/Financiacion!$C$4))*Supuestos!$B$23</f>
        <v/>
      </c>
      <c r="AC3" s="14">
        <f>'Flujos de Caja'!D25-('Amortizacion Deuda'!C24*B3/Financiacion!$C$4)-('Amortizacion Deuda'!D24*B3/Financiacion!$C$4)-MAX(0,'Flujos de Caja'!F25-('Amortizacion Deuda'!C24*B3/Financiacion!$C$4))*Supuestos!$B$23</f>
        <v/>
      </c>
      <c r="AD3" s="14">
        <f>'Flujos de Caja'!D26-('Amortizacion Deuda'!C25*B3/Financiacion!$C$4)-('Amortizacion Deuda'!D25*B3/Financiacion!$C$4)-MAX(0,'Flujos de Caja'!F26-('Amortizacion Deuda'!C25*B3/Financiacion!$C$4))*Supuestos!$B$23</f>
        <v/>
      </c>
      <c r="AE3" s="14">
        <f>'Flujos de Caja'!D27-('Amortizacion Deuda'!C26*B3/Financiacion!$C$4)-('Amortizacion Deuda'!D26*B3/Financiacion!$C$4)-MAX(0,'Flujos de Caja'!F27-('Amortizacion Deuda'!C26*B3/Financiacion!$C$4))*Supuestos!$B$23</f>
        <v/>
      </c>
      <c r="AF3" s="14">
        <f>'Flujos de Caja'!D28-('Amortizacion Deuda'!C27*B3/Financiacion!$C$4)-('Amortizacion Deuda'!D27*B3/Financiacion!$C$4)-MAX(0,'Flujos de Caja'!F28-('Amortizacion Deuda'!C27*B3/Financiacion!$C$4))*Supuestos!$B$23</f>
        <v/>
      </c>
    </row>
    <row r="4" ht="15" customHeight="1">
      <c r="A4" s="13" t="n">
        <v>0.4</v>
      </c>
      <c r="B4" s="14">
        <f>(1-A4)/2*Presupuesto!$B$9</f>
        <v/>
      </c>
      <c r="C4" s="14">
        <f>(1-A4)/2*Presupuesto!$B$9</f>
        <v/>
      </c>
      <c r="D4" s="15">
        <f>IRR(G4:AF4)</f>
        <v/>
      </c>
      <c r="E4" s="14">
        <f>NPV(Supuestos!$B$22,H4:AF4)+G4</f>
        <v/>
      </c>
      <c r="F4" s="14">
        <f>IF(D4&gt;=Supuestos!$B$22,"Viable","No viable")</f>
        <v/>
      </c>
      <c r="G4" s="14">
        <f>-C4</f>
        <v/>
      </c>
      <c r="H4" s="14">
        <f>'Flujos de Caja'!D4-('Amortizacion Deuda'!C3*B4/Financiacion!$C$4)-('Amortizacion Deuda'!D3*B4/Financiacion!$C$4)-MAX(0,'Flujos de Caja'!F4-('Amortizacion Deuda'!C3*B4/Financiacion!$C$4))*Supuestos!$B$23</f>
        <v/>
      </c>
      <c r="I4" s="14">
        <f>'Flujos de Caja'!D5-('Amortizacion Deuda'!C4*B4/Financiacion!$C$4)-('Amortizacion Deuda'!D4*B4/Financiacion!$C$4)-MAX(0,'Flujos de Caja'!F5-('Amortizacion Deuda'!C4*B4/Financiacion!$C$4))*Supuestos!$B$23</f>
        <v/>
      </c>
      <c r="J4" s="14">
        <f>'Flujos de Caja'!D6-('Amortizacion Deuda'!C5*B4/Financiacion!$C$4)-('Amortizacion Deuda'!D5*B4/Financiacion!$C$4)-MAX(0,'Flujos de Caja'!F6-('Amortizacion Deuda'!C5*B4/Financiacion!$C$4))*Supuestos!$B$23</f>
        <v/>
      </c>
      <c r="K4" s="14">
        <f>'Flujos de Caja'!D7-('Amortizacion Deuda'!C6*B4/Financiacion!$C$4)-('Amortizacion Deuda'!D6*B4/Financiacion!$C$4)-MAX(0,'Flujos de Caja'!F7-('Amortizacion Deuda'!C6*B4/Financiacion!$C$4))*Supuestos!$B$23</f>
        <v/>
      </c>
      <c r="L4" s="14">
        <f>'Flujos de Caja'!D8-('Amortizacion Deuda'!C7*B4/Financiacion!$C$4)-('Amortizacion Deuda'!D7*B4/Financiacion!$C$4)-MAX(0,'Flujos de Caja'!F8-('Amortizacion Deuda'!C7*B4/Financiacion!$C$4))*Supuestos!$B$23</f>
        <v/>
      </c>
      <c r="M4" s="14">
        <f>'Flujos de Caja'!D9-('Amortizacion Deuda'!C8*B4/Financiacion!$C$4)-('Amortizacion Deuda'!D8*B4/Financiacion!$C$4)-MAX(0,'Flujos de Caja'!F9-('Amortizacion Deuda'!C8*B4/Financiacion!$C$4))*Supuestos!$B$23</f>
        <v/>
      </c>
      <c r="N4" s="14">
        <f>'Flujos de Caja'!D10-('Amortizacion Deuda'!C9*B4/Financiacion!$C$4)-('Amortizacion Deuda'!D9*B4/Financiacion!$C$4)-MAX(0,'Flujos de Caja'!F10-('Amortizacion Deuda'!C9*B4/Financiacion!$C$4))*Supuestos!$B$23</f>
        <v/>
      </c>
      <c r="O4" s="14">
        <f>'Flujos de Caja'!D11-('Amortizacion Deuda'!C10*B4/Financiacion!$C$4)-('Amortizacion Deuda'!D10*B4/Financiacion!$C$4)-MAX(0,'Flujos de Caja'!F11-('Amortizacion Deuda'!C10*B4/Financiacion!$C$4))*Supuestos!$B$23</f>
        <v/>
      </c>
      <c r="P4" s="14">
        <f>'Flujos de Caja'!D12-('Amortizacion Deuda'!C11*B4/Financiacion!$C$4)-('Amortizacion Deuda'!D11*B4/Financiacion!$C$4)-MAX(0,'Flujos de Caja'!F12-('Amortizacion Deuda'!C11*B4/Financiacion!$C$4))*Supuestos!$B$23</f>
        <v/>
      </c>
      <c r="Q4" s="14">
        <f>'Flujos de Caja'!D13-('Amortizacion Deuda'!C12*B4/Financiacion!$C$4)-('Amortizacion Deuda'!D12*B4/Financiacion!$C$4)-MAX(0,'Flujos de Caja'!F13-('Amortizacion Deuda'!C12*B4/Financiacion!$C$4))*Supuestos!$B$23</f>
        <v/>
      </c>
      <c r="R4" s="14">
        <f>'Flujos de Caja'!D14-('Amortizacion Deuda'!C13*B4/Financiacion!$C$4)-('Amortizacion Deuda'!D13*B4/Financiacion!$C$4)-MAX(0,'Flujos de Caja'!F14-('Amortizacion Deuda'!C13*B4/Financiacion!$C$4))*Supuestos!$B$23</f>
        <v/>
      </c>
      <c r="S4" s="14">
        <f>'Flujos de Caja'!D15-('Amortizacion Deuda'!C14*B4/Financiacion!$C$4)-('Amortizacion Deuda'!D14*B4/Financiacion!$C$4)-MAX(0,'Flujos de Caja'!F15-('Amortizacion Deuda'!C14*B4/Financiacion!$C$4))*Supuestos!$B$23</f>
        <v/>
      </c>
      <c r="T4" s="14">
        <f>'Flujos de Caja'!D16-('Amortizacion Deuda'!C15*B4/Financiacion!$C$4)-('Amortizacion Deuda'!D15*B4/Financiacion!$C$4)-MAX(0,'Flujos de Caja'!F16-('Amortizacion Deuda'!C15*B4/Financiacion!$C$4))*Supuestos!$B$23</f>
        <v/>
      </c>
      <c r="U4" s="14">
        <f>'Flujos de Caja'!D17-('Amortizacion Deuda'!C16*B4/Financiacion!$C$4)-('Amortizacion Deuda'!D16*B4/Financiacion!$C$4)-MAX(0,'Flujos de Caja'!F17-('Amortizacion Deuda'!C16*B4/Financiacion!$C$4))*Supuestos!$B$23</f>
        <v/>
      </c>
      <c r="V4" s="14">
        <f>'Flujos de Caja'!D18-('Amortizacion Deuda'!C17*B4/Financiacion!$C$4)-('Amortizacion Deuda'!D17*B4/Financiacion!$C$4)-MAX(0,'Flujos de Caja'!F18-('Amortizacion Deuda'!C17*B4/Financiacion!$C$4))*Supuestos!$B$23</f>
        <v/>
      </c>
      <c r="W4" s="14">
        <f>'Flujos de Caja'!D19-('Amortizacion Deuda'!C18*B4/Financiacion!$C$4)-('Amortizacion Deuda'!D18*B4/Financiacion!$C$4)-MAX(0,'Flujos de Caja'!F19-('Amortizacion Deuda'!C18*B4/Financiacion!$C$4))*Supuestos!$B$23</f>
        <v/>
      </c>
      <c r="X4" s="14">
        <f>'Flujos de Caja'!D20-('Amortizacion Deuda'!C19*B4/Financiacion!$C$4)-('Amortizacion Deuda'!D19*B4/Financiacion!$C$4)-MAX(0,'Flujos de Caja'!F20-('Amortizacion Deuda'!C19*B4/Financiacion!$C$4))*Supuestos!$B$23</f>
        <v/>
      </c>
      <c r="Y4" s="14">
        <f>'Flujos de Caja'!D21-('Amortizacion Deuda'!C20*B4/Financiacion!$C$4)-('Amortizacion Deuda'!D20*B4/Financiacion!$C$4)-MAX(0,'Flujos de Caja'!F21-('Amortizacion Deuda'!C20*B4/Financiacion!$C$4))*Supuestos!$B$23</f>
        <v/>
      </c>
      <c r="Z4" s="14">
        <f>'Flujos de Caja'!D22-('Amortizacion Deuda'!C21*B4/Financiacion!$C$4)-('Amortizacion Deuda'!D21*B4/Financiacion!$C$4)-MAX(0,'Flujos de Caja'!F22-('Amortizacion Deuda'!C21*B4/Financiacion!$C$4))*Supuestos!$B$23</f>
        <v/>
      </c>
      <c r="AA4" s="14">
        <f>'Flujos de Caja'!D23-('Amortizacion Deuda'!C22*B4/Financiacion!$C$4)-('Amortizacion Deuda'!D22*B4/Financiacion!$C$4)-MAX(0,'Flujos de Caja'!F23-('Amortizacion Deuda'!C22*B4/Financiacion!$C$4))*Supuestos!$B$23</f>
        <v/>
      </c>
      <c r="AB4" s="14">
        <f>'Flujos de Caja'!D24-('Amortizacion Deuda'!C23*B4/Financiacion!$C$4)-('Amortizacion Deuda'!D23*B4/Financiacion!$C$4)-MAX(0,'Flujos de Caja'!F24-('Amortizacion Deuda'!C23*B4/Financiacion!$C$4))*Supuestos!$B$23</f>
        <v/>
      </c>
      <c r="AC4" s="14">
        <f>'Flujos de Caja'!D25-('Amortizacion Deuda'!C24*B4/Financiacion!$C$4)-('Amortizacion Deuda'!D24*B4/Financiacion!$C$4)-MAX(0,'Flujos de Caja'!F25-('Amortizacion Deuda'!C24*B4/Financiacion!$C$4))*Supuestos!$B$23</f>
        <v/>
      </c>
      <c r="AD4" s="14">
        <f>'Flujos de Caja'!D26-('Amortizacion Deuda'!C25*B4/Financiacion!$C$4)-('Amortizacion Deuda'!D25*B4/Financiacion!$C$4)-MAX(0,'Flujos de Caja'!F26-('Amortizacion Deuda'!C25*B4/Financiacion!$C$4))*Supuestos!$B$23</f>
        <v/>
      </c>
      <c r="AE4" s="14">
        <f>'Flujos de Caja'!D27-('Amortizacion Deuda'!C26*B4/Financiacion!$C$4)-('Amortizacion Deuda'!D26*B4/Financiacion!$C$4)-MAX(0,'Flujos de Caja'!F27-('Amortizacion Deuda'!C26*B4/Financiacion!$C$4))*Supuestos!$B$23</f>
        <v/>
      </c>
      <c r="AF4" s="14">
        <f>'Flujos de Caja'!D28-('Amortizacion Deuda'!C27*B4/Financiacion!$C$4)-('Amortizacion Deuda'!D27*B4/Financiacion!$C$4)-MAX(0,'Flujos de Caja'!F28-('Amortizacion Deuda'!C27*B4/Financiacion!$C$4))*Supuestos!$B$23</f>
        <v/>
      </c>
    </row>
    <row r="5" ht="15" customHeight="1">
      <c r="A5" s="13" t="n">
        <v>0.6</v>
      </c>
      <c r="B5" s="14">
        <f>(1-A5)/2*Presupuesto!$B$9</f>
        <v/>
      </c>
      <c r="C5" s="14">
        <f>(1-A5)/2*Presupuesto!$B$9</f>
        <v/>
      </c>
      <c r="D5" s="15">
        <f>IRR(G5:AF5)</f>
        <v/>
      </c>
      <c r="E5" s="14">
        <f>NPV(Supuestos!$B$22,H5:AF5)+G5</f>
        <v/>
      </c>
      <c r="F5" s="14">
        <f>IF(D5&gt;=Supuestos!$B$22,"Viable","No viable")</f>
        <v/>
      </c>
      <c r="G5" s="14">
        <f>-C5</f>
        <v/>
      </c>
      <c r="H5" s="14">
        <f>'Flujos de Caja'!D4-('Amortizacion Deuda'!C3*B5/Financiacion!$C$4)-('Amortizacion Deuda'!D3*B5/Financiacion!$C$4)-MAX(0,'Flujos de Caja'!F4-('Amortizacion Deuda'!C3*B5/Financiacion!$C$4))*Supuestos!$B$23</f>
        <v/>
      </c>
      <c r="I5" s="14">
        <f>'Flujos de Caja'!D5-('Amortizacion Deuda'!C4*B5/Financiacion!$C$4)-('Amortizacion Deuda'!D4*B5/Financiacion!$C$4)-MAX(0,'Flujos de Caja'!F5-('Amortizacion Deuda'!C4*B5/Financiacion!$C$4))*Supuestos!$B$23</f>
        <v/>
      </c>
      <c r="J5" s="14">
        <f>'Flujos de Caja'!D6-('Amortizacion Deuda'!C5*B5/Financiacion!$C$4)-('Amortizacion Deuda'!D5*B5/Financiacion!$C$4)-MAX(0,'Flujos de Caja'!F6-('Amortizacion Deuda'!C5*B5/Financiacion!$C$4))*Supuestos!$B$23</f>
        <v/>
      </c>
      <c r="K5" s="14">
        <f>'Flujos de Caja'!D7-('Amortizacion Deuda'!C6*B5/Financiacion!$C$4)-('Amortizacion Deuda'!D6*B5/Financiacion!$C$4)-MAX(0,'Flujos de Caja'!F7-('Amortizacion Deuda'!C6*B5/Financiacion!$C$4))*Supuestos!$B$23</f>
        <v/>
      </c>
      <c r="L5" s="14">
        <f>'Flujos de Caja'!D8-('Amortizacion Deuda'!C7*B5/Financiacion!$C$4)-('Amortizacion Deuda'!D7*B5/Financiacion!$C$4)-MAX(0,'Flujos de Caja'!F8-('Amortizacion Deuda'!C7*B5/Financiacion!$C$4))*Supuestos!$B$23</f>
        <v/>
      </c>
      <c r="M5" s="14">
        <f>'Flujos de Caja'!D9-('Amortizacion Deuda'!C8*B5/Financiacion!$C$4)-('Amortizacion Deuda'!D8*B5/Financiacion!$C$4)-MAX(0,'Flujos de Caja'!F9-('Amortizacion Deuda'!C8*B5/Financiacion!$C$4))*Supuestos!$B$23</f>
        <v/>
      </c>
      <c r="N5" s="14">
        <f>'Flujos de Caja'!D10-('Amortizacion Deuda'!C9*B5/Financiacion!$C$4)-('Amortizacion Deuda'!D9*B5/Financiacion!$C$4)-MAX(0,'Flujos de Caja'!F10-('Amortizacion Deuda'!C9*B5/Financiacion!$C$4))*Supuestos!$B$23</f>
        <v/>
      </c>
      <c r="O5" s="14">
        <f>'Flujos de Caja'!D11-('Amortizacion Deuda'!C10*B5/Financiacion!$C$4)-('Amortizacion Deuda'!D10*B5/Financiacion!$C$4)-MAX(0,'Flujos de Caja'!F11-('Amortizacion Deuda'!C10*B5/Financiacion!$C$4))*Supuestos!$B$23</f>
        <v/>
      </c>
      <c r="P5" s="14">
        <f>'Flujos de Caja'!D12-('Amortizacion Deuda'!C11*B5/Financiacion!$C$4)-('Amortizacion Deuda'!D11*B5/Financiacion!$C$4)-MAX(0,'Flujos de Caja'!F12-('Amortizacion Deuda'!C11*B5/Financiacion!$C$4))*Supuestos!$B$23</f>
        <v/>
      </c>
      <c r="Q5" s="14">
        <f>'Flujos de Caja'!D13-('Amortizacion Deuda'!C12*B5/Financiacion!$C$4)-('Amortizacion Deuda'!D12*B5/Financiacion!$C$4)-MAX(0,'Flujos de Caja'!F13-('Amortizacion Deuda'!C12*B5/Financiacion!$C$4))*Supuestos!$B$23</f>
        <v/>
      </c>
      <c r="R5" s="14">
        <f>'Flujos de Caja'!D14-('Amortizacion Deuda'!C13*B5/Financiacion!$C$4)-('Amortizacion Deuda'!D13*B5/Financiacion!$C$4)-MAX(0,'Flujos de Caja'!F14-('Amortizacion Deuda'!C13*B5/Financiacion!$C$4))*Supuestos!$B$23</f>
        <v/>
      </c>
      <c r="S5" s="14">
        <f>'Flujos de Caja'!D15-('Amortizacion Deuda'!C14*B5/Financiacion!$C$4)-('Amortizacion Deuda'!D14*B5/Financiacion!$C$4)-MAX(0,'Flujos de Caja'!F15-('Amortizacion Deuda'!C14*B5/Financiacion!$C$4))*Supuestos!$B$23</f>
        <v/>
      </c>
      <c r="T5" s="14">
        <f>'Flujos de Caja'!D16-('Amortizacion Deuda'!C15*B5/Financiacion!$C$4)-('Amortizacion Deuda'!D15*B5/Financiacion!$C$4)-MAX(0,'Flujos de Caja'!F16-('Amortizacion Deuda'!C15*B5/Financiacion!$C$4))*Supuestos!$B$23</f>
        <v/>
      </c>
      <c r="U5" s="14">
        <f>'Flujos de Caja'!D17-('Amortizacion Deuda'!C16*B5/Financiacion!$C$4)-('Amortizacion Deuda'!D16*B5/Financiacion!$C$4)-MAX(0,'Flujos de Caja'!F17-('Amortizacion Deuda'!C16*B5/Financiacion!$C$4))*Supuestos!$B$23</f>
        <v/>
      </c>
      <c r="V5" s="14">
        <f>'Flujos de Caja'!D18-('Amortizacion Deuda'!C17*B5/Financiacion!$C$4)-('Amortizacion Deuda'!D17*B5/Financiacion!$C$4)-MAX(0,'Flujos de Caja'!F18-('Amortizacion Deuda'!C17*B5/Financiacion!$C$4))*Supuestos!$B$23</f>
        <v/>
      </c>
      <c r="W5" s="14">
        <f>'Flujos de Caja'!D19-('Amortizacion Deuda'!C18*B5/Financiacion!$C$4)-('Amortizacion Deuda'!D18*B5/Financiacion!$C$4)-MAX(0,'Flujos de Caja'!F19-('Amortizacion Deuda'!C18*B5/Financiacion!$C$4))*Supuestos!$B$23</f>
        <v/>
      </c>
      <c r="X5" s="14">
        <f>'Flujos de Caja'!D20-('Amortizacion Deuda'!C19*B5/Financiacion!$C$4)-('Amortizacion Deuda'!D19*B5/Financiacion!$C$4)-MAX(0,'Flujos de Caja'!F20-('Amortizacion Deuda'!C19*B5/Financiacion!$C$4))*Supuestos!$B$23</f>
        <v/>
      </c>
      <c r="Y5" s="14">
        <f>'Flujos de Caja'!D21-('Amortizacion Deuda'!C20*B5/Financiacion!$C$4)-('Amortizacion Deuda'!D20*B5/Financiacion!$C$4)-MAX(0,'Flujos de Caja'!F21-('Amortizacion Deuda'!C20*B5/Financiacion!$C$4))*Supuestos!$B$23</f>
        <v/>
      </c>
      <c r="Z5" s="14">
        <f>'Flujos de Caja'!D22-('Amortizacion Deuda'!C21*B5/Financiacion!$C$4)-('Amortizacion Deuda'!D21*B5/Financiacion!$C$4)-MAX(0,'Flujos de Caja'!F22-('Amortizacion Deuda'!C21*B5/Financiacion!$C$4))*Supuestos!$B$23</f>
        <v/>
      </c>
      <c r="AA5" s="14">
        <f>'Flujos de Caja'!D23-('Amortizacion Deuda'!C22*B5/Financiacion!$C$4)-('Amortizacion Deuda'!D22*B5/Financiacion!$C$4)-MAX(0,'Flujos de Caja'!F23-('Amortizacion Deuda'!C22*B5/Financiacion!$C$4))*Supuestos!$B$23</f>
        <v/>
      </c>
      <c r="AB5" s="14">
        <f>'Flujos de Caja'!D24-('Amortizacion Deuda'!C23*B5/Financiacion!$C$4)-('Amortizacion Deuda'!D23*B5/Financiacion!$C$4)-MAX(0,'Flujos de Caja'!F24-('Amortizacion Deuda'!C23*B5/Financiacion!$C$4))*Supuestos!$B$23</f>
        <v/>
      </c>
      <c r="AC5" s="14">
        <f>'Flujos de Caja'!D25-('Amortizacion Deuda'!C24*B5/Financiacion!$C$4)-('Amortizacion Deuda'!D24*B5/Financiacion!$C$4)-MAX(0,'Flujos de Caja'!F25-('Amortizacion Deuda'!C24*B5/Financiacion!$C$4))*Supuestos!$B$23</f>
        <v/>
      </c>
      <c r="AD5" s="14">
        <f>'Flujos de Caja'!D26-('Amortizacion Deuda'!C25*B5/Financiacion!$C$4)-('Amortizacion Deuda'!D25*B5/Financiacion!$C$4)-MAX(0,'Flujos de Caja'!F26-('Amortizacion Deuda'!C25*B5/Financiacion!$C$4))*Supuestos!$B$23</f>
        <v/>
      </c>
      <c r="AE5" s="14">
        <f>'Flujos de Caja'!D27-('Amortizacion Deuda'!C26*B5/Financiacion!$C$4)-('Amortizacion Deuda'!D26*B5/Financiacion!$C$4)-MAX(0,'Flujos de Caja'!F27-('Amortizacion Deuda'!C26*B5/Financiacion!$C$4))*Supuestos!$B$23</f>
        <v/>
      </c>
      <c r="AF5" s="14">
        <f>'Flujos de Caja'!D28-('Amortizacion Deuda'!C27*B5/Financiacion!$C$4)-('Amortizacion Deuda'!D27*B5/Financiacion!$C$4)-MAX(0,'Flujos de Caja'!F28-('Amortizacion Deuda'!C27*B5/Financiacion!$C$4))*Supuestos!$B$23</f>
        <v/>
      </c>
    </row>
    <row r="6" ht="15" customHeight="1">
      <c r="A6" s="13" t="n">
        <v>0.7</v>
      </c>
      <c r="B6" s="14">
        <f>(1-A6)/2*Presupuesto!$B$9</f>
        <v/>
      </c>
      <c r="C6" s="14">
        <f>(1-A6)/2*Presupuesto!$B$9</f>
        <v/>
      </c>
      <c r="D6" s="15">
        <f>IRR(G6:AF6)</f>
        <v/>
      </c>
      <c r="E6" s="14">
        <f>NPV(Supuestos!$B$22,H6:AF6)+G6</f>
        <v/>
      </c>
      <c r="F6" s="14">
        <f>IF(D6&gt;=Supuestos!$B$22,"Viable","No viable")</f>
        <v/>
      </c>
      <c r="G6" s="14">
        <f>-C6</f>
        <v/>
      </c>
      <c r="H6" s="14">
        <f>'Flujos de Caja'!D4-('Amortizacion Deuda'!C3*B6/Financiacion!$C$4)-('Amortizacion Deuda'!D3*B6/Financiacion!$C$4)-MAX(0,'Flujos de Caja'!F4-('Amortizacion Deuda'!C3*B6/Financiacion!$C$4))*Supuestos!$B$23</f>
        <v/>
      </c>
      <c r="I6" s="14">
        <f>'Flujos de Caja'!D5-('Amortizacion Deuda'!C4*B6/Financiacion!$C$4)-('Amortizacion Deuda'!D4*B6/Financiacion!$C$4)-MAX(0,'Flujos de Caja'!F5-('Amortizacion Deuda'!C4*B6/Financiacion!$C$4))*Supuestos!$B$23</f>
        <v/>
      </c>
      <c r="J6" s="14">
        <f>'Flujos de Caja'!D6-('Amortizacion Deuda'!C5*B6/Financiacion!$C$4)-('Amortizacion Deuda'!D5*B6/Financiacion!$C$4)-MAX(0,'Flujos de Caja'!F6-('Amortizacion Deuda'!C5*B6/Financiacion!$C$4))*Supuestos!$B$23</f>
        <v/>
      </c>
      <c r="K6" s="14">
        <f>'Flujos de Caja'!D7-('Amortizacion Deuda'!C6*B6/Financiacion!$C$4)-('Amortizacion Deuda'!D6*B6/Financiacion!$C$4)-MAX(0,'Flujos de Caja'!F7-('Amortizacion Deuda'!C6*B6/Financiacion!$C$4))*Supuestos!$B$23</f>
        <v/>
      </c>
      <c r="L6" s="14">
        <f>'Flujos de Caja'!D8-('Amortizacion Deuda'!C7*B6/Financiacion!$C$4)-('Amortizacion Deuda'!D7*B6/Financiacion!$C$4)-MAX(0,'Flujos de Caja'!F8-('Amortizacion Deuda'!C7*B6/Financiacion!$C$4))*Supuestos!$B$23</f>
        <v/>
      </c>
      <c r="M6" s="14">
        <f>'Flujos de Caja'!D9-('Amortizacion Deuda'!C8*B6/Financiacion!$C$4)-('Amortizacion Deuda'!D8*B6/Financiacion!$C$4)-MAX(0,'Flujos de Caja'!F9-('Amortizacion Deuda'!C8*B6/Financiacion!$C$4))*Supuestos!$B$23</f>
        <v/>
      </c>
      <c r="N6" s="14">
        <f>'Flujos de Caja'!D10-('Amortizacion Deuda'!C9*B6/Financiacion!$C$4)-('Amortizacion Deuda'!D9*B6/Financiacion!$C$4)-MAX(0,'Flujos de Caja'!F10-('Amortizacion Deuda'!C9*B6/Financiacion!$C$4))*Supuestos!$B$23</f>
        <v/>
      </c>
      <c r="O6" s="14">
        <f>'Flujos de Caja'!D11-('Amortizacion Deuda'!C10*B6/Financiacion!$C$4)-('Amortizacion Deuda'!D10*B6/Financiacion!$C$4)-MAX(0,'Flujos de Caja'!F11-('Amortizacion Deuda'!C10*B6/Financiacion!$C$4))*Supuestos!$B$23</f>
        <v/>
      </c>
      <c r="P6" s="14">
        <f>'Flujos de Caja'!D12-('Amortizacion Deuda'!C11*B6/Financiacion!$C$4)-('Amortizacion Deuda'!D11*B6/Financiacion!$C$4)-MAX(0,'Flujos de Caja'!F12-('Amortizacion Deuda'!C11*B6/Financiacion!$C$4))*Supuestos!$B$23</f>
        <v/>
      </c>
      <c r="Q6" s="14">
        <f>'Flujos de Caja'!D13-('Amortizacion Deuda'!C12*B6/Financiacion!$C$4)-('Amortizacion Deuda'!D12*B6/Financiacion!$C$4)-MAX(0,'Flujos de Caja'!F13-('Amortizacion Deuda'!C12*B6/Financiacion!$C$4))*Supuestos!$B$23</f>
        <v/>
      </c>
      <c r="R6" s="14">
        <f>'Flujos de Caja'!D14-('Amortizacion Deuda'!C13*B6/Financiacion!$C$4)-('Amortizacion Deuda'!D13*B6/Financiacion!$C$4)-MAX(0,'Flujos de Caja'!F14-('Amortizacion Deuda'!C13*B6/Financiacion!$C$4))*Supuestos!$B$23</f>
        <v/>
      </c>
      <c r="S6" s="14">
        <f>'Flujos de Caja'!D15-('Amortizacion Deuda'!C14*B6/Financiacion!$C$4)-('Amortizacion Deuda'!D14*B6/Financiacion!$C$4)-MAX(0,'Flujos de Caja'!F15-('Amortizacion Deuda'!C14*B6/Financiacion!$C$4))*Supuestos!$B$23</f>
        <v/>
      </c>
      <c r="T6" s="14">
        <f>'Flujos de Caja'!D16-('Amortizacion Deuda'!C15*B6/Financiacion!$C$4)-('Amortizacion Deuda'!D15*B6/Financiacion!$C$4)-MAX(0,'Flujos de Caja'!F16-('Amortizacion Deuda'!C15*B6/Financiacion!$C$4))*Supuestos!$B$23</f>
        <v/>
      </c>
      <c r="U6" s="14">
        <f>'Flujos de Caja'!D17-('Amortizacion Deuda'!C16*B6/Financiacion!$C$4)-('Amortizacion Deuda'!D16*B6/Financiacion!$C$4)-MAX(0,'Flujos de Caja'!F17-('Amortizacion Deuda'!C16*B6/Financiacion!$C$4))*Supuestos!$B$23</f>
        <v/>
      </c>
      <c r="V6" s="14">
        <f>'Flujos de Caja'!D18-('Amortizacion Deuda'!C17*B6/Financiacion!$C$4)-('Amortizacion Deuda'!D17*B6/Financiacion!$C$4)-MAX(0,'Flujos de Caja'!F18-('Amortizacion Deuda'!C17*B6/Financiacion!$C$4))*Supuestos!$B$23</f>
        <v/>
      </c>
      <c r="W6" s="14">
        <f>'Flujos de Caja'!D19-('Amortizacion Deuda'!C18*B6/Financiacion!$C$4)-('Amortizacion Deuda'!D18*B6/Financiacion!$C$4)-MAX(0,'Flujos de Caja'!F19-('Amortizacion Deuda'!C18*B6/Financiacion!$C$4))*Supuestos!$B$23</f>
        <v/>
      </c>
      <c r="X6" s="14">
        <f>'Flujos de Caja'!D20-('Amortizacion Deuda'!C19*B6/Financiacion!$C$4)-('Amortizacion Deuda'!D19*B6/Financiacion!$C$4)-MAX(0,'Flujos de Caja'!F20-('Amortizacion Deuda'!C19*B6/Financiacion!$C$4))*Supuestos!$B$23</f>
        <v/>
      </c>
      <c r="Y6" s="14">
        <f>'Flujos de Caja'!D21-('Amortizacion Deuda'!C20*B6/Financiacion!$C$4)-('Amortizacion Deuda'!D20*B6/Financiacion!$C$4)-MAX(0,'Flujos de Caja'!F21-('Amortizacion Deuda'!C20*B6/Financiacion!$C$4))*Supuestos!$B$23</f>
        <v/>
      </c>
      <c r="Z6" s="14">
        <f>'Flujos de Caja'!D22-('Amortizacion Deuda'!C21*B6/Financiacion!$C$4)-('Amortizacion Deuda'!D21*B6/Financiacion!$C$4)-MAX(0,'Flujos de Caja'!F22-('Amortizacion Deuda'!C21*B6/Financiacion!$C$4))*Supuestos!$B$23</f>
        <v/>
      </c>
      <c r="AA6" s="14">
        <f>'Flujos de Caja'!D23-('Amortizacion Deuda'!C22*B6/Financiacion!$C$4)-('Amortizacion Deuda'!D22*B6/Financiacion!$C$4)-MAX(0,'Flujos de Caja'!F23-('Amortizacion Deuda'!C22*B6/Financiacion!$C$4))*Supuestos!$B$23</f>
        <v/>
      </c>
      <c r="AB6" s="14">
        <f>'Flujos de Caja'!D24-('Amortizacion Deuda'!C23*B6/Financiacion!$C$4)-('Amortizacion Deuda'!D23*B6/Financiacion!$C$4)-MAX(0,'Flujos de Caja'!F24-('Amortizacion Deuda'!C23*B6/Financiacion!$C$4))*Supuestos!$B$23</f>
        <v/>
      </c>
      <c r="AC6" s="14">
        <f>'Flujos de Caja'!D25-('Amortizacion Deuda'!C24*B6/Financiacion!$C$4)-('Amortizacion Deuda'!D24*B6/Financiacion!$C$4)-MAX(0,'Flujos de Caja'!F25-('Amortizacion Deuda'!C24*B6/Financiacion!$C$4))*Supuestos!$B$23</f>
        <v/>
      </c>
      <c r="AD6" s="14">
        <f>'Flujos de Caja'!D26-('Amortizacion Deuda'!C25*B6/Financiacion!$C$4)-('Amortizacion Deuda'!D25*B6/Financiacion!$C$4)-MAX(0,'Flujos de Caja'!F26-('Amortizacion Deuda'!C25*B6/Financiacion!$C$4))*Supuestos!$B$23</f>
        <v/>
      </c>
      <c r="AE6" s="14">
        <f>'Flujos de Caja'!D27-('Amortizacion Deuda'!C26*B6/Financiacion!$C$4)-('Amortizacion Deuda'!D26*B6/Financiacion!$C$4)-MAX(0,'Flujos de Caja'!F27-('Amortizacion Deuda'!C26*B6/Financiacion!$C$4))*Supuestos!$B$23</f>
        <v/>
      </c>
      <c r="AF6" s="14">
        <f>'Flujos de Caja'!D28-('Amortizacion Deuda'!C27*B6/Financiacion!$C$4)-('Amortizacion Deuda'!D27*B6/Financiacion!$C$4)-MAX(0,'Flujos de Caja'!F28-('Amortizacion Deuda'!C27*B6/Financiacion!$C$4))*Supuestos!$B$23</f>
        <v/>
      </c>
    </row>
    <row r="7" ht="15" customHeight="1">
      <c r="A7" s="13" t="n">
        <v>0.8</v>
      </c>
      <c r="B7" s="14">
        <f>(1-A7)/2*Presupuesto!$B$9</f>
        <v/>
      </c>
      <c r="C7" s="14">
        <f>(1-A7)/2*Presupuesto!$B$9</f>
        <v/>
      </c>
      <c r="D7" s="15">
        <f>IRR(G7:AF7)</f>
        <v/>
      </c>
      <c r="E7" s="14">
        <f>NPV(Supuestos!$B$22,H7:AF7)+G7</f>
        <v/>
      </c>
      <c r="F7" s="14">
        <f>IF(D7&gt;=Supuestos!$B$22,"Viable","No viable")</f>
        <v/>
      </c>
      <c r="G7" s="14">
        <f>-C7</f>
        <v/>
      </c>
      <c r="H7" s="14">
        <f>'Flujos de Caja'!D4-('Amortizacion Deuda'!C3*B7/Financiacion!$C$4)-('Amortizacion Deuda'!D3*B7/Financiacion!$C$4)-MAX(0,'Flujos de Caja'!F4-('Amortizacion Deuda'!C3*B7/Financiacion!$C$4))*Supuestos!$B$23</f>
        <v/>
      </c>
      <c r="I7" s="14">
        <f>'Flujos de Caja'!D5-('Amortizacion Deuda'!C4*B7/Financiacion!$C$4)-('Amortizacion Deuda'!D4*B7/Financiacion!$C$4)-MAX(0,'Flujos de Caja'!F5-('Amortizacion Deuda'!C4*B7/Financiacion!$C$4))*Supuestos!$B$23</f>
        <v/>
      </c>
      <c r="J7" s="14">
        <f>'Flujos de Caja'!D6-('Amortizacion Deuda'!C5*B7/Financiacion!$C$4)-('Amortizacion Deuda'!D5*B7/Financiacion!$C$4)-MAX(0,'Flujos de Caja'!F6-('Amortizacion Deuda'!C5*B7/Financiacion!$C$4))*Supuestos!$B$23</f>
        <v/>
      </c>
      <c r="K7" s="14">
        <f>'Flujos de Caja'!D7-('Amortizacion Deuda'!C6*B7/Financiacion!$C$4)-('Amortizacion Deuda'!D6*B7/Financiacion!$C$4)-MAX(0,'Flujos de Caja'!F7-('Amortizacion Deuda'!C6*B7/Financiacion!$C$4))*Supuestos!$B$23</f>
        <v/>
      </c>
      <c r="L7" s="14">
        <f>'Flujos de Caja'!D8-('Amortizacion Deuda'!C7*B7/Financiacion!$C$4)-('Amortizacion Deuda'!D7*B7/Financiacion!$C$4)-MAX(0,'Flujos de Caja'!F8-('Amortizacion Deuda'!C7*B7/Financiacion!$C$4))*Supuestos!$B$23</f>
        <v/>
      </c>
      <c r="M7" s="14">
        <f>'Flujos de Caja'!D9-('Amortizacion Deuda'!C8*B7/Financiacion!$C$4)-('Amortizacion Deuda'!D8*B7/Financiacion!$C$4)-MAX(0,'Flujos de Caja'!F9-('Amortizacion Deuda'!C8*B7/Financiacion!$C$4))*Supuestos!$B$23</f>
        <v/>
      </c>
      <c r="N7" s="14">
        <f>'Flujos de Caja'!D10-('Amortizacion Deuda'!C9*B7/Financiacion!$C$4)-('Amortizacion Deuda'!D9*B7/Financiacion!$C$4)-MAX(0,'Flujos de Caja'!F10-('Amortizacion Deuda'!C9*B7/Financiacion!$C$4))*Supuestos!$B$23</f>
        <v/>
      </c>
      <c r="O7" s="14">
        <f>'Flujos de Caja'!D11-('Amortizacion Deuda'!C10*B7/Financiacion!$C$4)-('Amortizacion Deuda'!D10*B7/Financiacion!$C$4)-MAX(0,'Flujos de Caja'!F11-('Amortizacion Deuda'!C10*B7/Financiacion!$C$4))*Supuestos!$B$23</f>
        <v/>
      </c>
      <c r="P7" s="14">
        <f>'Flujos de Caja'!D12-('Amortizacion Deuda'!C11*B7/Financiacion!$C$4)-('Amortizacion Deuda'!D11*B7/Financiacion!$C$4)-MAX(0,'Flujos de Caja'!F12-('Amortizacion Deuda'!C11*B7/Financiacion!$C$4))*Supuestos!$B$23</f>
        <v/>
      </c>
      <c r="Q7" s="14">
        <f>'Flujos de Caja'!D13-('Amortizacion Deuda'!C12*B7/Financiacion!$C$4)-('Amortizacion Deuda'!D12*B7/Financiacion!$C$4)-MAX(0,'Flujos de Caja'!F13-('Amortizacion Deuda'!C12*B7/Financiacion!$C$4))*Supuestos!$B$23</f>
        <v/>
      </c>
      <c r="R7" s="14">
        <f>'Flujos de Caja'!D14-('Amortizacion Deuda'!C13*B7/Financiacion!$C$4)-('Amortizacion Deuda'!D13*B7/Financiacion!$C$4)-MAX(0,'Flujos de Caja'!F14-('Amortizacion Deuda'!C13*B7/Financiacion!$C$4))*Supuestos!$B$23</f>
        <v/>
      </c>
      <c r="S7" s="14">
        <f>'Flujos de Caja'!D15-('Amortizacion Deuda'!C14*B7/Financiacion!$C$4)-('Amortizacion Deuda'!D14*B7/Financiacion!$C$4)-MAX(0,'Flujos de Caja'!F15-('Amortizacion Deuda'!C14*B7/Financiacion!$C$4))*Supuestos!$B$23</f>
        <v/>
      </c>
      <c r="T7" s="14">
        <f>'Flujos de Caja'!D16-('Amortizacion Deuda'!C15*B7/Financiacion!$C$4)-('Amortizacion Deuda'!D15*B7/Financiacion!$C$4)-MAX(0,'Flujos de Caja'!F16-('Amortizacion Deuda'!C15*B7/Financiacion!$C$4))*Supuestos!$B$23</f>
        <v/>
      </c>
      <c r="U7" s="14">
        <f>'Flujos de Caja'!D17-('Amortizacion Deuda'!C16*B7/Financiacion!$C$4)-('Amortizacion Deuda'!D16*B7/Financiacion!$C$4)-MAX(0,'Flujos de Caja'!F17-('Amortizacion Deuda'!C16*B7/Financiacion!$C$4))*Supuestos!$B$23</f>
        <v/>
      </c>
      <c r="V7" s="14">
        <f>'Flujos de Caja'!D18-('Amortizacion Deuda'!C17*B7/Financiacion!$C$4)-('Amortizacion Deuda'!D17*B7/Financiacion!$C$4)-MAX(0,'Flujos de Caja'!F18-('Amortizacion Deuda'!C17*B7/Financiacion!$C$4))*Supuestos!$B$23</f>
        <v/>
      </c>
      <c r="W7" s="14">
        <f>'Flujos de Caja'!D19-('Amortizacion Deuda'!C18*B7/Financiacion!$C$4)-('Amortizacion Deuda'!D18*B7/Financiacion!$C$4)-MAX(0,'Flujos de Caja'!F19-('Amortizacion Deuda'!C18*B7/Financiacion!$C$4))*Supuestos!$B$23</f>
        <v/>
      </c>
      <c r="X7" s="14">
        <f>'Flujos de Caja'!D20-('Amortizacion Deuda'!C19*B7/Financiacion!$C$4)-('Amortizacion Deuda'!D19*B7/Financiacion!$C$4)-MAX(0,'Flujos de Caja'!F20-('Amortizacion Deuda'!C19*B7/Financiacion!$C$4))*Supuestos!$B$23</f>
        <v/>
      </c>
      <c r="Y7" s="14">
        <f>'Flujos de Caja'!D21-('Amortizacion Deuda'!C20*B7/Financiacion!$C$4)-('Amortizacion Deuda'!D20*B7/Financiacion!$C$4)-MAX(0,'Flujos de Caja'!F21-('Amortizacion Deuda'!C20*B7/Financiacion!$C$4))*Supuestos!$B$23</f>
        <v/>
      </c>
      <c r="Z7" s="14">
        <f>'Flujos de Caja'!D22-('Amortizacion Deuda'!C21*B7/Financiacion!$C$4)-('Amortizacion Deuda'!D21*B7/Financiacion!$C$4)-MAX(0,'Flujos de Caja'!F22-('Amortizacion Deuda'!C21*B7/Financiacion!$C$4))*Supuestos!$B$23</f>
        <v/>
      </c>
      <c r="AA7" s="14">
        <f>'Flujos de Caja'!D23-('Amortizacion Deuda'!C22*B7/Financiacion!$C$4)-('Amortizacion Deuda'!D22*B7/Financiacion!$C$4)-MAX(0,'Flujos de Caja'!F23-('Amortizacion Deuda'!C22*B7/Financiacion!$C$4))*Supuestos!$B$23</f>
        <v/>
      </c>
      <c r="AB7" s="14">
        <f>'Flujos de Caja'!D24-('Amortizacion Deuda'!C23*B7/Financiacion!$C$4)-('Amortizacion Deuda'!D23*B7/Financiacion!$C$4)-MAX(0,'Flujos de Caja'!F24-('Amortizacion Deuda'!C23*B7/Financiacion!$C$4))*Supuestos!$B$23</f>
        <v/>
      </c>
      <c r="AC7" s="14">
        <f>'Flujos de Caja'!D25-('Amortizacion Deuda'!C24*B7/Financiacion!$C$4)-('Amortizacion Deuda'!D24*B7/Financiacion!$C$4)-MAX(0,'Flujos de Caja'!F25-('Amortizacion Deuda'!C24*B7/Financiacion!$C$4))*Supuestos!$B$23</f>
        <v/>
      </c>
      <c r="AD7" s="14">
        <f>'Flujos de Caja'!D26-('Amortizacion Deuda'!C25*B7/Financiacion!$C$4)-('Amortizacion Deuda'!D25*B7/Financiacion!$C$4)-MAX(0,'Flujos de Caja'!F26-('Amortizacion Deuda'!C25*B7/Financiacion!$C$4))*Supuestos!$B$23</f>
        <v/>
      </c>
      <c r="AE7" s="14">
        <f>'Flujos de Caja'!D27-('Amortizacion Deuda'!C26*B7/Financiacion!$C$4)-('Amortizacion Deuda'!D26*B7/Financiacion!$C$4)-MAX(0,'Flujos de Caja'!F27-('Amortizacion Deuda'!C26*B7/Financiacion!$C$4))*Supuestos!$B$23</f>
        <v/>
      </c>
      <c r="AF7" s="14">
        <f>'Flujos de Caja'!D28-('Amortizacion Deuda'!C27*B7/Financiacion!$C$4)-('Amortizacion Deuda'!D27*B7/Financiacion!$C$4)-MAX(0,'Flujos de Caja'!F28-('Amortizacion Deuda'!C27*B7/Financiacion!$C$4))*Supuestos!$B$23</f>
        <v/>
      </c>
    </row>
    <row r="8" ht="15" customHeight="1">
      <c r="A8" s="13" t="n">
        <v>0.9</v>
      </c>
      <c r="B8" s="14">
        <f>(1-A8)/2*Presupuesto!$B$9</f>
        <v/>
      </c>
      <c r="C8" s="14">
        <f>(1-A8)/2*Presupuesto!$B$9</f>
        <v/>
      </c>
      <c r="D8" s="15">
        <f>IRR(G8:AF8)</f>
        <v/>
      </c>
      <c r="E8" s="14">
        <f>NPV(Supuestos!$B$22,H8:AF8)+G8</f>
        <v/>
      </c>
      <c r="F8" s="14">
        <f>IF(D8&gt;=Supuestos!$B$22,"Viable","No viable")</f>
        <v/>
      </c>
      <c r="G8" s="14">
        <f>-C8</f>
        <v/>
      </c>
      <c r="H8" s="14">
        <f>'Flujos de Caja'!D4-('Amortizacion Deuda'!C3*B8/Financiacion!$C$4)-('Amortizacion Deuda'!D3*B8/Financiacion!$C$4)-MAX(0,'Flujos de Caja'!F4-('Amortizacion Deuda'!C3*B8/Financiacion!$C$4))*Supuestos!$B$23</f>
        <v/>
      </c>
      <c r="I8" s="14">
        <f>'Flujos de Caja'!D5-('Amortizacion Deuda'!C4*B8/Financiacion!$C$4)-('Amortizacion Deuda'!D4*B8/Financiacion!$C$4)-MAX(0,'Flujos de Caja'!F5-('Amortizacion Deuda'!C4*B8/Financiacion!$C$4))*Supuestos!$B$23</f>
        <v/>
      </c>
      <c r="J8" s="14">
        <f>'Flujos de Caja'!D6-('Amortizacion Deuda'!C5*B8/Financiacion!$C$4)-('Amortizacion Deuda'!D5*B8/Financiacion!$C$4)-MAX(0,'Flujos de Caja'!F6-('Amortizacion Deuda'!C5*B8/Financiacion!$C$4))*Supuestos!$B$23</f>
        <v/>
      </c>
      <c r="K8" s="14">
        <f>'Flujos de Caja'!D7-('Amortizacion Deuda'!C6*B8/Financiacion!$C$4)-('Amortizacion Deuda'!D6*B8/Financiacion!$C$4)-MAX(0,'Flujos de Caja'!F7-('Amortizacion Deuda'!C6*B8/Financiacion!$C$4))*Supuestos!$B$23</f>
        <v/>
      </c>
      <c r="L8" s="14">
        <f>'Flujos de Caja'!D8-('Amortizacion Deuda'!C7*B8/Financiacion!$C$4)-('Amortizacion Deuda'!D7*B8/Financiacion!$C$4)-MAX(0,'Flujos de Caja'!F8-('Amortizacion Deuda'!C7*B8/Financiacion!$C$4))*Supuestos!$B$23</f>
        <v/>
      </c>
      <c r="M8" s="14">
        <f>'Flujos de Caja'!D9-('Amortizacion Deuda'!C8*B8/Financiacion!$C$4)-('Amortizacion Deuda'!D8*B8/Financiacion!$C$4)-MAX(0,'Flujos de Caja'!F9-('Amortizacion Deuda'!C8*B8/Financiacion!$C$4))*Supuestos!$B$23</f>
        <v/>
      </c>
      <c r="N8" s="14">
        <f>'Flujos de Caja'!D10-('Amortizacion Deuda'!C9*B8/Financiacion!$C$4)-('Amortizacion Deuda'!D9*B8/Financiacion!$C$4)-MAX(0,'Flujos de Caja'!F10-('Amortizacion Deuda'!C9*B8/Financiacion!$C$4))*Supuestos!$B$23</f>
        <v/>
      </c>
      <c r="O8" s="14">
        <f>'Flujos de Caja'!D11-('Amortizacion Deuda'!C10*B8/Financiacion!$C$4)-('Amortizacion Deuda'!D10*B8/Financiacion!$C$4)-MAX(0,'Flujos de Caja'!F11-('Amortizacion Deuda'!C10*B8/Financiacion!$C$4))*Supuestos!$B$23</f>
        <v/>
      </c>
      <c r="P8" s="14">
        <f>'Flujos de Caja'!D12-('Amortizacion Deuda'!C11*B8/Financiacion!$C$4)-('Amortizacion Deuda'!D11*B8/Financiacion!$C$4)-MAX(0,'Flujos de Caja'!F12-('Amortizacion Deuda'!C11*B8/Financiacion!$C$4))*Supuestos!$B$23</f>
        <v/>
      </c>
      <c r="Q8" s="14">
        <f>'Flujos de Caja'!D13-('Amortizacion Deuda'!C12*B8/Financiacion!$C$4)-('Amortizacion Deuda'!D12*B8/Financiacion!$C$4)-MAX(0,'Flujos de Caja'!F13-('Amortizacion Deuda'!C12*B8/Financiacion!$C$4))*Supuestos!$B$23</f>
        <v/>
      </c>
      <c r="R8" s="14">
        <f>'Flujos de Caja'!D14-('Amortizacion Deuda'!C13*B8/Financiacion!$C$4)-('Amortizacion Deuda'!D13*B8/Financiacion!$C$4)-MAX(0,'Flujos de Caja'!F14-('Amortizacion Deuda'!C13*B8/Financiacion!$C$4))*Supuestos!$B$23</f>
        <v/>
      </c>
      <c r="S8" s="14">
        <f>'Flujos de Caja'!D15-('Amortizacion Deuda'!C14*B8/Financiacion!$C$4)-('Amortizacion Deuda'!D14*B8/Financiacion!$C$4)-MAX(0,'Flujos de Caja'!F15-('Amortizacion Deuda'!C14*B8/Financiacion!$C$4))*Supuestos!$B$23</f>
        <v/>
      </c>
      <c r="T8" s="14">
        <f>'Flujos de Caja'!D16-('Amortizacion Deuda'!C15*B8/Financiacion!$C$4)-('Amortizacion Deuda'!D15*B8/Financiacion!$C$4)-MAX(0,'Flujos de Caja'!F16-('Amortizacion Deuda'!C15*B8/Financiacion!$C$4))*Supuestos!$B$23</f>
        <v/>
      </c>
      <c r="U8" s="14">
        <f>'Flujos de Caja'!D17-('Amortizacion Deuda'!C16*B8/Financiacion!$C$4)-('Amortizacion Deuda'!D16*B8/Financiacion!$C$4)-MAX(0,'Flujos de Caja'!F17-('Amortizacion Deuda'!C16*B8/Financiacion!$C$4))*Supuestos!$B$23</f>
        <v/>
      </c>
      <c r="V8" s="14">
        <f>'Flujos de Caja'!D18-('Amortizacion Deuda'!C17*B8/Financiacion!$C$4)-('Amortizacion Deuda'!D17*B8/Financiacion!$C$4)-MAX(0,'Flujos de Caja'!F18-('Amortizacion Deuda'!C17*B8/Financiacion!$C$4))*Supuestos!$B$23</f>
        <v/>
      </c>
      <c r="W8" s="14">
        <f>'Flujos de Caja'!D19-('Amortizacion Deuda'!C18*B8/Financiacion!$C$4)-('Amortizacion Deuda'!D18*B8/Financiacion!$C$4)-MAX(0,'Flujos de Caja'!F19-('Amortizacion Deuda'!C18*B8/Financiacion!$C$4))*Supuestos!$B$23</f>
        <v/>
      </c>
      <c r="X8" s="14">
        <f>'Flujos de Caja'!D20-('Amortizacion Deuda'!C19*B8/Financiacion!$C$4)-('Amortizacion Deuda'!D19*B8/Financiacion!$C$4)-MAX(0,'Flujos de Caja'!F20-('Amortizacion Deuda'!C19*B8/Financiacion!$C$4))*Supuestos!$B$23</f>
        <v/>
      </c>
      <c r="Y8" s="14">
        <f>'Flujos de Caja'!D21-('Amortizacion Deuda'!C20*B8/Financiacion!$C$4)-('Amortizacion Deuda'!D20*B8/Financiacion!$C$4)-MAX(0,'Flujos de Caja'!F21-('Amortizacion Deuda'!C20*B8/Financiacion!$C$4))*Supuestos!$B$23</f>
        <v/>
      </c>
      <c r="Z8" s="14">
        <f>'Flujos de Caja'!D22-('Amortizacion Deuda'!C21*B8/Financiacion!$C$4)-('Amortizacion Deuda'!D21*B8/Financiacion!$C$4)-MAX(0,'Flujos de Caja'!F22-('Amortizacion Deuda'!C21*B8/Financiacion!$C$4))*Supuestos!$B$23</f>
        <v/>
      </c>
      <c r="AA8" s="14">
        <f>'Flujos de Caja'!D23-('Amortizacion Deuda'!C22*B8/Financiacion!$C$4)-('Amortizacion Deuda'!D22*B8/Financiacion!$C$4)-MAX(0,'Flujos de Caja'!F23-('Amortizacion Deuda'!C22*B8/Financiacion!$C$4))*Supuestos!$B$23</f>
        <v/>
      </c>
      <c r="AB8" s="14">
        <f>'Flujos de Caja'!D24-('Amortizacion Deuda'!C23*B8/Financiacion!$C$4)-('Amortizacion Deuda'!D23*B8/Financiacion!$C$4)-MAX(0,'Flujos de Caja'!F24-('Amortizacion Deuda'!C23*B8/Financiacion!$C$4))*Supuestos!$B$23</f>
        <v/>
      </c>
      <c r="AC8" s="14">
        <f>'Flujos de Caja'!D25-('Amortizacion Deuda'!C24*B8/Financiacion!$C$4)-('Amortizacion Deuda'!D24*B8/Financiacion!$C$4)-MAX(0,'Flujos de Caja'!F25-('Amortizacion Deuda'!C24*B8/Financiacion!$C$4))*Supuestos!$B$23</f>
        <v/>
      </c>
      <c r="AD8" s="14">
        <f>'Flujos de Caja'!D26-('Amortizacion Deuda'!C25*B8/Financiacion!$C$4)-('Amortizacion Deuda'!D25*B8/Financiacion!$C$4)-MAX(0,'Flujos de Caja'!F26-('Amortizacion Deuda'!C25*B8/Financiacion!$C$4))*Supuestos!$B$23</f>
        <v/>
      </c>
      <c r="AE8" s="14">
        <f>'Flujos de Caja'!D27-('Amortizacion Deuda'!C26*B8/Financiacion!$C$4)-('Amortizacion Deuda'!D26*B8/Financiacion!$C$4)-MAX(0,'Flujos de Caja'!F27-('Amortizacion Deuda'!C26*B8/Financiacion!$C$4))*Supuestos!$B$23</f>
        <v/>
      </c>
      <c r="AF8" s="14">
        <f>'Flujos de Caja'!D28-('Amortizacion Deuda'!C27*B8/Financiacion!$C$4)-('Amortizacion Deuda'!D27*B8/Financiacion!$C$4)-MAX(0,'Flujos de Caja'!F28-('Amortizacion Deuda'!C27*B8/Financiacion!$C$4))*Supuestos!$B$23</f>
        <v/>
      </c>
    </row>
  </sheetData>
  <autoFilter ref="A2:AF2"/>
  <mergeCells count="1">
    <mergeCell ref="A1:AF1"/>
  </mergeCells>
  <pageMargins left="0.75" right="0.75" top="1" bottom="1" header="0.5" footer="0.5"/>
  <pageSetup orientation="landscape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30.00390625" customWidth="1" min="1" max="1"/>
    <col width="20.00390625" customWidth="1" min="2" max="2"/>
    <col width="24.00390625" customWidth="1" min="3" max="3"/>
    <col width="27.00390625" customWidth="1" min="4" max="4"/>
  </cols>
  <sheetData>
    <row r="1" ht="15" customHeight="1">
      <c r="A1" s="4" t="inlineStr">
        <is>
          <t>INDICADORES</t>
        </is>
      </c>
    </row>
    <row r="2" ht="15" customHeight="1">
      <c r="A2" s="33" t="inlineStr">
        <is>
          <t>Indicador</t>
        </is>
      </c>
      <c r="B2" s="33" t="inlineStr">
        <is>
          <t>Valor</t>
        </is>
      </c>
      <c r="C2" s="33" t="inlineStr">
        <is>
          <t>Criterio</t>
        </is>
      </c>
      <c r="D2" s="33" t="inlineStr">
        <is>
          <t>Conclusión</t>
        </is>
      </c>
    </row>
    <row r="3" ht="15" customHeight="1">
      <c r="A3" s="21" t="inlineStr">
        <is>
          <t>WACC</t>
        </is>
      </c>
      <c r="B3" s="10">
        <f>Financiacion!B8</f>
        <v/>
      </c>
      <c r="C3" s="21" t="inlineStr">
        <is>
          <t>Tasa proyecto</t>
        </is>
      </c>
      <c r="D3" s="21" t="inlineStr">
        <is>
          <t>Referencia</t>
        </is>
      </c>
    </row>
    <row r="4" ht="15" customHeight="1">
      <c r="A4" s="21" t="inlineStr">
        <is>
          <t>VPN Proyecto</t>
        </is>
      </c>
      <c r="B4" s="8">
        <f>NPV(B3,'Flujos de Caja'!L4:L28)+'Flujos de Caja'!L3</f>
        <v/>
      </c>
      <c r="C4" s="21" t="inlineStr">
        <is>
          <t>&gt;0</t>
        </is>
      </c>
      <c r="D4" s="21">
        <f>IF(B4&gt;0,"Viable","No viable")</f>
        <v/>
      </c>
    </row>
    <row r="5" ht="15" customHeight="1">
      <c r="A5" s="21" t="inlineStr">
        <is>
          <t>TIR Proyecto</t>
        </is>
      </c>
      <c r="B5" s="10">
        <f>IRR('Flujos de Caja'!L3:L28)</f>
        <v/>
      </c>
      <c r="C5" s="21" t="inlineStr">
        <is>
          <t>&gt;WACC</t>
        </is>
      </c>
      <c r="D5" s="21">
        <f>IF(B5&gt;B3,"Viable","No viable")</f>
        <v/>
      </c>
    </row>
    <row r="6" ht="15" customHeight="1">
      <c r="A6" s="21" t="inlineStr">
        <is>
          <t>VPN Inversionista</t>
        </is>
      </c>
      <c r="B6" s="8">
        <f>NPV(Supuestos!B22,'Flujos de Caja'!M4:M28)+'Flujos de Caja'!M3</f>
        <v/>
      </c>
      <c r="C6" s="21" t="inlineStr">
        <is>
          <t>&gt;0</t>
        </is>
      </c>
      <c r="D6" s="21">
        <f>IF(B6&gt;0,"Viable","No alcanza Ke")</f>
        <v/>
      </c>
    </row>
    <row r="7" ht="15" customHeight="1">
      <c r="A7" s="21" t="inlineStr">
        <is>
          <t>TIR Inversionista</t>
        </is>
      </c>
      <c r="B7" s="10">
        <f>IRR('Flujos de Caja'!M3:M28)</f>
        <v/>
      </c>
      <c r="C7" s="21" t="inlineStr">
        <is>
          <t>&gt;Ke</t>
        </is>
      </c>
      <c r="D7" s="21">
        <f>IF(B7&gt;Supuestos!B22,"Viable","No alcanza Ke")</f>
        <v/>
      </c>
    </row>
    <row r="8" ht="15" customHeight="1">
      <c r="A8" s="21" t="inlineStr">
        <is>
          <t>VPN Social</t>
        </is>
      </c>
      <c r="B8" s="8">
        <f>NPV(Supuestos!B25,'Flujos de Caja'!P4:P28)+'Flujos de Caja'!P3</f>
        <v/>
      </c>
      <c r="C8" s="21" t="inlineStr">
        <is>
          <t>&gt;0</t>
        </is>
      </c>
      <c r="D8" s="21">
        <f>IF(B8&gt;0,"Viable","No viable")</f>
        <v/>
      </c>
    </row>
    <row r="9" ht="15" customHeight="1">
      <c r="A9" s="21" t="inlineStr">
        <is>
          <t>B/C</t>
        </is>
      </c>
      <c r="B9" s="21">
        <f>NPV(Supuestos!B25,'Flujos de Caja'!O4:O28)/(Presupuesto!B9+NPV(Supuestos!B25,'Flujos de Caja'!C4:C28))</f>
        <v/>
      </c>
      <c r="C9" s="21" t="inlineStr">
        <is>
          <t>&gt;1</t>
        </is>
      </c>
      <c r="D9" s="21">
        <f>IF(B9&gt;1,"Viable","No viable")</f>
        <v/>
      </c>
    </row>
    <row r="10" ht="15" customHeight="1">
      <c r="A10" s="21" t="inlineStr">
        <is>
          <t>TIR Banco</t>
        </is>
      </c>
      <c r="B10" s="10">
        <f>IRR('Flujos de Caja'!N3:N28)</f>
        <v/>
      </c>
      <c r="C10" s="21" t="inlineStr">
        <is>
          <t>Kd = 11 %</t>
        </is>
      </c>
      <c r="D10" s="21">
        <f>IF(ABS(B10-Supuestos!B21)&lt;0.000001,"Concilia","Revisar")</f>
        <v/>
      </c>
    </row>
  </sheetData>
  <autoFilter ref="A2:D2"/>
  <mergeCells count="1">
    <mergeCell ref="A1:D1"/>
  </mergeCells>
  <pageMargins left="0.75" right="0.75" top="1" bottom="1" header="0.5" footer="0.5"/>
  <pageSetup orientation="portrait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baseColWidth="8" defaultColWidth="9.140625" defaultRowHeight="15"/>
  <cols>
    <col width="6.00390625" customWidth="1" min="1" max="1"/>
    <col width="45.00390625" customWidth="1" min="2" max="2"/>
    <col width="15.00390625" customWidth="1" min="3" max="3"/>
    <col width="65.00390625" customWidth="1" min="4" max="4"/>
    <col width="10.00390625" customWidth="1" min="5" max="6"/>
    <col width="13.00390625" customWidth="1" min="7" max="7"/>
    <col width="16.00390625" customWidth="1" min="8" max="8"/>
  </cols>
  <sheetData>
    <row r="1" ht="15" customHeight="1">
      <c r="A1" s="4" t="inlineStr">
        <is>
          <t>MATRIZ 20 RIESGOS E INTERVENCIÓN 10 (5 AMBIENTALES)</t>
        </is>
      </c>
    </row>
    <row r="2" ht="15" customHeight="1">
      <c r="A2" s="33" t="inlineStr">
        <is>
          <t>#</t>
        </is>
      </c>
      <c r="B2" s="33" t="inlineStr">
        <is>
          <t>Riesgo</t>
        </is>
      </c>
      <c r="C2" s="33" t="inlineStr">
        <is>
          <t>Tipo</t>
        </is>
      </c>
      <c r="D2" s="33" t="inlineStr">
        <is>
          <t>P</t>
        </is>
      </c>
      <c r="E2" s="33" t="inlineStr">
        <is>
          <t>I</t>
        </is>
      </c>
      <c r="F2" s="33" t="inlineStr">
        <is>
          <t>P×I</t>
        </is>
      </c>
      <c r="G2" s="33" t="inlineStr">
        <is>
          <t>Nivel</t>
        </is>
      </c>
      <c r="H2" s="33" t="inlineStr">
        <is>
          <t>Observación</t>
        </is>
      </c>
    </row>
    <row r="3" ht="15" customHeight="1">
      <c r="A3" s="11" t="n">
        <v>1</v>
      </c>
      <c r="B3" s="11" t="inlineStr">
        <is>
          <t>Sobrecostos en la construcción</t>
        </is>
      </c>
      <c r="C3" s="11" t="inlineStr">
        <is>
          <t>Financiero</t>
        </is>
      </c>
      <c r="D3" s="11" t="n">
        <v>4</v>
      </c>
      <c r="E3" s="11" t="n">
        <v>4</v>
      </c>
      <c r="F3" s="11">
        <f>D3*E3</f>
        <v/>
      </c>
      <c r="G3" s="11">
        <f>IF(F3&lt;=6,"Bajo",IF(F3&lt;=12,"Medio","Alto"))</f>
        <v/>
      </c>
      <c r="H3" s="11" t="inlineStr">
        <is>
          <t>Prioritario</t>
        </is>
      </c>
    </row>
    <row r="4" ht="15" customHeight="1">
      <c r="A4" s="11" t="n">
        <v>2</v>
      </c>
      <c r="B4" s="11" t="inlineStr">
        <is>
          <t>Retrasos en el cronograma de obra</t>
        </is>
      </c>
      <c r="C4" s="11" t="inlineStr">
        <is>
          <t>Operativo</t>
        </is>
      </c>
      <c r="D4" s="11" t="n">
        <v>4</v>
      </c>
      <c r="E4" s="11" t="n">
        <v>3</v>
      </c>
      <c r="F4" s="11">
        <f>D4*E4</f>
        <v/>
      </c>
      <c r="G4" s="11">
        <f>IF(F4&lt;=6,"Bajo",IF(F4&lt;=12,"Medio","Alto"))</f>
        <v/>
      </c>
      <c r="H4" s="11" t="n"/>
    </row>
    <row r="5" ht="15" customHeight="1">
      <c r="A5" s="11" t="n">
        <v>3</v>
      </c>
      <c r="B5" s="11" t="inlineStr">
        <is>
          <t>Demoras en gestión predial y servidumbres</t>
        </is>
      </c>
      <c r="C5" s="11" t="inlineStr">
        <is>
          <t>Legal</t>
        </is>
      </c>
      <c r="D5" s="11" t="n">
        <v>3</v>
      </c>
      <c r="E5" s="11" t="n">
        <v>4</v>
      </c>
      <c r="F5" s="11">
        <f>D5*E5</f>
        <v/>
      </c>
      <c r="G5" s="11">
        <f>IF(F5&lt;=6,"Bajo",IF(F5&lt;=12,"Medio","Alto"))</f>
        <v/>
      </c>
      <c r="H5" s="11" t="n"/>
    </row>
    <row r="6" ht="15" customHeight="1">
      <c r="A6" s="11" t="n">
        <v>4</v>
      </c>
      <c r="B6" s="11" t="inlineStr">
        <is>
          <t>Insuficiencia/retraso del aporte público</t>
        </is>
      </c>
      <c r="C6" s="11" t="inlineStr">
        <is>
          <t>Financiero</t>
        </is>
      </c>
      <c r="D6" s="11" t="n">
        <v>3</v>
      </c>
      <c r="E6" s="11" t="n">
        <v>5</v>
      </c>
      <c r="F6" s="11">
        <f>D6*E6</f>
        <v/>
      </c>
      <c r="G6" s="11">
        <f>IF(F6&lt;=6,"Bajo",IF(F6&lt;=12,"Medio","Alto"))</f>
        <v/>
      </c>
      <c r="H6" s="11" t="inlineStr">
        <is>
          <t>Prioritario</t>
        </is>
      </c>
    </row>
    <row r="7" ht="15" customHeight="1">
      <c r="A7" s="11" t="n">
        <v>5</v>
      </c>
      <c r="B7" s="11" t="inlineStr">
        <is>
          <t>Incremento de tasas de interés</t>
        </is>
      </c>
      <c r="C7" s="11" t="inlineStr">
        <is>
          <t>Financiero</t>
        </is>
      </c>
      <c r="D7" s="11" t="n">
        <v>3</v>
      </c>
      <c r="E7" s="11" t="n">
        <v>4</v>
      </c>
      <c r="F7" s="11">
        <f>D7*E7</f>
        <v/>
      </c>
      <c r="G7" s="11">
        <f>IF(F7&lt;=6,"Bajo",IF(F7&lt;=12,"Medio","Alto"))</f>
        <v/>
      </c>
      <c r="H7" s="11" t="n"/>
    </row>
    <row r="8" ht="15" customHeight="1">
      <c r="A8" s="11" t="n">
        <v>6</v>
      </c>
      <c r="B8" s="11" t="inlineStr">
        <is>
          <t>Recaudo tarifario inferior al proyectado</t>
        </is>
      </c>
      <c r="C8" s="11" t="inlineStr">
        <is>
          <t>Comercial</t>
        </is>
      </c>
      <c r="D8" s="11" t="n">
        <v>4</v>
      </c>
      <c r="E8" s="11" t="n">
        <v>4</v>
      </c>
      <c r="F8" s="11">
        <f>D8*E8</f>
        <v/>
      </c>
      <c r="G8" s="11">
        <f>IF(F8&lt;=6,"Bajo",IF(F8&lt;=12,"Medio","Alto"))</f>
        <v/>
      </c>
      <c r="H8" s="11" t="inlineStr">
        <is>
          <t>Prioritario</t>
        </is>
      </c>
    </row>
    <row r="9" ht="15" customHeight="1">
      <c r="A9" s="11" t="n">
        <v>7</v>
      </c>
      <c r="B9" s="11" t="inlineStr">
        <is>
          <t>Cambios regulatorios del marco tarifario</t>
        </is>
      </c>
      <c r="C9" s="11" t="inlineStr">
        <is>
          <t>Regulatorio</t>
        </is>
      </c>
      <c r="D9" s="11" t="n">
        <v>2</v>
      </c>
      <c r="E9" s="11" t="n">
        <v>4</v>
      </c>
      <c r="F9" s="11">
        <f>D9*E9</f>
        <v/>
      </c>
      <c r="G9" s="11">
        <f>IF(F9&lt;=6,"Bajo",IF(F9&lt;=12,"Medio","Alto"))</f>
        <v/>
      </c>
      <c r="H9" s="11" t="n"/>
    </row>
    <row r="10" ht="15" customHeight="1">
      <c r="A10" s="11" t="n">
        <v>8</v>
      </c>
      <c r="B10" s="11" t="inlineStr">
        <is>
          <t>Alta turbiedad/mercurio del río San Juan</t>
        </is>
      </c>
      <c r="C10" s="11" t="inlineStr">
        <is>
          <t>Ambiental</t>
        </is>
      </c>
      <c r="D10" s="11" t="n">
        <v>4</v>
      </c>
      <c r="E10" s="11" t="n">
        <v>5</v>
      </c>
      <c r="F10" s="11">
        <f>D10*E10</f>
        <v/>
      </c>
      <c r="G10" s="11">
        <f>IF(F10&lt;=6,"Bajo",IF(F10&lt;=12,"Medio","Alto"))</f>
        <v/>
      </c>
      <c r="H10" s="11" t="inlineStr">
        <is>
          <t>Prioritario</t>
        </is>
      </c>
    </row>
    <row r="11" ht="15" customHeight="1">
      <c r="A11" s="11" t="n">
        <v>9</v>
      </c>
      <c r="B11" s="11" t="inlineStr">
        <is>
          <t>Inundaciones por lluvias extremas</t>
        </is>
      </c>
      <c r="C11" s="11" t="inlineStr">
        <is>
          <t>Ambiental</t>
        </is>
      </c>
      <c r="D11" s="11" t="n">
        <v>4</v>
      </c>
      <c r="E11" s="11" t="n">
        <v>4</v>
      </c>
      <c r="F11" s="11">
        <f>D11*E11</f>
        <v/>
      </c>
      <c r="G11" s="11">
        <f>IF(F11&lt;=6,"Bajo",IF(F11&lt;=12,"Medio","Alto"))</f>
        <v/>
      </c>
      <c r="H11" s="11" t="inlineStr">
        <is>
          <t>Prioritario</t>
        </is>
      </c>
    </row>
    <row r="12" ht="15" customHeight="1">
      <c r="A12" s="11" t="n">
        <v>10</v>
      </c>
      <c r="B12" s="11" t="inlineStr">
        <is>
          <t>Disposición inadecuada de lodos PTAP</t>
        </is>
      </c>
      <c r="C12" s="11" t="inlineStr">
        <is>
          <t>Ambiental</t>
        </is>
      </c>
      <c r="D12" s="11" t="n">
        <v>3</v>
      </c>
      <c r="E12" s="11" t="n">
        <v>4</v>
      </c>
      <c r="F12" s="11">
        <f>D12*E12</f>
        <v/>
      </c>
      <c r="G12" s="11">
        <f>IF(F12&lt;=6,"Bajo",IF(F12&lt;=12,"Medio","Alto"))</f>
        <v/>
      </c>
      <c r="H12" s="11" t="n"/>
    </row>
    <row r="13" ht="15" customHeight="1">
      <c r="A13" s="11" t="n">
        <v>11</v>
      </c>
      <c r="B13" s="11" t="inlineStr">
        <is>
          <t>Aguas de lavado vertidas sin tratar</t>
        </is>
      </c>
      <c r="C13" s="11" t="inlineStr">
        <is>
          <t>Ambiental</t>
        </is>
      </c>
      <c r="D13" s="11" t="n">
        <v>3</v>
      </c>
      <c r="E13" s="11" t="n">
        <v>4</v>
      </c>
      <c r="F13" s="11">
        <f>D13*E13</f>
        <v/>
      </c>
      <c r="G13" s="11">
        <f>IF(F13&lt;=6,"Bajo",IF(F13&lt;=12,"Medio","Alto"))</f>
        <v/>
      </c>
      <c r="H13" s="11" t="n"/>
    </row>
    <row r="14" ht="15" customHeight="1">
      <c r="A14" s="11" t="n">
        <v>12</v>
      </c>
      <c r="B14" s="11" t="inlineStr">
        <is>
          <t>Afectación de fauna y flora en obras</t>
        </is>
      </c>
      <c r="C14" s="11" t="inlineStr">
        <is>
          <t>Ambiental</t>
        </is>
      </c>
      <c r="D14" s="11" t="n">
        <v>2</v>
      </c>
      <c r="E14" s="11" t="n">
        <v>3</v>
      </c>
      <c r="F14" s="11">
        <f>D14*E14</f>
        <v/>
      </c>
      <c r="G14" s="11">
        <f>IF(F14&lt;=6,"Bajo",IF(F14&lt;=12,"Medio","Alto"))</f>
        <v/>
      </c>
      <c r="H14" s="11" t="n"/>
    </row>
    <row r="15" ht="15" customHeight="1">
      <c r="A15" s="11" t="n">
        <v>13</v>
      </c>
      <c r="B15" s="11" t="inlineStr">
        <is>
          <t>Fallas de equipos de bombeo</t>
        </is>
      </c>
      <c r="C15" s="11" t="inlineStr">
        <is>
          <t>Operativo</t>
        </is>
      </c>
      <c r="D15" s="11" t="n">
        <v>3</v>
      </c>
      <c r="E15" s="11" t="n">
        <v>3</v>
      </c>
      <c r="F15" s="11">
        <f>D15*E15</f>
        <v/>
      </c>
      <c r="G15" s="11">
        <f>IF(F15&lt;=6,"Bajo",IF(F15&lt;=12,"Medio","Alto"))</f>
        <v/>
      </c>
      <c r="H15" s="11" t="n"/>
    </row>
    <row r="16" ht="15" customHeight="1">
      <c r="A16" s="11" t="n">
        <v>14</v>
      </c>
      <c r="B16" s="11" t="inlineStr">
        <is>
          <t>Interrupción del suministro eléctrico</t>
        </is>
      </c>
      <c r="C16" s="11" t="inlineStr">
        <is>
          <t>Operativo</t>
        </is>
      </c>
      <c r="D16" s="11" t="n">
        <v>3</v>
      </c>
      <c r="E16" s="11" t="n">
        <v>4</v>
      </c>
      <c r="F16" s="11">
        <f>D16*E16</f>
        <v/>
      </c>
      <c r="G16" s="11">
        <f>IF(F16&lt;=6,"Bajo",IF(F16&lt;=12,"Medio","Alto"))</f>
        <v/>
      </c>
      <c r="H16" s="11" t="n"/>
    </row>
    <row r="17" ht="15" customHeight="1">
      <c r="A17" s="11" t="n">
        <v>15</v>
      </c>
      <c r="B17" s="11" t="inlineStr">
        <is>
          <t>Accidentes laborales en obra</t>
        </is>
      </c>
      <c r="C17" s="11" t="inlineStr">
        <is>
          <t>SST</t>
        </is>
      </c>
      <c r="D17" s="11" t="n">
        <v>3</v>
      </c>
      <c r="E17" s="11" t="n">
        <v>4</v>
      </c>
      <c r="F17" s="11">
        <f>D17*E17</f>
        <v/>
      </c>
      <c r="G17" s="11">
        <f>IF(F17&lt;=6,"Bajo",IF(F17&lt;=12,"Medio","Alto"))</f>
        <v/>
      </c>
      <c r="H17" s="11" t="n"/>
    </row>
    <row r="18" ht="15" customHeight="1">
      <c r="A18" s="11" t="n">
        <v>16</v>
      </c>
      <c r="B18" s="11" t="inlineStr">
        <is>
          <t>Dificultad logística y de acceso</t>
        </is>
      </c>
      <c r="C18" s="11" t="inlineStr">
        <is>
          <t>Operativo</t>
        </is>
      </c>
      <c r="D18" s="11" t="n">
        <v>4</v>
      </c>
      <c r="E18" s="11" t="n">
        <v>3</v>
      </c>
      <c r="F18" s="11">
        <f>D18*E18</f>
        <v/>
      </c>
      <c r="G18" s="11">
        <f>IF(F18&lt;=6,"Bajo",IF(F18&lt;=12,"Medio","Alto"))</f>
        <v/>
      </c>
      <c r="H18" s="11" t="n"/>
    </row>
    <row r="19" ht="15" customHeight="1">
      <c r="A19" s="11" t="n">
        <v>17</v>
      </c>
      <c r="B19" s="11" t="inlineStr">
        <is>
          <t>Alteraciones de orden público</t>
        </is>
      </c>
      <c r="C19" s="11" t="inlineStr">
        <is>
          <t>Social</t>
        </is>
      </c>
      <c r="D19" s="11" t="n">
        <v>3</v>
      </c>
      <c r="E19" s="11" t="n">
        <v>4</v>
      </c>
      <c r="F19" s="11">
        <f>D19*E19</f>
        <v/>
      </c>
      <c r="G19" s="11">
        <f>IF(F19&lt;=6,"Bajo",IF(F19&lt;=12,"Medio","Alto"))</f>
        <v/>
      </c>
      <c r="H19" s="11" t="n"/>
    </row>
    <row r="20" ht="15" customHeight="1">
      <c r="A20" s="11" t="n">
        <v>18</v>
      </c>
      <c r="B20" s="11" t="inlineStr">
        <is>
          <t>Errores en estudios y diseños</t>
        </is>
      </c>
      <c r="C20" s="11" t="inlineStr">
        <is>
          <t>Técnico</t>
        </is>
      </c>
      <c r="D20" s="11" t="n">
        <v>2</v>
      </c>
      <c r="E20" s="11" t="n">
        <v>4</v>
      </c>
      <c r="F20" s="11">
        <f>D20*E20</f>
        <v/>
      </c>
      <c r="G20" s="11">
        <f>IF(F20&lt;=6,"Bajo",IF(F20&lt;=12,"Medio","Alto"))</f>
        <v/>
      </c>
      <c r="H20" s="11" t="n"/>
    </row>
    <row r="21" ht="15" customHeight="1">
      <c r="A21" s="11" t="n">
        <v>19</v>
      </c>
      <c r="B21" s="11" t="inlineStr">
        <is>
          <t>Incumplimiento del contratista</t>
        </is>
      </c>
      <c r="C21" s="11" t="inlineStr">
        <is>
          <t>Contractual</t>
        </is>
      </c>
      <c r="D21" s="11" t="n">
        <v>2</v>
      </c>
      <c r="E21" s="11" t="n">
        <v>4</v>
      </c>
      <c r="F21" s="11">
        <f>D21*E21</f>
        <v/>
      </c>
      <c r="G21" s="11">
        <f>IF(F21&lt;=6,"Bajo",IF(F21&lt;=12,"Medio","Alto"))</f>
        <v/>
      </c>
      <c r="H21" s="11" t="n"/>
    </row>
    <row r="22" ht="15" customHeight="1">
      <c r="A22" s="11" t="n">
        <v>20</v>
      </c>
      <c r="B22" s="11" t="inlineStr">
        <is>
          <t>Inflación de costos operativos</t>
        </is>
      </c>
      <c r="C22" s="11" t="inlineStr">
        <is>
          <t>Financiero</t>
        </is>
      </c>
      <c r="D22" s="11" t="n">
        <v>3</v>
      </c>
      <c r="E22" s="11" t="n">
        <v>3</v>
      </c>
      <c r="F22" s="11">
        <f>D22*E22</f>
        <v/>
      </c>
      <c r="G22" s="11">
        <f>IF(F22&lt;=6,"Bajo",IF(F22&lt;=12,"Medio","Alto"))</f>
        <v/>
      </c>
      <c r="H22" s="11" t="n"/>
    </row>
    <row r="23" ht="24" customHeight="1">
      <c r="A23" s="17" t="inlineStr">
        <is>
          <t>Escalas: P1 &lt;5 %, P2 5–20 %, P3 21–40 %, P4 41–70 %, P5 &gt;70 %. Impacto: I1 menor, I2 bajo, I3 moderado, I4 mayor, I5 crítico; se evalúa por la consecuencia más severa en costo, plazo, ambiente, servicio o SST.</t>
        </is>
      </c>
    </row>
    <row r="24" ht="15" customHeight="1"/>
    <row r="25" ht="15" customHeight="1">
      <c r="A25" s="30" t="inlineStr">
        <is>
          <t>INTERVENCIÓN Y RECALIFICACIÓN</t>
        </is>
      </c>
    </row>
    <row r="26" ht="15" customHeight="1">
      <c r="A26" s="2" t="inlineStr">
        <is>
          <t>#</t>
        </is>
      </c>
      <c r="B26" s="2" t="inlineStr">
        <is>
          <t>Riesgo</t>
        </is>
      </c>
      <c r="C26" s="2" t="inlineStr">
        <is>
          <t>Tipo</t>
        </is>
      </c>
      <c r="D26" s="2" t="inlineStr">
        <is>
          <t>Intervención</t>
        </is>
      </c>
      <c r="E26" s="2" t="inlineStr">
        <is>
          <t>Pr</t>
        </is>
      </c>
      <c r="F26" s="2" t="inlineStr">
        <is>
          <t>Ir</t>
        </is>
      </c>
      <c r="G26" s="2" t="inlineStr">
        <is>
          <t>Pr×Ir</t>
        </is>
      </c>
      <c r="H26" s="2" t="inlineStr">
        <is>
          <t>Nivel residual</t>
        </is>
      </c>
    </row>
    <row r="27" ht="15" customHeight="1">
      <c r="A27" s="11" t="n">
        <v>1</v>
      </c>
      <c r="B27" s="11" t="inlineStr">
        <is>
          <t>Sobrecostos</t>
        </is>
      </c>
      <c r="C27" s="11" t="inlineStr">
        <is>
          <t>Financiero</t>
        </is>
      </c>
      <c r="D27" s="11" t="inlineStr">
        <is>
          <t>Precios/alcance definidos, contingencia 10 % y control de cambios</t>
        </is>
      </c>
      <c r="E27" s="11" t="n">
        <v>2</v>
      </c>
      <c r="F27" s="11" t="n">
        <v>3</v>
      </c>
      <c r="G27" s="11">
        <f>E27*F27</f>
        <v/>
      </c>
      <c r="H27" s="11">
        <f>IF(G27&lt;=6,"Bajo",IF(G27&lt;=12,"Medio","Alto"))</f>
        <v/>
      </c>
    </row>
    <row r="28" ht="15" customHeight="1">
      <c r="A28" s="11" t="n">
        <v>6</v>
      </c>
      <c r="B28" s="11" t="inlineStr">
        <is>
          <t>Bajo recaudo</t>
        </is>
      </c>
      <c r="C28" s="11" t="inlineStr">
        <is>
          <t>Comercial</t>
        </is>
      </c>
      <c r="D28" s="11" t="inlineStr">
        <is>
          <t>Micromedición, educación, subsidios y gestión de cartera</t>
        </is>
      </c>
      <c r="E28" s="11" t="n">
        <v>2</v>
      </c>
      <c r="F28" s="11" t="n">
        <v>3</v>
      </c>
      <c r="G28" s="11">
        <f>E28*F28</f>
        <v/>
      </c>
      <c r="H28" s="11">
        <f>IF(G28&lt;=6,"Bajo",IF(G28&lt;=12,"Medio","Alto"))</f>
        <v/>
      </c>
    </row>
    <row r="29" ht="15" customHeight="1">
      <c r="A29" s="11" t="n">
        <v>4</v>
      </c>
      <c r="B29" s="11" t="inlineStr">
        <is>
          <t>Aporte público</t>
        </is>
      </c>
      <c r="C29" s="11" t="inlineStr">
        <is>
          <t>Financiero</t>
        </is>
      </c>
      <c r="D29" s="11" t="inlineStr">
        <is>
          <t>Cierre previo y desembolsos por hitos mediante fiducia</t>
        </is>
      </c>
      <c r="E29" s="11" t="n">
        <v>2</v>
      </c>
      <c r="F29" s="11" t="n">
        <v>3</v>
      </c>
      <c r="G29" s="11">
        <f>E29*F29</f>
        <v/>
      </c>
      <c r="H29" s="11">
        <f>IF(G29&lt;=6,"Bajo",IF(G29&lt;=12,"Medio","Alto"))</f>
        <v/>
      </c>
    </row>
    <row r="30" ht="15" customHeight="1">
      <c r="A30" s="11" t="n">
        <v>8</v>
      </c>
      <c r="B30" s="11" t="inlineStr">
        <is>
          <t>Turbiedad/mercurio</t>
        </is>
      </c>
      <c r="C30" s="11" t="inlineStr">
        <is>
          <t>Ambiental</t>
        </is>
      </c>
      <c r="D30" s="11" t="inlineStr">
        <is>
          <t>Pretratamiento robusto, dosificación y monitoreo</t>
        </is>
      </c>
      <c r="E30" s="11" t="n">
        <v>2</v>
      </c>
      <c r="F30" s="11" t="n">
        <v>4</v>
      </c>
      <c r="G30" s="11">
        <f>E30*F30</f>
        <v/>
      </c>
      <c r="H30" s="11">
        <f>IF(G30&lt;=6,"Bajo",IF(G30&lt;=12,"Medio","Alto"))</f>
        <v/>
      </c>
    </row>
    <row r="31" ht="15" customHeight="1">
      <c r="A31" s="11" t="n">
        <v>9</v>
      </c>
      <c r="B31" s="11" t="inlineStr">
        <is>
          <t>Inundaciones</t>
        </is>
      </c>
      <c r="C31" s="11" t="inlineStr">
        <is>
          <t>Ambiental</t>
        </is>
      </c>
      <c r="D31" s="11" t="inlineStr">
        <is>
          <t>Cotas seguras, drenajes y plan de continuidad</t>
        </is>
      </c>
      <c r="E31" s="11" t="n">
        <v>2</v>
      </c>
      <c r="F31" s="11" t="n">
        <v>3</v>
      </c>
      <c r="G31" s="11">
        <f>E31*F31</f>
        <v/>
      </c>
      <c r="H31" s="11">
        <f>IF(G31&lt;=6,"Bajo",IF(G31&lt;=12,"Medio","Alto"))</f>
        <v/>
      </c>
    </row>
    <row r="32" ht="15" customHeight="1">
      <c r="A32" s="11" t="n">
        <v>10</v>
      </c>
      <c r="B32" s="11" t="inlineStr">
        <is>
          <t>Lodos</t>
        </is>
      </c>
      <c r="C32" s="11" t="inlineStr">
        <is>
          <t>Ambiental</t>
        </is>
      </c>
      <c r="D32" s="11" t="inlineStr">
        <is>
          <t>Espesamiento, secado y disposición autorizada</t>
        </is>
      </c>
      <c r="E32" s="11" t="n">
        <v>1</v>
      </c>
      <c r="F32" s="11" t="n">
        <v>3</v>
      </c>
      <c r="G32" s="11">
        <f>E32*F32</f>
        <v/>
      </c>
      <c r="H32" s="11">
        <f>IF(G32&lt;=6,"Bajo",IF(G32&lt;=12,"Medio","Alto"))</f>
        <v/>
      </c>
    </row>
    <row r="33" ht="15" customHeight="1">
      <c r="A33" s="11" t="n">
        <v>11</v>
      </c>
      <c r="B33" s="11" t="inlineStr">
        <is>
          <t>Aguas de lavado</t>
        </is>
      </c>
      <c r="C33" s="11" t="inlineStr">
        <is>
          <t>Ambiental</t>
        </is>
      </c>
      <c r="D33" s="11" t="inlineStr">
        <is>
          <t>Recirculación, tratamiento y permiso</t>
        </is>
      </c>
      <c r="E33" s="11" t="n">
        <v>1</v>
      </c>
      <c r="F33" s="11" t="n">
        <v>3</v>
      </c>
      <c r="G33" s="11">
        <f>E33*F33</f>
        <v/>
      </c>
      <c r="H33" s="11">
        <f>IF(G33&lt;=6,"Bajo",IF(G33&lt;=12,"Medio","Alto"))</f>
        <v/>
      </c>
    </row>
    <row r="34" ht="15" customHeight="1">
      <c r="A34" s="11" t="n">
        <v>12</v>
      </c>
      <c r="B34" s="11" t="inlineStr">
        <is>
          <t>Fauna/flora</t>
        </is>
      </c>
      <c r="C34" s="11" t="inlineStr">
        <is>
          <t>Ambiental</t>
        </is>
      </c>
      <c r="D34" s="11" t="inlineStr">
        <is>
          <t>PMA, rescate y compensación forestal</t>
        </is>
      </c>
      <c r="E34" s="11" t="n">
        <v>1</v>
      </c>
      <c r="F34" s="11" t="n">
        <v>2</v>
      </c>
      <c r="G34" s="11">
        <f>E34*F34</f>
        <v/>
      </c>
      <c r="H34" s="11">
        <f>IF(G34&lt;=6,"Bajo",IF(G34&lt;=12,"Medio","Alto"))</f>
        <v/>
      </c>
    </row>
    <row r="35" ht="15" customHeight="1">
      <c r="A35" s="11" t="n">
        <v>16</v>
      </c>
      <c r="B35" s="11" t="inlineStr">
        <is>
          <t>Logística/acceso</t>
        </is>
      </c>
      <c r="C35" s="11" t="inlineStr">
        <is>
          <t>Operativo</t>
        </is>
      </c>
      <c r="D35" s="11" t="inlineStr">
        <is>
          <t>Acopio preventivo y holguras por lluvias</t>
        </is>
      </c>
      <c r="E35" s="11" t="n">
        <v>2</v>
      </c>
      <c r="F35" s="11" t="n">
        <v>2</v>
      </c>
      <c r="G35" s="11">
        <f>E35*F35</f>
        <v/>
      </c>
      <c r="H35" s="11">
        <f>IF(G35&lt;=6,"Bajo",IF(G35&lt;=12,"Medio","Alto"))</f>
        <v/>
      </c>
    </row>
    <row r="36" ht="15" customHeight="1">
      <c r="A36" s="11" t="n">
        <v>15</v>
      </c>
      <c r="B36" s="11" t="inlineStr">
        <is>
          <t>Accidentes</t>
        </is>
      </c>
      <c r="C36" s="11" t="inlineStr">
        <is>
          <t>SST</t>
        </is>
      </c>
      <c r="D36" s="11" t="inlineStr">
        <is>
          <t>SG-SST, EPP, permisos e inspecciones</t>
        </is>
      </c>
      <c r="E36" s="11" t="n">
        <v>1</v>
      </c>
      <c r="F36" s="11" t="n">
        <v>4</v>
      </c>
      <c r="G36" s="11">
        <f>E36*F36</f>
        <v/>
      </c>
      <c r="H36" s="11">
        <f>IF(G36&lt;=6,"Bajo",IF(G36&lt;=12,"Medio","Alto"))</f>
        <v/>
      </c>
    </row>
  </sheetData>
  <autoFilter ref="A2:H2"/>
  <mergeCells count="3">
    <mergeCell ref="A25:H25"/>
    <mergeCell ref="A23:H24"/>
    <mergeCell ref="A1:H1"/>
  </mergeCells>
  <pageMargins left="0.75" right="0.75" top="1" bottom="1" header="0.5" footer="0.5"/>
  <pageSetup orientation="landscape" fitToHeight="0" fitToWidth="1" horizontalDpi="600" verticalDpi="600"/>
  <headerFooter>
    <oddHeader/>
    <oddFooter>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2026-07-20T18:21:23Z</dcterms:created>
  <dcterms:modified xsi:type="dcterms:W3CDTF">2026-07-20T19:15:02Z</dcterms:modified>
</cp:coreProperties>
</file>