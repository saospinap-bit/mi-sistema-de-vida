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Horario" sheetId="2" state="visible" r:id="rId2"/>
    <sheet name="Habitos" sheetId="3" state="visible" r:id="rId3"/>
    <sheet name="Resumen Semestre" sheetId="4" state="visible" r:id="rId4"/>
    <sheet name="Calculadora Notas" sheetId="5" state="visible" r:id="rId5"/>
    <sheet name="Entregas" sheetId="6" state="visible" r:id="rId6"/>
    <sheet name="PAPA Carrera" sheetId="7" state="visible" r:id="rId7"/>
    <sheet name="Prioridades" sheetId="8" state="visible" r:id="rId8"/>
    <sheet name="Ingresos" sheetId="9" state="visible" r:id="rId9"/>
    <sheet name="Egresos" sheetId="10" state="visible" r:id="rId10"/>
    <sheet name="Deudas" sheetId="11" state="visible" r:id="rId11"/>
    <sheet name="Presupuesto 50-30-20" sheetId="12" state="visible" r:id="rId12"/>
    <sheet name="Pasantia - Plan" sheetId="13" state="visible" r:id="rId13"/>
    <sheet name="Pasantia - Aplicaciones" sheetId="14" state="visible" r:id="rId14"/>
    <sheet name="Becas" sheetId="15" state="visible" r:id="rId15"/>
    <sheet name="Destinos Maestria" sheetId="16" state="visible" r:id="rId16"/>
    <sheet name="Cursos CV" sheetId="17" state="visible" r:id="rId17"/>
    <sheet name="Ruta Posgrado" sheetId="18" state="visible" r:id="rId18"/>
    <sheet name="Libros" sheetId="19" state="visible" r:id="rId19"/>
    <sheet name="Rutina Gym" sheetId="20" state="visible" r:id="rId20"/>
    <sheet name="Comidas Diarias" sheetId="21" state="visible" r:id="rId21"/>
    <sheet name="Mercado Semanal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"/>
    <numFmt numFmtId="167" formatCode="&quot;$&quot;#,##0"/>
  </numFmts>
  <fonts count="2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9"/>
    </font>
    <font>
      <sz val="8"/>
    </font>
    <font>
      <b val="1"/>
      <sz val="8"/>
    </font>
    <font>
      <b val="1"/>
    </font>
    <font>
      <b val="1"/>
      <color rgb="001B5E20"/>
      <sz val="12"/>
    </font>
    <font>
      <b val="1"/>
      <color rgb="00B71C1C"/>
    </font>
    <font>
      <b val="1"/>
      <color rgb="001B5E20"/>
    </font>
    <font>
      <b val="1"/>
      <color rgb="00C62828"/>
    </font>
    <font>
      <b val="1"/>
      <color rgb="00E65100"/>
    </font>
    <font>
      <i val="1"/>
      <sz val="9"/>
    </font>
    <font>
      <b val="1"/>
      <color rgb="00B71C1C"/>
      <sz val="12"/>
    </font>
    <font>
      <i val="1"/>
      <color rgb="00B71C1C"/>
    </font>
    <font>
      <b val="1"/>
      <color rgb="00E65100"/>
      <sz val="12"/>
    </font>
    <font>
      <b val="1"/>
      <sz val="12"/>
    </font>
    <font>
      <i val="1"/>
      <color rgb="00888888"/>
      <sz val="8"/>
    </font>
    <font>
      <i val="1"/>
      <color rgb="00455A64"/>
    </font>
    <font>
      <b val="1"/>
      <color rgb="0033691E"/>
      <sz val="12"/>
    </font>
    <font>
      <b val="1"/>
      <color rgb="00FFFFFF"/>
      <sz val="16"/>
    </font>
    <font>
      <b val="1"/>
      <sz val="11"/>
    </font>
    <font>
      <b val="1"/>
      <color rgb="002E7D32"/>
      <sz val="12"/>
    </font>
    <font>
      <b val="1"/>
      <color rgb="000D47A1"/>
      <sz val="12"/>
    </font>
    <font>
      <b val="1"/>
      <color rgb="004A148C"/>
      <sz val="12"/>
    </font>
  </fonts>
  <fills count="2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B3E5FC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F8BBD0"/>
      </patternFill>
    </fill>
    <fill>
      <patternFill patternType="solid">
        <fgColor rgb="00FFF9C4"/>
      </patternFill>
    </fill>
    <fill>
      <patternFill patternType="solid">
        <fgColor rgb="00F44336"/>
      </patternFill>
    </fill>
    <fill>
      <patternFill patternType="solid">
        <fgColor rgb="00E1BEE7"/>
      </patternFill>
    </fill>
    <fill>
      <patternFill patternType="solid">
        <fgColor rgb="00A5D6A7"/>
      </patternFill>
    </fill>
    <fill>
      <patternFill patternType="solid">
        <fgColor rgb="002E7D32"/>
      </patternFill>
    </fill>
    <fill>
      <patternFill patternType="solid">
        <fgColor rgb="001A237E"/>
      </patternFill>
    </fill>
    <fill>
      <patternFill patternType="solid">
        <fgColor rgb="00C62828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3949AB"/>
      </patternFill>
    </fill>
    <fill>
      <patternFill patternType="solid">
        <fgColor rgb="00004D40"/>
      </patternFill>
    </fill>
    <fill>
      <patternFill patternType="solid">
        <fgColor rgb="0000695C"/>
      </patternFill>
    </fill>
    <fill>
      <patternFill patternType="solid">
        <fgColor rgb="000D47A1"/>
      </patternFill>
    </fill>
    <fill>
      <patternFill patternType="solid">
        <fgColor rgb="004A148C"/>
      </patternFill>
    </fill>
    <fill>
      <patternFill patternType="solid">
        <fgColor rgb="0033691E"/>
      </patternFill>
    </fill>
  </fills>
  <borders count="8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0" fillId="16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2" fontId="2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1" fontId="22" fillId="0" borderId="1" applyAlignment="1" pivotButton="0" quotePrefix="0" xfId="0">
      <alignment horizontal="center" vertical="center" wrapText="1"/>
    </xf>
    <xf numFmtId="0" fontId="2" fillId="24" borderId="0" applyAlignment="1" pivotButton="0" quotePrefix="0" xfId="0">
      <alignment horizontal="left" vertical="center" wrapText="1"/>
    </xf>
    <xf numFmtId="167" fontId="23" fillId="0" borderId="1" applyAlignment="1" pivotButton="0" quotePrefix="0" xfId="0">
      <alignment horizontal="center" vertical="center" wrapText="1"/>
    </xf>
    <xf numFmtId="0" fontId="2" fillId="25" borderId="0" applyAlignment="1" pivotButton="0" quotePrefix="0" xfId="0">
      <alignment horizontal="left" vertical="center" wrapText="1"/>
    </xf>
    <xf numFmtId="9" fontId="24" fillId="0" borderId="1" applyAlignment="1" pivotButton="0" quotePrefix="0" xfId="0">
      <alignment horizontal="center" vertical="center" wrapText="1"/>
    </xf>
    <xf numFmtId="1" fontId="24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 wrapText="1"/>
    </xf>
    <xf numFmtId="0" fontId="6" fillId="4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2" fontId="7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" fillId="18" borderId="0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7" fontId="7" fillId="4" borderId="1" pivotButton="0" quotePrefix="0" xfId="0"/>
    <xf numFmtId="0" fontId="1" fillId="19" borderId="0" applyAlignment="1" pivotButton="0" quotePrefix="0" xfId="0">
      <alignment horizontal="center" vertical="center" wrapText="1"/>
    </xf>
    <xf numFmtId="167" fontId="13" fillId="4" borderId="1" pivotButton="0" quotePrefix="0" xfId="0"/>
    <xf numFmtId="0" fontId="14" fillId="0" borderId="0" pivotButton="0" quotePrefix="0" xfId="0"/>
    <xf numFmtId="167" fontId="0" fillId="0" borderId="0" pivotButton="0" quotePrefix="0" xfId="0"/>
    <xf numFmtId="0" fontId="1" fillId="20" borderId="0" applyAlignment="1" pivotButton="0" quotePrefix="0" xfId="0">
      <alignment horizontal="center" vertical="center" wrapText="1"/>
    </xf>
    <xf numFmtId="167" fontId="15" fillId="4" borderId="1" pivotButton="0" quotePrefix="0" xfId="0"/>
    <xf numFmtId="0" fontId="1" fillId="21" borderId="0" applyAlignment="1" pivotButton="0" quotePrefix="0" xfId="0">
      <alignment horizontal="center" vertical="center" wrapText="1"/>
    </xf>
    <xf numFmtId="9" fontId="0" fillId="0" borderId="1" pivotButton="0" quotePrefix="0" xfId="0"/>
    <xf numFmtId="167" fontId="0" fillId="0" borderId="1" pivotButton="0" quotePrefix="0" xfId="0"/>
    <xf numFmtId="167" fontId="16" fillId="0" borderId="0" pivotButton="0" quotePrefix="0" xfId="0"/>
    <xf numFmtId="0" fontId="1" fillId="22" borderId="0" applyAlignment="1" pivotButton="0" quotePrefix="0" xfId="0">
      <alignment horizontal="center" vertical="center" wrapText="1"/>
    </xf>
    <xf numFmtId="9" fontId="6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7" fillId="0" borderId="0" pivotButton="0" quotePrefix="0" xfId="0"/>
    <xf numFmtId="0" fontId="1" fillId="25" borderId="0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" fillId="26" borderId="0" applyAlignment="1" pivotButton="0" quotePrefix="0" xfId="0">
      <alignment horizontal="center" vertical="center" wrapText="1"/>
    </xf>
    <xf numFmtId="167" fontId="19" fillId="4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CDD2"/>
        </patternFill>
      </fill>
    </dxf>
    <dxf>
      <fill>
        <patternFill patternType="solid">
          <fgColor rgb="00FFF9C4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B3E5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</cols>
  <sheetData>
    <row r="1">
      <c r="A1" s="1" t="inlineStr">
        <is>
          <t>MI SISTEMA DE VIDA - TABLERO MAESTRO</t>
        </is>
      </c>
    </row>
    <row r="2">
      <c r="A2" s="2" t="inlineStr">
        <is>
          <t>Todo en un archivo. Llena cada pestana y este tablero se actualiza solo.</t>
        </is>
      </c>
    </row>
    <row r="4">
      <c r="A4" s="3" t="inlineStr">
        <is>
          <t>ACADEMICO</t>
        </is>
      </c>
    </row>
    <row r="5">
      <c r="A5" s="4" t="inlineStr">
        <is>
          <t>PAPA del semestre</t>
        </is>
      </c>
      <c r="B5" s="5">
        <f>'Resumen Semestre'!C10</f>
        <v/>
      </c>
      <c r="C5" s="6" t="n"/>
    </row>
    <row r="6">
      <c r="A6" s="4" t="inlineStr">
        <is>
          <t>Materias en riesgo</t>
        </is>
      </c>
      <c r="B6" s="7">
        <f>'Resumen Semestre'!B12</f>
        <v/>
      </c>
      <c r="C6" s="6" t="n"/>
    </row>
    <row r="7">
      <c r="A7" s="4" t="inlineStr">
        <is>
          <t>Entregas esta semana</t>
        </is>
      </c>
      <c r="B7" s="7">
        <f>Entregas!C29</f>
        <v/>
      </c>
      <c r="C7" s="6" t="n"/>
    </row>
    <row r="8">
      <c r="A8" s="4" t="inlineStr">
        <is>
          <t>Entregas este mes</t>
        </is>
      </c>
      <c r="B8" s="7">
        <f>Entregas!C30</f>
        <v/>
      </c>
      <c r="C8" s="6" t="n"/>
    </row>
    <row r="10">
      <c r="A10" s="8" t="inlineStr">
        <is>
          <t>FINANZAS</t>
        </is>
      </c>
    </row>
    <row r="11">
      <c r="A11" s="4" t="inlineStr">
        <is>
          <t>Ingresos del mes</t>
        </is>
      </c>
      <c r="B11" s="9">
        <f>Ingresos!D23</f>
        <v/>
      </c>
      <c r="C11" s="6" t="n"/>
    </row>
    <row r="12">
      <c r="A12" s="4" t="inlineStr">
        <is>
          <t>Egresos del mes</t>
        </is>
      </c>
      <c r="B12" s="9">
        <f>Egresos!D28</f>
        <v/>
      </c>
      <c r="C12" s="6" t="n"/>
    </row>
    <row r="13">
      <c r="A13" s="4" t="inlineStr">
        <is>
          <t>Balance del mes</t>
        </is>
      </c>
      <c r="B13" s="9">
        <f>Ingresos!D23-Egresos!D28</f>
        <v/>
      </c>
      <c r="C13" s="6" t="n"/>
    </row>
    <row r="14">
      <c r="A14" s="4" t="inlineStr">
        <is>
          <t>Deuda total</t>
        </is>
      </c>
      <c r="B14" s="9">
        <f>Deudas!C15</f>
        <v/>
      </c>
      <c r="C14" s="6" t="n"/>
    </row>
    <row r="16">
      <c r="A16" s="10" t="inlineStr">
        <is>
          <t>FUTURO</t>
        </is>
      </c>
    </row>
    <row r="17">
      <c r="A17" s="4" t="inlineStr">
        <is>
          <t>Avance plan pasantia</t>
        </is>
      </c>
      <c r="B17" s="11">
        <f>'Pasantia - Plan'!C16</f>
        <v/>
      </c>
      <c r="C17" s="6" t="n"/>
    </row>
    <row r="18">
      <c r="A18" s="4" t="inlineStr">
        <is>
          <t>Aplicaciones enviadas</t>
        </is>
      </c>
      <c r="B18" s="12">
        <f>'Pasantia - Aplicaciones'!I3</f>
        <v/>
      </c>
      <c r="C18" s="6" t="n"/>
    </row>
    <row r="19">
      <c r="A19" s="4" t="inlineStr">
        <is>
          <t>Cursos terminados</t>
        </is>
      </c>
      <c r="B19" s="13">
        <f>'Cursos CV'!E14</f>
        <v/>
      </c>
      <c r="C19" s="6" t="n"/>
    </row>
    <row r="20">
      <c r="A20" s="4" t="inlineStr">
        <is>
          <t>Libros leidos</t>
        </is>
      </c>
      <c r="B20" s="13">
        <f>Libros!D14</f>
        <v/>
      </c>
      <c r="C20" s="6" t="n"/>
    </row>
    <row r="22">
      <c r="A22" s="14" t="inlineStr">
        <is>
          <t>Revisa este tablero cada domingo en tu planeacion semanal.</t>
        </is>
      </c>
    </row>
  </sheetData>
  <mergeCells count="17">
    <mergeCell ref="A10:C10"/>
    <mergeCell ref="B13:C13"/>
    <mergeCell ref="B6:C6"/>
    <mergeCell ref="A1:G1"/>
    <mergeCell ref="B7:C7"/>
    <mergeCell ref="B11:C11"/>
    <mergeCell ref="B5:C5"/>
    <mergeCell ref="B19:C19"/>
    <mergeCell ref="B20:C20"/>
    <mergeCell ref="A2:G2"/>
    <mergeCell ref="B14:C14"/>
    <mergeCell ref="B17:C17"/>
    <mergeCell ref="B18:C18"/>
    <mergeCell ref="A4:C4"/>
    <mergeCell ref="B8:C8"/>
    <mergeCell ref="A16:C16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MI HORARIO SEMANAL</t>
        </is>
      </c>
    </row>
    <row r="2">
      <c r="A2" s="16" t="inlineStr">
        <is>
          <t>Hora</t>
        </is>
      </c>
      <c r="B2" s="17" t="inlineStr">
        <is>
          <t>Lunes</t>
        </is>
      </c>
      <c r="C2" s="17" t="inlineStr">
        <is>
          <t>Martes</t>
        </is>
      </c>
      <c r="D2" s="17" t="inlineStr">
        <is>
          <t>Miercoles</t>
        </is>
      </c>
      <c r="E2" s="17" t="inlineStr">
        <is>
          <t>Jueves</t>
        </is>
      </c>
      <c r="F2" s="17" t="inlineStr">
        <is>
          <t>Viernes</t>
        </is>
      </c>
      <c r="G2" s="17" t="inlineStr">
        <is>
          <t>Sabado</t>
        </is>
      </c>
      <c r="H2" s="17" t="inlineStr">
        <is>
          <t>Domingo</t>
        </is>
      </c>
    </row>
    <row r="3" ht="20" customHeight="1">
      <c r="A3" s="18" t="inlineStr">
        <is>
          <t>06:00</t>
        </is>
      </c>
      <c r="B3" s="19" t="inlineStr">
        <is>
          <t>Ingles (virtual)</t>
        </is>
      </c>
      <c r="C3" s="19" t="inlineStr">
        <is>
          <t>Ingles (virtual)</t>
        </is>
      </c>
      <c r="D3" s="19" t="inlineStr">
        <is>
          <t>Ingles (virtual)</t>
        </is>
      </c>
      <c r="E3" s="19" t="inlineStr">
        <is>
          <t>Ingles (virtual)</t>
        </is>
      </c>
      <c r="F3" s="19" t="inlineStr">
        <is>
          <t>Ingles (virtual)</t>
        </is>
      </c>
      <c r="G3" s="20" t="n"/>
      <c r="H3" s="20" t="n"/>
    </row>
    <row r="4" ht="20" customHeight="1">
      <c r="A4" s="18" t="inlineStr">
        <is>
          <t>06:30</t>
        </is>
      </c>
      <c r="B4" s="21" t="n"/>
      <c r="C4" s="21" t="n"/>
      <c r="D4" s="21" t="n"/>
      <c r="E4" s="21" t="n"/>
      <c r="F4" s="21" t="n"/>
      <c r="G4" s="20" t="n"/>
      <c r="H4" s="20" t="n"/>
    </row>
    <row r="5" ht="20" customHeight="1">
      <c r="A5" s="18" t="inlineStr">
        <is>
          <t>07:00</t>
        </is>
      </c>
      <c r="B5" s="21" t="n"/>
      <c r="C5" s="21" t="n"/>
      <c r="D5" s="21" t="n"/>
      <c r="E5" s="21" t="n"/>
      <c r="F5" s="21" t="n"/>
      <c r="G5" s="20" t="n"/>
      <c r="H5" s="20" t="n"/>
    </row>
    <row r="6" ht="20" customHeight="1">
      <c r="A6" s="18" t="inlineStr">
        <is>
          <t>07:30</t>
        </is>
      </c>
      <c r="B6" s="20" t="n"/>
      <c r="C6" s="20" t="n"/>
      <c r="D6" s="20" t="n"/>
      <c r="E6" s="20" t="n"/>
      <c r="F6" s="20" t="n"/>
      <c r="G6" s="20" t="n"/>
      <c r="H6" s="20" t="n"/>
    </row>
    <row r="7" ht="20" customHeight="1">
      <c r="A7" s="18" t="inlineStr">
        <is>
          <t>08:00</t>
        </is>
      </c>
      <c r="B7" s="22" t="inlineStr">
        <is>
          <t>Gimnasio (fuerza)</t>
        </is>
      </c>
      <c r="C7" s="23" t="inlineStr">
        <is>
          <t>Viaje a la U</t>
        </is>
      </c>
      <c r="D7" s="23" t="inlineStr">
        <is>
          <t>Viaje a la U</t>
        </is>
      </c>
      <c r="E7" s="23" t="inlineStr">
        <is>
          <t>Viaje a la U</t>
        </is>
      </c>
      <c r="F7" s="23" t="inlineStr">
        <is>
          <t>Viaje a la U</t>
        </is>
      </c>
      <c r="G7" s="22" t="inlineStr">
        <is>
          <t>Gimnasio (fuerza)</t>
        </is>
      </c>
      <c r="H7" s="20" t="n"/>
    </row>
    <row r="8" ht="20" customHeight="1">
      <c r="A8" s="18" t="inlineStr">
        <is>
          <t>08:30</t>
        </is>
      </c>
      <c r="B8" s="24" t="n"/>
      <c r="C8" s="25" t="n"/>
      <c r="D8" s="25" t="n"/>
      <c r="E8" s="25" t="n"/>
      <c r="F8" s="25" t="n"/>
      <c r="G8" s="24" t="n"/>
      <c r="H8" s="20" t="n"/>
    </row>
    <row r="9" ht="20" customHeight="1">
      <c r="A9" s="18" t="inlineStr">
        <is>
          <t>09:00</t>
        </is>
      </c>
      <c r="B9" s="24" t="n"/>
      <c r="C9" s="26" t="inlineStr">
        <is>
          <t>Clase OBLIGATORIA</t>
        </is>
      </c>
      <c r="D9" s="26" t="inlineStr">
        <is>
          <t>Clase OBLIGATORIA</t>
        </is>
      </c>
      <c r="E9" s="26" t="inlineStr">
        <is>
          <t>Clase OBLIGATORIA</t>
        </is>
      </c>
      <c r="F9" s="26" t="inlineStr">
        <is>
          <t>Clase OBLIGATORIA</t>
        </is>
      </c>
      <c r="G9" s="24" t="n"/>
      <c r="H9" s="20" t="n"/>
    </row>
    <row r="10" ht="20" customHeight="1">
      <c r="A10" s="18" t="inlineStr">
        <is>
          <t>09:30</t>
        </is>
      </c>
      <c r="B10" s="20" t="n"/>
      <c r="C10" s="27" t="n"/>
      <c r="D10" s="27" t="n"/>
      <c r="E10" s="27" t="n"/>
      <c r="F10" s="27" t="n"/>
      <c r="G10" s="20" t="n"/>
      <c r="H10" s="20" t="n"/>
    </row>
    <row r="11" ht="20" customHeight="1">
      <c r="A11" s="18" t="inlineStr">
        <is>
          <t>10:00</t>
        </is>
      </c>
      <c r="B11" s="28" t="inlineStr">
        <is>
          <t>PROYECTO estructural</t>
        </is>
      </c>
      <c r="C11" s="27" t="n"/>
      <c r="D11" s="27" t="n"/>
      <c r="E11" s="27" t="n"/>
      <c r="F11" s="27" t="n"/>
      <c r="G11" s="28" t="inlineStr">
        <is>
          <t>PROYECTO (bloque largo)</t>
        </is>
      </c>
      <c r="H11" s="29" t="inlineStr">
        <is>
          <t>Descanso / recargar</t>
        </is>
      </c>
    </row>
    <row r="12" ht="20" customHeight="1">
      <c r="A12" s="18" t="inlineStr">
        <is>
          <t>10:30</t>
        </is>
      </c>
      <c r="B12" s="30" t="n"/>
      <c r="C12" s="27" t="n"/>
      <c r="D12" s="27" t="n"/>
      <c r="E12" s="27" t="n"/>
      <c r="F12" s="27" t="n"/>
      <c r="G12" s="30" t="n"/>
      <c r="H12" s="31" t="n"/>
    </row>
    <row r="13" ht="20" customHeight="1">
      <c r="A13" s="18" t="inlineStr">
        <is>
          <t>11:00</t>
        </is>
      </c>
      <c r="B13" s="30" t="n"/>
      <c r="C13" s="28" t="inlineStr">
        <is>
          <t>Estudio / pasantia</t>
        </is>
      </c>
      <c r="D13" s="28" t="inlineStr">
        <is>
          <t>Repaso / tareas</t>
        </is>
      </c>
      <c r="E13" s="28" t="inlineStr">
        <is>
          <t>Estudio / pasantia</t>
        </is>
      </c>
      <c r="F13" s="20" t="n"/>
      <c r="G13" s="30" t="n"/>
      <c r="H13" s="20" t="n"/>
    </row>
    <row r="14" ht="20" customHeight="1">
      <c r="A14" s="18" t="inlineStr">
        <is>
          <t>11:30</t>
        </is>
      </c>
      <c r="B14" s="30" t="n"/>
      <c r="C14" s="30" t="n"/>
      <c r="D14" s="30" t="n"/>
      <c r="E14" s="30" t="n"/>
      <c r="F14" s="20" t="n"/>
      <c r="G14" s="30" t="n"/>
      <c r="H14" s="20" t="n"/>
    </row>
    <row r="15" ht="20" customHeight="1">
      <c r="A15" s="18" t="inlineStr">
        <is>
          <t>12:00</t>
        </is>
      </c>
      <c r="B15" s="30" t="n"/>
      <c r="C15" s="30" t="n"/>
      <c r="D15" s="30" t="n"/>
      <c r="E15" s="30" t="n"/>
      <c r="F15" s="20" t="n"/>
      <c r="G15" s="30" t="n"/>
      <c r="H15" s="20" t="n"/>
    </row>
    <row r="16" ht="20" customHeight="1">
      <c r="A16" s="18" t="inlineStr">
        <is>
          <t>12:30</t>
        </is>
      </c>
      <c r="B16" s="20" t="n"/>
      <c r="C16" s="32" t="inlineStr">
        <is>
          <t>Almuerzo con novia</t>
        </is>
      </c>
      <c r="D16" s="32" t="inlineStr">
        <is>
          <t>Almuerzo con novia</t>
        </is>
      </c>
      <c r="E16" s="32" t="inlineStr">
        <is>
          <t>Almuerzo con novia</t>
        </is>
      </c>
      <c r="F16" s="32" t="inlineStr">
        <is>
          <t>Almuerzo con novia</t>
        </is>
      </c>
      <c r="G16" s="20" t="n"/>
      <c r="H16" s="20" t="n"/>
    </row>
    <row r="17" ht="20" customHeight="1">
      <c r="A17" s="18" t="inlineStr">
        <is>
          <t>13:00</t>
        </is>
      </c>
      <c r="B17" s="33" t="inlineStr">
        <is>
          <t>Lectura 30 min</t>
        </is>
      </c>
      <c r="C17" s="34" t="n"/>
      <c r="D17" s="34" t="n"/>
      <c r="E17" s="34" t="n"/>
      <c r="F17" s="34" t="n"/>
      <c r="G17" s="20" t="n"/>
      <c r="H17" s="20" t="n"/>
    </row>
    <row r="18" ht="20" customHeight="1">
      <c r="A18" s="18" t="inlineStr">
        <is>
          <t>13:30</t>
        </is>
      </c>
      <c r="B18" s="20" t="n"/>
      <c r="C18" s="28" t="inlineStr">
        <is>
          <t>PROYECTO estructural</t>
        </is>
      </c>
      <c r="D18" s="20" t="n"/>
      <c r="E18" s="28" t="inlineStr">
        <is>
          <t>PROYECTO estructural</t>
        </is>
      </c>
      <c r="F18" s="20" t="n"/>
      <c r="G18" s="20" t="n"/>
      <c r="H18" s="20" t="n"/>
    </row>
    <row r="19" ht="20" customHeight="1">
      <c r="A19" s="18" t="inlineStr">
        <is>
          <t>14:00</t>
        </is>
      </c>
      <c r="B19" s="28" t="inlineStr">
        <is>
          <t>PROYECTO / estudio</t>
        </is>
      </c>
      <c r="C19" s="30" t="n"/>
      <c r="D19" s="35" t="inlineStr">
        <is>
          <t>ESTRUCTURAL - NO FALTAR</t>
        </is>
      </c>
      <c r="E19" s="30" t="n"/>
      <c r="F19" s="35" t="inlineStr">
        <is>
          <t>ESTRUCTURAL - NO FALTAR</t>
        </is>
      </c>
      <c r="G19" s="32" t="inlineStr">
        <is>
          <t>Tiempo con novia / social</t>
        </is>
      </c>
      <c r="H19" s="20" t="n"/>
    </row>
    <row r="20" ht="20" customHeight="1">
      <c r="A20" s="18" t="inlineStr">
        <is>
          <t>14:30</t>
        </is>
      </c>
      <c r="B20" s="30" t="n"/>
      <c r="C20" s="30" t="n"/>
      <c r="D20" s="36" t="n"/>
      <c r="E20" s="30" t="n"/>
      <c r="F20" s="36" t="n"/>
      <c r="G20" s="34" t="n"/>
      <c r="H20" s="20" t="n"/>
    </row>
    <row r="21" ht="20" customHeight="1">
      <c r="A21" s="18" t="inlineStr">
        <is>
          <t>15:00</t>
        </is>
      </c>
      <c r="B21" s="30" t="n"/>
      <c r="C21" s="30" t="n"/>
      <c r="D21" s="36" t="n"/>
      <c r="E21" s="30" t="n"/>
      <c r="F21" s="36" t="n"/>
      <c r="G21" s="34" t="n"/>
      <c r="H21" s="20" t="n"/>
    </row>
    <row r="22" ht="20" customHeight="1">
      <c r="A22" s="18" t="inlineStr">
        <is>
          <t>15:30</t>
        </is>
      </c>
      <c r="B22" s="30" t="n"/>
      <c r="C22" s="30" t="n"/>
      <c r="D22" s="36" t="n"/>
      <c r="E22" s="30" t="n"/>
      <c r="F22" s="36" t="n"/>
      <c r="G22" s="34" t="n"/>
      <c r="H22" s="20" t="n"/>
    </row>
    <row r="23" ht="20" customHeight="1">
      <c r="A23" s="18" t="inlineStr">
        <is>
          <t>16:00</t>
        </is>
      </c>
      <c r="B23" s="30" t="n"/>
      <c r="C23" s="20" t="n"/>
      <c r="D23" s="28" t="inlineStr">
        <is>
          <t>Estudio / dudas profe</t>
        </is>
      </c>
      <c r="E23" s="20" t="n"/>
      <c r="F23" s="20" t="n"/>
      <c r="G23" s="34" t="n"/>
      <c r="H23" s="20" t="n"/>
    </row>
    <row r="24" ht="20" customHeight="1">
      <c r="A24" s="18" t="inlineStr">
        <is>
          <t>16:30</t>
        </is>
      </c>
      <c r="B24" s="37" t="inlineStr">
        <is>
          <t>Psicologia</t>
        </is>
      </c>
      <c r="C24" s="20" t="n"/>
      <c r="D24" s="30" t="n"/>
      <c r="E24" s="20" t="n"/>
      <c r="F24" s="20" t="n"/>
      <c r="G24" s="34" t="n"/>
      <c r="H24" s="20" t="n"/>
    </row>
    <row r="25" ht="20" customHeight="1">
      <c r="A25" s="18" t="inlineStr">
        <is>
          <t>17:00</t>
        </is>
      </c>
      <c r="B25" s="38" t="n"/>
      <c r="C25" s="20" t="n"/>
      <c r="D25" s="30" t="n"/>
      <c r="E25" s="20" t="n"/>
      <c r="F25" s="20" t="n"/>
      <c r="G25" s="34" t="n"/>
      <c r="H25" s="37" t="inlineStr">
        <is>
          <t>Revision y planeacion semanal</t>
        </is>
      </c>
    </row>
    <row r="26" ht="20" customHeight="1">
      <c r="A26" s="18" t="inlineStr">
        <is>
          <t>17:30</t>
        </is>
      </c>
      <c r="B26" s="20" t="n"/>
      <c r="C26" s="32" t="inlineStr">
        <is>
          <t>Recoger a novia</t>
        </is>
      </c>
      <c r="D26" s="32" t="inlineStr">
        <is>
          <t>Recoger a novia</t>
        </is>
      </c>
      <c r="E26" s="32" t="inlineStr">
        <is>
          <t>Recoger a novia</t>
        </is>
      </c>
      <c r="F26" s="32" t="inlineStr">
        <is>
          <t>Recoger a novia</t>
        </is>
      </c>
      <c r="G26" s="34" t="n"/>
      <c r="H26" s="38" t="n"/>
    </row>
    <row r="27" ht="20" customHeight="1">
      <c r="A27" s="18" t="inlineStr">
        <is>
          <t>18:00</t>
        </is>
      </c>
      <c r="B27" s="26" t="inlineStr">
        <is>
          <t>Clase opcional</t>
        </is>
      </c>
      <c r="C27" s="20" t="n"/>
      <c r="D27" s="20" t="n"/>
      <c r="E27" s="20" t="n"/>
      <c r="F27" s="20" t="n"/>
      <c r="G27" s="20" t="n"/>
      <c r="H27" s="20" t="n"/>
    </row>
    <row r="28" ht="20" customHeight="1">
      <c r="A28" s="18" t="inlineStr">
        <is>
          <t>18:30</t>
        </is>
      </c>
      <c r="B28" s="27" t="n"/>
      <c r="C28" s="20" t="n"/>
      <c r="D28" s="20" t="n"/>
      <c r="E28" s="20" t="n"/>
      <c r="F28" s="20" t="n"/>
      <c r="G28" s="20" t="n"/>
      <c r="H28" s="20" t="n"/>
    </row>
    <row r="29" ht="20" customHeight="1">
      <c r="A29" s="18" t="inlineStr">
        <is>
          <t>19:00</t>
        </is>
      </c>
      <c r="B29" s="27" t="n"/>
      <c r="C29" s="20" t="n"/>
      <c r="D29" s="20" t="n"/>
      <c r="E29" s="20" t="n"/>
      <c r="F29" s="32" t="inlineStr">
        <is>
          <t>Tiempo de calidad con novia</t>
        </is>
      </c>
      <c r="G29" s="20" t="n"/>
      <c r="H29" s="20" t="n"/>
    </row>
    <row r="30" ht="20" customHeight="1">
      <c r="A30" s="18" t="inlineStr">
        <is>
          <t>19:30</t>
        </is>
      </c>
      <c r="B30" s="27" t="n"/>
      <c r="C30" s="39" t="inlineStr">
        <is>
          <t>Box</t>
        </is>
      </c>
      <c r="D30" s="20" t="n"/>
      <c r="E30" s="39" t="inlineStr">
        <is>
          <t>Box</t>
        </is>
      </c>
      <c r="F30" s="34" t="n"/>
      <c r="G30" s="20" t="n"/>
      <c r="H30" s="20" t="n"/>
    </row>
    <row r="31" ht="20" customHeight="1">
      <c r="A31" s="18" t="inlineStr">
        <is>
          <t>20:00</t>
        </is>
      </c>
      <c r="B31" s="20" t="n"/>
      <c r="C31" s="40" t="n"/>
      <c r="D31" s="20" t="n"/>
      <c r="E31" s="40" t="n"/>
      <c r="F31" s="34" t="n"/>
      <c r="G31" s="33" t="inlineStr">
        <is>
          <t>Lectura 30 min</t>
        </is>
      </c>
      <c r="H31" s="20" t="n"/>
    </row>
    <row r="32" ht="20" customHeight="1">
      <c r="A32" s="18" t="inlineStr">
        <is>
          <t>20:30</t>
        </is>
      </c>
      <c r="B32" s="20" t="n"/>
      <c r="C32" s="40" t="n"/>
      <c r="D32" s="20" t="n"/>
      <c r="E32" s="40" t="n"/>
      <c r="F32" s="34" t="n"/>
      <c r="G32" s="20" t="n"/>
      <c r="H32" s="20" t="n"/>
    </row>
  </sheetData>
  <mergeCells count="38">
    <mergeCell ref="E30:E32"/>
    <mergeCell ref="B19:B23"/>
    <mergeCell ref="A1:H1"/>
    <mergeCell ref="C16:C17"/>
    <mergeCell ref="B27:B30"/>
    <mergeCell ref="H11:H12"/>
    <mergeCell ref="C13:C15"/>
    <mergeCell ref="D23:D25"/>
    <mergeCell ref="C9:C12"/>
    <mergeCell ref="E9:E12"/>
    <mergeCell ref="C3:C5"/>
    <mergeCell ref="D7:D8"/>
    <mergeCell ref="E3:E5"/>
    <mergeCell ref="B7:B9"/>
    <mergeCell ref="D16:D17"/>
    <mergeCell ref="B3:B5"/>
    <mergeCell ref="G19:G26"/>
    <mergeCell ref="B24:B25"/>
    <mergeCell ref="C18:C22"/>
    <mergeCell ref="E18:E22"/>
    <mergeCell ref="C30:C32"/>
    <mergeCell ref="C7:C8"/>
    <mergeCell ref="G11:G15"/>
    <mergeCell ref="E7:E8"/>
    <mergeCell ref="F3:F5"/>
    <mergeCell ref="E16:E17"/>
    <mergeCell ref="E13:E15"/>
    <mergeCell ref="D9:D12"/>
    <mergeCell ref="F9:F12"/>
    <mergeCell ref="G7:G9"/>
    <mergeCell ref="B11:B15"/>
    <mergeCell ref="D13:D15"/>
    <mergeCell ref="D3:D5"/>
    <mergeCell ref="F7:F8"/>
    <mergeCell ref="F29:F32"/>
    <mergeCell ref="D19:D22"/>
    <mergeCell ref="F16:F17"/>
    <mergeCell ref="F19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</cols>
  <sheetData>
    <row r="1">
      <c r="A1" s="41" t="inlineStr">
        <is>
          <t>TRACKER SEMANAL DE HABITOS</t>
        </is>
      </c>
    </row>
    <row r="2">
      <c r="A2" s="16" t="inlineStr">
        <is>
          <t>Habito</t>
        </is>
      </c>
      <c r="B2" s="16" t="inlineStr">
        <is>
          <t>L</t>
        </is>
      </c>
      <c r="C2" s="16" t="inlineStr">
        <is>
          <t>M</t>
        </is>
      </c>
      <c r="D2" s="16" t="inlineStr">
        <is>
          <t>X</t>
        </is>
      </c>
      <c r="E2" s="16" t="inlineStr">
        <is>
          <t>J</t>
        </is>
      </c>
      <c r="F2" s="16" t="inlineStr">
        <is>
          <t>V</t>
        </is>
      </c>
      <c r="G2" s="16" t="inlineStr">
        <is>
          <t>S</t>
        </is>
      </c>
      <c r="H2" s="16" t="inlineStr">
        <is>
          <t>D</t>
        </is>
      </c>
    </row>
    <row r="3">
      <c r="A3" s="42" t="inlineStr">
        <is>
          <t>Dormir 7-8h</t>
        </is>
      </c>
      <c r="B3" s="20" t="n"/>
      <c r="C3" s="20" t="n"/>
      <c r="D3" s="20" t="n"/>
      <c r="E3" s="20" t="n"/>
      <c r="F3" s="20" t="n"/>
      <c r="G3" s="20" t="n"/>
      <c r="H3" s="20" t="n"/>
    </row>
    <row r="4">
      <c r="A4" s="42" t="inlineStr">
        <is>
          <t>Ingles</t>
        </is>
      </c>
      <c r="B4" s="20" t="n"/>
      <c r="C4" s="20" t="n"/>
      <c r="D4" s="20" t="n"/>
      <c r="E4" s="20" t="n"/>
      <c r="F4" s="20" t="n"/>
      <c r="G4" s="20" t="n"/>
      <c r="H4" s="20" t="n"/>
    </row>
    <row r="5">
      <c r="A5" s="42" t="inlineStr">
        <is>
          <t>Proyecto estructural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42" t="inlineStr">
        <is>
          <t>Gym / Box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42" t="inlineStr">
        <is>
          <t>Lectura 30 min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42" t="inlineStr">
        <is>
          <t>Tiempo c/ novia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42" t="inlineStr">
        <is>
          <t>Agua + comer bien</t>
        </is>
      </c>
      <c r="B9" s="20" t="n"/>
      <c r="C9" s="20" t="n"/>
      <c r="D9" s="20" t="n"/>
      <c r="E9" s="20" t="n"/>
      <c r="F9" s="20" t="n"/>
      <c r="G9" s="20" t="n"/>
      <c r="H9" s="20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3" customWidth="1" min="3" max="3"/>
    <col width="12" customWidth="1" min="4" max="4"/>
    <col width="13" customWidth="1" min="5" max="5"/>
    <col width="12" customWidth="1" min="6" max="6"/>
    <col width="9" customWidth="1" min="7" max="7"/>
  </cols>
  <sheetData>
    <row r="1">
      <c r="A1" s="43" t="inlineStr">
        <is>
          <t>RESUMEN DEL SEMESTRE (9o) - Aprueba 3.0</t>
        </is>
      </c>
    </row>
    <row r="3">
      <c r="A3" s="16" t="inlineStr">
        <is>
          <t>Materia</t>
        </is>
      </c>
      <c r="B3" s="16" t="inlineStr">
        <is>
          <t>Creditos</t>
        </is>
      </c>
      <c r="C3" s="16" t="inlineStr">
        <is>
          <t>Nota Definitiva</t>
        </is>
      </c>
      <c r="D3" s="16" t="inlineStr">
        <is>
          <t>Aporte</t>
        </is>
      </c>
      <c r="E3" s="16" t="inlineStr">
        <is>
          <t>Estado</t>
        </is>
      </c>
      <c r="F3" s="16" t="inlineStr">
        <is>
          <t>Prioridad</t>
        </is>
      </c>
      <c r="G3" s="16" t="inlineStr">
        <is>
          <t>Falta %</t>
        </is>
      </c>
    </row>
    <row r="4">
      <c r="A4" s="42" t="inlineStr">
        <is>
          <t>Diseno Estructural</t>
        </is>
      </c>
      <c r="B4" s="20" t="n">
        <v>3</v>
      </c>
      <c r="C4" s="20">
        <f>'Calculadora Notas'!D14</f>
        <v/>
      </c>
      <c r="D4" s="20">
        <f>B4*C4</f>
        <v/>
      </c>
      <c r="E4" s="20">
        <f>IF(C4="","-",IF(C4&gt;=3.0,"Aprobada","EN RIESGO"))</f>
        <v/>
      </c>
      <c r="F4" s="20">
        <f>IF(C4="","-",IF(C4&lt;3.0,"ALTA",IF(C4&lt;3.5,"MEDIA","OK")))</f>
        <v/>
      </c>
      <c r="G4" s="20">
        <f>'Calculadora Notas'!D16</f>
        <v/>
      </c>
    </row>
    <row r="5">
      <c r="A5" s="42" t="inlineStr">
        <is>
          <t>Uitoto</t>
        </is>
      </c>
      <c r="B5" s="20" t="n">
        <v>3</v>
      </c>
      <c r="C5" s="20">
        <f>'Calculadora Notas'!D30</f>
        <v/>
      </c>
      <c r="D5" s="20">
        <f>B5*C5</f>
        <v/>
      </c>
      <c r="E5" s="20">
        <f>IF(C5="","-",IF(C5&gt;=3.0,"Aprobada","EN RIESGO"))</f>
        <v/>
      </c>
      <c r="F5" s="20">
        <f>IF(C5="","-",IF(C5&lt;3.0,"ALTA",IF(C5&lt;3.5,"MEDIA","OK")))</f>
        <v/>
      </c>
      <c r="G5" s="20">
        <f>'Calculadora Notas'!D32</f>
        <v/>
      </c>
    </row>
    <row r="6">
      <c r="A6" s="42" t="inlineStr">
        <is>
          <t>PEPI</t>
        </is>
      </c>
      <c r="B6" s="20" t="n">
        <v>3</v>
      </c>
      <c r="C6" s="20">
        <f>'Calculadora Notas'!D46</f>
        <v/>
      </c>
      <c r="D6" s="20">
        <f>B6*C6</f>
        <v/>
      </c>
      <c r="E6" s="20">
        <f>IF(C6="","-",IF(C6&gt;=3.0,"Aprobada","EN RIESGO"))</f>
        <v/>
      </c>
      <c r="F6" s="20">
        <f>IF(C6="","-",IF(C6&lt;3.0,"ALTA",IF(C6&lt;3.5,"MEDIA","OK")))</f>
        <v/>
      </c>
      <c r="G6" s="20">
        <f>'Calculadora Notas'!D48</f>
        <v/>
      </c>
    </row>
    <row r="7">
      <c r="A7" s="42" t="inlineStr">
        <is>
          <t>Saneamiento Ambiental</t>
        </is>
      </c>
      <c r="B7" s="20" t="n">
        <v>3</v>
      </c>
      <c r="C7" s="20">
        <f>'Calculadora Notas'!D62</f>
        <v/>
      </c>
      <c r="D7" s="20">
        <f>B7*C7</f>
        <v/>
      </c>
      <c r="E7" s="20">
        <f>IF(C7="","-",IF(C7&gt;=3.0,"Aprobada","EN RIESGO"))</f>
        <v/>
      </c>
      <c r="F7" s="20">
        <f>IF(C7="","-",IF(C7&lt;3.0,"ALTA",IF(C7&lt;3.5,"MEDIA","OK")))</f>
        <v/>
      </c>
      <c r="G7" s="20">
        <f>'Calculadora Notas'!D64</f>
        <v/>
      </c>
    </row>
    <row r="8">
      <c r="A8" s="42" t="inlineStr">
        <is>
          <t>Alcantarillados</t>
        </is>
      </c>
      <c r="B8" s="20" t="n">
        <v>3</v>
      </c>
      <c r="C8" s="20">
        <f>'Calculadora Notas'!D78</f>
        <v/>
      </c>
      <c r="D8" s="20">
        <f>B8*C8</f>
        <v/>
      </c>
      <c r="E8" s="20">
        <f>IF(C8="","-",IF(C8&gt;=3.0,"Aprobada","EN RIESGO"))</f>
        <v/>
      </c>
      <c r="F8" s="20">
        <f>IF(C8="","-",IF(C8&lt;3.0,"ALTA",IF(C8&lt;3.5,"MEDIA","OK")))</f>
        <v/>
      </c>
      <c r="G8" s="20">
        <f>'Calculadora Notas'!D80</f>
        <v/>
      </c>
    </row>
    <row r="9">
      <c r="A9" s="42" t="inlineStr">
        <is>
          <t>Fundamentos de Construccion</t>
        </is>
      </c>
      <c r="B9" s="20" t="n">
        <v>3</v>
      </c>
      <c r="C9" s="20">
        <f>'Calculadora Notas'!D94</f>
        <v/>
      </c>
      <c r="D9" s="20">
        <f>B9*C9</f>
        <v/>
      </c>
      <c r="E9" s="20">
        <f>IF(C9="","-",IF(C9&gt;=3.0,"Aprobada","EN RIESGO"))</f>
        <v/>
      </c>
      <c r="F9" s="20">
        <f>IF(C9="","-",IF(C9&lt;3.0,"ALTA",IF(C9&lt;3.5,"MEDIA","OK")))</f>
        <v/>
      </c>
      <c r="G9" s="20">
        <f>'Calculadora Notas'!D96</f>
        <v/>
      </c>
    </row>
    <row r="10">
      <c r="A10" s="44" t="inlineStr">
        <is>
          <t>PAPA SEMESTRE</t>
        </is>
      </c>
      <c r="B10" s="25">
        <f>SUM(B4:B9)</f>
        <v/>
      </c>
      <c r="C10" s="45">
        <f>IFERROR(ROUND(SUMPRODUCT(B4:B9,C4:C9)/SUM(B4:B9),2),0)</f>
        <v/>
      </c>
    </row>
    <row r="12">
      <c r="A12" s="46" t="inlineStr">
        <is>
          <t>Materias EN RIESGO:</t>
        </is>
      </c>
      <c r="B12" s="46">
        <f>COUNTIF(E4:E9,"EN RIESGO")</f>
        <v/>
      </c>
    </row>
  </sheetData>
  <mergeCells count="1">
    <mergeCell ref="A1:G1"/>
  </mergeCells>
  <conditionalFormatting sqref="C4:C9">
    <cfRule type="cellIs" priority="1" operator="lessThan" dxfId="0">
      <formula>3.0</formula>
    </cfRule>
    <cfRule type="cellIs" priority="2" operator="between" dxfId="1">
      <formula>3.0</formula>
      <formula>3.49</formula>
    </cfRule>
    <cfRule type="cellIs" priority="3" operator="greaterThanOrEqual" dxfId="2">
      <formula>3.5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</cols>
  <sheetData>
    <row r="1">
      <c r="A1" s="43" t="inlineStr">
        <is>
          <t>CALCULADORA POR MATERIA (pon % y nota 0-5)</t>
        </is>
      </c>
    </row>
    <row r="3">
      <c r="A3" s="47" t="inlineStr">
        <is>
          <t>MATERIA: Diseno Estructural</t>
        </is>
      </c>
    </row>
    <row r="4">
      <c r="A4" s="48" t="inlineStr">
        <is>
          <t>Evaluacion</t>
        </is>
      </c>
      <c r="B4" s="48" t="inlineStr">
        <is>
          <t>% (peso)</t>
        </is>
      </c>
      <c r="C4" s="48" t="inlineStr">
        <is>
          <t>Nota (0-5)</t>
        </is>
      </c>
      <c r="D4" s="48" t="inlineStr">
        <is>
          <t>Aporte</t>
        </is>
      </c>
    </row>
    <row r="5">
      <c r="A5" s="42" t="inlineStr">
        <is>
          <t>Parcial 1</t>
        </is>
      </c>
      <c r="B5" s="20" t="n">
        <v>20</v>
      </c>
      <c r="C5" s="49" t="n"/>
      <c r="D5" s="20">
        <f>IFERROR(B5*C5/100,0)</f>
        <v/>
      </c>
    </row>
    <row r="6">
      <c r="A6" s="42" t="inlineStr">
        <is>
          <t>Parcial 2</t>
        </is>
      </c>
      <c r="B6" s="20" t="n">
        <v>20</v>
      </c>
      <c r="C6" s="49" t="n"/>
      <c r="D6" s="20">
        <f>IFERROR(B6*C6/100,0)</f>
        <v/>
      </c>
    </row>
    <row r="7">
      <c r="A7" s="42" t="inlineStr">
        <is>
          <t>Parcial 3</t>
        </is>
      </c>
      <c r="B7" s="20" t="n">
        <v>20</v>
      </c>
      <c r="C7" s="49" t="n"/>
      <c r="D7" s="20">
        <f>IFERROR(B7*C7/100,0)</f>
        <v/>
      </c>
    </row>
    <row r="8">
      <c r="A8" s="42" t="inlineStr">
        <is>
          <t>Primera entrega proyecto</t>
        </is>
      </c>
      <c r="B8" s="20" t="n">
        <v>10</v>
      </c>
      <c r="C8" s="49" t="n"/>
      <c r="D8" s="20">
        <f>IFERROR(B8*C8/100,0)</f>
        <v/>
      </c>
    </row>
    <row r="9">
      <c r="A9" s="42" t="inlineStr">
        <is>
          <t>Entrega final proyecto</t>
        </is>
      </c>
      <c r="B9" s="20" t="n">
        <v>30</v>
      </c>
      <c r="C9" s="49" t="n"/>
      <c r="D9" s="20">
        <f>IFERROR(B9*C9/100,0)</f>
        <v/>
      </c>
    </row>
    <row r="10">
      <c r="A10" s="42" t="inlineStr">
        <is>
          <t>Eval 6</t>
        </is>
      </c>
      <c r="B10" s="49" t="n"/>
      <c r="C10" s="49" t="n"/>
      <c r="D10" s="20">
        <f>IFERROR(B10*C10/100,0)</f>
        <v/>
      </c>
    </row>
    <row r="11">
      <c r="A11" s="42" t="inlineStr">
        <is>
          <t>Eval 7</t>
        </is>
      </c>
      <c r="B11" s="49" t="n"/>
      <c r="C11" s="49" t="n"/>
      <c r="D11" s="20">
        <f>IFERROR(B11*C11/100,0)</f>
        <v/>
      </c>
    </row>
    <row r="12">
      <c r="A12" s="50" t="inlineStr">
        <is>
          <t>Suma % (debe dar 100)</t>
        </is>
      </c>
      <c r="B12" s="20">
        <f>SUM(B5:B11)</f>
        <v/>
      </c>
      <c r="C12" s="20">
        <f>IF(B12=100,"OK","REVISAR")</f>
        <v/>
      </c>
      <c r="D12" s="49" t="n"/>
    </row>
    <row r="13">
      <c r="A13" s="50" t="inlineStr">
        <is>
          <t>Nota acumulada</t>
        </is>
      </c>
      <c r="B13" s="49" t="n"/>
      <c r="C13" s="49" t="n"/>
      <c r="D13" s="20">
        <f>ROUND(SUM(D5:D11),2)</f>
        <v/>
      </c>
    </row>
    <row r="14">
      <c r="A14" s="51" t="inlineStr">
        <is>
          <t>NOTA DEFINITIVA</t>
        </is>
      </c>
      <c r="B14" s="49" t="n"/>
      <c r="C14" s="49" t="n"/>
      <c r="D14" s="52">
        <f>ROUND(SUM(D5:D11),2)</f>
        <v/>
      </c>
    </row>
    <row r="15">
      <c r="A15" s="42" t="inlineStr">
        <is>
          <t>% ya cursado</t>
        </is>
      </c>
      <c r="B15" s="49" t="n"/>
      <c r="C15" s="49" t="n"/>
      <c r="D15" s="20">
        <f>SUMIF(C5:C11,"&gt;0",B5:B11)</f>
        <v/>
      </c>
    </row>
    <row r="16">
      <c r="A16" s="50" t="inlineStr">
        <is>
          <t>% que falta</t>
        </is>
      </c>
      <c r="B16" s="49" t="n"/>
      <c r="C16" s="49" t="n"/>
      <c r="D16" s="20">
        <f>100-D15</f>
        <v/>
      </c>
    </row>
    <row r="17">
      <c r="A17" s="53" t="inlineStr">
        <is>
          <t>Nota que necesito (en lo que falta) para pasar 3.0</t>
        </is>
      </c>
      <c r="B17" s="49" t="n"/>
      <c r="C17" s="49" t="n"/>
      <c r="D17" s="54">
        <f>IFERROR(IF(D16=0,"-",ROUND((3.0-D13)/(D16/100),2)),"-")</f>
        <v/>
      </c>
    </row>
    <row r="19">
      <c r="A19" s="47" t="inlineStr">
        <is>
          <t>MATERIA: Uitoto</t>
        </is>
      </c>
    </row>
    <row r="20">
      <c r="A20" s="48" t="inlineStr">
        <is>
          <t>Evaluacion</t>
        </is>
      </c>
      <c r="B20" s="48" t="inlineStr">
        <is>
          <t>% (peso)</t>
        </is>
      </c>
      <c r="C20" s="48" t="inlineStr">
        <is>
          <t>Nota (0-5)</t>
        </is>
      </c>
      <c r="D20" s="48" t="inlineStr">
        <is>
          <t>Aporte</t>
        </is>
      </c>
    </row>
    <row r="21">
      <c r="A21" s="42" t="inlineStr">
        <is>
          <t>Mito</t>
        </is>
      </c>
      <c r="B21" s="20" t="n">
        <v>30</v>
      </c>
      <c r="C21" s="49" t="n"/>
      <c r="D21" s="20">
        <f>IFERROR(B21*C21/100,0)</f>
        <v/>
      </c>
    </row>
    <row r="22">
      <c r="A22" s="42" t="inlineStr">
        <is>
          <t>Talleres grupales</t>
        </is>
      </c>
      <c r="B22" s="20" t="n">
        <v>30</v>
      </c>
      <c r="C22" s="49" t="n"/>
      <c r="D22" s="20">
        <f>IFERROR(B22*C22/100,0)</f>
        <v/>
      </c>
    </row>
    <row r="23">
      <c r="A23" s="42" t="inlineStr">
        <is>
          <t>Propuesta final</t>
        </is>
      </c>
      <c r="B23" s="20" t="n">
        <v>40</v>
      </c>
      <c r="C23" s="49" t="n"/>
      <c r="D23" s="20">
        <f>IFERROR(B23*C23/100,0)</f>
        <v/>
      </c>
    </row>
    <row r="24">
      <c r="A24" s="42" t="inlineStr">
        <is>
          <t>Eval 4</t>
        </is>
      </c>
      <c r="B24" s="49" t="n"/>
      <c r="C24" s="49" t="n"/>
      <c r="D24" s="20">
        <f>IFERROR(B24*C24/100,0)</f>
        <v/>
      </c>
    </row>
    <row r="25">
      <c r="A25" s="42" t="inlineStr">
        <is>
          <t>Eval 5</t>
        </is>
      </c>
      <c r="B25" s="49" t="n"/>
      <c r="C25" s="49" t="n"/>
      <c r="D25" s="20">
        <f>IFERROR(B25*C25/100,0)</f>
        <v/>
      </c>
    </row>
    <row r="26">
      <c r="A26" s="42" t="inlineStr">
        <is>
          <t>Eval 6</t>
        </is>
      </c>
      <c r="B26" s="49" t="n"/>
      <c r="C26" s="49" t="n"/>
      <c r="D26" s="20">
        <f>IFERROR(B26*C26/100,0)</f>
        <v/>
      </c>
    </row>
    <row r="27">
      <c r="A27" s="42" t="inlineStr">
        <is>
          <t>Eval 7</t>
        </is>
      </c>
      <c r="B27" s="49" t="n"/>
      <c r="C27" s="49" t="n"/>
      <c r="D27" s="20">
        <f>IFERROR(B27*C27/100,0)</f>
        <v/>
      </c>
    </row>
    <row r="28">
      <c r="A28" s="50" t="inlineStr">
        <is>
          <t>Suma % (debe dar 100)</t>
        </is>
      </c>
      <c r="B28" s="20">
        <f>SUM(B21:B27)</f>
        <v/>
      </c>
      <c r="C28" s="20">
        <f>IF(B28=100,"OK","REVISAR")</f>
        <v/>
      </c>
      <c r="D28" s="49" t="n"/>
    </row>
    <row r="29">
      <c r="A29" s="50" t="inlineStr">
        <is>
          <t>Nota acumulada</t>
        </is>
      </c>
      <c r="B29" s="49" t="n"/>
      <c r="C29" s="49" t="n"/>
      <c r="D29" s="20">
        <f>ROUND(SUM(D21:D27),2)</f>
        <v/>
      </c>
    </row>
    <row r="30">
      <c r="A30" s="51" t="inlineStr">
        <is>
          <t>NOTA DEFINITIVA</t>
        </is>
      </c>
      <c r="B30" s="49" t="n"/>
      <c r="C30" s="49" t="n"/>
      <c r="D30" s="52">
        <f>ROUND(SUM(D21:D27),2)</f>
        <v/>
      </c>
    </row>
    <row r="31">
      <c r="A31" s="42" t="inlineStr">
        <is>
          <t>% ya cursado</t>
        </is>
      </c>
      <c r="B31" s="49" t="n"/>
      <c r="C31" s="49" t="n"/>
      <c r="D31" s="20">
        <f>SUMIF(C21:C27,"&gt;0",B21:B27)</f>
        <v/>
      </c>
    </row>
    <row r="32">
      <c r="A32" s="50" t="inlineStr">
        <is>
          <t>% que falta</t>
        </is>
      </c>
      <c r="B32" s="49" t="n"/>
      <c r="C32" s="49" t="n"/>
      <c r="D32" s="20">
        <f>100-D31</f>
        <v/>
      </c>
    </row>
    <row r="33">
      <c r="A33" s="53" t="inlineStr">
        <is>
          <t>Nota que necesito (en lo que falta) para pasar 3.0</t>
        </is>
      </c>
      <c r="B33" s="49" t="n"/>
      <c r="C33" s="49" t="n"/>
      <c r="D33" s="54">
        <f>IFERROR(IF(D32=0,"-",ROUND((3.0-D29)/(D32/100),2)),"-")</f>
        <v/>
      </c>
    </row>
    <row r="35">
      <c r="A35" s="47" t="inlineStr">
        <is>
          <t>MATERIA: PEPI</t>
        </is>
      </c>
    </row>
    <row r="36">
      <c r="A36" s="48" t="inlineStr">
        <is>
          <t>Evaluacion</t>
        </is>
      </c>
      <c r="B36" s="48" t="inlineStr">
        <is>
          <t>% (peso)</t>
        </is>
      </c>
      <c r="C36" s="48" t="inlineStr">
        <is>
          <t>Nota (0-5)</t>
        </is>
      </c>
      <c r="D36" s="48" t="inlineStr">
        <is>
          <t>Aporte</t>
        </is>
      </c>
    </row>
    <row r="37">
      <c r="A37" s="42" t="inlineStr">
        <is>
          <t>Parcial 1</t>
        </is>
      </c>
      <c r="B37" s="20" t="n">
        <v>20</v>
      </c>
      <c r="C37" s="49" t="n"/>
      <c r="D37" s="20">
        <f>IFERROR(B37*C37/100,0)</f>
        <v/>
      </c>
    </row>
    <row r="38">
      <c r="A38" s="42" t="inlineStr">
        <is>
          <t>Talleres</t>
        </is>
      </c>
      <c r="B38" s="20" t="n">
        <v>40</v>
      </c>
      <c r="C38" s="49" t="n"/>
      <c r="D38" s="20">
        <f>IFERROR(B38*C38/100,0)</f>
        <v/>
      </c>
    </row>
    <row r="39">
      <c r="A39" s="42" t="inlineStr">
        <is>
          <t>Quices</t>
        </is>
      </c>
      <c r="B39" s="20" t="n">
        <v>10</v>
      </c>
      <c r="C39" s="49" t="n"/>
      <c r="D39" s="20">
        <f>IFERROR(B39*C39/100,0)</f>
        <v/>
      </c>
    </row>
    <row r="40">
      <c r="A40" s="42" t="inlineStr">
        <is>
          <t>Proyecto</t>
        </is>
      </c>
      <c r="B40" s="20" t="n">
        <v>30</v>
      </c>
      <c r="C40" s="49" t="n"/>
      <c r="D40" s="20">
        <f>IFERROR(B40*C40/100,0)</f>
        <v/>
      </c>
    </row>
    <row r="41">
      <c r="A41" s="42" t="inlineStr">
        <is>
          <t>Eval 5</t>
        </is>
      </c>
      <c r="B41" s="49" t="n"/>
      <c r="C41" s="49" t="n"/>
      <c r="D41" s="20">
        <f>IFERROR(B41*C41/100,0)</f>
        <v/>
      </c>
    </row>
    <row r="42">
      <c r="A42" s="42" t="inlineStr">
        <is>
          <t>Eval 6</t>
        </is>
      </c>
      <c r="B42" s="49" t="n"/>
      <c r="C42" s="49" t="n"/>
      <c r="D42" s="20">
        <f>IFERROR(B42*C42/100,0)</f>
        <v/>
      </c>
    </row>
    <row r="43">
      <c r="A43" s="42" t="inlineStr">
        <is>
          <t>Eval 7</t>
        </is>
      </c>
      <c r="B43" s="49" t="n"/>
      <c r="C43" s="49" t="n"/>
      <c r="D43" s="20">
        <f>IFERROR(B43*C43/100,0)</f>
        <v/>
      </c>
    </row>
    <row r="44">
      <c r="A44" s="50" t="inlineStr">
        <is>
          <t>Suma % (debe dar 100)</t>
        </is>
      </c>
      <c r="B44" s="20">
        <f>SUM(B37:B43)</f>
        <v/>
      </c>
      <c r="C44" s="20">
        <f>IF(B44=100,"OK","REVISAR")</f>
        <v/>
      </c>
      <c r="D44" s="49" t="n"/>
    </row>
    <row r="45">
      <c r="A45" s="50" t="inlineStr">
        <is>
          <t>Nota acumulada</t>
        </is>
      </c>
      <c r="B45" s="49" t="n"/>
      <c r="C45" s="49" t="n"/>
      <c r="D45" s="20">
        <f>ROUND(SUM(D37:D43),2)</f>
        <v/>
      </c>
    </row>
    <row r="46">
      <c r="A46" s="51" t="inlineStr">
        <is>
          <t>NOTA DEFINITIVA</t>
        </is>
      </c>
      <c r="B46" s="49" t="n"/>
      <c r="C46" s="49" t="n"/>
      <c r="D46" s="52">
        <f>ROUND(SUM(D37:D43),2)</f>
        <v/>
      </c>
    </row>
    <row r="47">
      <c r="A47" s="42" t="inlineStr">
        <is>
          <t>% ya cursado</t>
        </is>
      </c>
      <c r="B47" s="49" t="n"/>
      <c r="C47" s="49" t="n"/>
      <c r="D47" s="20">
        <f>SUMIF(C37:C43,"&gt;0",B37:B43)</f>
        <v/>
      </c>
    </row>
    <row r="48">
      <c r="A48" s="50" t="inlineStr">
        <is>
          <t>% que falta</t>
        </is>
      </c>
      <c r="B48" s="49" t="n"/>
      <c r="C48" s="49" t="n"/>
      <c r="D48" s="20">
        <f>100-D47</f>
        <v/>
      </c>
    </row>
    <row r="49">
      <c r="A49" s="53" t="inlineStr">
        <is>
          <t>Nota que necesito (en lo que falta) para pasar 3.0</t>
        </is>
      </c>
      <c r="B49" s="49" t="n"/>
      <c r="C49" s="49" t="n"/>
      <c r="D49" s="54">
        <f>IFERROR(IF(D48=0,"-",ROUND((3.0-D45)/(D48/100),2)),"-")</f>
        <v/>
      </c>
    </row>
    <row r="51">
      <c r="A51" s="47" t="inlineStr">
        <is>
          <t>MATERIA: Saneamiento Ambiental</t>
        </is>
      </c>
    </row>
    <row r="52">
      <c r="A52" s="48" t="inlineStr">
        <is>
          <t>Evaluacion</t>
        </is>
      </c>
      <c r="B52" s="48" t="inlineStr">
        <is>
          <t>% (peso)</t>
        </is>
      </c>
      <c r="C52" s="48" t="inlineStr">
        <is>
          <t>Nota (0-5)</t>
        </is>
      </c>
      <c r="D52" s="48" t="inlineStr">
        <is>
          <t>Aporte</t>
        </is>
      </c>
    </row>
    <row r="53">
      <c r="A53" s="42" t="inlineStr">
        <is>
          <t>Proyecto</t>
        </is>
      </c>
      <c r="B53" s="20" t="n">
        <v>40</v>
      </c>
      <c r="C53" s="49" t="n"/>
      <c r="D53" s="20">
        <f>IFERROR(B53*C53/100,0)</f>
        <v/>
      </c>
    </row>
    <row r="54">
      <c r="A54" s="42" t="inlineStr">
        <is>
          <t>Talleres</t>
        </is>
      </c>
      <c r="B54" s="20" t="n">
        <v>35</v>
      </c>
      <c r="C54" s="49" t="n"/>
      <c r="D54" s="20">
        <f>IFERROR(B54*C54/100,0)</f>
        <v/>
      </c>
    </row>
    <row r="55">
      <c r="A55" s="42" t="inlineStr">
        <is>
          <t>Quices</t>
        </is>
      </c>
      <c r="B55" s="20" t="n">
        <v>15</v>
      </c>
      <c r="C55" s="49" t="n"/>
      <c r="D55" s="20">
        <f>IFERROR(B55*C55/100,0)</f>
        <v/>
      </c>
    </row>
    <row r="56">
      <c r="A56" s="42" t="inlineStr">
        <is>
          <t>Participacion</t>
        </is>
      </c>
      <c r="B56" s="20" t="n">
        <v>10</v>
      </c>
      <c r="C56" s="49" t="n"/>
      <c r="D56" s="20">
        <f>IFERROR(B56*C56/100,0)</f>
        <v/>
      </c>
    </row>
    <row r="57">
      <c r="A57" s="42" t="inlineStr">
        <is>
          <t>Eval 5</t>
        </is>
      </c>
      <c r="B57" s="49" t="n"/>
      <c r="C57" s="49" t="n"/>
      <c r="D57" s="20">
        <f>IFERROR(B57*C57/100,0)</f>
        <v/>
      </c>
    </row>
    <row r="58">
      <c r="A58" s="42" t="inlineStr">
        <is>
          <t>Eval 6</t>
        </is>
      </c>
      <c r="B58" s="49" t="n"/>
      <c r="C58" s="49" t="n"/>
      <c r="D58" s="20">
        <f>IFERROR(B58*C58/100,0)</f>
        <v/>
      </c>
    </row>
    <row r="59">
      <c r="A59" s="42" t="inlineStr">
        <is>
          <t>Eval 7</t>
        </is>
      </c>
      <c r="B59" s="49" t="n"/>
      <c r="C59" s="49" t="n"/>
      <c r="D59" s="20">
        <f>IFERROR(B59*C59/100,0)</f>
        <v/>
      </c>
    </row>
    <row r="60">
      <c r="A60" s="50" t="inlineStr">
        <is>
          <t>Suma % (debe dar 100)</t>
        </is>
      </c>
      <c r="B60" s="20">
        <f>SUM(B53:B59)</f>
        <v/>
      </c>
      <c r="C60" s="20">
        <f>IF(B60=100,"OK","REVISAR")</f>
        <v/>
      </c>
      <c r="D60" s="49" t="n"/>
    </row>
    <row r="61">
      <c r="A61" s="50" t="inlineStr">
        <is>
          <t>Nota acumulada</t>
        </is>
      </c>
      <c r="B61" s="49" t="n"/>
      <c r="C61" s="49" t="n"/>
      <c r="D61" s="20">
        <f>ROUND(SUM(D53:D59),2)</f>
        <v/>
      </c>
    </row>
    <row r="62">
      <c r="A62" s="51" t="inlineStr">
        <is>
          <t>NOTA DEFINITIVA</t>
        </is>
      </c>
      <c r="B62" s="49" t="n"/>
      <c r="C62" s="49" t="n"/>
      <c r="D62" s="52">
        <f>ROUND(SUM(D53:D59),2)</f>
        <v/>
      </c>
    </row>
    <row r="63">
      <c r="A63" s="42" t="inlineStr">
        <is>
          <t>% ya cursado</t>
        </is>
      </c>
      <c r="B63" s="49" t="n"/>
      <c r="C63" s="49" t="n"/>
      <c r="D63" s="20">
        <f>SUMIF(C53:C59,"&gt;0",B53:B59)</f>
        <v/>
      </c>
    </row>
    <row r="64">
      <c r="A64" s="50" t="inlineStr">
        <is>
          <t>% que falta</t>
        </is>
      </c>
      <c r="B64" s="49" t="n"/>
      <c r="C64" s="49" t="n"/>
      <c r="D64" s="20">
        <f>100-D63</f>
        <v/>
      </c>
    </row>
    <row r="65">
      <c r="A65" s="53" t="inlineStr">
        <is>
          <t>Nota que necesito (en lo que falta) para pasar 3.0</t>
        </is>
      </c>
      <c r="B65" s="49" t="n"/>
      <c r="C65" s="49" t="n"/>
      <c r="D65" s="54">
        <f>IFERROR(IF(D64=0,"-",ROUND((3.0-D61)/(D64/100),2)),"-")</f>
        <v/>
      </c>
    </row>
    <row r="67">
      <c r="A67" s="47" t="inlineStr">
        <is>
          <t>MATERIA: Alcantarillados</t>
        </is>
      </c>
    </row>
    <row r="68">
      <c r="A68" s="48" t="inlineStr">
        <is>
          <t>Evaluacion</t>
        </is>
      </c>
      <c r="B68" s="48" t="inlineStr">
        <is>
          <t>% (peso)</t>
        </is>
      </c>
      <c r="C68" s="48" t="inlineStr">
        <is>
          <t>Nota (0-5)</t>
        </is>
      </c>
      <c r="D68" s="48" t="inlineStr">
        <is>
          <t>Aporte</t>
        </is>
      </c>
    </row>
    <row r="69">
      <c r="A69" s="42" t="inlineStr">
        <is>
          <t>Informe de salida</t>
        </is>
      </c>
      <c r="B69" s="20" t="n">
        <v>20</v>
      </c>
      <c r="C69" s="49" t="n"/>
      <c r="D69" s="20">
        <f>IFERROR(B69*C69/100,0)</f>
        <v/>
      </c>
    </row>
    <row r="70">
      <c r="A70" s="42" t="inlineStr">
        <is>
          <t>Planes de gobierno</t>
        </is>
      </c>
      <c r="B70" s="20" t="n">
        <v>10</v>
      </c>
      <c r="C70" s="49" t="n"/>
      <c r="D70" s="20">
        <f>IFERROR(B70*C70/100,0)</f>
        <v/>
      </c>
    </row>
    <row r="71">
      <c r="A71" s="42" t="inlineStr">
        <is>
          <t>Parcial 1</t>
        </is>
      </c>
      <c r="B71" s="20" t="n">
        <v>20</v>
      </c>
      <c r="C71" s="49" t="n"/>
      <c r="D71" s="20">
        <f>IFERROR(B71*C71/100,0)</f>
        <v/>
      </c>
    </row>
    <row r="72">
      <c r="A72" s="42" t="inlineStr">
        <is>
          <t>Parcial 2</t>
        </is>
      </c>
      <c r="B72" s="20" t="n">
        <v>20</v>
      </c>
      <c r="C72" s="49" t="n"/>
      <c r="D72" s="20">
        <f>IFERROR(B72*C72/100,0)</f>
        <v/>
      </c>
    </row>
    <row r="73">
      <c r="A73" s="42" t="inlineStr">
        <is>
          <t>Proyecto</t>
        </is>
      </c>
      <c r="B73" s="20" t="n">
        <v>30</v>
      </c>
      <c r="C73" s="49" t="n"/>
      <c r="D73" s="20">
        <f>IFERROR(B73*C73/100,0)</f>
        <v/>
      </c>
    </row>
    <row r="74">
      <c r="A74" s="42" t="inlineStr">
        <is>
          <t>Eval 6</t>
        </is>
      </c>
      <c r="B74" s="49" t="n"/>
      <c r="C74" s="49" t="n"/>
      <c r="D74" s="20">
        <f>IFERROR(B74*C74/100,0)</f>
        <v/>
      </c>
    </row>
    <row r="75">
      <c r="A75" s="42" t="inlineStr">
        <is>
          <t>Eval 7</t>
        </is>
      </c>
      <c r="B75" s="49" t="n"/>
      <c r="C75" s="49" t="n"/>
      <c r="D75" s="20">
        <f>IFERROR(B75*C75/100,0)</f>
        <v/>
      </c>
    </row>
    <row r="76">
      <c r="A76" s="50" t="inlineStr">
        <is>
          <t>Suma % (debe dar 100)</t>
        </is>
      </c>
      <c r="B76" s="20">
        <f>SUM(B69:B75)</f>
        <v/>
      </c>
      <c r="C76" s="20">
        <f>IF(B76=100,"OK","REVISAR")</f>
        <v/>
      </c>
      <c r="D76" s="49" t="n"/>
    </row>
    <row r="77">
      <c r="A77" s="50" t="inlineStr">
        <is>
          <t>Nota acumulada</t>
        </is>
      </c>
      <c r="B77" s="49" t="n"/>
      <c r="C77" s="49" t="n"/>
      <c r="D77" s="20">
        <f>ROUND(SUM(D69:D75),2)</f>
        <v/>
      </c>
    </row>
    <row r="78">
      <c r="A78" s="51" t="inlineStr">
        <is>
          <t>NOTA DEFINITIVA</t>
        </is>
      </c>
      <c r="B78" s="49" t="n"/>
      <c r="C78" s="49" t="n"/>
      <c r="D78" s="52">
        <f>ROUND(SUM(D69:D75),2)</f>
        <v/>
      </c>
    </row>
    <row r="79">
      <c r="A79" s="42" t="inlineStr">
        <is>
          <t>% ya cursado</t>
        </is>
      </c>
      <c r="B79" s="49" t="n"/>
      <c r="C79" s="49" t="n"/>
      <c r="D79" s="20">
        <f>SUMIF(C69:C75,"&gt;0",B69:B75)</f>
        <v/>
      </c>
    </row>
    <row r="80">
      <c r="A80" s="50" t="inlineStr">
        <is>
          <t>% que falta</t>
        </is>
      </c>
      <c r="B80" s="49" t="n"/>
      <c r="C80" s="49" t="n"/>
      <c r="D80" s="20">
        <f>100-D79</f>
        <v/>
      </c>
    </row>
    <row r="81">
      <c r="A81" s="53" t="inlineStr">
        <is>
          <t>Nota que necesito (en lo que falta) para pasar 3.0</t>
        </is>
      </c>
      <c r="B81" s="49" t="n"/>
      <c r="C81" s="49" t="n"/>
      <c r="D81" s="54">
        <f>IFERROR(IF(D80=0,"-",ROUND((3.0-D77)/(D80/100),2)),"-")</f>
        <v/>
      </c>
    </row>
    <row r="83">
      <c r="A83" s="47" t="inlineStr">
        <is>
          <t>MATERIA: Fundamentos de Construccion</t>
        </is>
      </c>
    </row>
    <row r="84">
      <c r="A84" s="48" t="inlineStr">
        <is>
          <t>Evaluacion</t>
        </is>
      </c>
      <c r="B84" s="48" t="inlineStr">
        <is>
          <t>% (peso)</t>
        </is>
      </c>
      <c r="C84" s="48" t="inlineStr">
        <is>
          <t>Nota (0-5)</t>
        </is>
      </c>
      <c r="D84" s="48" t="inlineStr">
        <is>
          <t>Aporte</t>
        </is>
      </c>
    </row>
    <row r="85">
      <c r="A85" s="42" t="inlineStr">
        <is>
          <t>Parcial 1</t>
        </is>
      </c>
      <c r="B85" s="20" t="n">
        <v>25</v>
      </c>
      <c r="C85" s="49" t="n"/>
      <c r="D85" s="20">
        <f>IFERROR(B85*C85/100,0)</f>
        <v/>
      </c>
    </row>
    <row r="86">
      <c r="A86" s="42" t="inlineStr">
        <is>
          <t>Parcial 2</t>
        </is>
      </c>
      <c r="B86" s="20" t="n">
        <v>25</v>
      </c>
      <c r="C86" s="49" t="n"/>
      <c r="D86" s="20">
        <f>IFERROR(B86*C86/100,0)</f>
        <v/>
      </c>
    </row>
    <row r="87">
      <c r="A87" s="42" t="inlineStr">
        <is>
          <t>Proyecto 1</t>
        </is>
      </c>
      <c r="B87" s="20" t="n">
        <v>20</v>
      </c>
      <c r="C87" s="49" t="n"/>
      <c r="D87" s="20">
        <f>IFERROR(B87*C87/100,0)</f>
        <v/>
      </c>
    </row>
    <row r="88">
      <c r="A88" s="42" t="inlineStr">
        <is>
          <t>Talleres</t>
        </is>
      </c>
      <c r="B88" s="20" t="n">
        <v>30</v>
      </c>
      <c r="C88" s="49" t="n"/>
      <c r="D88" s="20">
        <f>IFERROR(B88*C88/100,0)</f>
        <v/>
      </c>
    </row>
    <row r="89">
      <c r="A89" s="42" t="inlineStr">
        <is>
          <t>Eval 5</t>
        </is>
      </c>
      <c r="B89" s="49" t="n"/>
      <c r="C89" s="49" t="n"/>
      <c r="D89" s="20">
        <f>IFERROR(B89*C89/100,0)</f>
        <v/>
      </c>
    </row>
    <row r="90">
      <c r="A90" s="42" t="inlineStr">
        <is>
          <t>Eval 6</t>
        </is>
      </c>
      <c r="B90" s="49" t="n"/>
      <c r="C90" s="49" t="n"/>
      <c r="D90" s="20">
        <f>IFERROR(B90*C90/100,0)</f>
        <v/>
      </c>
    </row>
    <row r="91">
      <c r="A91" s="42" t="inlineStr">
        <is>
          <t>Eval 7</t>
        </is>
      </c>
      <c r="B91" s="49" t="n"/>
      <c r="C91" s="49" t="n"/>
      <c r="D91" s="20">
        <f>IFERROR(B91*C91/100,0)</f>
        <v/>
      </c>
    </row>
    <row r="92">
      <c r="A92" s="50" t="inlineStr">
        <is>
          <t>Suma % (debe dar 100)</t>
        </is>
      </c>
      <c r="B92" s="20">
        <f>SUM(B85:B91)</f>
        <v/>
      </c>
      <c r="C92" s="20">
        <f>IF(B92=100,"OK","REVISAR")</f>
        <v/>
      </c>
      <c r="D92" s="49" t="n"/>
    </row>
    <row r="93">
      <c r="A93" s="50" t="inlineStr">
        <is>
          <t>Nota acumulada</t>
        </is>
      </c>
      <c r="B93" s="49" t="n"/>
      <c r="C93" s="49" t="n"/>
      <c r="D93" s="20">
        <f>ROUND(SUM(D85:D91),2)</f>
        <v/>
      </c>
    </row>
    <row r="94">
      <c r="A94" s="51" t="inlineStr">
        <is>
          <t>NOTA DEFINITIVA</t>
        </is>
      </c>
      <c r="B94" s="49" t="n"/>
      <c r="C94" s="49" t="n"/>
      <c r="D94" s="52">
        <f>ROUND(SUM(D85:D91),2)</f>
        <v/>
      </c>
    </row>
    <row r="95">
      <c r="A95" s="42" t="inlineStr">
        <is>
          <t>% ya cursado</t>
        </is>
      </c>
      <c r="B95" s="49" t="n"/>
      <c r="C95" s="49" t="n"/>
      <c r="D95" s="20">
        <f>SUMIF(C85:C91,"&gt;0",B85:B91)</f>
        <v/>
      </c>
    </row>
    <row r="96">
      <c r="A96" s="50" t="inlineStr">
        <is>
          <t>% que falta</t>
        </is>
      </c>
      <c r="B96" s="49" t="n"/>
      <c r="C96" s="49" t="n"/>
      <c r="D96" s="20">
        <f>100-D95</f>
        <v/>
      </c>
    </row>
    <row r="97">
      <c r="A97" s="53" t="inlineStr">
        <is>
          <t>Nota que necesito (en lo que falta) para pasar 3.0</t>
        </is>
      </c>
      <c r="B97" s="49" t="n"/>
      <c r="C97" s="49" t="n"/>
      <c r="D97" s="54">
        <f>IFERROR(IF(D96=0,"-",ROUND((3.0-D93)/(D96/100),2)),"-")</f>
        <v/>
      </c>
    </row>
  </sheetData>
  <mergeCells count="7">
    <mergeCell ref="A1:D1"/>
    <mergeCell ref="A67:D67"/>
    <mergeCell ref="A83:D83"/>
    <mergeCell ref="A35:D35"/>
    <mergeCell ref="A3:D3"/>
    <mergeCell ref="A19:D19"/>
    <mergeCell ref="A51:D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9" customWidth="1" min="4" max="4"/>
    <col width="13" customWidth="1" min="5" max="5"/>
    <col width="13" customWidth="1" min="6" max="6"/>
    <col width="14" customWidth="1" min="7" max="7"/>
    <col width="16" customWidth="1" min="8" max="8"/>
  </cols>
  <sheetData>
    <row r="1">
      <c r="A1" s="55" t="inlineStr">
        <is>
          <t>ENTREGAS - que debo entregar (semana / mes)</t>
        </is>
      </c>
    </row>
    <row r="2">
      <c r="A2" s="16" t="inlineStr">
        <is>
          <t>Materia</t>
        </is>
      </c>
      <c r="B2" s="16" t="inlineStr">
        <is>
          <t>Entregable</t>
        </is>
      </c>
      <c r="C2" s="16" t="inlineStr">
        <is>
          <t>Tipo</t>
        </is>
      </c>
      <c r="D2" s="16" t="inlineStr">
        <is>
          <t>% nota</t>
        </is>
      </c>
      <c r="E2" s="16" t="inlineStr">
        <is>
          <t>Fecha</t>
        </is>
      </c>
      <c r="F2" s="16" t="inlineStr">
        <is>
          <t>Dias restantes</t>
        </is>
      </c>
      <c r="G2" s="16" t="inlineStr">
        <is>
          <t>Estado</t>
        </is>
      </c>
      <c r="H2" s="16" t="inlineStr">
        <is>
          <t>Alerta</t>
        </is>
      </c>
    </row>
    <row r="3">
      <c r="A3" s="42" t="inlineStr">
        <is>
          <t>Diseno Estructural</t>
        </is>
      </c>
      <c r="B3" s="42" t="inlineStr">
        <is>
          <t>Parcial 1</t>
        </is>
      </c>
      <c r="C3" s="20" t="inlineStr">
        <is>
          <t>Parcial</t>
        </is>
      </c>
      <c r="D3" s="56" t="n">
        <v>20</v>
      </c>
      <c r="E3" s="57" t="n"/>
      <c r="F3" s="20">
        <f>IF(E3="","",E3-TODAY())</f>
        <v/>
      </c>
      <c r="G3" s="20" t="inlineStr">
        <is>
          <t>Pendiente</t>
        </is>
      </c>
      <c r="H3" s="20">
        <f>IF(G3="Entregado","Listo",IF(E3="","",IF(F3&lt;0,"VENCIDO",IF(F3&lt;=3,"Vence pronto",IF(F3&lt;=7,"Esta semana","Mas adelante")))))</f>
        <v/>
      </c>
    </row>
    <row r="4">
      <c r="A4" s="42" t="inlineStr">
        <is>
          <t>Diseno Estructural</t>
        </is>
      </c>
      <c r="B4" s="42" t="inlineStr">
        <is>
          <t>Parcial 2</t>
        </is>
      </c>
      <c r="C4" s="20" t="inlineStr">
        <is>
          <t>Parcial</t>
        </is>
      </c>
      <c r="D4" s="56" t="n">
        <v>20</v>
      </c>
      <c r="E4" s="57" t="n"/>
      <c r="F4" s="20">
        <f>IF(E4="","",E4-TODAY())</f>
        <v/>
      </c>
      <c r="G4" s="20" t="inlineStr">
        <is>
          <t>Pendiente</t>
        </is>
      </c>
      <c r="H4" s="20">
        <f>IF(G4="Entregado","Listo",IF(E4="","",IF(F4&lt;0,"VENCIDO",IF(F4&lt;=3,"Vence pronto",IF(F4&lt;=7,"Esta semana","Mas adelante")))))</f>
        <v/>
      </c>
    </row>
    <row r="5">
      <c r="A5" s="42" t="inlineStr">
        <is>
          <t>Diseno Estructural</t>
        </is>
      </c>
      <c r="B5" s="42" t="inlineStr">
        <is>
          <t>Parcial 3</t>
        </is>
      </c>
      <c r="C5" s="20" t="inlineStr">
        <is>
          <t>Parcial</t>
        </is>
      </c>
      <c r="D5" s="56" t="n">
        <v>20</v>
      </c>
      <c r="E5" s="57" t="n"/>
      <c r="F5" s="20">
        <f>IF(E5="","",E5-TODAY())</f>
        <v/>
      </c>
      <c r="G5" s="20" t="inlineStr">
        <is>
          <t>Pendiente</t>
        </is>
      </c>
      <c r="H5" s="20">
        <f>IF(G5="Entregado","Listo",IF(E5="","",IF(F5&lt;0,"VENCIDO",IF(F5&lt;=3,"Vence pronto",IF(F5&lt;=7,"Esta semana","Mas adelante")))))</f>
        <v/>
      </c>
    </row>
    <row r="6">
      <c r="A6" s="42" t="inlineStr">
        <is>
          <t>Diseno Estructural</t>
        </is>
      </c>
      <c r="B6" s="42" t="inlineStr">
        <is>
          <t>Primera entrega proyecto</t>
        </is>
      </c>
      <c r="C6" s="20" t="inlineStr">
        <is>
          <t>Proyecto</t>
        </is>
      </c>
      <c r="D6" s="56" t="n">
        <v>10</v>
      </c>
      <c r="E6" s="57" t="n"/>
      <c r="F6" s="20">
        <f>IF(E6="","",E6-TODAY())</f>
        <v/>
      </c>
      <c r="G6" s="20" t="inlineStr">
        <is>
          <t>Pendiente</t>
        </is>
      </c>
      <c r="H6" s="20">
        <f>IF(G6="Entregado","Listo",IF(E6="","",IF(F6&lt;0,"VENCIDO",IF(F6&lt;=3,"Vence pronto",IF(F6&lt;=7,"Esta semana","Mas adelante")))))</f>
        <v/>
      </c>
    </row>
    <row r="7">
      <c r="A7" s="42" t="inlineStr">
        <is>
          <t>Diseno Estructural</t>
        </is>
      </c>
      <c r="B7" s="42" t="inlineStr">
        <is>
          <t>Entrega final proyecto</t>
        </is>
      </c>
      <c r="C7" s="20" t="inlineStr">
        <is>
          <t>Proyecto</t>
        </is>
      </c>
      <c r="D7" s="56" t="n">
        <v>30</v>
      </c>
      <c r="E7" s="57" t="n"/>
      <c r="F7" s="20">
        <f>IF(E7="","",E7-TODAY())</f>
        <v/>
      </c>
      <c r="G7" s="20" t="inlineStr">
        <is>
          <t>Pendiente</t>
        </is>
      </c>
      <c r="H7" s="20">
        <f>IF(G7="Entregado","Listo",IF(E7="","",IF(F7&lt;0,"VENCIDO",IF(F7&lt;=3,"Vence pronto",IF(F7&lt;=7,"Esta semana","Mas adelante")))))</f>
        <v/>
      </c>
    </row>
    <row r="8">
      <c r="A8" s="42" t="n"/>
      <c r="B8" s="42" t="n"/>
      <c r="C8" s="20" t="n"/>
      <c r="D8" s="56" t="n"/>
      <c r="E8" s="57" t="n"/>
      <c r="F8" s="20">
        <f>IF(E8="","",E8-TODAY())</f>
        <v/>
      </c>
      <c r="G8" s="20" t="n"/>
      <c r="H8" s="20">
        <f>IF(G8="Entregado","Listo",IF(E8="","",IF(F8&lt;0,"VENCIDO",IF(F8&lt;=3,"Vence pronto",IF(F8&lt;=7,"Esta semana","Mas adelante")))))</f>
        <v/>
      </c>
    </row>
    <row r="9">
      <c r="A9" s="42" t="n"/>
      <c r="B9" s="42" t="n"/>
      <c r="C9" s="20" t="n"/>
      <c r="D9" s="56" t="n"/>
      <c r="E9" s="57" t="n"/>
      <c r="F9" s="20">
        <f>IF(E9="","",E9-TODAY())</f>
        <v/>
      </c>
      <c r="G9" s="20" t="n"/>
      <c r="H9" s="20">
        <f>IF(G9="Entregado","Listo",IF(E9="","",IF(F9&lt;0,"VENCIDO",IF(F9&lt;=3,"Vence pronto",IF(F9&lt;=7,"Esta semana","Mas adelante")))))</f>
        <v/>
      </c>
    </row>
    <row r="10">
      <c r="A10" s="42" t="n"/>
      <c r="B10" s="42" t="n"/>
      <c r="C10" s="20" t="n"/>
      <c r="D10" s="56" t="n"/>
      <c r="E10" s="57" t="n"/>
      <c r="F10" s="20">
        <f>IF(E10="","",E10-TODAY())</f>
        <v/>
      </c>
      <c r="G10" s="20" t="n"/>
      <c r="H10" s="20">
        <f>IF(G10="Entregado","Listo",IF(E10="","",IF(F10&lt;0,"VENCIDO",IF(F10&lt;=3,"Vence pronto",IF(F10&lt;=7,"Esta semana","Mas adelante")))))</f>
        <v/>
      </c>
    </row>
    <row r="11">
      <c r="A11" s="42" t="n"/>
      <c r="B11" s="42" t="n"/>
      <c r="C11" s="20" t="n"/>
      <c r="D11" s="56" t="n"/>
      <c r="E11" s="57" t="n"/>
      <c r="F11" s="20">
        <f>IF(E11="","",E11-TODAY())</f>
        <v/>
      </c>
      <c r="G11" s="20" t="n"/>
      <c r="H11" s="20">
        <f>IF(G11="Entregado","Listo",IF(E11="","",IF(F11&lt;0,"VENCIDO",IF(F11&lt;=3,"Vence pronto",IF(F11&lt;=7,"Esta semana","Mas adelante")))))</f>
        <v/>
      </c>
    </row>
    <row r="12">
      <c r="A12" s="42" t="n"/>
      <c r="B12" s="42" t="n"/>
      <c r="C12" s="20" t="n"/>
      <c r="D12" s="56" t="n"/>
      <c r="E12" s="57" t="n"/>
      <c r="F12" s="20">
        <f>IF(E12="","",E12-TODAY())</f>
        <v/>
      </c>
      <c r="G12" s="20" t="n"/>
      <c r="H12" s="20">
        <f>IF(G12="Entregado","Listo",IF(E12="","",IF(F12&lt;0,"VENCIDO",IF(F12&lt;=3,"Vence pronto",IF(F12&lt;=7,"Esta semana","Mas adelante")))))</f>
        <v/>
      </c>
    </row>
    <row r="13">
      <c r="A13" s="42" t="n"/>
      <c r="B13" s="42" t="n"/>
      <c r="C13" s="20" t="n"/>
      <c r="D13" s="56" t="n"/>
      <c r="E13" s="57" t="n"/>
      <c r="F13" s="20">
        <f>IF(E13="","",E13-TODAY())</f>
        <v/>
      </c>
      <c r="G13" s="20" t="n"/>
      <c r="H13" s="20">
        <f>IF(G13="Entregado","Listo",IF(E13="","",IF(F13&lt;0,"VENCIDO",IF(F13&lt;=3,"Vence pronto",IF(F13&lt;=7,"Esta semana","Mas adelante")))))</f>
        <v/>
      </c>
    </row>
    <row r="14">
      <c r="A14" s="42" t="n"/>
      <c r="B14" s="42" t="n"/>
      <c r="C14" s="20" t="n"/>
      <c r="D14" s="56" t="n"/>
      <c r="E14" s="57" t="n"/>
      <c r="F14" s="20">
        <f>IF(E14="","",E14-TODAY())</f>
        <v/>
      </c>
      <c r="G14" s="20" t="n"/>
      <c r="H14" s="20">
        <f>IF(G14="Entregado","Listo",IF(E14="","",IF(F14&lt;0,"VENCIDO",IF(F14&lt;=3,"Vence pronto",IF(F14&lt;=7,"Esta semana","Mas adelante")))))</f>
        <v/>
      </c>
    </row>
    <row r="15">
      <c r="A15" s="42" t="n"/>
      <c r="B15" s="42" t="n"/>
      <c r="C15" s="20" t="n"/>
      <c r="D15" s="56" t="n"/>
      <c r="E15" s="57" t="n"/>
      <c r="F15" s="20">
        <f>IF(E15="","",E15-TODAY())</f>
        <v/>
      </c>
      <c r="G15" s="20" t="n"/>
      <c r="H15" s="20">
        <f>IF(G15="Entregado","Listo",IF(E15="","",IF(F15&lt;0,"VENCIDO",IF(F15&lt;=3,"Vence pronto",IF(F15&lt;=7,"Esta semana","Mas adelante")))))</f>
        <v/>
      </c>
    </row>
    <row r="16">
      <c r="A16" s="42" t="n"/>
      <c r="B16" s="42" t="n"/>
      <c r="C16" s="20" t="n"/>
      <c r="D16" s="56" t="n"/>
      <c r="E16" s="57" t="n"/>
      <c r="F16" s="20">
        <f>IF(E16="","",E16-TODAY())</f>
        <v/>
      </c>
      <c r="G16" s="20" t="n"/>
      <c r="H16" s="20">
        <f>IF(G16="Entregado","Listo",IF(E16="","",IF(F16&lt;0,"VENCIDO",IF(F16&lt;=3,"Vence pronto",IF(F16&lt;=7,"Esta semana","Mas adelante")))))</f>
        <v/>
      </c>
    </row>
    <row r="17">
      <c r="A17" s="42" t="n"/>
      <c r="B17" s="42" t="n"/>
      <c r="C17" s="20" t="n"/>
      <c r="D17" s="56" t="n"/>
      <c r="E17" s="57" t="n"/>
      <c r="F17" s="20">
        <f>IF(E17="","",E17-TODAY())</f>
        <v/>
      </c>
      <c r="G17" s="20" t="n"/>
      <c r="H17" s="20">
        <f>IF(G17="Entregado","Listo",IF(E17="","",IF(F17&lt;0,"VENCIDO",IF(F17&lt;=3,"Vence pronto",IF(F17&lt;=7,"Esta semana","Mas adelante")))))</f>
        <v/>
      </c>
    </row>
    <row r="18">
      <c r="A18" s="42" t="n"/>
      <c r="B18" s="42" t="n"/>
      <c r="C18" s="20" t="n"/>
      <c r="D18" s="56" t="n"/>
      <c r="E18" s="57" t="n"/>
      <c r="F18" s="20">
        <f>IF(E18="","",E18-TODAY())</f>
        <v/>
      </c>
      <c r="G18" s="20" t="n"/>
      <c r="H18" s="20">
        <f>IF(G18="Entregado","Listo",IF(E18="","",IF(F18&lt;0,"VENCIDO",IF(F18&lt;=3,"Vence pronto",IF(F18&lt;=7,"Esta semana","Mas adelante")))))</f>
        <v/>
      </c>
    </row>
    <row r="19">
      <c r="A19" s="42" t="n"/>
      <c r="B19" s="42" t="n"/>
      <c r="C19" s="20" t="n"/>
      <c r="D19" s="56" t="n"/>
      <c r="E19" s="57" t="n"/>
      <c r="F19" s="20">
        <f>IF(E19="","",E19-TODAY())</f>
        <v/>
      </c>
      <c r="G19" s="20" t="n"/>
      <c r="H19" s="20">
        <f>IF(G19="Entregado","Listo",IF(E19="","",IF(F19&lt;0,"VENCIDO",IF(F19&lt;=3,"Vence pronto",IF(F19&lt;=7,"Esta semana","Mas adelante")))))</f>
        <v/>
      </c>
    </row>
    <row r="20">
      <c r="A20" s="42" t="n"/>
      <c r="B20" s="42" t="n"/>
      <c r="C20" s="20" t="n"/>
      <c r="D20" s="56" t="n"/>
      <c r="E20" s="57" t="n"/>
      <c r="F20" s="20">
        <f>IF(E20="","",E20-TODAY())</f>
        <v/>
      </c>
      <c r="G20" s="20" t="n"/>
      <c r="H20" s="20">
        <f>IF(G20="Entregado","Listo",IF(E20="","",IF(F20&lt;0,"VENCIDO",IF(F20&lt;=3,"Vence pronto",IF(F20&lt;=7,"Esta semana","Mas adelante")))))</f>
        <v/>
      </c>
    </row>
    <row r="21">
      <c r="A21" s="42" t="n"/>
      <c r="B21" s="42" t="n"/>
      <c r="C21" s="20" t="n"/>
      <c r="D21" s="56" t="n"/>
      <c r="E21" s="57" t="n"/>
      <c r="F21" s="20">
        <f>IF(E21="","",E21-TODAY())</f>
        <v/>
      </c>
      <c r="G21" s="20" t="n"/>
      <c r="H21" s="20">
        <f>IF(G21="Entregado","Listo",IF(E21="","",IF(F21&lt;0,"VENCIDO",IF(F21&lt;=3,"Vence pronto",IF(F21&lt;=7,"Esta semana","Mas adelante")))))</f>
        <v/>
      </c>
    </row>
    <row r="22">
      <c r="A22" s="42" t="n"/>
      <c r="B22" s="42" t="n"/>
      <c r="C22" s="20" t="n"/>
      <c r="D22" s="56" t="n"/>
      <c r="E22" s="57" t="n"/>
      <c r="F22" s="20">
        <f>IF(E22="","",E22-TODAY())</f>
        <v/>
      </c>
      <c r="G22" s="20" t="n"/>
      <c r="H22" s="20">
        <f>IF(G22="Entregado","Listo",IF(E22="","",IF(F22&lt;0,"VENCIDO",IF(F22&lt;=3,"Vence pronto",IF(F22&lt;=7,"Esta semana","Mas adelante")))))</f>
        <v/>
      </c>
    </row>
    <row r="23">
      <c r="A23" s="42" t="n"/>
      <c r="B23" s="42" t="n"/>
      <c r="C23" s="20" t="n"/>
      <c r="D23" s="56" t="n"/>
      <c r="E23" s="57" t="n"/>
      <c r="F23" s="20">
        <f>IF(E23="","",E23-TODAY())</f>
        <v/>
      </c>
      <c r="G23" s="20" t="n"/>
      <c r="H23" s="20">
        <f>IF(G23="Entregado","Listo",IF(E23="","",IF(F23&lt;0,"VENCIDO",IF(F23&lt;=3,"Vence pronto",IF(F23&lt;=7,"Esta semana","Mas adelante")))))</f>
        <v/>
      </c>
    </row>
    <row r="24">
      <c r="A24" s="42" t="n"/>
      <c r="B24" s="42" t="n"/>
      <c r="C24" s="20" t="n"/>
      <c r="D24" s="56" t="n"/>
      <c r="E24" s="57" t="n"/>
      <c r="F24" s="20">
        <f>IF(E24="","",E24-TODAY())</f>
        <v/>
      </c>
      <c r="G24" s="20" t="n"/>
      <c r="H24" s="20">
        <f>IF(G24="Entregado","Listo",IF(E24="","",IF(F24&lt;0,"VENCIDO",IF(F24&lt;=3,"Vence pronto",IF(F24&lt;=7,"Esta semana","Mas adelante")))))</f>
        <v/>
      </c>
    </row>
    <row r="25">
      <c r="A25" s="42" t="n"/>
      <c r="B25" s="42" t="n"/>
      <c r="C25" s="20" t="n"/>
      <c r="D25" s="56" t="n"/>
      <c r="E25" s="57" t="n"/>
      <c r="F25" s="20">
        <f>IF(E25="","",E25-TODAY())</f>
        <v/>
      </c>
      <c r="G25" s="20" t="n"/>
      <c r="H25" s="20">
        <f>IF(G25="Entregado","Listo",IF(E25="","",IF(F25&lt;0,"VENCIDO",IF(F25&lt;=3,"Vence pronto",IF(F25&lt;=7,"Esta semana","Mas adelante")))))</f>
        <v/>
      </c>
    </row>
    <row r="26">
      <c r="A26" s="42" t="n"/>
      <c r="B26" s="42" t="n"/>
      <c r="C26" s="20" t="n"/>
      <c r="D26" s="56" t="n"/>
      <c r="E26" s="57" t="n"/>
      <c r="F26" s="20">
        <f>IF(E26="","",E26-TODAY())</f>
        <v/>
      </c>
      <c r="G26" s="20" t="n"/>
      <c r="H26" s="20">
        <f>IF(G26="Entregado","Listo",IF(E26="","",IF(F26&lt;0,"VENCIDO",IF(F26&lt;=3,"Vence pronto",IF(F26&lt;=7,"Esta semana","Mas adelante")))))</f>
        <v/>
      </c>
    </row>
    <row r="27">
      <c r="A27" s="42" t="n"/>
      <c r="B27" s="42" t="n"/>
      <c r="C27" s="20" t="n"/>
      <c r="D27" s="56" t="n"/>
      <c r="E27" s="57" t="n"/>
      <c r="F27" s="20">
        <f>IF(E27="","",E27-TODAY())</f>
        <v/>
      </c>
      <c r="G27" s="20" t="n"/>
      <c r="H27" s="20">
        <f>IF(G27="Entregado","Listo",IF(E27="","",IF(F27&lt;0,"VENCIDO",IF(F27&lt;=3,"Vence pronto",IF(F27&lt;=7,"Esta semana","Mas adelante")))))</f>
        <v/>
      </c>
    </row>
    <row r="29">
      <c r="A29" s="58" t="inlineStr">
        <is>
          <t>Entregas esta semana (&lt;=7 dias):</t>
        </is>
      </c>
      <c r="C29" s="59">
        <f>SUMPRODUCT((E3:E27&lt;&gt;"")*(E3:E27&gt;=TODAY())*(E3:E27&lt;=TODAY()+7)*(G3:G27&lt;&gt;"Entregado"))</f>
        <v/>
      </c>
    </row>
    <row r="30">
      <c r="A30" s="58" t="inlineStr">
        <is>
          <t>Entregas este mes (&lt;=30 dias):</t>
        </is>
      </c>
      <c r="C30" s="60">
        <f>SUMPRODUCT((E3:E27&lt;&gt;"")*(E3:E27&gt;=TODAY())*(E3:E27&lt;=TODAY()+30)*(G3:G27&lt;&gt;"Entregado"))</f>
        <v/>
      </c>
    </row>
    <row r="31">
      <c r="A31" s="46" t="inlineStr">
        <is>
          <t>VENCIDAS sin entregar:</t>
        </is>
      </c>
      <c r="C31" s="46">
        <f>SUMPRODUCT((E3:E27&lt;&gt;"")*(E3:E27&lt;TODAY())*(G3:G27&lt;&gt;"Entregado"))</f>
        <v/>
      </c>
    </row>
  </sheetData>
  <mergeCells count="1">
    <mergeCell ref="A1:H1"/>
  </mergeCells>
  <conditionalFormatting sqref="H3:H27">
    <cfRule type="cellIs" priority="1" operator="equal" dxfId="0">
      <formula>"VENCIDO"</formula>
    </cfRule>
    <cfRule type="cellIs" priority="2" operator="equal" dxfId="1">
      <formula>"Vence pronto"</formula>
    </cfRule>
    <cfRule type="cellIs" priority="3" operator="equal" dxfId="2">
      <formula>"Listo"</formula>
    </cfRule>
  </conditionalFormatting>
  <dataValidations count="2">
    <dataValidation sqref="G3:G27" showDropDown="0" showInputMessage="0" showErrorMessage="0" allowBlank="1" type="list">
      <formula1>"Pendiente,En curso,Entregado"</formula1>
    </dataValidation>
    <dataValidation sqref="C3:C27" showDropDown="0" showInputMessage="0" showErrorMessage="0" allowBlank="1" type="list">
      <formula1>"Taller,Quiz,Parcial,Proyecto,Informe,Exposicion"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43" t="inlineStr">
        <is>
          <t>PAPA - actual y PROYECTADO tras este semestre</t>
        </is>
      </c>
    </row>
    <row r="3">
      <c r="A3" s="42" t="inlineStr">
        <is>
          <t>PAPA actual (antes de este semestre)</t>
        </is>
      </c>
      <c r="B3" s="61" t="n">
        <v>4.2</v>
      </c>
    </row>
    <row r="4">
      <c r="A4" s="42" t="inlineStr">
        <is>
          <t>% de avance actual</t>
        </is>
      </c>
      <c r="B4" s="62" t="n">
        <v>0.8169999999999999</v>
      </c>
    </row>
    <row r="5">
      <c r="A5" s="42" t="inlineStr">
        <is>
          <t>Creditos totales del plan (editable)</t>
        </is>
      </c>
      <c r="B5" s="56" t="n">
        <v>180</v>
      </c>
    </row>
    <row r="6">
      <c r="A6" s="42" t="inlineStr">
        <is>
          <t>Creditos ya cursados (calculado)</t>
        </is>
      </c>
      <c r="B6" s="56">
        <f>ROUND(B4*B5,0)</f>
        <v/>
      </c>
    </row>
    <row r="7">
      <c r="A7" s="42" t="inlineStr">
        <is>
          <t>Promedio de ESTE semestre (de tus notas)</t>
        </is>
      </c>
      <c r="B7" s="61">
        <f>'Resumen Semestre'!C10</f>
        <v/>
      </c>
    </row>
    <row r="8">
      <c r="A8" s="42" t="inlineStr">
        <is>
          <t>Creditos de este semestre</t>
        </is>
      </c>
      <c r="B8" s="56">
        <f>'Resumen Semestre'!B10</f>
        <v/>
      </c>
    </row>
    <row r="9">
      <c r="A9" s="63" t="inlineStr">
        <is>
          <t>PAPA PROYECTADO al terminar el semestre</t>
        </is>
      </c>
      <c r="B9" s="64">
        <f>IFERROR(ROUND((B3*B6+B7*B8)/(B6+B8),2),0)</f>
        <v/>
      </c>
    </row>
    <row r="10">
      <c r="A10" s="42" t="inlineStr">
        <is>
          <t>Nuevo % de avance</t>
        </is>
      </c>
      <c r="B10" s="62">
        <f>IFERROR(ROUND((B6+B8)/B5,3),0)</f>
        <v/>
      </c>
    </row>
    <row r="12">
      <c r="A12" s="58" t="inlineStr">
        <is>
          <t>SI tu promedio del semestre es...</t>
        </is>
      </c>
      <c r="B12" s="58" t="inlineStr">
        <is>
          <t>...tu PAPA quedaria</t>
        </is>
      </c>
    </row>
    <row r="13">
      <c r="A13" s="65" t="n">
        <v>3</v>
      </c>
      <c r="B13" s="61">
        <f>IFERROR(ROUND((B3*B6+3.0*B8)/(B6+B8),2),0)</f>
        <v/>
      </c>
    </row>
    <row r="14">
      <c r="A14" s="65" t="n">
        <v>3.5</v>
      </c>
      <c r="B14" s="61">
        <f>IFERROR(ROUND((B3*B6+3.5*B8)/(B6+B8),2),0)</f>
        <v/>
      </c>
    </row>
    <row r="15">
      <c r="A15" s="65" t="n">
        <v>4</v>
      </c>
      <c r="B15" s="61">
        <f>IFERROR(ROUND((B3*B6+4.0*B8)/(B6+B8),2),0)</f>
        <v/>
      </c>
    </row>
    <row r="16">
      <c r="A16" s="65" t="n">
        <v>4.2</v>
      </c>
      <c r="B16" s="61">
        <f>IFERROR(ROUND((B3*B6+4.2*B8)/(B6+B8),2),0)</f>
        <v/>
      </c>
    </row>
    <row r="17">
      <c r="A17" s="65" t="n">
        <v>4.5</v>
      </c>
      <c r="B17" s="61">
        <f>IFERROR(ROUND((B3*B6+4.5*B8)/(B6+B8),2),0)</f>
        <v/>
      </c>
    </row>
    <row r="18">
      <c r="A18" s="65" t="n">
        <v>5</v>
      </c>
      <c r="B18" s="61">
        <f>IFERROR(ROUND((B3*B6+5.0*B8)/(B6+B8),2),0)</f>
        <v/>
      </c>
    </row>
    <row r="20">
      <c r="A20" s="66" t="inlineStr">
        <is>
          <t>Todas tus materias tienen 3 creditos -&gt; el promedio del semestre = promedio simple de las 6 notas.</t>
        </is>
      </c>
    </row>
    <row r="21">
      <c r="A21" s="66" t="inlineStr">
        <is>
          <t>Ajusta 'Creditos totales del plan' si conoces el numero exacto de tu pensum (UNAL Ing. Civil ~180).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40" customWidth="1" min="4" max="4"/>
  </cols>
  <sheetData>
    <row r="1">
      <c r="A1" s="43" t="inlineStr">
        <is>
          <t>PRIORIDADES ACADEMICAS (automatico)</t>
        </is>
      </c>
    </row>
    <row r="3">
      <c r="A3" s="16" t="inlineStr">
        <is>
          <t>Materia</t>
        </is>
      </c>
      <c r="B3" s="16" t="inlineStr">
        <is>
          <t>Nota</t>
        </is>
      </c>
      <c r="C3" s="16" t="inlineStr">
        <is>
          <t>Prioridad</t>
        </is>
      </c>
      <c r="D3" s="16" t="inlineStr">
        <is>
          <t>Que hacer</t>
        </is>
      </c>
    </row>
    <row r="4">
      <c r="A4" s="42">
        <f>'Resumen Semestre'!A4</f>
        <v/>
      </c>
      <c r="B4" s="20">
        <f>'Resumen Semestre'!C4</f>
        <v/>
      </c>
      <c r="C4" s="20">
        <f>'Resumen Semestre'!F4</f>
        <v/>
      </c>
      <c r="D4" s="42">
        <f>IF(B4="","-",IF(B4&lt;3.0,"URGENTE: bloques diarios + hablar con el profe",IF(B4&lt;3.5,"Reforzar esta semana","Mantener, repaso ligero")))</f>
        <v/>
      </c>
    </row>
    <row r="5">
      <c r="A5" s="42">
        <f>'Resumen Semestre'!A5</f>
        <v/>
      </c>
      <c r="B5" s="20">
        <f>'Resumen Semestre'!C5</f>
        <v/>
      </c>
      <c r="C5" s="20">
        <f>'Resumen Semestre'!F5</f>
        <v/>
      </c>
      <c r="D5" s="42">
        <f>IF(B5="","-",IF(B5&lt;3.0,"URGENTE: bloques diarios + hablar con el profe",IF(B5&lt;3.5,"Reforzar esta semana","Mantener, repaso ligero")))</f>
        <v/>
      </c>
    </row>
    <row r="6">
      <c r="A6" s="42">
        <f>'Resumen Semestre'!A6</f>
        <v/>
      </c>
      <c r="B6" s="20">
        <f>'Resumen Semestre'!C6</f>
        <v/>
      </c>
      <c r="C6" s="20">
        <f>'Resumen Semestre'!F6</f>
        <v/>
      </c>
      <c r="D6" s="42">
        <f>IF(B6="","-",IF(B6&lt;3.0,"URGENTE: bloques diarios + hablar con el profe",IF(B6&lt;3.5,"Reforzar esta semana","Mantener, repaso ligero")))</f>
        <v/>
      </c>
    </row>
    <row r="7">
      <c r="A7" s="42">
        <f>'Resumen Semestre'!A7</f>
        <v/>
      </c>
      <c r="B7" s="20">
        <f>'Resumen Semestre'!C7</f>
        <v/>
      </c>
      <c r="C7" s="20">
        <f>'Resumen Semestre'!F7</f>
        <v/>
      </c>
      <c r="D7" s="42">
        <f>IF(B7="","-",IF(B7&lt;3.0,"URGENTE: bloques diarios + hablar con el profe",IF(B7&lt;3.5,"Reforzar esta semana","Mantener, repaso ligero")))</f>
        <v/>
      </c>
    </row>
    <row r="8">
      <c r="A8" s="42">
        <f>'Resumen Semestre'!A8</f>
        <v/>
      </c>
      <c r="B8" s="20">
        <f>'Resumen Semestre'!C8</f>
        <v/>
      </c>
      <c r="C8" s="20">
        <f>'Resumen Semestre'!F8</f>
        <v/>
      </c>
      <c r="D8" s="42">
        <f>IF(B8="","-",IF(B8&lt;3.0,"URGENTE: bloques diarios + hablar con el profe",IF(B8&lt;3.5,"Reforzar esta semana","Mantener, repaso ligero")))</f>
        <v/>
      </c>
    </row>
    <row r="9">
      <c r="A9" s="42">
        <f>'Resumen Semestre'!A9</f>
        <v/>
      </c>
      <c r="B9" s="20">
        <f>'Resumen Semestre'!C9</f>
        <v/>
      </c>
      <c r="C9" s="20">
        <f>'Resumen Semestre'!F9</f>
        <v/>
      </c>
      <c r="D9" s="42">
        <f>IF(B9="","-",IF(B9&lt;3.0,"URGENTE: bloques diarios + hablar con el profe",IF(B9&lt;3.5,"Reforzar esta semana","Mantener, repaso ligero")))</f>
        <v/>
      </c>
    </row>
  </sheetData>
  <mergeCells count="1">
    <mergeCell ref="A1:D1"/>
  </mergeCells>
  <conditionalFormatting sqref="C4:C9">
    <cfRule type="expression" priority="1" dxfId="0">
      <formula>$C4="ALTA"</formula>
    </cfRule>
    <cfRule type="expression" priority="2" dxfId="1">
      <formula>$C4="MEDIA"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6" customWidth="1" min="4" max="4"/>
    <col width="12" customWidth="1" min="5" max="5"/>
  </cols>
  <sheetData>
    <row r="1">
      <c r="A1" s="67" t="inlineStr">
        <is>
          <t>INGRESOS DEL MES</t>
        </is>
      </c>
    </row>
    <row r="2">
      <c r="A2" s="16" t="inlineStr">
        <is>
          <t>Fecha</t>
        </is>
      </c>
      <c r="B2" s="16" t="inlineStr">
        <is>
          <t>Concepto</t>
        </is>
      </c>
      <c r="C2" s="16" t="inlineStr">
        <is>
          <t>Categoria</t>
        </is>
      </c>
      <c r="D2" s="16" t="inlineStr">
        <is>
          <t>Monto</t>
        </is>
      </c>
      <c r="E2" s="16" t="inlineStr">
        <is>
          <t>Recurrente</t>
        </is>
      </c>
    </row>
    <row r="3">
      <c r="A3" s="20" t="inlineStr"/>
      <c r="B3" s="42" t="inlineStr">
        <is>
          <t>Mesada / apoyo familiar</t>
        </is>
      </c>
      <c r="C3" s="20" t="inlineStr">
        <is>
          <t>Familia</t>
        </is>
      </c>
      <c r="D3" s="68" t="n">
        <v>0</v>
      </c>
      <c r="E3" s="20" t="inlineStr">
        <is>
          <t>Si</t>
        </is>
      </c>
    </row>
    <row r="4">
      <c r="A4" s="20" t="inlineStr"/>
      <c r="B4" s="42" t="inlineStr">
        <is>
          <t>Trabajo / freelance</t>
        </is>
      </c>
      <c r="C4" s="20" t="inlineStr">
        <is>
          <t>Trabajo</t>
        </is>
      </c>
      <c r="D4" s="68" t="n">
        <v>0</v>
      </c>
      <c r="E4" s="20" t="inlineStr">
        <is>
          <t>No</t>
        </is>
      </c>
    </row>
    <row r="5">
      <c r="A5" s="20" t="inlineStr"/>
      <c r="B5" s="42" t="inlineStr">
        <is>
          <t>Otro</t>
        </is>
      </c>
      <c r="C5" s="20" t="inlineStr">
        <is>
          <t>Otro</t>
        </is>
      </c>
      <c r="D5" s="68" t="n">
        <v>0</v>
      </c>
      <c r="E5" s="20" t="inlineStr">
        <is>
          <t>No</t>
        </is>
      </c>
    </row>
    <row r="6">
      <c r="A6" s="20" t="n"/>
      <c r="B6" s="42" t="n"/>
      <c r="C6" s="20" t="n"/>
      <c r="D6" s="68" t="n"/>
      <c r="E6" s="20" t="n"/>
    </row>
    <row r="7">
      <c r="A7" s="20" t="n"/>
      <c r="B7" s="42" t="n"/>
      <c r="C7" s="20" t="n"/>
      <c r="D7" s="68" t="n"/>
      <c r="E7" s="20" t="n"/>
    </row>
    <row r="8">
      <c r="A8" s="20" t="n"/>
      <c r="B8" s="42" t="n"/>
      <c r="C8" s="20" t="n"/>
      <c r="D8" s="68" t="n"/>
      <c r="E8" s="20" t="n"/>
    </row>
    <row r="9">
      <c r="A9" s="20" t="n"/>
      <c r="B9" s="42" t="n"/>
      <c r="C9" s="20" t="n"/>
      <c r="D9" s="68" t="n"/>
      <c r="E9" s="20" t="n"/>
    </row>
    <row r="10">
      <c r="A10" s="20" t="n"/>
      <c r="B10" s="42" t="n"/>
      <c r="C10" s="20" t="n"/>
      <c r="D10" s="68" t="n"/>
      <c r="E10" s="20" t="n"/>
    </row>
    <row r="11">
      <c r="A11" s="20" t="n"/>
      <c r="B11" s="42" t="n"/>
      <c r="C11" s="20" t="n"/>
      <c r="D11" s="68" t="n"/>
      <c r="E11" s="20" t="n"/>
    </row>
    <row r="12">
      <c r="A12" s="20" t="n"/>
      <c r="B12" s="42" t="n"/>
      <c r="C12" s="20" t="n"/>
      <c r="D12" s="68" t="n"/>
      <c r="E12" s="20" t="n"/>
    </row>
    <row r="13">
      <c r="A13" s="20" t="n"/>
      <c r="B13" s="42" t="n"/>
      <c r="C13" s="20" t="n"/>
      <c r="D13" s="68" t="n"/>
      <c r="E13" s="20" t="n"/>
    </row>
    <row r="14">
      <c r="A14" s="20" t="n"/>
      <c r="B14" s="42" t="n"/>
      <c r="C14" s="20" t="n"/>
      <c r="D14" s="68" t="n"/>
      <c r="E14" s="20" t="n"/>
    </row>
    <row r="15">
      <c r="A15" s="20" t="n"/>
      <c r="B15" s="42" t="n"/>
      <c r="C15" s="20" t="n"/>
      <c r="D15" s="68" t="n"/>
      <c r="E15" s="20" t="n"/>
    </row>
    <row r="16">
      <c r="A16" s="20" t="n"/>
      <c r="B16" s="42" t="n"/>
      <c r="C16" s="20" t="n"/>
      <c r="D16" s="68" t="n"/>
      <c r="E16" s="20" t="n"/>
    </row>
    <row r="17">
      <c r="A17" s="20" t="n"/>
      <c r="B17" s="42" t="n"/>
      <c r="C17" s="20" t="n"/>
      <c r="D17" s="68" t="n"/>
      <c r="E17" s="20" t="n"/>
    </row>
    <row r="18">
      <c r="A18" s="20" t="n"/>
      <c r="B18" s="42" t="n"/>
      <c r="C18" s="20" t="n"/>
      <c r="D18" s="68" t="n"/>
      <c r="E18" s="20" t="n"/>
    </row>
    <row r="19">
      <c r="A19" s="20" t="n"/>
      <c r="B19" s="42" t="n"/>
      <c r="C19" s="20" t="n"/>
      <c r="D19" s="68" t="n"/>
      <c r="E19" s="20" t="n"/>
    </row>
    <row r="20">
      <c r="A20" s="20" t="n"/>
      <c r="B20" s="42" t="n"/>
      <c r="C20" s="20" t="n"/>
      <c r="D20" s="68" t="n"/>
      <c r="E20" s="20" t="n"/>
    </row>
    <row r="21">
      <c r="A21" s="20" t="n"/>
      <c r="B21" s="42" t="n"/>
      <c r="C21" s="20" t="n"/>
      <c r="D21" s="68" t="n"/>
      <c r="E21" s="20" t="n"/>
    </row>
    <row r="22">
      <c r="A22" s="20" t="n"/>
      <c r="B22" s="42" t="n"/>
      <c r="C22" s="20" t="n"/>
      <c r="D22" s="68" t="n"/>
      <c r="E22" s="20" t="n"/>
    </row>
    <row r="23">
      <c r="C23" s="58" t="inlineStr">
        <is>
          <t>TOTAL INGRESOS</t>
        </is>
      </c>
      <c r="D23" s="69">
        <f>SUM(D3:D22)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6" customWidth="1" min="4" max="4"/>
    <col width="12" customWidth="1" min="5" max="5"/>
  </cols>
  <sheetData>
    <row r="1">
      <c r="A1" s="70" t="inlineStr">
        <is>
          <t>EGRESOS DEL MES</t>
        </is>
      </c>
    </row>
    <row r="2">
      <c r="A2" s="16" t="inlineStr">
        <is>
          <t>Fecha</t>
        </is>
      </c>
      <c r="B2" s="16" t="inlineStr">
        <is>
          <t>Concepto</t>
        </is>
      </c>
      <c r="C2" s="16" t="inlineStr">
        <is>
          <t>Categoria</t>
        </is>
      </c>
      <c r="D2" s="16" t="inlineStr">
        <is>
          <t>Monto</t>
        </is>
      </c>
      <c r="E2" s="16" t="inlineStr">
        <is>
          <t>Necesario?</t>
        </is>
      </c>
    </row>
    <row r="3">
      <c r="A3" s="20" t="inlineStr"/>
      <c r="B3" s="42" t="inlineStr">
        <is>
          <t>Transporte (TM/SITP)</t>
        </is>
      </c>
      <c r="C3" s="20" t="inlineStr">
        <is>
          <t>Transporte</t>
        </is>
      </c>
      <c r="D3" s="68" t="n">
        <v>0</v>
      </c>
      <c r="E3" s="20" t="inlineStr">
        <is>
          <t>Si</t>
        </is>
      </c>
    </row>
    <row r="4">
      <c r="A4" s="20" t="inlineStr"/>
      <c r="B4" s="42" t="inlineStr">
        <is>
          <t>Alimentacion</t>
        </is>
      </c>
      <c r="C4" s="20" t="inlineStr">
        <is>
          <t>Comida</t>
        </is>
      </c>
      <c r="D4" s="68" t="n">
        <v>0</v>
      </c>
      <c r="E4" s="20" t="inlineStr">
        <is>
          <t>Si</t>
        </is>
      </c>
    </row>
    <row r="5">
      <c r="A5" s="20" t="inlineStr"/>
      <c r="B5" s="42" t="inlineStr">
        <is>
          <t>Gimnasio + Box</t>
        </is>
      </c>
      <c r="C5" s="20" t="inlineStr">
        <is>
          <t>Salud</t>
        </is>
      </c>
      <c r="D5" s="68" t="n">
        <v>0</v>
      </c>
      <c r="E5" s="20" t="inlineStr">
        <is>
          <t>Si</t>
        </is>
      </c>
    </row>
    <row r="6">
      <c r="A6" s="20" t="inlineStr"/>
      <c r="B6" s="42" t="inlineStr">
        <is>
          <t>Clases de ingles</t>
        </is>
      </c>
      <c r="C6" s="20" t="inlineStr">
        <is>
          <t>Educacion</t>
        </is>
      </c>
      <c r="D6" s="68" t="n">
        <v>0</v>
      </c>
      <c r="E6" s="20" t="inlineStr">
        <is>
          <t>Si</t>
        </is>
      </c>
    </row>
    <row r="7">
      <c r="A7" s="20" t="inlineStr"/>
      <c r="B7" s="42" t="inlineStr">
        <is>
          <t>Universidad / materiales</t>
        </is>
      </c>
      <c r="C7" s="20" t="inlineStr">
        <is>
          <t>Educacion</t>
        </is>
      </c>
      <c r="D7" s="68" t="n">
        <v>0</v>
      </c>
      <c r="E7" s="20" t="inlineStr">
        <is>
          <t>Si</t>
        </is>
      </c>
    </row>
    <row r="8">
      <c r="A8" s="20" t="inlineStr"/>
      <c r="B8" s="42" t="inlineStr">
        <is>
          <t>Salidas con novia</t>
        </is>
      </c>
      <c r="C8" s="20" t="inlineStr">
        <is>
          <t>Ocio</t>
        </is>
      </c>
      <c r="D8" s="68" t="n">
        <v>0</v>
      </c>
      <c r="E8" s="20" t="inlineStr">
        <is>
          <t>No</t>
        </is>
      </c>
    </row>
    <row r="9">
      <c r="A9" s="20" t="inlineStr"/>
      <c r="B9" s="42" t="inlineStr">
        <is>
          <t>Suscripciones</t>
        </is>
      </c>
      <c r="C9" s="20" t="inlineStr">
        <is>
          <t>Ocio</t>
        </is>
      </c>
      <c r="D9" s="68" t="n">
        <v>0</v>
      </c>
      <c r="E9" s="20" t="inlineStr">
        <is>
          <t>No</t>
        </is>
      </c>
    </row>
    <row r="10">
      <c r="A10" s="20" t="n"/>
      <c r="B10" s="42" t="n"/>
      <c r="C10" s="20" t="n"/>
      <c r="D10" s="68" t="n"/>
      <c r="E10" s="20" t="n"/>
    </row>
    <row r="11">
      <c r="A11" s="20" t="n"/>
      <c r="B11" s="42" t="n"/>
      <c r="C11" s="20" t="n"/>
      <c r="D11" s="68" t="n"/>
      <c r="E11" s="20" t="n"/>
    </row>
    <row r="12">
      <c r="A12" s="20" t="n"/>
      <c r="B12" s="42" t="n"/>
      <c r="C12" s="20" t="n"/>
      <c r="D12" s="68" t="n"/>
      <c r="E12" s="20" t="n"/>
    </row>
    <row r="13">
      <c r="A13" s="20" t="n"/>
      <c r="B13" s="42" t="n"/>
      <c r="C13" s="20" t="n"/>
      <c r="D13" s="68" t="n"/>
      <c r="E13" s="20" t="n"/>
    </row>
    <row r="14">
      <c r="A14" s="20" t="n"/>
      <c r="B14" s="42" t="n"/>
      <c r="C14" s="20" t="n"/>
      <c r="D14" s="68" t="n"/>
      <c r="E14" s="20" t="n"/>
    </row>
    <row r="15">
      <c r="A15" s="20" t="n"/>
      <c r="B15" s="42" t="n"/>
      <c r="C15" s="20" t="n"/>
      <c r="D15" s="68" t="n"/>
      <c r="E15" s="20" t="n"/>
    </row>
    <row r="16">
      <c r="A16" s="20" t="n"/>
      <c r="B16" s="42" t="n"/>
      <c r="C16" s="20" t="n"/>
      <c r="D16" s="68" t="n"/>
      <c r="E16" s="20" t="n"/>
    </row>
    <row r="17">
      <c r="A17" s="20" t="n"/>
      <c r="B17" s="42" t="n"/>
      <c r="C17" s="20" t="n"/>
      <c r="D17" s="68" t="n"/>
      <c r="E17" s="20" t="n"/>
    </row>
    <row r="18">
      <c r="A18" s="20" t="n"/>
      <c r="B18" s="42" t="n"/>
      <c r="C18" s="20" t="n"/>
      <c r="D18" s="68" t="n"/>
      <c r="E18" s="20" t="n"/>
    </row>
    <row r="19">
      <c r="A19" s="20" t="n"/>
      <c r="B19" s="42" t="n"/>
      <c r="C19" s="20" t="n"/>
      <c r="D19" s="68" t="n"/>
      <c r="E19" s="20" t="n"/>
    </row>
    <row r="20">
      <c r="A20" s="20" t="n"/>
      <c r="B20" s="42" t="n"/>
      <c r="C20" s="20" t="n"/>
      <c r="D20" s="68" t="n"/>
      <c r="E20" s="20" t="n"/>
    </row>
    <row r="21">
      <c r="A21" s="20" t="n"/>
      <c r="B21" s="42" t="n"/>
      <c r="C21" s="20" t="n"/>
      <c r="D21" s="68" t="n"/>
      <c r="E21" s="20" t="n"/>
    </row>
    <row r="22">
      <c r="A22" s="20" t="n"/>
      <c r="B22" s="42" t="n"/>
      <c r="C22" s="20" t="n"/>
      <c r="D22" s="68" t="n"/>
      <c r="E22" s="20" t="n"/>
    </row>
    <row r="23">
      <c r="A23" s="20" t="n"/>
      <c r="B23" s="42" t="n"/>
      <c r="C23" s="20" t="n"/>
      <c r="D23" s="68" t="n"/>
      <c r="E23" s="20" t="n"/>
    </row>
    <row r="24">
      <c r="A24" s="20" t="n"/>
      <c r="B24" s="42" t="n"/>
      <c r="C24" s="20" t="n"/>
      <c r="D24" s="68" t="n"/>
      <c r="E24" s="20" t="n"/>
    </row>
    <row r="25">
      <c r="A25" s="20" t="n"/>
      <c r="B25" s="42" t="n"/>
      <c r="C25" s="20" t="n"/>
      <c r="D25" s="68" t="n"/>
      <c r="E25" s="20" t="n"/>
    </row>
    <row r="26">
      <c r="A26" s="20" t="n"/>
      <c r="B26" s="42" t="n"/>
      <c r="C26" s="20" t="n"/>
      <c r="D26" s="68" t="n"/>
      <c r="E26" s="20" t="n"/>
    </row>
    <row r="27">
      <c r="A27" s="20" t="n"/>
      <c r="B27" s="42" t="n"/>
      <c r="C27" s="20" t="n"/>
      <c r="D27" s="68" t="n"/>
      <c r="E27" s="20" t="n"/>
    </row>
    <row r="28">
      <c r="C28" s="58" t="inlineStr">
        <is>
          <t>TOTAL EGRESOS</t>
        </is>
      </c>
      <c r="D28" s="71">
        <f>SUM(D3:D27)</f>
        <v/>
      </c>
    </row>
    <row r="29">
      <c r="C29" s="72" t="inlineStr">
        <is>
          <t>Gasto evitable (No)</t>
        </is>
      </c>
      <c r="D29" s="73">
        <f>SUMIF(E3:E27,"No",D3:D27)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1" customWidth="1" min="4" max="4"/>
    <col width="14" customWidth="1" min="5" max="5"/>
    <col width="14" customWidth="1" min="6" max="6"/>
    <col width="12" customWidth="1" min="7" max="7"/>
  </cols>
  <sheetData>
    <row r="1">
      <c r="A1" s="74" t="inlineStr">
        <is>
          <t>DEUDAS Y PLAN DE PAGO</t>
        </is>
      </c>
    </row>
    <row r="2">
      <c r="A2" s="16" t="inlineStr">
        <is>
          <t>Acreedor</t>
        </is>
      </c>
      <c r="B2" s="16" t="inlineStr">
        <is>
          <t>Monto total</t>
        </is>
      </c>
      <c r="C2" s="16" t="inlineStr">
        <is>
          <t>Saldo actual</t>
        </is>
      </c>
      <c r="D2" s="16" t="inlineStr">
        <is>
          <t>Tasa % mes</t>
        </is>
      </c>
      <c r="E2" s="16" t="inlineStr">
        <is>
          <t>Cuota mensual</t>
        </is>
      </c>
      <c r="F2" s="16" t="inlineStr">
        <is>
          <t>Meses restantes</t>
        </is>
      </c>
      <c r="G2" s="16" t="inlineStr">
        <is>
          <t>Prioridad</t>
        </is>
      </c>
    </row>
    <row r="3">
      <c r="A3" s="42" t="n"/>
      <c r="B3" s="68" t="n"/>
      <c r="C3" s="68" t="n"/>
      <c r="D3" s="20" t="n"/>
      <c r="E3" s="68" t="n"/>
      <c r="F3" s="20">
        <f>IFERROR(IF(E3=0,"-",ROUNDUP(C3/E3,0)),"-")</f>
        <v/>
      </c>
      <c r="G3" s="20">
        <f>IF(C3="","-",IF(D3&gt;=3,"ALTA (tasa alta)",IF(C3&gt;0,"Normal","Pagada")))</f>
        <v/>
      </c>
    </row>
    <row r="4">
      <c r="A4" s="42" t="n"/>
      <c r="B4" s="68" t="n"/>
      <c r="C4" s="68" t="n"/>
      <c r="D4" s="20" t="n"/>
      <c r="E4" s="68" t="n"/>
      <c r="F4" s="20">
        <f>IFERROR(IF(E4=0,"-",ROUNDUP(C4/E4,0)),"-")</f>
        <v/>
      </c>
      <c r="G4" s="20">
        <f>IF(C4="","-",IF(D4&gt;=3,"ALTA (tasa alta)",IF(C4&gt;0,"Normal","Pagada")))</f>
        <v/>
      </c>
    </row>
    <row r="5">
      <c r="A5" s="42" t="n"/>
      <c r="B5" s="68" t="n"/>
      <c r="C5" s="68" t="n"/>
      <c r="D5" s="20" t="n"/>
      <c r="E5" s="68" t="n"/>
      <c r="F5" s="20">
        <f>IFERROR(IF(E5=0,"-",ROUNDUP(C5/E5,0)),"-")</f>
        <v/>
      </c>
      <c r="G5" s="20">
        <f>IF(C5="","-",IF(D5&gt;=3,"ALTA (tasa alta)",IF(C5&gt;0,"Normal","Pagada")))</f>
        <v/>
      </c>
    </row>
    <row r="6">
      <c r="A6" s="42" t="n"/>
      <c r="B6" s="68" t="n"/>
      <c r="C6" s="68" t="n"/>
      <c r="D6" s="20" t="n"/>
      <c r="E6" s="68" t="n"/>
      <c r="F6" s="20">
        <f>IFERROR(IF(E6=0,"-",ROUNDUP(C6/E6,0)),"-")</f>
        <v/>
      </c>
      <c r="G6" s="20">
        <f>IF(C6="","-",IF(D6&gt;=3,"ALTA (tasa alta)",IF(C6&gt;0,"Normal","Pagada")))</f>
        <v/>
      </c>
    </row>
    <row r="7">
      <c r="A7" s="42" t="n"/>
      <c r="B7" s="68" t="n"/>
      <c r="C7" s="68" t="n"/>
      <c r="D7" s="20" t="n"/>
      <c r="E7" s="68" t="n"/>
      <c r="F7" s="20">
        <f>IFERROR(IF(E7=0,"-",ROUNDUP(C7/E7,0)),"-")</f>
        <v/>
      </c>
      <c r="G7" s="20">
        <f>IF(C7="","-",IF(D7&gt;=3,"ALTA (tasa alta)",IF(C7&gt;0,"Normal","Pagada")))</f>
        <v/>
      </c>
    </row>
    <row r="8">
      <c r="A8" s="42" t="n"/>
      <c r="B8" s="68" t="n"/>
      <c r="C8" s="68" t="n"/>
      <c r="D8" s="20" t="n"/>
      <c r="E8" s="68" t="n"/>
      <c r="F8" s="20">
        <f>IFERROR(IF(E8=0,"-",ROUNDUP(C8/E8,0)),"-")</f>
        <v/>
      </c>
      <c r="G8" s="20">
        <f>IF(C8="","-",IF(D8&gt;=3,"ALTA (tasa alta)",IF(C8&gt;0,"Normal","Pagada")))</f>
        <v/>
      </c>
    </row>
    <row r="9">
      <c r="A9" s="42" t="n"/>
      <c r="B9" s="68" t="n"/>
      <c r="C9" s="68" t="n"/>
      <c r="D9" s="20" t="n"/>
      <c r="E9" s="68" t="n"/>
      <c r="F9" s="20">
        <f>IFERROR(IF(E9=0,"-",ROUNDUP(C9/E9,0)),"-")</f>
        <v/>
      </c>
      <c r="G9" s="20">
        <f>IF(C9="","-",IF(D9&gt;=3,"ALTA (tasa alta)",IF(C9&gt;0,"Normal","Pagada")))</f>
        <v/>
      </c>
    </row>
    <row r="10">
      <c r="A10" s="42" t="n"/>
      <c r="B10" s="68" t="n"/>
      <c r="C10" s="68" t="n"/>
      <c r="D10" s="20" t="n"/>
      <c r="E10" s="68" t="n"/>
      <c r="F10" s="20">
        <f>IFERROR(IF(E10=0,"-",ROUNDUP(C10/E10,0)),"-")</f>
        <v/>
      </c>
      <c r="G10" s="20">
        <f>IF(C10="","-",IF(D10&gt;=3,"ALTA (tasa alta)",IF(C10&gt;0,"Normal","Pagada")))</f>
        <v/>
      </c>
    </row>
    <row r="11">
      <c r="A11" s="42" t="n"/>
      <c r="B11" s="68" t="n"/>
      <c r="C11" s="68" t="n"/>
      <c r="D11" s="20" t="n"/>
      <c r="E11" s="68" t="n"/>
      <c r="F11" s="20">
        <f>IFERROR(IF(E11=0,"-",ROUNDUP(C11/E11,0)),"-")</f>
        <v/>
      </c>
      <c r="G11" s="20">
        <f>IF(C11="","-",IF(D11&gt;=3,"ALTA (tasa alta)",IF(C11&gt;0,"Normal","Pagada")))</f>
        <v/>
      </c>
    </row>
    <row r="12">
      <c r="A12" s="42" t="n"/>
      <c r="B12" s="68" t="n"/>
      <c r="C12" s="68" t="n"/>
      <c r="D12" s="20" t="n"/>
      <c r="E12" s="68" t="n"/>
      <c r="F12" s="20">
        <f>IFERROR(IF(E12=0,"-",ROUNDUP(C12/E12,0)),"-")</f>
        <v/>
      </c>
      <c r="G12" s="20">
        <f>IF(C12="","-",IF(D12&gt;=3,"ALTA (tasa alta)",IF(C12&gt;0,"Normal","Pagada")))</f>
        <v/>
      </c>
    </row>
    <row r="13">
      <c r="A13" s="42" t="n"/>
      <c r="B13" s="68" t="n"/>
      <c r="C13" s="68" t="n"/>
      <c r="D13" s="20" t="n"/>
      <c r="E13" s="68" t="n"/>
      <c r="F13" s="20">
        <f>IFERROR(IF(E13=0,"-",ROUNDUP(C13/E13,0)),"-")</f>
        <v/>
      </c>
      <c r="G13" s="20">
        <f>IF(C13="","-",IF(D13&gt;=3,"ALTA (tasa alta)",IF(C13&gt;0,"Normal","Pagada")))</f>
        <v/>
      </c>
    </row>
    <row r="14">
      <c r="A14" s="42" t="n"/>
      <c r="B14" s="68" t="n"/>
      <c r="C14" s="68" t="n"/>
      <c r="D14" s="20" t="n"/>
      <c r="E14" s="68" t="n"/>
      <c r="F14" s="20">
        <f>IFERROR(IF(E14=0,"-",ROUNDUP(C14/E14,0)),"-")</f>
        <v/>
      </c>
      <c r="G14" s="20">
        <f>IF(C14="","-",IF(D14&gt;=3,"ALTA (tasa alta)",IF(C14&gt;0,"Normal","Pagada")))</f>
        <v/>
      </c>
    </row>
    <row r="15">
      <c r="A15" s="58" t="inlineStr">
        <is>
          <t>DEUDA TOTAL</t>
        </is>
      </c>
      <c r="C15" s="75">
        <f>SUM(C3:C14)</f>
        <v/>
      </c>
    </row>
    <row r="17">
      <c r="A17" s="66" t="inlineStr">
        <is>
          <t>Estrategia avalancha: paga primero la deuda de MAYOR tasa. Bola de nieve: la mas pequena primero (motivacion).</t>
        </is>
      </c>
    </row>
  </sheetData>
  <mergeCells count="1">
    <mergeCell ref="A1:G1"/>
  </mergeCells>
  <conditionalFormatting sqref="G3:G14">
    <cfRule type="expression" priority="1" dxfId="0">
      <formula>LEFT($G3,4)="ALTA"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4" customWidth="1" min="4" max="4"/>
  </cols>
  <sheetData>
    <row r="1">
      <c r="A1" s="76" t="inlineStr">
        <is>
          <t>PRESUPUESTO 50 / 30 / 20</t>
        </is>
      </c>
    </row>
    <row r="3">
      <c r="A3" s="58" t="inlineStr">
        <is>
          <t>Ingreso mensual total</t>
        </is>
      </c>
      <c r="B3" s="73">
        <f>Ingresos!D23</f>
        <v/>
      </c>
    </row>
    <row r="5">
      <c r="A5" s="16" t="inlineStr">
        <is>
          <t>Categoria</t>
        </is>
      </c>
      <c r="B5" s="16" t="inlineStr">
        <is>
          <t>Ideal</t>
        </is>
      </c>
      <c r="C5" s="16" t="inlineStr">
        <is>
          <t>Sugerido</t>
        </is>
      </c>
      <c r="D5" s="16" t="inlineStr">
        <is>
          <t>Para que</t>
        </is>
      </c>
    </row>
    <row r="6">
      <c r="A6" s="49" t="inlineStr">
        <is>
          <t>Necesidades (50%)</t>
        </is>
      </c>
      <c r="B6" s="77" t="n">
        <v>0.5</v>
      </c>
      <c r="C6" s="78">
        <f>$B$3*B6</f>
        <v/>
      </c>
      <c r="D6" s="42" t="inlineStr">
        <is>
          <t>Arriendo, comida, transporte, U</t>
        </is>
      </c>
    </row>
    <row r="7">
      <c r="A7" s="49" t="inlineStr">
        <is>
          <t>Gustos / ocio (30%)</t>
        </is>
      </c>
      <c r="B7" s="77" t="n">
        <v>0.3</v>
      </c>
      <c r="C7" s="78">
        <f>$B$3*B7</f>
        <v/>
      </c>
      <c r="D7" s="42" t="inlineStr">
        <is>
          <t>Salidas, suscripciones, hobbies</t>
        </is>
      </c>
    </row>
    <row r="8">
      <c r="A8" s="49" t="inlineStr">
        <is>
          <t>Ahorro + deudas (20%)</t>
        </is>
      </c>
      <c r="B8" s="77" t="n">
        <v>0.2</v>
      </c>
      <c r="C8" s="78">
        <f>$B$3*B8</f>
        <v/>
      </c>
      <c r="D8" s="42" t="inlineStr">
        <is>
          <t>Fondo emergencia, abonos a deuda</t>
        </is>
      </c>
    </row>
    <row r="10">
      <c r="A10" s="58" t="inlineStr">
        <is>
          <t>Gasto real del mes</t>
        </is>
      </c>
      <c r="C10" s="73">
        <f>Egresos!D28</f>
        <v/>
      </c>
    </row>
    <row r="11">
      <c r="A11" s="58" t="inlineStr">
        <is>
          <t>BALANCE (ingreso - gasto)</t>
        </is>
      </c>
      <c r="C11" s="79">
        <f>Ingresos!D23-Egresos!D28</f>
        <v/>
      </c>
    </row>
  </sheetData>
  <mergeCells count="1">
    <mergeCell ref="A1:D1"/>
  </mergeCells>
  <conditionalFormatting sqref="C11">
    <cfRule type="cellIs" priority="1" operator="lessThan" dxfId="0">
      <formula>0</formula>
    </cfRule>
    <cfRule type="cellIs" priority="2" operator="greaterThanOrEqual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4" customWidth="1" min="4" max="4"/>
  </cols>
  <sheetData>
    <row r="1">
      <c r="A1" s="80" t="inlineStr">
        <is>
          <t>PLAN DE PASANTIA - PASO A PASO</t>
        </is>
      </c>
    </row>
    <row r="2">
      <c r="A2" s="16" t="inlineStr">
        <is>
          <t>Paso</t>
        </is>
      </c>
      <c r="B2" s="16" t="inlineStr">
        <is>
          <t>Que hacer</t>
        </is>
      </c>
      <c r="C2" s="16" t="inlineStr">
        <is>
          <t>Estado</t>
        </is>
      </c>
      <c r="D2" s="16" t="inlineStr">
        <is>
          <t>Fecha meta</t>
        </is>
      </c>
    </row>
    <row r="3">
      <c r="A3" s="49" t="n">
        <v>1</v>
      </c>
      <c r="B3" s="42" t="inlineStr">
        <is>
          <t>Definir objetivo: area (estructuras, vias, hidraulica, construccion, interventoria) y ciudad.</t>
        </is>
      </c>
      <c r="C3" s="49" t="inlineStr">
        <is>
          <t>Pendiente</t>
        </is>
      </c>
      <c r="D3" s="49" t="n"/>
    </row>
    <row r="4">
      <c r="A4" s="49" t="n">
        <v>2</v>
      </c>
      <c r="B4" s="42" t="inlineStr">
        <is>
          <t>Actualizar hoja de vida a 1 pagina, enfocada en logros y el proyecto estructural.</t>
        </is>
      </c>
      <c r="C4" s="49" t="inlineStr">
        <is>
          <t>Pendiente</t>
        </is>
      </c>
      <c r="D4" s="49" t="n"/>
    </row>
    <row r="5">
      <c r="A5" s="49" t="n">
        <v>3</v>
      </c>
      <c r="B5" s="42" t="inlineStr">
        <is>
          <t>Optimizar LinkedIn: foto, titular claro, activar 'Open to work'.</t>
        </is>
      </c>
      <c r="C5" s="49" t="inlineStr">
        <is>
          <t>Pendiente</t>
        </is>
      </c>
      <c r="D5" s="49" t="n"/>
    </row>
    <row r="6">
      <c r="A6" s="49" t="n">
        <v>4</v>
      </c>
      <c r="B6" s="42" t="inlineStr">
        <is>
          <t>Armar lista de 25-30 empresas objetivo (constructoras, consultoras, interventoria).</t>
        </is>
      </c>
      <c r="C6" s="49" t="inlineStr">
        <is>
          <t>Pendiente</t>
        </is>
      </c>
      <c r="D6" s="49" t="n"/>
    </row>
    <row r="7">
      <c r="A7" s="49" t="n">
        <v>5</v>
      </c>
      <c r="B7" s="42" t="inlineStr">
        <is>
          <t>Conseguir contactos/referidos: profes, egresados, oficina de practicas de la U.</t>
        </is>
      </c>
      <c r="C7" s="49" t="inlineStr">
        <is>
          <t>Pendiente</t>
        </is>
      </c>
      <c r="D7" s="49" t="n"/>
    </row>
    <row r="8">
      <c r="A8" s="49" t="n">
        <v>6</v>
      </c>
      <c r="B8" s="42" t="inlineStr">
        <is>
          <t>Crear carta de presentacion base personalizable.</t>
        </is>
      </c>
      <c r="C8" s="49" t="inlineStr">
        <is>
          <t>Pendiente</t>
        </is>
      </c>
      <c r="D8" s="49" t="n"/>
    </row>
    <row r="9">
      <c r="A9" s="49" t="n">
        <v>7</v>
      </c>
      <c r="B9" s="42" t="inlineStr">
        <is>
          <t>Armar portafolio con proyectos academicos (incluye el de estructural).</t>
        </is>
      </c>
      <c r="C9" s="49" t="inlineStr">
        <is>
          <t>Pendiente</t>
        </is>
      </c>
      <c r="D9" s="49" t="n"/>
    </row>
    <row r="10">
      <c r="A10" s="49" t="n">
        <v>8</v>
      </c>
      <c r="B10" s="42" t="inlineStr">
        <is>
          <t>Aplicar minimo 5 vacantes por semana (registrar en 'Aplicaciones').</t>
        </is>
      </c>
      <c r="C10" s="49" t="inlineStr">
        <is>
          <t>Pendiente</t>
        </is>
      </c>
      <c r="D10" s="49" t="n"/>
    </row>
    <row r="11">
      <c r="A11" s="49" t="n">
        <v>9</v>
      </c>
      <c r="B11" s="42" t="inlineStr">
        <is>
          <t>Revisar portales: LinkedIn, elempleo, Computrabajo, Magneto365, bolsa de la U.</t>
        </is>
      </c>
      <c r="C11" s="49" t="inlineStr">
        <is>
          <t>Pendiente</t>
        </is>
      </c>
      <c r="D11" s="49" t="n"/>
    </row>
    <row r="12">
      <c r="A12" s="49" t="n">
        <v>10</v>
      </c>
      <c r="B12" s="42" t="inlineStr">
        <is>
          <t>Preparar entrevista: tecnicas + comportamentales (metodo STAR).</t>
        </is>
      </c>
      <c r="C12" s="49" t="inlineStr">
        <is>
          <t>Pendiente</t>
        </is>
      </c>
      <c r="D12" s="49" t="n"/>
    </row>
    <row r="13">
      <c r="A13" s="49" t="n">
        <v>11</v>
      </c>
      <c r="B13" s="42" t="inlineStr">
        <is>
          <t>Seguimiento a cada aplicacion a los 7 dias.</t>
        </is>
      </c>
      <c r="C13" s="49" t="inlineStr">
        <is>
          <t>Pendiente</t>
        </is>
      </c>
      <c r="D13" s="49" t="n"/>
    </row>
    <row r="14">
      <c r="A14" s="49" t="n">
        <v>12</v>
      </c>
      <c r="B14" s="42" t="inlineStr">
        <is>
          <t>Al recibir oferta: revisar convenio U, ARL y afiliacion antes de firmar.</t>
        </is>
      </c>
      <c r="C14" s="49" t="inlineStr">
        <is>
          <t>Pendiente</t>
        </is>
      </c>
      <c r="D14" s="49" t="n"/>
    </row>
    <row r="16">
      <c r="B16" s="58" t="inlineStr">
        <is>
          <t>Progreso del plan</t>
        </is>
      </c>
      <c r="C16" s="81">
        <f>ROUND(COUNTIF(C3:C14,"Hecho")/12,2)</f>
        <v/>
      </c>
    </row>
  </sheetData>
  <mergeCells count="1">
    <mergeCell ref="A1:D1"/>
  </mergeCells>
  <conditionalFormatting sqref="C3:C14">
    <cfRule type="cellIs" priority="1" operator="equal" dxfId="2">
      <formula>"Hecho"</formula>
    </cfRule>
    <cfRule type="cellIs" priority="2" operator="equal" dxfId="1">
      <formula>"En curso"</formula>
    </cfRule>
  </conditionalFormatting>
  <dataValidations count="1">
    <dataValidation sqref="C3:C14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6" customWidth="1" min="4" max="4"/>
    <col width="20" customWidth="1" min="5" max="5"/>
    <col width="24" customWidth="1" min="6" max="6"/>
    <col width="24" customWidth="1" min="7" max="7"/>
    <col width="12" customWidth="1" min="9" max="9"/>
  </cols>
  <sheetData>
    <row r="1">
      <c r="A1" s="82" t="inlineStr">
        <is>
          <t>RASTREADOR DE APLICACIONES</t>
        </is>
      </c>
    </row>
    <row r="2">
      <c r="A2" s="16" t="inlineStr">
        <is>
          <t>Empresa</t>
        </is>
      </c>
      <c r="B2" s="16" t="inlineStr">
        <is>
          <t>Cargo</t>
        </is>
      </c>
      <c r="C2" s="16" t="inlineStr">
        <is>
          <t>Fecha</t>
        </is>
      </c>
      <c r="D2" s="16" t="inlineStr">
        <is>
          <t>Estado</t>
        </is>
      </c>
      <c r="E2" s="16" t="inlineStr">
        <is>
          <t>Contacto</t>
        </is>
      </c>
      <c r="F2" s="16" t="inlineStr">
        <is>
          <t>Proximo paso</t>
        </is>
      </c>
      <c r="G2" s="16" t="inlineStr">
        <is>
          <t>Notas</t>
        </is>
      </c>
      <c r="I2" s="58" t="inlineStr">
        <is>
          <t>Aplicadas</t>
        </is>
      </c>
    </row>
    <row r="3">
      <c r="A3" s="42" t="n"/>
      <c r="B3" s="42" t="n"/>
      <c r="C3" s="20" t="n"/>
      <c r="D3" s="20" t="n"/>
      <c r="E3" s="42" t="n"/>
      <c r="F3" s="42" t="n"/>
      <c r="G3" s="42" t="n"/>
      <c r="I3">
        <f>COUNTIF(D3:D42,"Aplicada")+COUNTIF(D3:D42,"En proceso")+COUNTIF(D3:D42,"Entrevista")+COUNTIF(D3:D42,"Oferta")</f>
        <v/>
      </c>
    </row>
    <row r="4">
      <c r="A4" s="42" t="n"/>
      <c r="B4" s="42" t="n"/>
      <c r="C4" s="20" t="n"/>
      <c r="D4" s="20" t="n"/>
      <c r="E4" s="42" t="n"/>
      <c r="F4" s="42" t="n"/>
      <c r="G4" s="42" t="n"/>
      <c r="I4" s="58" t="inlineStr">
        <is>
          <t>Entrevistas</t>
        </is>
      </c>
    </row>
    <row r="5">
      <c r="A5" s="42" t="n"/>
      <c r="B5" s="42" t="n"/>
      <c r="C5" s="20" t="n"/>
      <c r="D5" s="20" t="n"/>
      <c r="E5" s="42" t="n"/>
      <c r="F5" s="42" t="n"/>
      <c r="G5" s="42" t="n"/>
      <c r="I5">
        <f>COUNTIF(D3:D42,"Entrevista")</f>
        <v/>
      </c>
    </row>
    <row r="6">
      <c r="A6" s="42" t="n"/>
      <c r="B6" s="42" t="n"/>
      <c r="C6" s="20" t="n"/>
      <c r="D6" s="20" t="n"/>
      <c r="E6" s="42" t="n"/>
      <c r="F6" s="42" t="n"/>
      <c r="G6" s="42" t="n"/>
      <c r="I6" s="58" t="inlineStr">
        <is>
          <t>Ofertas</t>
        </is>
      </c>
    </row>
    <row r="7">
      <c r="A7" s="42" t="n"/>
      <c r="B7" s="42" t="n"/>
      <c r="C7" s="20" t="n"/>
      <c r="D7" s="20" t="n"/>
      <c r="E7" s="42" t="n"/>
      <c r="F7" s="42" t="n"/>
      <c r="G7" s="42" t="n"/>
      <c r="I7">
        <f>COUNTIF(D3:D42,"Oferta")</f>
        <v/>
      </c>
    </row>
    <row r="8">
      <c r="A8" s="42" t="n"/>
      <c r="B8" s="42" t="n"/>
      <c r="C8" s="20" t="n"/>
      <c r="D8" s="20" t="n"/>
      <c r="E8" s="42" t="n"/>
      <c r="F8" s="42" t="n"/>
      <c r="G8" s="42" t="n"/>
    </row>
    <row r="9">
      <c r="A9" s="42" t="n"/>
      <c r="B9" s="42" t="n"/>
      <c r="C9" s="20" t="n"/>
      <c r="D9" s="20" t="n"/>
      <c r="E9" s="42" t="n"/>
      <c r="F9" s="42" t="n"/>
      <c r="G9" s="42" t="n"/>
    </row>
    <row r="10">
      <c r="A10" s="42" t="n"/>
      <c r="B10" s="42" t="n"/>
      <c r="C10" s="20" t="n"/>
      <c r="D10" s="20" t="n"/>
      <c r="E10" s="42" t="n"/>
      <c r="F10" s="42" t="n"/>
      <c r="G10" s="42" t="n"/>
    </row>
    <row r="11">
      <c r="A11" s="42" t="n"/>
      <c r="B11" s="42" t="n"/>
      <c r="C11" s="20" t="n"/>
      <c r="D11" s="20" t="n"/>
      <c r="E11" s="42" t="n"/>
      <c r="F11" s="42" t="n"/>
      <c r="G11" s="42" t="n"/>
    </row>
    <row r="12">
      <c r="A12" s="42" t="n"/>
      <c r="B12" s="42" t="n"/>
      <c r="C12" s="20" t="n"/>
      <c r="D12" s="20" t="n"/>
      <c r="E12" s="42" t="n"/>
      <c r="F12" s="42" t="n"/>
      <c r="G12" s="42" t="n"/>
    </row>
    <row r="13">
      <c r="A13" s="42" t="n"/>
      <c r="B13" s="42" t="n"/>
      <c r="C13" s="20" t="n"/>
      <c r="D13" s="20" t="n"/>
      <c r="E13" s="42" t="n"/>
      <c r="F13" s="42" t="n"/>
      <c r="G13" s="42" t="n"/>
    </row>
    <row r="14">
      <c r="A14" s="42" t="n"/>
      <c r="B14" s="42" t="n"/>
      <c r="C14" s="20" t="n"/>
      <c r="D14" s="20" t="n"/>
      <c r="E14" s="42" t="n"/>
      <c r="F14" s="42" t="n"/>
      <c r="G14" s="42" t="n"/>
    </row>
    <row r="15">
      <c r="A15" s="42" t="n"/>
      <c r="B15" s="42" t="n"/>
      <c r="C15" s="20" t="n"/>
      <c r="D15" s="20" t="n"/>
      <c r="E15" s="42" t="n"/>
      <c r="F15" s="42" t="n"/>
      <c r="G15" s="42" t="n"/>
    </row>
    <row r="16">
      <c r="A16" s="42" t="n"/>
      <c r="B16" s="42" t="n"/>
      <c r="C16" s="20" t="n"/>
      <c r="D16" s="20" t="n"/>
      <c r="E16" s="42" t="n"/>
      <c r="F16" s="42" t="n"/>
      <c r="G16" s="42" t="n"/>
    </row>
    <row r="17">
      <c r="A17" s="42" t="n"/>
      <c r="B17" s="42" t="n"/>
      <c r="C17" s="20" t="n"/>
      <c r="D17" s="20" t="n"/>
      <c r="E17" s="42" t="n"/>
      <c r="F17" s="42" t="n"/>
      <c r="G17" s="42" t="n"/>
    </row>
    <row r="18">
      <c r="A18" s="42" t="n"/>
      <c r="B18" s="42" t="n"/>
      <c r="C18" s="20" t="n"/>
      <c r="D18" s="20" t="n"/>
      <c r="E18" s="42" t="n"/>
      <c r="F18" s="42" t="n"/>
      <c r="G18" s="42" t="n"/>
    </row>
    <row r="19">
      <c r="A19" s="42" t="n"/>
      <c r="B19" s="42" t="n"/>
      <c r="C19" s="20" t="n"/>
      <c r="D19" s="20" t="n"/>
      <c r="E19" s="42" t="n"/>
      <c r="F19" s="42" t="n"/>
      <c r="G19" s="42" t="n"/>
    </row>
    <row r="20">
      <c r="A20" s="42" t="n"/>
      <c r="B20" s="42" t="n"/>
      <c r="C20" s="20" t="n"/>
      <c r="D20" s="20" t="n"/>
      <c r="E20" s="42" t="n"/>
      <c r="F20" s="42" t="n"/>
      <c r="G20" s="42" t="n"/>
    </row>
    <row r="21">
      <c r="A21" s="42" t="n"/>
      <c r="B21" s="42" t="n"/>
      <c r="C21" s="20" t="n"/>
      <c r="D21" s="20" t="n"/>
      <c r="E21" s="42" t="n"/>
      <c r="F21" s="42" t="n"/>
      <c r="G21" s="42" t="n"/>
    </row>
    <row r="22">
      <c r="A22" s="42" t="n"/>
      <c r="B22" s="42" t="n"/>
      <c r="C22" s="20" t="n"/>
      <c r="D22" s="20" t="n"/>
      <c r="E22" s="42" t="n"/>
      <c r="F22" s="42" t="n"/>
      <c r="G22" s="42" t="n"/>
    </row>
    <row r="23">
      <c r="A23" s="42" t="n"/>
      <c r="B23" s="42" t="n"/>
      <c r="C23" s="20" t="n"/>
      <c r="D23" s="20" t="n"/>
      <c r="E23" s="42" t="n"/>
      <c r="F23" s="42" t="n"/>
      <c r="G23" s="42" t="n"/>
    </row>
    <row r="24">
      <c r="A24" s="42" t="n"/>
      <c r="B24" s="42" t="n"/>
      <c r="C24" s="20" t="n"/>
      <c r="D24" s="20" t="n"/>
      <c r="E24" s="42" t="n"/>
      <c r="F24" s="42" t="n"/>
      <c r="G24" s="42" t="n"/>
    </row>
    <row r="25">
      <c r="A25" s="42" t="n"/>
      <c r="B25" s="42" t="n"/>
      <c r="C25" s="20" t="n"/>
      <c r="D25" s="20" t="n"/>
      <c r="E25" s="42" t="n"/>
      <c r="F25" s="42" t="n"/>
      <c r="G25" s="42" t="n"/>
    </row>
    <row r="26">
      <c r="A26" s="42" t="n"/>
      <c r="B26" s="42" t="n"/>
      <c r="C26" s="20" t="n"/>
      <c r="D26" s="20" t="n"/>
      <c r="E26" s="42" t="n"/>
      <c r="F26" s="42" t="n"/>
      <c r="G26" s="42" t="n"/>
    </row>
    <row r="27">
      <c r="A27" s="42" t="n"/>
      <c r="B27" s="42" t="n"/>
      <c r="C27" s="20" t="n"/>
      <c r="D27" s="20" t="n"/>
      <c r="E27" s="42" t="n"/>
      <c r="F27" s="42" t="n"/>
      <c r="G27" s="42" t="n"/>
    </row>
    <row r="28">
      <c r="A28" s="42" t="n"/>
      <c r="B28" s="42" t="n"/>
      <c r="C28" s="20" t="n"/>
      <c r="D28" s="20" t="n"/>
      <c r="E28" s="42" t="n"/>
      <c r="F28" s="42" t="n"/>
      <c r="G28" s="42" t="n"/>
    </row>
    <row r="29">
      <c r="A29" s="42" t="n"/>
      <c r="B29" s="42" t="n"/>
      <c r="C29" s="20" t="n"/>
      <c r="D29" s="20" t="n"/>
      <c r="E29" s="42" t="n"/>
      <c r="F29" s="42" t="n"/>
      <c r="G29" s="42" t="n"/>
    </row>
    <row r="30">
      <c r="A30" s="42" t="n"/>
      <c r="B30" s="42" t="n"/>
      <c r="C30" s="20" t="n"/>
      <c r="D30" s="20" t="n"/>
      <c r="E30" s="42" t="n"/>
      <c r="F30" s="42" t="n"/>
      <c r="G30" s="42" t="n"/>
    </row>
    <row r="31">
      <c r="A31" s="42" t="n"/>
      <c r="B31" s="42" t="n"/>
      <c r="C31" s="20" t="n"/>
      <c r="D31" s="20" t="n"/>
      <c r="E31" s="42" t="n"/>
      <c r="F31" s="42" t="n"/>
      <c r="G31" s="42" t="n"/>
    </row>
    <row r="32">
      <c r="A32" s="42" t="n"/>
      <c r="B32" s="42" t="n"/>
      <c r="C32" s="20" t="n"/>
      <c r="D32" s="20" t="n"/>
      <c r="E32" s="42" t="n"/>
      <c r="F32" s="42" t="n"/>
      <c r="G32" s="42" t="n"/>
    </row>
    <row r="33">
      <c r="A33" s="42" t="n"/>
      <c r="B33" s="42" t="n"/>
      <c r="C33" s="20" t="n"/>
      <c r="D33" s="20" t="n"/>
      <c r="E33" s="42" t="n"/>
      <c r="F33" s="42" t="n"/>
      <c r="G33" s="42" t="n"/>
    </row>
    <row r="34">
      <c r="A34" s="42" t="n"/>
      <c r="B34" s="42" t="n"/>
      <c r="C34" s="20" t="n"/>
      <c r="D34" s="20" t="n"/>
      <c r="E34" s="42" t="n"/>
      <c r="F34" s="42" t="n"/>
      <c r="G34" s="42" t="n"/>
    </row>
    <row r="35">
      <c r="A35" s="42" t="n"/>
      <c r="B35" s="42" t="n"/>
      <c r="C35" s="20" t="n"/>
      <c r="D35" s="20" t="n"/>
      <c r="E35" s="42" t="n"/>
      <c r="F35" s="42" t="n"/>
      <c r="G35" s="42" t="n"/>
    </row>
    <row r="36">
      <c r="A36" s="42" t="n"/>
      <c r="B36" s="42" t="n"/>
      <c r="C36" s="20" t="n"/>
      <c r="D36" s="20" t="n"/>
      <c r="E36" s="42" t="n"/>
      <c r="F36" s="42" t="n"/>
      <c r="G36" s="42" t="n"/>
    </row>
    <row r="37">
      <c r="A37" s="42" t="n"/>
      <c r="B37" s="42" t="n"/>
      <c r="C37" s="20" t="n"/>
      <c r="D37" s="20" t="n"/>
      <c r="E37" s="42" t="n"/>
      <c r="F37" s="42" t="n"/>
      <c r="G37" s="42" t="n"/>
    </row>
    <row r="38">
      <c r="A38" s="42" t="n"/>
      <c r="B38" s="42" t="n"/>
      <c r="C38" s="20" t="n"/>
      <c r="D38" s="20" t="n"/>
      <c r="E38" s="42" t="n"/>
      <c r="F38" s="42" t="n"/>
      <c r="G38" s="42" t="n"/>
    </row>
    <row r="39">
      <c r="A39" s="42" t="n"/>
      <c r="B39" s="42" t="n"/>
      <c r="C39" s="20" t="n"/>
      <c r="D39" s="20" t="n"/>
      <c r="E39" s="42" t="n"/>
      <c r="F39" s="42" t="n"/>
      <c r="G39" s="42" t="n"/>
    </row>
    <row r="40">
      <c r="A40" s="42" t="n"/>
      <c r="B40" s="42" t="n"/>
      <c r="C40" s="20" t="n"/>
      <c r="D40" s="20" t="n"/>
      <c r="E40" s="42" t="n"/>
      <c r="F40" s="42" t="n"/>
      <c r="G40" s="42" t="n"/>
    </row>
    <row r="41">
      <c r="A41" s="42" t="n"/>
      <c r="B41" s="42" t="n"/>
      <c r="C41" s="20" t="n"/>
      <c r="D41" s="20" t="n"/>
      <c r="E41" s="42" t="n"/>
      <c r="F41" s="42" t="n"/>
      <c r="G41" s="42" t="n"/>
    </row>
    <row r="42">
      <c r="A42" s="42" t="n"/>
      <c r="B42" s="42" t="n"/>
      <c r="C42" s="20" t="n"/>
      <c r="D42" s="20" t="n"/>
      <c r="E42" s="42" t="n"/>
      <c r="F42" s="42" t="n"/>
      <c r="G42" s="42" t="n"/>
    </row>
  </sheetData>
  <mergeCells count="1">
    <mergeCell ref="A1:G1"/>
  </mergeCells>
  <conditionalFormatting sqref="D3:D42">
    <cfRule type="cellIs" priority="1" operator="equal" dxfId="2">
      <formula>"Oferta"</formula>
    </cfRule>
    <cfRule type="cellIs" priority="2" operator="equal" dxfId="3">
      <formula>"Entrevista"</formula>
    </cfRule>
    <cfRule type="cellIs" priority="3" operator="equal" dxfId="0">
      <formula>"Rechazada"</formula>
    </cfRule>
    <cfRule type="cellIs" priority="4" operator="equal" dxfId="1">
      <formula>"Aplicada"</formula>
    </cfRule>
  </conditionalFormatting>
  <dataValidations count="1">
    <dataValidation sqref="D3:D42" showDropDown="0" showInputMessage="0" showErrorMessage="0" allowBlank="1" type="list">
      <formula1>"Por aplicar,Aplicada,En proceso,Entrevista,Oferta,Rechazada"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26" customWidth="1" min="4" max="4"/>
    <col width="26" customWidth="1" min="5" max="5"/>
    <col width="14" customWidth="1" min="6" max="6"/>
  </cols>
  <sheetData>
    <row r="1">
      <c r="A1" s="83" t="inlineStr">
        <is>
          <t>BECAS PARA TU MAESTRIA (revisar fechas cada ano)</t>
        </is>
      </c>
    </row>
    <row r="2">
      <c r="A2" s="16" t="inlineStr">
        <is>
          <t>Beca/Programa</t>
        </is>
      </c>
      <c r="B2" s="16" t="inlineStr">
        <is>
          <t>Pais/Region</t>
        </is>
      </c>
      <c r="C2" s="16" t="inlineStr">
        <is>
          <t>Que cubre</t>
        </is>
      </c>
      <c r="D2" s="16" t="inlineStr">
        <is>
          <t>Requisito clave</t>
        </is>
      </c>
      <c r="E2" s="16" t="inlineStr">
        <is>
          <t>Link</t>
        </is>
      </c>
      <c r="F2" s="16" t="inlineStr">
        <is>
          <t>Estado</t>
        </is>
      </c>
    </row>
    <row r="3">
      <c r="A3" s="42" t="inlineStr">
        <is>
          <t>COLFUTURO</t>
        </is>
      </c>
      <c r="B3" s="20" t="inlineStr">
        <is>
          <t>Colombia-&gt;mundo</t>
        </is>
      </c>
      <c r="C3" s="42" t="inlineStr">
        <is>
          <t>Credito-beca hasta US$25k/ano (max 2 anos)</t>
        </is>
      </c>
      <c r="D3" s="42" t="inlineStr">
        <is>
          <t>Admision + excelencia</t>
        </is>
      </c>
      <c r="E3" s="42" t="inlineStr">
        <is>
          <t>colfuturo.org</t>
        </is>
      </c>
      <c r="F3" s="20" t="inlineStr">
        <is>
          <t>Por investigar</t>
        </is>
      </c>
    </row>
    <row r="4">
      <c r="A4" s="42" t="inlineStr">
        <is>
          <t>Fulbright Colombia</t>
        </is>
      </c>
      <c r="B4" s="20" t="inlineStr">
        <is>
          <t>EE.UU.</t>
        </is>
      </c>
      <c r="C4" s="42" t="inlineStr">
        <is>
          <t>Matricula + sostenimiento</t>
        </is>
      </c>
      <c r="D4" s="42" t="inlineStr">
        <is>
          <t>Ingles (TOEFL), liderazgo</t>
        </is>
      </c>
      <c r="E4" s="42" t="inlineStr">
        <is>
          <t>fulbright.edu.co</t>
        </is>
      </c>
      <c r="F4" s="20" t="inlineStr">
        <is>
          <t>Por investigar</t>
        </is>
      </c>
    </row>
    <row r="5">
      <c r="A5" s="42" t="inlineStr">
        <is>
          <t>Chevening</t>
        </is>
      </c>
      <c r="B5" s="20" t="inlineStr">
        <is>
          <t>Reino Unido</t>
        </is>
      </c>
      <c r="C5" s="42" t="inlineStr">
        <is>
          <t>Totalmente financiada</t>
        </is>
      </c>
      <c r="D5" s="42" t="inlineStr">
        <is>
          <t>Experiencia + admision</t>
        </is>
      </c>
      <c r="E5" s="42" t="inlineStr">
        <is>
          <t>chevening.org</t>
        </is>
      </c>
      <c r="F5" s="20" t="inlineStr">
        <is>
          <t>Por investigar</t>
        </is>
      </c>
    </row>
    <row r="6">
      <c r="A6" s="42" t="inlineStr">
        <is>
          <t>DAAD</t>
        </is>
      </c>
      <c r="B6" s="20" t="inlineStr">
        <is>
          <t>Alemania</t>
        </is>
      </c>
      <c r="C6" s="42" t="inlineStr">
        <is>
          <t>Becas maestria (EPOS)</t>
        </is>
      </c>
      <c r="D6" s="42" t="inlineStr">
        <is>
          <t>Buen promedio + propuesta</t>
        </is>
      </c>
      <c r="E6" s="42" t="inlineStr">
        <is>
          <t>daad.de</t>
        </is>
      </c>
      <c r="F6" s="20" t="inlineStr">
        <is>
          <t>Por investigar</t>
        </is>
      </c>
    </row>
    <row r="7">
      <c r="A7" s="42" t="inlineStr">
        <is>
          <t>Erasmus Mundus</t>
        </is>
      </c>
      <c r="B7" s="20" t="inlineStr">
        <is>
          <t>Europa (varios)</t>
        </is>
      </c>
      <c r="C7" s="42" t="inlineStr">
        <is>
          <t>Maestrias conjuntas 100%</t>
        </is>
      </c>
      <c r="D7" s="42" t="inlineStr">
        <is>
          <t>Admision al programa</t>
        </is>
      </c>
      <c r="E7" s="42" t="inlineStr">
        <is>
          <t>erasmus-plus.ec.europa.eu</t>
        </is>
      </c>
      <c r="F7" s="20" t="inlineStr">
        <is>
          <t>Por investigar</t>
        </is>
      </c>
    </row>
    <row r="8">
      <c r="A8" s="42" t="inlineStr">
        <is>
          <t>Becas de la universidad</t>
        </is>
      </c>
      <c r="B8" s="20" t="inlineStr">
        <is>
          <t>Destino</t>
        </is>
      </c>
      <c r="C8" s="42" t="inlineStr">
        <is>
          <t>Descuentos/becas parciales</t>
        </is>
      </c>
      <c r="D8" s="42" t="inlineStr">
        <is>
          <t>Admision temprana</t>
        </is>
      </c>
      <c r="E8" s="42" t="inlineStr">
        <is>
          <t>Web de cada U</t>
        </is>
      </c>
      <c r="F8" s="20" t="inlineStr">
        <is>
          <t>Por investigar</t>
        </is>
      </c>
    </row>
    <row r="9">
      <c r="A9" s="42" t="inlineStr">
        <is>
          <t>ICETEX</t>
        </is>
      </c>
      <c r="B9" s="20" t="inlineStr">
        <is>
          <t>Colombia</t>
        </is>
      </c>
      <c r="C9" s="42" t="inlineStr">
        <is>
          <t>Creditos y becas</t>
        </is>
      </c>
      <c r="D9" s="42" t="inlineStr">
        <is>
          <t>Segun convocatoria</t>
        </is>
      </c>
      <c r="E9" s="42" t="inlineStr">
        <is>
          <t>icetex.gov.co</t>
        </is>
      </c>
      <c r="F9" s="20" t="inlineStr">
        <is>
          <t>Por investigar</t>
        </is>
      </c>
    </row>
    <row r="11">
      <c r="A11" s="66" t="inlineStr">
        <is>
          <t>Confirma SIEMPRE fechas en la web oficial; cambian cada ano.</t>
        </is>
      </c>
    </row>
  </sheetData>
  <mergeCells count="1">
    <mergeCell ref="A1:F1"/>
  </mergeCells>
  <conditionalFormatting sqref="F3:F9">
    <cfRule type="cellIs" priority="1" operator="equal" dxfId="2">
      <formula>"Admitido"</formula>
    </cfRule>
    <cfRule type="cellIs" priority="2" operator="equal" dxfId="1">
      <formula>"Aplicando"</formula>
    </cfRule>
  </conditionalFormatting>
  <dataValidations count="1">
    <dataValidation sqref="F3:F9" showDropDown="0" showInputMessage="0" showErrorMessage="0" allowBlank="1" type="list">
      <formula1>"Por investigar,Aplicando,Aplicada,Admitido,Descartada"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6" customWidth="1" min="4" max="4"/>
    <col width="24" customWidth="1" min="5" max="5"/>
  </cols>
  <sheetData>
    <row r="1">
      <c r="A1" s="67" t="inlineStr">
        <is>
          <t>MEJORES DESTINOS POR COSTO (2026, confirmar)</t>
        </is>
      </c>
    </row>
    <row r="2">
      <c r="A2" s="16" t="inlineStr">
        <is>
          <t>Pais</t>
        </is>
      </c>
      <c r="B2" s="16" t="inlineStr">
        <is>
          <t>Costo matricula aprox.</t>
        </is>
      </c>
      <c r="C2" s="16" t="inlineStr">
        <is>
          <t>Idioma</t>
        </is>
      </c>
      <c r="D2" s="16" t="inlineStr">
        <is>
          <t>A favor</t>
        </is>
      </c>
      <c r="E2" s="16" t="inlineStr">
        <is>
          <t>En contra</t>
        </is>
      </c>
    </row>
    <row r="3">
      <c r="A3" s="20" t="inlineStr">
        <is>
          <t>Alemania</t>
        </is>
      </c>
      <c r="B3" s="42" t="inlineStr">
        <is>
          <t>Gratis (~250-350 EUR/sem)</t>
        </is>
      </c>
      <c r="C3" s="20" t="inlineStr">
        <is>
          <t>Aleman/Ingles</t>
        </is>
      </c>
      <c r="D3" s="42" t="inlineStr">
        <is>
          <t>Top calidad-costo, industria fuerte</t>
        </is>
      </c>
      <c r="E3" s="42" t="inlineStr">
        <is>
          <t>Algunos piden aleman</t>
        </is>
      </c>
    </row>
    <row r="4">
      <c r="A4" s="20" t="inlineStr">
        <is>
          <t>Austria</t>
        </is>
      </c>
      <c r="B4" s="42" t="inlineStr">
        <is>
          <t>~726 EUR/semestre (no-UE)</t>
        </is>
      </c>
      <c r="C4" s="20" t="inlineStr">
        <is>
          <t>Aleman</t>
        </is>
      </c>
      <c r="D4" s="42" t="inlineStr">
        <is>
          <t>Muy economica</t>
        </is>
      </c>
      <c r="E4" s="42" t="inlineStr">
        <is>
          <t>Cupos y idioma</t>
        </is>
      </c>
    </row>
    <row r="5">
      <c r="A5" s="20" t="inlineStr">
        <is>
          <t>Francia</t>
        </is>
      </c>
      <c r="B5" s="42" t="inlineStr">
        <is>
          <t>~2.770-3.770 EUR/ano (no-UE)</t>
        </is>
      </c>
      <c r="C5" s="20" t="inlineStr">
        <is>
          <t>Frances/Ingles</t>
        </is>
      </c>
      <c r="D5" s="42" t="inlineStr">
        <is>
          <t>Ingenieria prestigiosa</t>
        </is>
      </c>
      <c r="E5" s="42" t="inlineStr">
        <is>
          <t>Idioma frances util</t>
        </is>
      </c>
    </row>
    <row r="6">
      <c r="A6" s="20" t="inlineStr">
        <is>
          <t>Italia</t>
        </is>
      </c>
      <c r="B6" s="42" t="inlineStr">
        <is>
          <t>~900-4.000 EUR/ano (segun renta)</t>
        </is>
      </c>
      <c r="C6" s="20" t="inlineStr">
        <is>
          <t>Italiano/Ingles</t>
        </is>
      </c>
      <c r="D6" s="42" t="inlineStr">
        <is>
          <t>Becas por renta</t>
        </is>
      </c>
      <c r="E6" s="42" t="inlineStr">
        <is>
          <t>Tramites lentos</t>
        </is>
      </c>
    </row>
    <row r="7">
      <c r="A7" s="20" t="inlineStr">
        <is>
          <t>Espana</t>
        </is>
      </c>
      <c r="B7" s="42" t="inlineStr">
        <is>
          <t>Medio</t>
        </is>
      </c>
      <c r="C7" s="20" t="inlineStr">
        <is>
          <t>Espanol</t>
        </is>
      </c>
      <c r="D7" s="42" t="inlineStr">
        <is>
          <t>Sin barrera de idioma</t>
        </is>
      </c>
      <c r="E7" s="42" t="inlineStr">
        <is>
          <t>Menos becas full</t>
        </is>
      </c>
    </row>
    <row r="8">
      <c r="A8" s="20" t="inlineStr">
        <is>
          <t>Noruega</t>
        </is>
      </c>
      <c r="B8" s="42" t="inlineStr">
        <is>
          <t>YA cobra a no-UE desde 2023</t>
        </is>
      </c>
      <c r="C8" s="20" t="inlineStr">
        <is>
          <t>Ingles/Noruego</t>
        </is>
      </c>
      <c r="D8" s="42" t="inlineStr">
        <is>
          <t>Alta calidad de vida</t>
        </is>
      </c>
      <c r="E8" s="42" t="inlineStr">
        <is>
          <t>Dejo de ser gratis</t>
        </is>
      </c>
    </row>
    <row r="9">
      <c r="A9" s="20" t="inlineStr">
        <is>
          <t>Reino Unido</t>
        </is>
      </c>
      <c r="B9" s="42" t="inlineStr">
        <is>
          <t>Alto</t>
        </is>
      </c>
      <c r="C9" s="20" t="inlineStr">
        <is>
          <t>Ingles</t>
        </is>
      </c>
      <c r="D9" s="42" t="inlineStr">
        <is>
          <t>Maestrias de 1 ano</t>
        </is>
      </c>
      <c r="E9" s="42" t="inlineStr">
        <is>
          <t>Caro: depende de Chevening/Colfuturo</t>
        </is>
      </c>
    </row>
    <row r="10">
      <c r="A10" s="20" t="inlineStr">
        <is>
          <t>EE.UU.</t>
        </is>
      </c>
      <c r="B10" s="42" t="inlineStr">
        <is>
          <t>Alto</t>
        </is>
      </c>
      <c r="C10" s="20" t="inlineStr">
        <is>
          <t>Ingles</t>
        </is>
      </c>
      <c r="D10" s="42" t="inlineStr">
        <is>
          <t>Investigacion top</t>
        </is>
      </c>
      <c r="E10" s="42" t="inlineStr">
        <is>
          <t>Caro: depende de Fulbright</t>
        </is>
      </c>
    </row>
    <row r="11">
      <c r="A11" s="20" t="inlineStr">
        <is>
          <t>Canada</t>
        </is>
      </c>
      <c r="B11" s="42" t="inlineStr">
        <is>
          <t>Medio-alto</t>
        </is>
      </c>
      <c r="C11" s="20" t="inlineStr">
        <is>
          <t>Ingles/Frances</t>
        </is>
      </c>
      <c r="D11" s="42" t="inlineStr">
        <is>
          <t>Buena via a residencia</t>
        </is>
      </c>
      <c r="E11" s="42" t="inlineStr">
        <is>
          <t>Costo de vida</t>
        </is>
      </c>
    </row>
    <row r="13">
      <c r="A13" s="66" t="inlineStr">
        <is>
          <t>Si el costo manda: Alemania/Austria. Si quieres beca full: Chevening (UK), Fulbright (USA) o Erasmus Mundus.</t>
        </is>
      </c>
    </row>
    <row r="14">
      <c r="A14" s="84" t="inlineStr">
        <is>
          <t>Fuentes: mastersportal.com, thecollegemonk.com, leapscholar.com (reformulado).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12" customWidth="1" min="4" max="4"/>
    <col width="14" customWidth="1" min="5" max="5"/>
    <col width="10" customWidth="1" min="6" max="6"/>
  </cols>
  <sheetData>
    <row r="1">
      <c r="A1" s="85" t="inlineStr">
        <is>
          <t>CURSOS ONLINE PARA TU HOJA DE VIDA</t>
        </is>
      </c>
    </row>
    <row r="2">
      <c r="A2" s="16" t="inlineStr">
        <is>
          <t>Curso</t>
        </is>
      </c>
      <c r="B2" s="16" t="inlineStr">
        <is>
          <t>Plataforma</t>
        </is>
      </c>
      <c r="C2" s="16" t="inlineStr">
        <is>
          <t>Por que sirve</t>
        </is>
      </c>
      <c r="D2" s="16" t="inlineStr">
        <is>
          <t>Prioridad</t>
        </is>
      </c>
      <c r="E2" s="16" t="inlineStr">
        <is>
          <t>Estado</t>
        </is>
      </c>
      <c r="F2" s="16" t="inlineStr">
        <is>
          <t>% avance</t>
        </is>
      </c>
    </row>
    <row r="3">
      <c r="A3" s="42" t="inlineStr">
        <is>
          <t>Construction Management Specialization (Columbia)</t>
        </is>
      </c>
      <c r="B3" s="20" t="inlineStr">
        <is>
          <t>Coursera</t>
        </is>
      </c>
      <c r="C3" s="42" t="inlineStr">
        <is>
          <t>Gestion de obra, muy valorado</t>
        </is>
      </c>
      <c r="D3" s="20" t="inlineStr">
        <is>
          <t>ALTA</t>
        </is>
      </c>
      <c r="E3" s="20" t="inlineStr">
        <is>
          <t>Por empezar</t>
        </is>
      </c>
      <c r="F3" s="86" t="n">
        <v>0</v>
      </c>
    </row>
    <row r="4">
      <c r="A4" s="42" t="inlineStr">
        <is>
          <t>BIM Fundamentals for Engineers</t>
        </is>
      </c>
      <c r="B4" s="20" t="inlineStr">
        <is>
          <t>Coursera</t>
        </is>
      </c>
      <c r="C4" s="42" t="inlineStr">
        <is>
          <t>BIM: el futuro del diseno</t>
        </is>
      </c>
      <c r="D4" s="20" t="inlineStr">
        <is>
          <t>ALTA</t>
        </is>
      </c>
      <c r="E4" s="20" t="inlineStr">
        <is>
          <t>Por empezar</t>
        </is>
      </c>
      <c r="F4" s="86" t="n">
        <v>0</v>
      </c>
    </row>
    <row r="5">
      <c r="A5" s="42" t="inlineStr">
        <is>
          <t>Autodesk Revit / AutoCAD</t>
        </is>
      </c>
      <c r="B5" s="20" t="inlineStr">
        <is>
          <t>Coursera/Udemy</t>
        </is>
      </c>
      <c r="C5" s="42" t="inlineStr">
        <is>
          <t>Software clave en ofertas</t>
        </is>
      </c>
      <c r="D5" s="20" t="inlineStr">
        <is>
          <t>ALTA</t>
        </is>
      </c>
      <c r="E5" s="20" t="inlineStr">
        <is>
          <t>Por empezar</t>
        </is>
      </c>
      <c r="F5" s="86" t="n">
        <v>0</v>
      </c>
    </row>
    <row r="6">
      <c r="A6" s="42" t="inlineStr">
        <is>
          <t>Engineering Project Management Specialization</t>
        </is>
      </c>
      <c r="B6" s="20" t="inlineStr">
        <is>
          <t>Coursera</t>
        </is>
      </c>
      <c r="C6" s="42" t="inlineStr">
        <is>
          <t>Liderar proyectos</t>
        </is>
      </c>
      <c r="D6" s="20" t="inlineStr">
        <is>
          <t>MEDIA</t>
        </is>
      </c>
      <c r="E6" s="20" t="inlineStr">
        <is>
          <t>Por empezar</t>
        </is>
      </c>
      <c r="F6" s="86" t="n">
        <v>0</v>
      </c>
    </row>
    <row r="7">
      <c r="A7" s="42" t="inlineStr">
        <is>
          <t>Google Project Management Certificate</t>
        </is>
      </c>
      <c r="B7" s="20" t="inlineStr">
        <is>
          <t>Coursera</t>
        </is>
      </c>
      <c r="C7" s="42" t="inlineStr">
        <is>
          <t>Respetado por reclutadores</t>
        </is>
      </c>
      <c r="D7" s="20" t="inlineStr">
        <is>
          <t>MEDIA</t>
        </is>
      </c>
      <c r="E7" s="20" t="inlineStr">
        <is>
          <t>Por empezar</t>
        </is>
      </c>
      <c r="F7" s="86" t="n">
        <v>0</v>
      </c>
    </row>
    <row r="8">
      <c r="A8" s="42" t="inlineStr">
        <is>
          <t>Preparacion IELTS/TOEFL</t>
        </is>
      </c>
      <c r="B8" s="20" t="inlineStr">
        <is>
          <t>Coursera/edX</t>
        </is>
      </c>
      <c r="C8" s="42" t="inlineStr">
        <is>
          <t>Ingles certificado = becas</t>
        </is>
      </c>
      <c r="D8" s="20" t="inlineStr">
        <is>
          <t>ALTA</t>
        </is>
      </c>
      <c r="E8" s="20" t="inlineStr">
        <is>
          <t>Por empezar</t>
        </is>
      </c>
      <c r="F8" s="86" t="n">
        <v>0</v>
      </c>
    </row>
    <row r="9">
      <c r="A9" s="42" t="inlineStr">
        <is>
          <t>Excel + analisis de datos</t>
        </is>
      </c>
      <c r="B9" s="20" t="inlineStr">
        <is>
          <t>Coursera</t>
        </is>
      </c>
      <c r="C9" s="42" t="inlineStr">
        <is>
          <t>Productividad y datos</t>
        </is>
      </c>
      <c r="D9" s="20" t="inlineStr">
        <is>
          <t>MEDIA</t>
        </is>
      </c>
      <c r="E9" s="20" t="inlineStr">
        <is>
          <t>Por empezar</t>
        </is>
      </c>
      <c r="F9" s="86" t="n">
        <v>0</v>
      </c>
    </row>
    <row r="10">
      <c r="A10" s="42" t="inlineStr">
        <is>
          <t>Python para ingenieros</t>
        </is>
      </c>
      <c r="B10" s="20" t="inlineStr">
        <is>
          <t>Coursera/edX</t>
        </is>
      </c>
      <c r="C10" s="42" t="inlineStr">
        <is>
          <t>Automatizar calculos</t>
        </is>
      </c>
      <c r="D10" s="20" t="inlineStr">
        <is>
          <t>BAJA</t>
        </is>
      </c>
      <c r="E10" s="20" t="inlineStr">
        <is>
          <t>Por empezar</t>
        </is>
      </c>
      <c r="F10" s="86" t="n">
        <v>0</v>
      </c>
    </row>
    <row r="11">
      <c r="A11" s="42" t="inlineStr">
        <is>
          <t>SAP2000 / ETABS (modelado)</t>
        </is>
      </c>
      <c r="B11" s="20" t="inlineStr">
        <is>
          <t>Udemy/YouTube</t>
        </is>
      </c>
      <c r="C11" s="42" t="inlineStr">
        <is>
          <t>Directo a tu area</t>
        </is>
      </c>
      <c r="D11" s="20" t="inlineStr">
        <is>
          <t>ALTA</t>
        </is>
      </c>
      <c r="E11" s="20" t="inlineStr">
        <is>
          <t>Por empezar</t>
        </is>
      </c>
      <c r="F11" s="86" t="n">
        <v>0</v>
      </c>
    </row>
    <row r="13">
      <c r="A13" s="66" t="inlineStr">
        <is>
          <t>Tip: pide 'financial aid' en Coursera para certificados gratis.</t>
        </is>
      </c>
    </row>
    <row r="14">
      <c r="A14" s="58" t="inlineStr">
        <is>
          <t>Cursos terminados:</t>
        </is>
      </c>
      <c r="E14" s="58">
        <f>COUNTIF(E3:E11,"Terminado")&amp;" / "&amp;9</f>
        <v/>
      </c>
    </row>
  </sheetData>
  <mergeCells count="1">
    <mergeCell ref="A1:F1"/>
  </mergeCells>
  <conditionalFormatting sqref="E3:E11">
    <cfRule type="cellIs" priority="1" operator="equal" dxfId="2">
      <formula>"Terminado"</formula>
    </cfRule>
    <cfRule type="cellIs" priority="2" operator="equal" dxfId="1">
      <formula>"En curso"</formula>
    </cfRule>
  </conditionalFormatting>
  <conditionalFormatting sqref="D3:D11">
    <cfRule type="cellIs" priority="3" operator="equal" dxfId="0">
      <formula>"ALTA"</formula>
    </cfRule>
  </conditionalFormatting>
  <dataValidations count="1">
    <dataValidation sqref="E3:E11" showDropDown="0" showInputMessage="0" showErrorMessage="0" allowBlank="1" type="list">
      <formula1>"Por empezar,En curso,Terminado"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4" customWidth="1" min="3" max="3"/>
  </cols>
  <sheetData>
    <row r="1">
      <c r="A1" s="82" t="inlineStr">
        <is>
          <t>RUTA HACIA LA MAESTRIA (linea de tiempo)</t>
        </is>
      </c>
    </row>
    <row r="2">
      <c r="A2" s="16" t="inlineStr">
        <is>
          <t>Cuando</t>
        </is>
      </c>
      <c r="B2" s="16" t="inlineStr">
        <is>
          <t>Que hacer</t>
        </is>
      </c>
      <c r="C2" s="16" t="inlineStr">
        <is>
          <t>Estado</t>
        </is>
      </c>
    </row>
    <row r="3">
      <c r="A3" s="20" t="inlineStr">
        <is>
          <t>Ahora (9o sem)</t>
        </is>
      </c>
      <c r="B3" s="42" t="inlineStr">
        <is>
          <t>Subir el PAPA y salvar la materia critica</t>
        </is>
      </c>
      <c r="C3" s="20" t="inlineStr">
        <is>
          <t>Pendiente</t>
        </is>
      </c>
    </row>
    <row r="4">
      <c r="A4" s="20" t="inlineStr">
        <is>
          <t>Ahora</t>
        </is>
      </c>
      <c r="B4" s="42" t="inlineStr">
        <is>
          <t>Empezar ingles y apuntar a IELTS/TOEFL</t>
        </is>
      </c>
      <c r="C4" s="20" t="inlineStr">
        <is>
          <t>Pendiente</t>
        </is>
      </c>
    </row>
    <row r="5">
      <c r="A5" s="20" t="inlineStr">
        <is>
          <t>3-6 meses</t>
        </is>
      </c>
      <c r="B5" s="42" t="inlineStr">
        <is>
          <t>Definir pais y 5-8 universidades objetivo</t>
        </is>
      </c>
      <c r="C5" s="20" t="inlineStr">
        <is>
          <t>Pendiente</t>
        </is>
      </c>
    </row>
    <row r="6">
      <c r="A6" s="20" t="inlineStr">
        <is>
          <t>3-6 meses</t>
        </is>
      </c>
      <c r="B6" s="42" t="inlineStr">
        <is>
          <t>Tomar 1-2 cursos de 'Cursos CV'</t>
        </is>
      </c>
      <c r="C6" s="20" t="inlineStr">
        <is>
          <t>Pendiente</t>
        </is>
      </c>
    </row>
    <row r="7">
      <c r="A7" s="20" t="inlineStr">
        <is>
          <t>6-9 meses</t>
        </is>
      </c>
      <c r="B7" s="42" t="inlineStr">
        <is>
          <t>Conseguir cartas de recomendacion</t>
        </is>
      </c>
      <c r="C7" s="20" t="inlineStr">
        <is>
          <t>Pendiente</t>
        </is>
      </c>
    </row>
    <row r="8">
      <c r="A8" s="20" t="inlineStr">
        <is>
          <t>6-9 meses</t>
        </is>
      </c>
      <c r="B8" s="42" t="inlineStr">
        <is>
          <t>Escribir carta de motivacion (statement of purpose)</t>
        </is>
      </c>
      <c r="C8" s="20" t="inlineStr">
        <is>
          <t>Pendiente</t>
        </is>
      </c>
    </row>
    <row r="9">
      <c r="A9" s="20" t="inlineStr">
        <is>
          <t>9-12 meses</t>
        </is>
      </c>
      <c r="B9" s="42" t="inlineStr">
        <is>
          <t>Aplicar a becas (Colfuturo, Chevening, DAAD...)</t>
        </is>
      </c>
      <c r="C9" s="20" t="inlineStr">
        <is>
          <t>Pendiente</t>
        </is>
      </c>
    </row>
    <row r="10">
      <c r="A10" s="20" t="inlineStr">
        <is>
          <t>9-12 meses</t>
        </is>
      </c>
      <c r="B10" s="42" t="inlineStr">
        <is>
          <t>Aplicar a admisiones de universidades</t>
        </is>
      </c>
      <c r="C10" s="20" t="inlineStr">
        <is>
          <t>Pendiente</t>
        </is>
      </c>
    </row>
    <row r="11">
      <c r="A11" s="20" t="inlineStr">
        <is>
          <t>12-15 meses</t>
        </is>
      </c>
      <c r="B11" s="42" t="inlineStr">
        <is>
          <t>Entrevistas y resultados</t>
        </is>
      </c>
      <c r="C11" s="20" t="inlineStr">
        <is>
          <t>Pendiente</t>
        </is>
      </c>
    </row>
    <row r="12">
      <c r="A12" s="20" t="inlineStr">
        <is>
          <t>Tras el grado</t>
        </is>
      </c>
      <c r="B12" s="42" t="inlineStr">
        <is>
          <t>Pasantia/experiencia que suma para la beca</t>
        </is>
      </c>
      <c r="C12" s="20" t="inlineStr">
        <is>
          <t>Pendiente</t>
        </is>
      </c>
    </row>
  </sheetData>
  <mergeCells count="1">
    <mergeCell ref="A1:C1"/>
  </mergeCells>
  <conditionalFormatting sqref="C3:C12">
    <cfRule type="cellIs" priority="1" operator="equal" dxfId="2">
      <formula>"Hecho"</formula>
    </cfRule>
    <cfRule type="cellIs" priority="2" operator="equal" dxfId="1">
      <formula>"En curso"</formula>
    </cfRule>
  </conditionalFormatting>
  <dataValidations count="1">
    <dataValidation sqref="C3:C12" showDropDown="0" showInputMessage="0" showErrorMessage="0" allowBlank="1" type="list">
      <formula1>"Pendiente,En curso,Hecho"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14" customWidth="1" min="4" max="4"/>
    <col width="10" customWidth="1" min="5" max="5"/>
    <col width="34" customWidth="1" min="6" max="6"/>
  </cols>
  <sheetData>
    <row r="1">
      <c r="A1" s="85" t="inlineStr">
        <is>
          <t>BIBLIOTECA RECOMENDADA PARA TI</t>
        </is>
      </c>
    </row>
    <row r="2">
      <c r="A2" s="16" t="inlineStr">
        <is>
          <t>Titulo</t>
        </is>
      </c>
      <c r="B2" s="16" t="inlineStr">
        <is>
          <t>Autor</t>
        </is>
      </c>
      <c r="C2" s="16" t="inlineStr">
        <is>
          <t>Categoria</t>
        </is>
      </c>
      <c r="D2" s="16" t="inlineStr">
        <is>
          <t>Estado</t>
        </is>
      </c>
      <c r="E2" s="16" t="inlineStr">
        <is>
          <t>% avance</t>
        </is>
      </c>
      <c r="F2" s="16" t="inlineStr">
        <is>
          <t>Para que sirve</t>
        </is>
      </c>
    </row>
    <row r="3">
      <c r="A3" s="42" t="inlineStr">
        <is>
          <t>Habitos Atomicos</t>
        </is>
      </c>
      <c r="B3" s="20" t="inlineStr">
        <is>
          <t>James Clear</t>
        </is>
      </c>
      <c r="C3" s="20" t="inlineStr">
        <is>
          <t>Habitos</t>
        </is>
      </c>
      <c r="D3" s="20" t="inlineStr">
        <is>
          <t>Por leer</t>
        </is>
      </c>
      <c r="E3" s="86" t="n">
        <v>0</v>
      </c>
      <c r="F3" s="42" t="inlineStr">
        <is>
          <t>Disciplina (empieza por este)</t>
        </is>
      </c>
    </row>
    <row r="4">
      <c r="A4" s="42" t="inlineStr">
        <is>
          <t>Enfocate (Deep Work)</t>
        </is>
      </c>
      <c r="B4" s="20" t="inlineStr">
        <is>
          <t>Cal Newport</t>
        </is>
      </c>
      <c r="C4" s="20" t="inlineStr">
        <is>
          <t>Productividad</t>
        </is>
      </c>
      <c r="D4" s="20" t="inlineStr">
        <is>
          <t>Por leer</t>
        </is>
      </c>
      <c r="E4" s="86" t="n">
        <v>0</v>
      </c>
      <c r="F4" s="42" t="inlineStr">
        <is>
          <t>Concentracion para proyecto e ingles</t>
        </is>
      </c>
    </row>
    <row r="5">
      <c r="A5" s="42" t="inlineStr">
        <is>
          <t>Los 7 habitos</t>
        </is>
      </c>
      <c r="B5" s="20" t="inlineStr">
        <is>
          <t>Stephen Covey</t>
        </is>
      </c>
      <c r="C5" s="20" t="inlineStr">
        <is>
          <t>Desarrollo</t>
        </is>
      </c>
      <c r="D5" s="20" t="inlineStr">
        <is>
          <t>Por leer</t>
        </is>
      </c>
      <c r="E5" s="86" t="n">
        <v>0</v>
      </c>
      <c r="F5" s="42" t="inlineStr">
        <is>
          <t>Priorizar y vivir con proposito</t>
        </is>
      </c>
    </row>
    <row r="6">
      <c r="A6" s="42" t="inlineStr">
        <is>
          <t>Padre Rico, Padre Pobre</t>
        </is>
      </c>
      <c r="B6" s="20" t="inlineStr">
        <is>
          <t>R. Kiyosaki</t>
        </is>
      </c>
      <c r="C6" s="20" t="inlineStr">
        <is>
          <t>Finanzas</t>
        </is>
      </c>
      <c r="D6" s="20" t="inlineStr">
        <is>
          <t>Por leer</t>
        </is>
      </c>
      <c r="E6" s="86" t="n">
        <v>0</v>
      </c>
      <c r="F6" s="42" t="inlineStr">
        <is>
          <t>Educacion financiera</t>
        </is>
      </c>
    </row>
    <row r="7">
      <c r="A7" s="42" t="inlineStr">
        <is>
          <t>El hombre mas rico de Babilonia</t>
        </is>
      </c>
      <c r="B7" s="20" t="inlineStr">
        <is>
          <t>George Clason</t>
        </is>
      </c>
      <c r="C7" s="20" t="inlineStr">
        <is>
          <t>Finanzas</t>
        </is>
      </c>
      <c r="D7" s="20" t="inlineStr">
        <is>
          <t>Por leer</t>
        </is>
      </c>
      <c r="E7" s="86" t="n">
        <v>0</v>
      </c>
      <c r="F7" s="42" t="inlineStr">
        <is>
          <t>Ahorro e inversion</t>
        </is>
      </c>
    </row>
    <row r="8">
      <c r="A8" s="42" t="inlineStr">
        <is>
          <t>Como ganar amigos...</t>
        </is>
      </c>
      <c r="B8" s="20" t="inlineStr">
        <is>
          <t>Dale Carnegie</t>
        </is>
      </c>
      <c r="C8" s="20" t="inlineStr">
        <is>
          <t>Relaciones</t>
        </is>
      </c>
      <c r="D8" s="20" t="inlineStr">
        <is>
          <t>Por leer</t>
        </is>
      </c>
      <c r="E8" s="86" t="n">
        <v>0</v>
      </c>
      <c r="F8" s="42" t="inlineStr">
        <is>
          <t>Comunicacion (pareja y entrevistas)</t>
        </is>
      </c>
    </row>
    <row r="9">
      <c r="A9" s="42" t="inlineStr">
        <is>
          <t>Mindset</t>
        </is>
      </c>
      <c r="B9" s="20" t="inlineStr">
        <is>
          <t>Carol Dweck</t>
        </is>
      </c>
      <c r="C9" s="20" t="inlineStr">
        <is>
          <t>Mentalidad</t>
        </is>
      </c>
      <c r="D9" s="20" t="inlineStr">
        <is>
          <t>Por leer</t>
        </is>
      </c>
      <c r="E9" s="86" t="n">
        <v>0</v>
      </c>
      <c r="F9" s="42" t="inlineStr">
        <is>
          <t>Mentalidad de crecimiento</t>
        </is>
      </c>
    </row>
    <row r="10">
      <c r="A10" s="42" t="inlineStr">
        <is>
          <t>El poder del ahora</t>
        </is>
      </c>
      <c r="B10" s="20" t="inlineStr">
        <is>
          <t>Eckhart Tolle</t>
        </is>
      </c>
      <c r="C10" s="20" t="inlineStr">
        <is>
          <t>Bienestar</t>
        </is>
      </c>
      <c r="D10" s="20" t="inlineStr">
        <is>
          <t>Por leer</t>
        </is>
      </c>
      <c r="E10" s="86" t="n">
        <v>0</v>
      </c>
      <c r="F10" s="42" t="inlineStr">
        <is>
          <t>Manejar ansiedad</t>
        </is>
      </c>
    </row>
    <row r="11">
      <c r="A11" s="42" t="inlineStr">
        <is>
          <t>Inteligencia emocional</t>
        </is>
      </c>
      <c r="B11" s="20" t="inlineStr">
        <is>
          <t>Daniel Goleman</t>
        </is>
      </c>
      <c r="C11" s="20" t="inlineStr">
        <is>
          <t>Bienestar</t>
        </is>
      </c>
      <c r="D11" s="20" t="inlineStr">
        <is>
          <t>Por leer</t>
        </is>
      </c>
      <c r="E11" s="86" t="n">
        <v>0</v>
      </c>
      <c r="F11" s="42" t="inlineStr">
        <is>
          <t>Gestionar el estres</t>
        </is>
      </c>
    </row>
    <row r="12">
      <c r="A12" s="42" t="inlineStr">
        <is>
          <t>Despertando al gigante interior</t>
        </is>
      </c>
      <c r="B12" s="20" t="inlineStr">
        <is>
          <t>Tony Robbins</t>
        </is>
      </c>
      <c r="C12" s="20" t="inlineStr">
        <is>
          <t>Motivacion</t>
        </is>
      </c>
      <c r="D12" s="20" t="inlineStr">
        <is>
          <t>Por leer</t>
        </is>
      </c>
      <c r="E12" s="86" t="n">
        <v>0</v>
      </c>
      <c r="F12" s="42" t="inlineStr">
        <is>
          <t>Motivacion y decisiones</t>
        </is>
      </c>
    </row>
    <row r="14">
      <c r="A14" s="58" t="inlineStr">
        <is>
          <t>Leidos / Total</t>
        </is>
      </c>
      <c r="D14" s="58">
        <f>COUNTIF(D3:D12,"Leido")&amp;" / "&amp;10</f>
        <v/>
      </c>
    </row>
  </sheetData>
  <mergeCells count="1">
    <mergeCell ref="A1:F1"/>
  </mergeCells>
  <conditionalFormatting sqref="D3:D12">
    <cfRule type="cellIs" priority="1" operator="equal" dxfId="2">
      <formula>"Leido"</formula>
    </cfRule>
    <cfRule type="cellIs" priority="2" operator="equal" dxfId="1">
      <formula>"Leyendo"</formula>
    </cfRule>
  </conditionalFormatting>
  <dataValidations count="1">
    <dataValidation sqref="D3:D12" showDropDown="0" showInputMessage="0" showErrorMessage="0" allowBlank="1" type="list">
      <formula1>"Por leer,Leyendo,Leido"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13" customWidth="1" min="3" max="3"/>
    <col width="11" customWidth="1" min="4" max="4"/>
    <col width="24" customWidth="1" min="5" max="5"/>
  </cols>
  <sheetData>
    <row r="1">
      <c r="A1" s="41" t="inlineStr">
        <is>
          <t>RUTINA DE GIMNASIO - TONIFICAR (Lun y Sab)</t>
        </is>
      </c>
    </row>
    <row r="2">
      <c r="A2" s="87" t="inlineStr">
        <is>
          <t>Tonificar = peso moderado, 10-15 reps, baja controlada, descanso 45-60s. El Box (Mar/Jue) cubre tu cardio.</t>
        </is>
      </c>
    </row>
    <row r="4">
      <c r="A4" s="47" t="inlineStr">
        <is>
          <t>DIA A - LUNES (full body, enfasis tren superior)</t>
        </is>
      </c>
    </row>
    <row r="5">
      <c r="A5" s="48" t="inlineStr">
        <is>
          <t>Ejercicio</t>
        </is>
      </c>
      <c r="B5" s="48" t="inlineStr">
        <is>
          <t>Series</t>
        </is>
      </c>
      <c r="C5" s="48" t="inlineStr">
        <is>
          <t>Reps</t>
        </is>
      </c>
      <c r="D5" s="48" t="inlineStr">
        <is>
          <t>Descanso</t>
        </is>
      </c>
      <c r="E5" s="48" t="inlineStr">
        <is>
          <t>Peso / notas</t>
        </is>
      </c>
    </row>
    <row r="6">
      <c r="A6" s="42" t="inlineStr">
        <is>
          <t>Calentamiento (cardio + movilidad)</t>
        </is>
      </c>
      <c r="B6" s="20" t="inlineStr">
        <is>
          <t>-</t>
        </is>
      </c>
      <c r="C6" s="20" t="inlineStr">
        <is>
          <t>5-10 min</t>
        </is>
      </c>
      <c r="D6" s="20" t="inlineStr">
        <is>
          <t>-</t>
        </is>
      </c>
      <c r="E6" s="49" t="n"/>
    </row>
    <row r="7">
      <c r="A7" s="42" t="inlineStr">
        <is>
          <t>Sentadilla (barra/mancuernas)</t>
        </is>
      </c>
      <c r="B7" s="20" t="inlineStr">
        <is>
          <t>3</t>
        </is>
      </c>
      <c r="C7" s="20" t="inlineStr">
        <is>
          <t>12</t>
        </is>
      </c>
      <c r="D7" s="20" t="inlineStr">
        <is>
          <t>60s</t>
        </is>
      </c>
      <c r="E7" s="49" t="n"/>
    </row>
    <row r="8">
      <c r="A8" s="42" t="inlineStr">
        <is>
          <t>Press de banca / pecho en maquina</t>
        </is>
      </c>
      <c r="B8" s="20" t="inlineStr">
        <is>
          <t>3</t>
        </is>
      </c>
      <c r="C8" s="20" t="inlineStr">
        <is>
          <t>12</t>
        </is>
      </c>
      <c r="D8" s="20" t="inlineStr">
        <is>
          <t>60s</t>
        </is>
      </c>
      <c r="E8" s="49" t="n"/>
    </row>
    <row r="9">
      <c r="A9" s="42" t="inlineStr">
        <is>
          <t>Remo sentado (espalda)</t>
        </is>
      </c>
      <c r="B9" s="20" t="inlineStr">
        <is>
          <t>3</t>
        </is>
      </c>
      <c r="C9" s="20" t="inlineStr">
        <is>
          <t>12</t>
        </is>
      </c>
      <c r="D9" s="20" t="inlineStr">
        <is>
          <t>60s</t>
        </is>
      </c>
      <c r="E9" s="49" t="n"/>
    </row>
    <row r="10">
      <c r="A10" s="42" t="inlineStr">
        <is>
          <t>Press militar (hombros)</t>
        </is>
      </c>
      <c r="B10" s="20" t="inlineStr">
        <is>
          <t>3</t>
        </is>
      </c>
      <c r="C10" s="20" t="inlineStr">
        <is>
          <t>12</t>
        </is>
      </c>
      <c r="D10" s="20" t="inlineStr">
        <is>
          <t>60s</t>
        </is>
      </c>
      <c r="E10" s="49" t="n"/>
    </row>
    <row r="11">
      <c r="A11" s="42" t="inlineStr">
        <is>
          <t>Curl de biceps</t>
        </is>
      </c>
      <c r="B11" s="20" t="inlineStr">
        <is>
          <t>3</t>
        </is>
      </c>
      <c r="C11" s="20" t="inlineStr">
        <is>
          <t>15</t>
        </is>
      </c>
      <c r="D11" s="20" t="inlineStr">
        <is>
          <t>45s</t>
        </is>
      </c>
      <c r="E11" s="49" t="n"/>
    </row>
    <row r="12">
      <c r="A12" s="42" t="inlineStr">
        <is>
          <t>Extension de triceps</t>
        </is>
      </c>
      <c r="B12" s="20" t="inlineStr">
        <is>
          <t>3</t>
        </is>
      </c>
      <c r="C12" s="20" t="inlineStr">
        <is>
          <t>15</t>
        </is>
      </c>
      <c r="D12" s="20" t="inlineStr">
        <is>
          <t>45s</t>
        </is>
      </c>
      <c r="E12" s="49" t="n"/>
    </row>
    <row r="13">
      <c r="A13" s="42" t="inlineStr">
        <is>
          <t>Plancha abdominal</t>
        </is>
      </c>
      <c r="B13" s="20" t="inlineStr">
        <is>
          <t>3</t>
        </is>
      </c>
      <c r="C13" s="20" t="inlineStr">
        <is>
          <t>40 s</t>
        </is>
      </c>
      <c r="D13" s="20" t="inlineStr">
        <is>
          <t>30s</t>
        </is>
      </c>
      <c r="E13" s="49" t="n"/>
    </row>
    <row r="14">
      <c r="A14" s="42" t="inlineStr">
        <is>
          <t>Cardio final (caminadora/eliptica)</t>
        </is>
      </c>
      <c r="B14" s="20" t="inlineStr">
        <is>
          <t>-</t>
        </is>
      </c>
      <c r="C14" s="20" t="inlineStr">
        <is>
          <t>10 min</t>
        </is>
      </c>
      <c r="D14" s="20" t="inlineStr">
        <is>
          <t>-</t>
        </is>
      </c>
      <c r="E14" s="49" t="n"/>
    </row>
    <row r="16">
      <c r="A16" s="47" t="inlineStr">
        <is>
          <t>DIA B - SABADO (full body, enfasis tren inferior + core)</t>
        </is>
      </c>
    </row>
    <row r="17">
      <c r="A17" s="48" t="inlineStr">
        <is>
          <t>Ejercicio</t>
        </is>
      </c>
      <c r="B17" s="48" t="inlineStr">
        <is>
          <t>Series</t>
        </is>
      </c>
      <c r="C17" s="48" t="inlineStr">
        <is>
          <t>Reps</t>
        </is>
      </c>
      <c r="D17" s="48" t="inlineStr">
        <is>
          <t>Descanso</t>
        </is>
      </c>
      <c r="E17" s="48" t="inlineStr">
        <is>
          <t>Peso / notas</t>
        </is>
      </c>
    </row>
    <row r="18">
      <c r="A18" s="42" t="inlineStr">
        <is>
          <t>Calentamiento (cardio + movilidad)</t>
        </is>
      </c>
      <c r="B18" s="20" t="inlineStr">
        <is>
          <t>-</t>
        </is>
      </c>
      <c r="C18" s="20" t="inlineStr">
        <is>
          <t>5-10 min</t>
        </is>
      </c>
      <c r="D18" s="20" t="inlineStr">
        <is>
          <t>-</t>
        </is>
      </c>
      <c r="E18" s="49" t="n"/>
    </row>
    <row r="19">
      <c r="A19" s="42" t="inlineStr">
        <is>
          <t>Peso muerto rumano</t>
        </is>
      </c>
      <c r="B19" s="20" t="inlineStr">
        <is>
          <t>3</t>
        </is>
      </c>
      <c r="C19" s="20" t="inlineStr">
        <is>
          <t>12</t>
        </is>
      </c>
      <c r="D19" s="20" t="inlineStr">
        <is>
          <t>60s</t>
        </is>
      </c>
      <c r="E19" s="49" t="n"/>
    </row>
    <row r="20">
      <c r="A20" s="42" t="inlineStr">
        <is>
          <t>Zancadas (lunges)</t>
        </is>
      </c>
      <c r="B20" s="20" t="inlineStr">
        <is>
          <t>3</t>
        </is>
      </c>
      <c r="C20" s="20" t="inlineStr">
        <is>
          <t>12 x pierna</t>
        </is>
      </c>
      <c r="D20" s="20" t="inlineStr">
        <is>
          <t>60s</t>
        </is>
      </c>
      <c r="E20" s="49" t="n"/>
    </row>
    <row r="21">
      <c r="A21" s="42" t="inlineStr">
        <is>
          <t>Jalon al pecho (dorsales)</t>
        </is>
      </c>
      <c r="B21" s="20" t="inlineStr">
        <is>
          <t>3</t>
        </is>
      </c>
      <c r="C21" s="20" t="inlineStr">
        <is>
          <t>12</t>
        </is>
      </c>
      <c r="D21" s="20" t="inlineStr">
        <is>
          <t>60s</t>
        </is>
      </c>
      <c r="E21" s="49" t="n"/>
    </row>
    <row r="22">
      <c r="A22" s="42" t="inlineStr">
        <is>
          <t>Aperturas / pec deck</t>
        </is>
      </c>
      <c r="B22" s="20" t="inlineStr">
        <is>
          <t>3</t>
        </is>
      </c>
      <c r="C22" s="20" t="inlineStr">
        <is>
          <t>15</t>
        </is>
      </c>
      <c r="D22" s="20" t="inlineStr">
        <is>
          <t>45s</t>
        </is>
      </c>
      <c r="E22" s="49" t="n"/>
    </row>
    <row r="23">
      <c r="A23" s="42" t="inlineStr">
        <is>
          <t>Elevaciones laterales (hombro)</t>
        </is>
      </c>
      <c r="B23" s="20" t="inlineStr">
        <is>
          <t>3</t>
        </is>
      </c>
      <c r="C23" s="20" t="inlineStr">
        <is>
          <t>15</t>
        </is>
      </c>
      <c r="D23" s="20" t="inlineStr">
        <is>
          <t>45s</t>
        </is>
      </c>
      <c r="E23" s="49" t="n"/>
    </row>
    <row r="24">
      <c r="A24" s="42" t="inlineStr">
        <is>
          <t>Hip thrust / gluteo</t>
        </is>
      </c>
      <c r="B24" s="20" t="inlineStr">
        <is>
          <t>3</t>
        </is>
      </c>
      <c r="C24" s="20" t="inlineStr">
        <is>
          <t>15</t>
        </is>
      </c>
      <c r="D24" s="20" t="inlineStr">
        <is>
          <t>45s</t>
        </is>
      </c>
      <c r="E24" s="49" t="n"/>
    </row>
    <row r="25">
      <c r="A25" s="42" t="inlineStr">
        <is>
          <t>Elevacion de piernas + crunch</t>
        </is>
      </c>
      <c r="B25" s="20" t="inlineStr">
        <is>
          <t>3</t>
        </is>
      </c>
      <c r="C25" s="20" t="inlineStr">
        <is>
          <t>20</t>
        </is>
      </c>
      <c r="D25" s="20" t="inlineStr">
        <is>
          <t>30s</t>
        </is>
      </c>
      <c r="E25" s="49" t="n"/>
    </row>
    <row r="26">
      <c r="A26" s="42" t="inlineStr">
        <is>
          <t>Cardio final</t>
        </is>
      </c>
      <c r="B26" s="20" t="inlineStr">
        <is>
          <t>-</t>
        </is>
      </c>
      <c r="C26" s="20" t="inlineStr">
        <is>
          <t>15 min</t>
        </is>
      </c>
      <c r="D26" s="20" t="inlineStr">
        <is>
          <t>-</t>
        </is>
      </c>
      <c r="E26" s="49" t="n"/>
    </row>
    <row r="28">
      <c r="A28" s="66" t="inlineStr">
        <is>
          <t>Progresion: sube un poco el peso cada 2 semanas si completas todas las reps con buena tecnica.</t>
        </is>
      </c>
    </row>
  </sheetData>
  <mergeCells count="4">
    <mergeCell ref="A2:E2"/>
    <mergeCell ref="A16:E16"/>
    <mergeCell ref="A1:E1"/>
    <mergeCell ref="A4:E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22" customWidth="1" min="5" max="5"/>
    <col width="26" customWidth="1" min="6" max="6"/>
  </cols>
  <sheetData>
    <row r="1">
      <c r="A1" s="82" t="inlineStr">
        <is>
          <t>PLAN DE COMIDAS DIARIO (enfoque tonificar)</t>
        </is>
      </c>
    </row>
    <row r="2">
      <c r="A2" s="87" t="inlineStr">
        <is>
          <t>Proteina en cada comida + carbohidrato bueno + verduras. Ajusta porciones a tu hambre. 2-2.5 L de agua al dia.</t>
        </is>
      </c>
    </row>
    <row r="3">
      <c r="A3" s="16" t="inlineStr">
        <is>
          <t>Dia</t>
        </is>
      </c>
      <c r="B3" s="16" t="inlineStr">
        <is>
          <t>Desayuno (5:30-7)</t>
        </is>
      </c>
      <c r="C3" s="16" t="inlineStr">
        <is>
          <t>Media manana</t>
        </is>
      </c>
      <c r="D3" s="16" t="inlineStr">
        <is>
          <t>Almuerzo (12:30)</t>
        </is>
      </c>
      <c r="E3" s="16" t="inlineStr">
        <is>
          <t>Pre/Post entreno</t>
        </is>
      </c>
      <c r="F3" s="16" t="inlineStr">
        <is>
          <t>Cena</t>
        </is>
      </c>
    </row>
    <row r="4">
      <c r="A4" s="20" t="inlineStr">
        <is>
          <t>Lunes</t>
        </is>
      </c>
      <c r="B4" s="42" t="inlineStr">
        <is>
          <t>Huevos + arepa + fruta + cafe</t>
        </is>
      </c>
      <c r="C4" s="42" t="inlineStr">
        <is>
          <t>Yogur + frutos secos</t>
        </is>
      </c>
      <c r="D4" s="42" t="inlineStr">
        <is>
          <t>Pollo + arroz + ensalada</t>
        </is>
      </c>
      <c r="E4" s="42" t="inlineStr">
        <is>
          <t>Banano + agua</t>
        </is>
      </c>
      <c r="F4" s="42" t="inlineStr">
        <is>
          <t>Crema de verduras + huevo</t>
        </is>
      </c>
    </row>
    <row r="5">
      <c r="A5" s="20" t="inlineStr">
        <is>
          <t>Martes</t>
        </is>
      </c>
      <c r="B5" s="42" t="inlineStr">
        <is>
          <t>Avena con leche + fruta</t>
        </is>
      </c>
      <c r="C5" s="42" t="inlineStr">
        <is>
          <t>Manzana</t>
        </is>
      </c>
      <c r="D5" s="42" t="inlineStr">
        <is>
          <t>Carne magra + papa + verduras</t>
        </is>
      </c>
      <c r="E5" s="42" t="inlineStr">
        <is>
          <t>Batido proteina (post-box)</t>
        </is>
      </c>
      <c r="F5" s="42" t="inlineStr">
        <is>
          <t>Atun + ensalada</t>
        </is>
      </c>
    </row>
    <row r="6">
      <c r="A6" s="20" t="inlineStr">
        <is>
          <t>Miercoles</t>
        </is>
      </c>
      <c r="B6" s="42" t="inlineStr">
        <is>
          <t>Huevos + pan integral + jugo</t>
        </is>
      </c>
      <c r="C6" s="42" t="inlineStr">
        <is>
          <t>Yogur griego</t>
        </is>
      </c>
      <c r="D6" s="42" t="inlineStr">
        <is>
          <t>Pescado + arroz + brocoli</t>
        </is>
      </c>
      <c r="E6" s="42" t="inlineStr">
        <is>
          <t>Frutos secos</t>
        </is>
      </c>
      <c r="F6" s="42" t="inlineStr">
        <is>
          <t>Sopa + pollo desmechado</t>
        </is>
      </c>
    </row>
    <row r="7">
      <c r="A7" s="20" t="inlineStr">
        <is>
          <t>Jueves</t>
        </is>
      </c>
      <c r="B7" s="42" t="inlineStr">
        <is>
          <t>Tostadas + aguacate + huevo</t>
        </is>
      </c>
      <c r="C7" s="42" t="inlineStr">
        <is>
          <t>Fruta</t>
        </is>
      </c>
      <c r="D7" s="42" t="inlineStr">
        <is>
          <t>Lentejas + arroz + ensalada</t>
        </is>
      </c>
      <c r="E7" s="42" t="inlineStr">
        <is>
          <t>Batido (post-box)</t>
        </is>
      </c>
      <c r="F7" s="42" t="inlineStr">
        <is>
          <t>Tortilla de huevo + verduras</t>
        </is>
      </c>
    </row>
    <row r="8">
      <c r="A8" s="20" t="inlineStr">
        <is>
          <t>Viernes</t>
        </is>
      </c>
      <c r="B8" s="42" t="inlineStr">
        <is>
          <t>Avena + banano + mani</t>
        </is>
      </c>
      <c r="C8" s="42" t="inlineStr">
        <is>
          <t>Yogur</t>
        </is>
      </c>
      <c r="D8" s="42" t="inlineStr">
        <is>
          <t>Pollo a la plancha + quinua</t>
        </is>
      </c>
      <c r="E8" s="42" t="inlineStr">
        <is>
          <t>Fruta</t>
        </is>
      </c>
      <c r="F8" s="42" t="inlineStr">
        <is>
          <t>Ensalada grande + atun</t>
        </is>
      </c>
    </row>
    <row r="9">
      <c r="A9" s="20" t="inlineStr">
        <is>
          <t>Sabado</t>
        </is>
      </c>
      <c r="B9" s="42" t="inlineStr">
        <is>
          <t>Huevos + arepa (post-gym)</t>
        </is>
      </c>
      <c r="C9" s="42" t="inlineStr">
        <is>
          <t>Batido proteina</t>
        </is>
      </c>
      <c r="D9" s="42" t="inlineStr">
        <is>
          <t>Carne + arroz + patacon</t>
        </is>
      </c>
      <c r="E9" s="42" t="inlineStr">
        <is>
          <t>Fruta</t>
        </is>
      </c>
      <c r="F9" s="42" t="inlineStr">
        <is>
          <t>Wrap integral de pollo</t>
        </is>
      </c>
    </row>
    <row r="10">
      <c r="A10" s="20" t="inlineStr">
        <is>
          <t>Domingo</t>
        </is>
      </c>
      <c r="B10" s="42" t="inlineStr">
        <is>
          <t>Desayuno libre (con medida)</t>
        </is>
      </c>
      <c r="C10" s="42" t="inlineStr">
        <is>
          <t>Fruta</t>
        </is>
      </c>
      <c r="D10" s="42" t="inlineStr">
        <is>
          <t>Almuerzo familiar</t>
        </is>
      </c>
      <c r="E10" s="42" t="inlineStr">
        <is>
          <t>-</t>
        </is>
      </c>
      <c r="F10" s="42" t="inlineStr">
        <is>
          <t>Algo ligero: sopa o ensalada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8" customWidth="1" min="4" max="4"/>
    <col width="12" customWidth="1" min="5" max="5"/>
  </cols>
  <sheetData>
    <row r="1">
      <c r="A1" s="88" t="inlineStr">
        <is>
          <t>LISTA DE MERCADO SEMANAL</t>
        </is>
      </c>
    </row>
    <row r="2">
      <c r="A2" s="16" t="inlineStr">
        <is>
          <t>Categoria</t>
        </is>
      </c>
      <c r="B2" s="16" t="inlineStr">
        <is>
          <t>Producto</t>
        </is>
      </c>
      <c r="C2" s="16" t="inlineStr">
        <is>
          <t>Cantidad</t>
        </is>
      </c>
      <c r="D2" s="16" t="inlineStr">
        <is>
          <t>Precio aprox (COP)</t>
        </is>
      </c>
      <c r="E2" s="16" t="inlineStr">
        <is>
          <t>Comprado</t>
        </is>
      </c>
    </row>
    <row r="3">
      <c r="A3" s="42" t="inlineStr">
        <is>
          <t>Proteina</t>
        </is>
      </c>
      <c r="B3" s="42" t="inlineStr">
        <is>
          <t>Huevos</t>
        </is>
      </c>
      <c r="C3" s="20" t="inlineStr">
        <is>
          <t>30 und</t>
        </is>
      </c>
      <c r="D3" s="68" t="n">
        <v>0</v>
      </c>
      <c r="E3" s="20" t="inlineStr"/>
    </row>
    <row r="4">
      <c r="A4" s="42" t="inlineStr">
        <is>
          <t>Proteina</t>
        </is>
      </c>
      <c r="B4" s="42" t="inlineStr">
        <is>
          <t>Pechuga de pollo</t>
        </is>
      </c>
      <c r="C4" s="20" t="inlineStr">
        <is>
          <t>1.5 kg</t>
        </is>
      </c>
      <c r="D4" s="68" t="n">
        <v>0</v>
      </c>
      <c r="E4" s="20" t="inlineStr"/>
    </row>
    <row r="5">
      <c r="A5" s="42" t="inlineStr">
        <is>
          <t>Proteina</t>
        </is>
      </c>
      <c r="B5" s="42" t="inlineStr">
        <is>
          <t>Carne magra</t>
        </is>
      </c>
      <c r="C5" s="20" t="inlineStr">
        <is>
          <t>1 kg</t>
        </is>
      </c>
      <c r="D5" s="68" t="n">
        <v>0</v>
      </c>
      <c r="E5" s="20" t="inlineStr"/>
    </row>
    <row r="6">
      <c r="A6" s="42" t="inlineStr">
        <is>
          <t>Proteina</t>
        </is>
      </c>
      <c r="B6" s="42" t="inlineStr">
        <is>
          <t>Pescado / atun</t>
        </is>
      </c>
      <c r="C6" s="20" t="inlineStr">
        <is>
          <t>4 latas / 0.5 kg</t>
        </is>
      </c>
      <c r="D6" s="68" t="n">
        <v>0</v>
      </c>
      <c r="E6" s="20" t="inlineStr"/>
    </row>
    <row r="7">
      <c r="A7" s="42" t="inlineStr">
        <is>
          <t>Proteina</t>
        </is>
      </c>
      <c r="B7" s="42" t="inlineStr">
        <is>
          <t>Lentejas / frijol</t>
        </is>
      </c>
      <c r="C7" s="20" t="inlineStr">
        <is>
          <t>500 g</t>
        </is>
      </c>
      <c r="D7" s="68" t="n">
        <v>0</v>
      </c>
      <c r="E7" s="20" t="inlineStr"/>
    </row>
    <row r="8">
      <c r="A8" s="42" t="inlineStr">
        <is>
          <t>Proteina</t>
        </is>
      </c>
      <c r="B8" s="42" t="inlineStr">
        <is>
          <t>Proteina en polvo (opc.)</t>
        </is>
      </c>
      <c r="C8" s="20" t="inlineStr">
        <is>
          <t>1 bolsa</t>
        </is>
      </c>
      <c r="D8" s="68" t="n">
        <v>0</v>
      </c>
      <c r="E8" s="20" t="inlineStr"/>
    </row>
    <row r="9">
      <c r="A9" s="42" t="inlineStr">
        <is>
          <t>Carbohidrato</t>
        </is>
      </c>
      <c r="B9" s="42" t="inlineStr">
        <is>
          <t>Arroz</t>
        </is>
      </c>
      <c r="C9" s="20" t="inlineStr">
        <is>
          <t>1 kg</t>
        </is>
      </c>
      <c r="D9" s="68" t="n">
        <v>0</v>
      </c>
      <c r="E9" s="20" t="inlineStr"/>
    </row>
    <row r="10">
      <c r="A10" s="42" t="inlineStr">
        <is>
          <t>Carbohidrato</t>
        </is>
      </c>
      <c r="B10" s="42" t="inlineStr">
        <is>
          <t>Avena</t>
        </is>
      </c>
      <c r="C10" s="20" t="inlineStr">
        <is>
          <t>500 g</t>
        </is>
      </c>
      <c r="D10" s="68" t="n">
        <v>0</v>
      </c>
      <c r="E10" s="20" t="inlineStr"/>
    </row>
    <row r="11">
      <c r="A11" s="42" t="inlineStr">
        <is>
          <t>Carbohidrato</t>
        </is>
      </c>
      <c r="B11" s="42" t="inlineStr">
        <is>
          <t>Pan integral</t>
        </is>
      </c>
      <c r="C11" s="20" t="inlineStr">
        <is>
          <t>1 paquete</t>
        </is>
      </c>
      <c r="D11" s="68" t="n">
        <v>0</v>
      </c>
      <c r="E11" s="20" t="inlineStr"/>
    </row>
    <row r="12">
      <c r="A12" s="42" t="inlineStr">
        <is>
          <t>Carbohidrato</t>
        </is>
      </c>
      <c r="B12" s="42" t="inlineStr">
        <is>
          <t>Arepas / maiz</t>
        </is>
      </c>
      <c r="C12" s="20" t="inlineStr">
        <is>
          <t>1 paquete</t>
        </is>
      </c>
      <c r="D12" s="68" t="n">
        <v>0</v>
      </c>
      <c r="E12" s="20" t="inlineStr"/>
    </row>
    <row r="13">
      <c r="A13" s="42" t="inlineStr">
        <is>
          <t>Carbohidrato</t>
        </is>
      </c>
      <c r="B13" s="42" t="inlineStr">
        <is>
          <t>Papa / yuca / platano</t>
        </is>
      </c>
      <c r="C13" s="20" t="inlineStr">
        <is>
          <t>2 kg</t>
        </is>
      </c>
      <c r="D13" s="68" t="n">
        <v>0</v>
      </c>
      <c r="E13" s="20" t="inlineStr"/>
    </row>
    <row r="14">
      <c r="A14" s="42" t="inlineStr">
        <is>
          <t>Carbohidrato</t>
        </is>
      </c>
      <c r="B14" s="42" t="inlineStr">
        <is>
          <t>Quinua (opc.)</t>
        </is>
      </c>
      <c r="C14" s="20" t="inlineStr">
        <is>
          <t>250 g</t>
        </is>
      </c>
      <c r="D14" s="68" t="n">
        <v>0</v>
      </c>
      <c r="E14" s="20" t="inlineStr"/>
    </row>
    <row r="15">
      <c r="A15" s="42" t="inlineStr">
        <is>
          <t>Fruta/Verdura</t>
        </is>
      </c>
      <c r="B15" s="42" t="inlineStr">
        <is>
          <t>Banano</t>
        </is>
      </c>
      <c r="C15" s="20" t="inlineStr">
        <is>
          <t>1 racimo</t>
        </is>
      </c>
      <c r="D15" s="68" t="n">
        <v>0</v>
      </c>
      <c r="E15" s="20" t="inlineStr"/>
    </row>
    <row r="16">
      <c r="A16" s="42" t="inlineStr">
        <is>
          <t>Fruta/Verdura</t>
        </is>
      </c>
      <c r="B16" s="42" t="inlineStr">
        <is>
          <t>Manzana</t>
        </is>
      </c>
      <c r="C16" s="20" t="inlineStr">
        <is>
          <t>6 und</t>
        </is>
      </c>
      <c r="D16" s="68" t="n">
        <v>0</v>
      </c>
      <c r="E16" s="20" t="inlineStr"/>
    </row>
    <row r="17">
      <c r="A17" s="42" t="inlineStr">
        <is>
          <t>Fruta/Verdura</t>
        </is>
      </c>
      <c r="B17" s="42" t="inlineStr">
        <is>
          <t>Frutas de temporada</t>
        </is>
      </c>
      <c r="C17" s="20" t="inlineStr">
        <is>
          <t>variado</t>
        </is>
      </c>
      <c r="D17" s="68" t="n">
        <v>0</v>
      </c>
      <c r="E17" s="20" t="inlineStr"/>
    </row>
    <row r="18">
      <c r="A18" s="42" t="inlineStr">
        <is>
          <t>Fruta/Verdura</t>
        </is>
      </c>
      <c r="B18" s="42" t="inlineStr">
        <is>
          <t>Verduras p/ensalada</t>
        </is>
      </c>
      <c r="C18" s="20" t="inlineStr">
        <is>
          <t>variado</t>
        </is>
      </c>
      <c r="D18" s="68" t="n">
        <v>0</v>
      </c>
      <c r="E18" s="20" t="inlineStr"/>
    </row>
    <row r="19">
      <c r="A19" s="42" t="inlineStr">
        <is>
          <t>Fruta/Verdura</t>
        </is>
      </c>
      <c r="B19" s="42" t="inlineStr">
        <is>
          <t>Brocoli / verduras</t>
        </is>
      </c>
      <c r="C19" s="20" t="inlineStr">
        <is>
          <t>1 kg</t>
        </is>
      </c>
      <c r="D19" s="68" t="n">
        <v>0</v>
      </c>
      <c r="E19" s="20" t="inlineStr"/>
    </row>
    <row r="20">
      <c r="A20" s="42" t="inlineStr">
        <is>
          <t>Fruta/Verdura</t>
        </is>
      </c>
      <c r="B20" s="42" t="inlineStr">
        <is>
          <t>Aguacate</t>
        </is>
      </c>
      <c r="C20" s="20" t="inlineStr">
        <is>
          <t>2 und</t>
        </is>
      </c>
      <c r="D20" s="68" t="n">
        <v>0</v>
      </c>
      <c r="E20" s="20" t="inlineStr"/>
    </row>
    <row r="21">
      <c r="A21" s="42" t="inlineStr">
        <is>
          <t>Lacteos</t>
        </is>
      </c>
      <c r="B21" s="42" t="inlineStr">
        <is>
          <t>Leche</t>
        </is>
      </c>
      <c r="C21" s="20" t="inlineStr">
        <is>
          <t>2 L</t>
        </is>
      </c>
      <c r="D21" s="68" t="n">
        <v>0</v>
      </c>
      <c r="E21" s="20" t="inlineStr"/>
    </row>
    <row r="22">
      <c r="A22" s="42" t="inlineStr">
        <is>
          <t>Lacteos</t>
        </is>
      </c>
      <c r="B22" s="42" t="inlineStr">
        <is>
          <t>Yogur griego</t>
        </is>
      </c>
      <c r="C22" s="20" t="inlineStr">
        <is>
          <t>1 L</t>
        </is>
      </c>
      <c r="D22" s="68" t="n">
        <v>0</v>
      </c>
      <c r="E22" s="20" t="inlineStr"/>
    </row>
    <row r="23">
      <c r="A23" s="42" t="inlineStr">
        <is>
          <t>Otros</t>
        </is>
      </c>
      <c r="B23" s="42" t="inlineStr">
        <is>
          <t>Frutos secos / mani</t>
        </is>
      </c>
      <c r="C23" s="20" t="inlineStr">
        <is>
          <t>250 g</t>
        </is>
      </c>
      <c r="D23" s="68" t="n">
        <v>0</v>
      </c>
      <c r="E23" s="20" t="inlineStr"/>
    </row>
    <row r="24">
      <c r="A24" s="42" t="inlineStr">
        <is>
          <t>Otros</t>
        </is>
      </c>
      <c r="B24" s="42" t="inlineStr">
        <is>
          <t>Aceite de oliva</t>
        </is>
      </c>
      <c r="C24" s="20" t="inlineStr">
        <is>
          <t>1 botella</t>
        </is>
      </c>
      <c r="D24" s="68" t="n">
        <v>0</v>
      </c>
      <c r="E24" s="20" t="inlineStr"/>
    </row>
    <row r="25">
      <c r="A25" s="42" t="inlineStr">
        <is>
          <t>Otros</t>
        </is>
      </c>
      <c r="B25" s="42" t="inlineStr">
        <is>
          <t>Cafe</t>
        </is>
      </c>
      <c r="C25" s="20" t="inlineStr">
        <is>
          <t>1 paquete</t>
        </is>
      </c>
      <c r="D25" s="68" t="n">
        <v>0</v>
      </c>
      <c r="E25" s="20" t="inlineStr"/>
    </row>
    <row r="26">
      <c r="A26" s="42" t="inlineStr">
        <is>
          <t>Otros</t>
        </is>
      </c>
      <c r="B26" s="42" t="inlineStr">
        <is>
          <t>Agua / hidratacion</t>
        </is>
      </c>
      <c r="C26" s="20" t="inlineStr">
        <is>
          <t>-</t>
        </is>
      </c>
      <c r="D26" s="68" t="n">
        <v>0</v>
      </c>
      <c r="E26" s="20" t="inlineStr"/>
    </row>
    <row r="27">
      <c r="C27" s="58" t="inlineStr">
        <is>
          <t>TOTAL ESTIMADO</t>
        </is>
      </c>
      <c r="D27" s="89">
        <f>SUM(D3:D26)</f>
        <v/>
      </c>
    </row>
    <row r="29">
      <c r="A29" s="66" t="inlineStr">
        <is>
          <t>Tip: llena el precio una vez y reutiliza la lista cada semana. El total alimenta tu pestana de Egresos.</t>
        </is>
      </c>
    </row>
  </sheetData>
  <mergeCells count="1">
    <mergeCell ref="A1:E1"/>
  </mergeCells>
  <conditionalFormatting sqref="E3:E26">
    <cfRule type="cellIs" priority="1" operator="equal" dxfId="2">
      <formula>"Si"</formula>
    </cfRule>
  </conditionalFormatting>
  <dataValidations count="1">
    <dataValidation sqref="E3:E26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2026-06-16T16:37:42Z</dcterms:created>
  <dcterms:modified xsi:type="dcterms:W3CDTF">2026-06-16T16:37:42Z</dcterms:modified>
</cp:coreProperties>
</file>